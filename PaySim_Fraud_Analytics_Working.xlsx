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2" activeTab="4"/>
  </bookViews>
  <sheets>
    <sheet name="START HERE" sheetId="1" r:id="rId1"/>
    <sheet name="PIVOT - AMOUNTS" sheetId="2" r:id="rId2"/>
    <sheet name="PIVOT - TYPES" sheetId="3" r:id="rId3"/>
    <sheet name="PIVOT - STEPS" sheetId="4" r:id="rId4"/>
    <sheet name="QUALITY CHECKS" sheetId="5" r:id="rId5"/>
    <sheet name="SOURCE TRANSACTIONS" sheetId="6" r:id="rId6"/>
    <sheet name="DASHBOARD" sheetId="7" r:id="rId7"/>
  </sheets>
  <definedNames>
    <definedName name="Slicer_Step">#N/A</definedName>
    <definedName name="Slicer_Amount_Band">#N/A</definedName>
    <definedName name="Slicer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<sst xmlns="http://schemas.openxmlformats.org/spreadsheetml/2006/main" count="20144" uniqueCount="105">
  <si>
    <t>PAYSIM  |  EXCEL PIVOTTABLES PROJECT</t>
  </si>
  <si>
    <t>10,000 source-level PaySim transactions · three editable native Excel PivotTables · distinct from Static/Adaptive simulation</t>
  </si>
  <si>
    <t>THE BUSINESS QUESTION</t>
  </si>
  <si>
    <t>Where is labelled fraud concentrated by transaction amount, payment type and chronological PaySim step? Native Excel PivotTables below allow filtering and rearranging reporting fields.</t>
  </si>
  <si>
    <t>SOURCE-SAMPLE KPIs  |  from the first 10,000 transaction rows</t>
  </si>
  <si>
    <t>Transactions</t>
  </si>
  <si>
    <t>Fraud cases</t>
  </si>
  <si>
    <t>Fraud rate</t>
  </si>
  <si>
    <t>Amount (synthetic units)</t>
  </si>
  <si>
    <t>Fraud amount (synthetic units)</t>
  </si>
  <si>
    <t>KEY FINDINGS  |  distinct from the Static vs Adaptive evaluation</t>
  </si>
  <si>
    <t>• 10k–100k amount band includes 42 of 68 labelled frauds (61.8%).</t>
  </si>
  <si>
    <t>• The 1m+ band has 8 frauds among 123 transactions (6.50%); interpret with its small denominator.</t>
  </si>
  <si>
    <t>• PAYMENT leads volume (5,465), but TRANSFER has 33 frauds across 921 transactions (3.58%).</t>
  </si>
  <si>
    <t>EXACT SCOPE &amp; LIMITATIONS</t>
  </si>
  <si>
    <t>Three native Excel PivotTables share a cache of 10,000 individual transaction rows. Right-click a PivotTable to change fields; Data &gt; Refresh All after editing the source table.</t>
  </si>
  <si>
    <t>Original CSV columns: Step, Type, Amount, isFraud. Additional columns: Amount Band, Transactions=1, Fraud Cases, Fraud Amount. Account IDs and balances are not embedded.</t>
  </si>
  <si>
    <t>No investigations, fraud predictions, Static/Adaptive decisions or cost savings are calculated here. They belong to the separate Fraud Operations Analytics dashboard / dissertation.</t>
  </si>
  <si>
    <t>Input is the FIRST 10,000 rows of the PaySim 50,000-row deployment sample. Currency is NOT specified by PaySim; amounts are synthetic monetary units, not real EUR losses.</t>
  </si>
  <si>
    <t>SOURCE &amp; REFERENCE</t>
  </si>
  <si>
    <t>Source CSV</t>
  </si>
  <si>
    <t>https://raw.githubusercontent.com/alice-patrick/decision-centric-fraud-framework/refs/heads/main/data/deployment/paysim_deployment_sample.csv</t>
  </si>
  <si>
    <t>Analytics repository</t>
  </si>
  <si>
    <t>https://github.com/alice-patrick/fraud-decision-analytics</t>
  </si>
  <si>
    <t>NAVIGATION  →  PIVOT - AMOUNTS  |  PIVOT - TYPES  |  PIVOT - STEPS  |  QUALITY CHECKS  |  SOURCE TRANSACTIONS</t>
  </si>
  <si>
    <t>AMOUNT BAND  |  NATIVE EXCEL PIVOTTABLE</t>
  </si>
  <si>
    <t>Native PivotTable: 10,000 original transactions · grouped by Amount Band · SUM of Transactions and SUM of Fraud Cases</t>
  </si>
  <si>
    <t>Click the PivotTable to open PivotTable Fields. Right-click &gt; Refresh after data changes. Fraud rate in column D is a separate formula tied to the current row layout.</t>
  </si>
  <si>
    <t>Values</t>
  </si>
  <si>
    <t>Row Labels</t>
  </si>
  <si>
    <t>Sum of Transactions</t>
  </si>
  <si>
    <t>Sum of Fraud Cases</t>
  </si>
  <si>
    <t>Under 1k</t>
  </si>
  <si>
    <t>1k–10k</t>
  </si>
  <si>
    <t>10k–100k</t>
  </si>
  <si>
    <t>100k–1m</t>
  </si>
  <si>
    <t>1m+</t>
  </si>
  <si>
    <t>Grand Total</t>
  </si>
  <si>
    <t>AMOUNT FINDING: 10k–100k contains 42 labelled fraud cases; 1m+ has the highest rate among amount bands (8/123 = 6.50%).</t>
  </si>
  <si>
    <t>HOW TO EDIT → Click inside A6:C... in Excel Desktop → PivotTable Analyze → Field List → move Step / Type / Amount Band / Fraud Label among Rows, Columns and Filters. The source is weighted; always use SUM of Transactions.</t>
  </si>
  <si>
    <t>TYPE  |  NATIVE EXCEL PIVOTTABLE</t>
  </si>
  <si>
    <t>Native PivotTable: 10,000 original transactions · grouped by Type · SUM of Transactions and SUM of Fraud Cases</t>
  </si>
  <si>
    <t>PAYMENT</t>
  </si>
  <si>
    <t>TRANSFER</t>
  </si>
  <si>
    <t>CASH_OUT</t>
  </si>
  <si>
    <t>DEBIT</t>
  </si>
  <si>
    <t>CASH_IN</t>
  </si>
  <si>
    <t>TYPE FINDING: PAYMENT has the most transactions but zero labelled frauds; fraud labels here are concentrated in TRANSFER and CASH_OUT.</t>
  </si>
  <si>
    <t>STEP  |  NATIVE EXCEL PIVOTTABLE</t>
  </si>
  <si>
    <t>Native PivotTable: 10,000 original transactions · grouped by Step · SUM of Transactions and SUM of Fraud Cases</t>
  </si>
  <si>
    <t>STEP FINDING: Simulation steps are PaySim time periods, NOT calendar days. Higher volumes and higher fraud rates need not occur in the same step.</t>
  </si>
  <si>
    <t>DATA QUALITY  |  RECONCILIATION</t>
  </si>
  <si>
    <t>Validation of 10,000 transaction-level PaySim records and native PivotTable totals; expected values come from the original GitHub CSV.</t>
  </si>
  <si>
    <t>Control</t>
  </si>
  <si>
    <t>Expected</t>
  </si>
  <si>
    <t>Calculated in Excel</t>
  </si>
  <si>
    <t>Outcome</t>
  </si>
  <si>
    <t>Transaction-level record count</t>
  </si>
  <si>
    <t>Labelled fraud cases</t>
  </si>
  <si>
    <t>Individual source records</t>
  </si>
  <si>
    <t>Fraud labels reconcile</t>
  </si>
  <si>
    <t>Amount Pivot transactions</t>
  </si>
  <si>
    <t>Amount Pivot fraud cases</t>
  </si>
  <si>
    <t>Type Pivot transactions</t>
  </si>
  <si>
    <t>Type Pivot fraud cases</t>
  </si>
  <si>
    <t>Step Pivot transactions</t>
  </si>
  <si>
    <t>Step Pivot fraud cases</t>
  </si>
  <si>
    <t>SOURCE-LEVEL QUALITY CHECKS  |  selected reporting columns</t>
  </si>
  <si>
    <t>Blank cells in reporting table</t>
  </si>
  <si>
    <t>Exact duplicates in 11-column source CSV</t>
  </si>
  <si>
    <t>Verified on original CSV; ID columns are not in this workbook</t>
  </si>
  <si>
    <t>Non-positive transaction amounts</t>
  </si>
  <si>
    <t>Account-balance checks</t>
  </si>
  <si>
    <t>Not measured here</t>
  </si>
  <si>
    <t>Not assessed: balance columns intentionally excluded</t>
  </si>
  <si>
    <t>Interpretation: dataset is synthetic. Fraud amount is the total amount of labelled fraud transactions, not confirmed financial loss. Excel checks cover selected fields only.</t>
  </si>
  <si>
    <t>SOURCE TRANSACTIONS  |  PAYSIM 10K</t>
  </si>
  <si>
    <t>10,000 individual PaySim transactions from the published deployment CSV; original Step, Type, Amount and Fraud Label retained.</t>
  </si>
  <si>
    <t>One row per transaction. Amount Band, Transactions=1, Fraud Cases and Fraud Amount are derived reporting columns; no account identifiers included.</t>
  </si>
  <si>
    <t>Step</t>
  </si>
  <si>
    <t>Type</t>
  </si>
  <si>
    <t>Amount Band</t>
  </si>
  <si>
    <t>Fraud Label</t>
  </si>
  <si>
    <t>Total Amount</t>
  </si>
  <si>
    <t>Fraud Cases</t>
  </si>
  <si>
    <t>Fraud Amount</t>
  </si>
  <si>
    <t>PAYSim  |  FRAUD ANALYTICS DASHBOARD</t>
  </si>
  <si>
    <t>PORTFOLIO PROJECT  •  10,000 SYNTHETIC TRANSACTIONS  •  FIRST 7 PAYSIM STEPS</t>
  </si>
  <si>
    <t>TRANSACTIONS</t>
  </si>
  <si>
    <t>FRAUD CASES</t>
  </si>
  <si>
    <t>FRAUD RATE</t>
  </si>
  <si>
    <t>TOTAL AMOUNT — FULL SAMPLE (SYNTHETIC)</t>
  </si>
  <si>
    <t>FRAUD BY AMOUNT BAND</t>
  </si>
  <si>
    <t>FRAUD BY PAYMENT TYPE</t>
  </si>
  <si>
    <t>FRAUD RATE ACROSS PAYSIM STEPS</t>
  </si>
  <si>
    <t>DATA TABLE: AMOUNT BANDS</t>
  </si>
  <si>
    <t>DATA TABLE: TRANSACTION TYPES</t>
  </si>
  <si>
    <t>DATA TABLE: STEPS</t>
  </si>
  <si>
    <t>Fraud Rate</t>
  </si>
  <si>
    <t>BUSINESS TAKEAWAYS | FULL 10,000-TRANSACTION SAMPLE</t>
  </si>
  <si>
    <t>10k–100k contains 42/68 fraud labels (61.8%) despite lower rate than the 1m+ band.</t>
  </si>
  <si>
    <t>TRANSFER and CASH_OUT contain all 68 observed fraud labels in this synthetic sample.</t>
  </si>
  <si>
    <t>Rates for small groups must be interpreted cautiously; this is descriptive, not predictive analysis.</t>
  </si>
  <si>
    <t>SCOPE: 10,000 first PaySim rows only. Fraud Amount is not confirmed financial loss.</t>
  </si>
  <si>
    <t>METHOD: Values linked to original native Excel PivotTables; charts recalculate on Excel refresh.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</si>
</sst>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1"/>
      <name val="Carlito"/>
      <charset val="134"/>
    </font>
    <font>
      <b/>
      <sz val="18"/>
      <color rgb="FFFFFFFF"/>
      <name val="Aptos"/>
      <charset val="134"/>
    </font>
    <font>
      <sz val="10"/>
      <color rgb="FF52657A"/>
      <name val="Aptos"/>
      <charset val="134"/>
    </font>
    <font>
      <b/>
      <sz val="10"/>
      <color rgb="FFFFFFFF"/>
      <name val="Aptos"/>
      <charset val="134"/>
    </font>
    <font>
      <sz val="10"/>
      <name val="Aptos"/>
      <charset val="134"/>
    </font>
    <font>
      <sz val="10"/>
      <color rgb="FF217A87"/>
      <name val="Aptos"/>
      <charset val="134"/>
    </font>
    <font>
      <b/>
      <sz val="11"/>
      <color rgb="FF217A87"/>
      <name val="Aptos"/>
      <charset val="134"/>
    </font>
    <font>
      <b/>
      <sz val="11"/>
      <color rgb="FF15283F"/>
      <name val="Aptos"/>
      <charset val="134"/>
    </font>
    <font>
      <sz val="11"/>
      <color rgb="FF15283F"/>
      <name val="Aptos"/>
      <charset val="134"/>
    </font>
    <font>
      <b/>
      <sz val="12"/>
      <color rgb="FF217A87"/>
      <name val="Aptos"/>
      <charset val="134"/>
    </font>
    <font>
      <b/>
      <sz val="10"/>
      <color rgb="FF217A87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52C42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217A87"/>
        <bgColor indexed="64"/>
      </patternFill>
    </fill>
    <fill>
      <patternFill patternType="solid">
        <fgColor rgb="FFEAF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3" fontId="4" fillId="0" borderId="0" xfId="0" applyNumberFormat="1" applyFont="1" applyFill="1" applyBorder="1"/>
    <xf numFmtId="10" fontId="4" fillId="0" borderId="0" xfId="0" applyNumberFormat="1" applyFont="1" applyFill="1" applyBorder="1"/>
    <xf numFmtId="0" fontId="5" fillId="5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/>
    <xf numFmtId="0" fontId="6" fillId="5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/>
    <xf numFmtId="0" fontId="0" fillId="0" borderId="0" xfId="0" applyAlignment="1">
      <alignment horizontal="left"/>
    </xf>
    <xf numFmtId="3" fontId="0" fillId="0" borderId="0" xfId="0" applyNumberFormat="1"/>
    <xf numFmtId="10" fontId="7" fillId="5" borderId="0" xfId="0" applyNumberFormat="1" applyFont="1" applyFill="1" applyBorder="1"/>
    <xf numFmtId="0" fontId="8" fillId="3" borderId="0" xfId="0" applyNumberFormat="1" applyFont="1" applyFill="1" applyBorder="1" applyAlignment="1">
      <alignment vertical="center" wrapText="1"/>
    </xf>
    <xf numFmtId="10" fontId="0" fillId="0" borderId="0" xfId="0" applyNumberFormat="1"/>
    <xf numFmtId="0" fontId="9" fillId="5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3" fontId="0" fillId="0" borderId="0" xfId="0" applyNumberFormat="1" applyFont="1" applyFill="1" applyBorder="1"/>
    <xf numFmtId="1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10" fillId="5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b val="1"/>
        <color rgb="FFB3261E"/>
      </font>
      <fill>
        <patternFill patternType="solid">
          <bgColor rgb="FFFCE8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"Fraud rate by transaction amount"</c:f>
              <c:strCache>
                <c:ptCount val="1"/>
                <c:pt idx="0">
                  <c:v>Fraud rate by transaction amount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DASHBOARD!$A$44:$A$48</c:f>
              <c:strCache>
                <c:ptCount val="5"/>
                <c:pt idx="0">
                  <c:v>Under 1k</c:v>
                </c:pt>
                <c:pt idx="1">
                  <c:v>1k–10k</c:v>
                </c:pt>
                <c:pt idx="2">
                  <c:v>10k–100k</c:v>
                </c:pt>
                <c:pt idx="3">
                  <c:v>100k–1m</c:v>
                </c:pt>
                <c:pt idx="4">
                  <c:v>1m+</c:v>
                </c:pt>
              </c:strCache>
            </c:strRef>
          </c:cat>
          <c:val>
            <c:numRef>
              <c:f>DASHBOARD!$D$44:$D$48</c:f>
              <c:numCache>
                <c:formatCode>0.00%</c:formatCode>
                <c:ptCount val="5"/>
                <c:pt idx="0">
                  <c:v>0.0033003300330033</c:v>
                </c:pt>
                <c:pt idx="1">
                  <c:v>0.000518672199170124</c:v>
                </c:pt>
                <c:pt idx="2">
                  <c:v>0.0147835269271383</c:v>
                </c:pt>
                <c:pt idx="3">
                  <c:v>0.00543900543900544</c:v>
                </c:pt>
                <c:pt idx="4">
                  <c:v>0.0650406504065041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2c39bf-337b-422e-b24c-0e1988015a3a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"Fraud cases by payment type"</c:f>
              <c:strCache>
                <c:ptCount val="1"/>
                <c:pt idx="0">
                  <c:v>Fraud cases by payment type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DASHBOARD!$F$44:$F$48</c:f>
              <c:strCache>
                <c:ptCount val="5"/>
                <c:pt idx="0">
                  <c:v>PAYMENT</c:v>
                </c:pt>
                <c:pt idx="1">
                  <c:v>TRANSFER</c:v>
                </c:pt>
                <c:pt idx="2">
                  <c:v>CASH_OUT</c:v>
                </c:pt>
                <c:pt idx="3">
                  <c:v>DEBIT</c:v>
                </c:pt>
                <c:pt idx="4">
                  <c:v>CASH_IN</c:v>
                </c:pt>
              </c:strCache>
            </c:strRef>
          </c:cat>
          <c:val>
            <c:numRef>
              <c:f>DASHBOARD!$H$44:$H$48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d006d6-4614-4f43-90b8-984520bfac2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"Fraud rate across time steps"</c:f>
              <c:strCache>
                <c:ptCount val="1"/>
                <c:pt idx="0">
                  <c:v>Fraud rate across time steps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DASHBOARD!$K$44:$K$50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DASHBOARD!$N$44:$N$50</c:f>
              <c:numCache>
                <c:formatCode>0.00%</c:formatCode>
                <c:ptCount val="7"/>
                <c:pt idx="0">
                  <c:v>0.00590841949778434</c:v>
                </c:pt>
                <c:pt idx="1">
                  <c:v>0.00788954635108481</c:v>
                </c:pt>
                <c:pt idx="2">
                  <c:v>0.0072463768115942</c:v>
                </c:pt>
                <c:pt idx="3">
                  <c:v>0.0176991150442478</c:v>
                </c:pt>
                <c:pt idx="4">
                  <c:v>0.00902255639097744</c:v>
                </c:pt>
                <c:pt idx="5">
                  <c:v>0.0132530120481928</c:v>
                </c:pt>
                <c:pt idx="6">
                  <c:v>0.000705218617771509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874990-e8a7-435f-a810-b04786e1a3b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8255</xdr:colOff>
      <xdr:row>5</xdr:row>
      <xdr:rowOff>352425</xdr:rowOff>
    </xdr:from>
    <xdr:to>
      <xdr:col>11</xdr:col>
      <xdr:colOff>50800</xdr:colOff>
      <xdr:row>14</xdr:row>
      <xdr:rowOff>168910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te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e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6175" y="1922145"/>
              <a:ext cx="2099945" cy="2338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14605</xdr:colOff>
      <xdr:row>6</xdr:row>
      <xdr:rowOff>29845</xdr:rowOff>
    </xdr:from>
    <xdr:to>
      <xdr:col>14</xdr:col>
      <xdr:colOff>683260</xdr:colOff>
      <xdr:row>15</xdr:row>
      <xdr:rowOff>12700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Amount Ban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mount B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85725" y="1955165"/>
              <a:ext cx="2040255" cy="2324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1339215</xdr:colOff>
      <xdr:row>5</xdr:row>
      <xdr:rowOff>342265</xdr:rowOff>
    </xdr:from>
    <xdr:to>
      <xdr:col>7</xdr:col>
      <xdr:colOff>601345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4735" y="1911985"/>
              <a:ext cx="2005330" cy="2355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0" y="1729740"/>
        <a:ext cx="10668000" cy="24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16</xdr:col>
      <xdr:colOff>0</xdr:colOff>
      <xdr:row>22</xdr:row>
      <xdr:rowOff>0</xdr:rowOff>
    </xdr:to>
    <xdr:graphicFrame>
      <xdr:nvGraphicFramePr>
        <xdr:cNvPr id="3" name="Chart"/>
        <xdr:cNvGraphicFramePr/>
      </xdr:nvGraphicFramePr>
      <xdr:xfrm>
        <a:off x="10668000" y="1729740"/>
        <a:ext cx="9753600" cy="24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>
      <xdr:nvGraphicFramePr>
        <xdr:cNvPr id="4" name="Chart"/>
        <xdr:cNvGraphicFramePr/>
      </xdr:nvGraphicFramePr>
      <xdr:xfrm>
        <a:off x="0" y="4533900"/>
        <a:ext cx="2042160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6" refreshedVersion="5" minRefreshableVersion="3" refreshedDate="46310.5212384259" refreshedBy="PATRI" recordCount="10000">
  <cacheSource type="worksheet">
    <worksheetSource ref="A5:H10005" sheet="SOURCE TRANSACTIONS"/>
  </cacheSource>
  <cacheFields count="8">
    <cacheField name="Step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Type" numFmtId="0">
      <sharedItems count="5">
        <s v="PAYMENT"/>
        <s v="TRANSFER"/>
        <s v="CASH_OUT"/>
        <s v="DEBIT"/>
        <s v="CASH_IN"/>
      </sharedItems>
    </cacheField>
    <cacheField name="Amount Band" numFmtId="0">
      <sharedItems count="5">
        <s v="1k–10k"/>
        <s v="Under 1k"/>
        <s v="10k–100k"/>
        <s v="100k–1m"/>
        <s v="1m+"/>
      </sharedItems>
    </cacheField>
    <cacheField name="Fraud Label" numFmtId="0">
      <sharedItems containsSemiMixedTypes="0" containsString="0" containsNumber="1" containsInteger="1" minValue="0" maxValue="1" count="2">
        <n v="0"/>
        <n v="1"/>
      </sharedItems>
    </cacheField>
    <cacheField name="Transactions" numFmtId="0">
      <sharedItems containsSemiMixedTypes="0" containsString="0" containsNumber="1" containsInteger="1" minValue="1" maxValue="1" count="1">
        <n v="1"/>
      </sharedItems>
    </cacheField>
    <cacheField name="Total Amount" numFmtId="4"/>
    <cacheField name="Fraud Cases" numFmtId="0">
      <sharedItems containsSemiMixedTypes="0" containsString="0" containsNumber="1" containsInteger="1" minValue="0" maxValue="1" count="2">
        <n v="0"/>
        <n v="1"/>
      </sharedItems>
    </cacheField>
    <cacheField name="Fraud Amount" numFmtId="4">
      <sharedItems containsSemiMixedTypes="0" containsString="0" containsNumber="1" minValue="0" maxValue="10000000" count="36">
        <n v="0"/>
        <n v="181"/>
        <n v="2806"/>
        <n v="20128"/>
        <n v="416001.33"/>
        <n v="1277212.77"/>
        <n v="35063.63"/>
        <n v="25071.46"/>
        <n v="132842.64"/>
        <n v="235238.66"/>
        <n v="1096187.24"/>
        <n v="963532.14"/>
        <n v="14949.84"/>
        <n v="18627.02"/>
        <n v="10539.37"/>
        <n v="22877"/>
        <n v="10000000"/>
        <n v="2930418.44"/>
        <n v="169941.73"/>
        <n v="13707.11"/>
        <n v="86070.17"/>
        <n v="120074.73"/>
        <n v="60726.57"/>
        <n v="10119.47"/>
        <n v="33332.86"/>
        <n v="25975.86"/>
        <n v="26768.5"/>
        <n v="30521.02"/>
        <n v="216422"/>
        <n v="17320.91"/>
        <n v="17246"/>
        <n v="10565"/>
        <n v="10224"/>
        <n v="85354.69"/>
        <n v="13704"/>
        <n v="262434.5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x v="0"/>
    <x v="0"/>
    <x v="0"/>
    <n v="9839.64"/>
    <x v="0"/>
    <x v="0"/>
  </r>
  <r>
    <x v="0"/>
    <x v="0"/>
    <x v="0"/>
    <x v="0"/>
    <x v="0"/>
    <n v="1864.28"/>
    <x v="0"/>
    <x v="0"/>
  </r>
  <r>
    <x v="0"/>
    <x v="1"/>
    <x v="1"/>
    <x v="1"/>
    <x v="0"/>
    <n v="181"/>
    <x v="1"/>
    <x v="1"/>
  </r>
  <r>
    <x v="0"/>
    <x v="2"/>
    <x v="1"/>
    <x v="1"/>
    <x v="0"/>
    <n v="181"/>
    <x v="1"/>
    <x v="1"/>
  </r>
  <r>
    <x v="0"/>
    <x v="0"/>
    <x v="2"/>
    <x v="0"/>
    <x v="0"/>
    <n v="11668.14"/>
    <x v="0"/>
    <x v="0"/>
  </r>
  <r>
    <x v="0"/>
    <x v="0"/>
    <x v="0"/>
    <x v="0"/>
    <x v="0"/>
    <n v="7817.71"/>
    <x v="0"/>
    <x v="0"/>
  </r>
  <r>
    <x v="0"/>
    <x v="0"/>
    <x v="0"/>
    <x v="0"/>
    <x v="0"/>
    <n v="7107.77"/>
    <x v="0"/>
    <x v="0"/>
  </r>
  <r>
    <x v="0"/>
    <x v="0"/>
    <x v="0"/>
    <x v="0"/>
    <x v="0"/>
    <n v="7861.64"/>
    <x v="0"/>
    <x v="0"/>
  </r>
  <r>
    <x v="0"/>
    <x v="0"/>
    <x v="0"/>
    <x v="0"/>
    <x v="0"/>
    <n v="4024.36"/>
    <x v="0"/>
    <x v="0"/>
  </r>
  <r>
    <x v="0"/>
    <x v="3"/>
    <x v="0"/>
    <x v="0"/>
    <x v="0"/>
    <n v="5337.77"/>
    <x v="0"/>
    <x v="0"/>
  </r>
  <r>
    <x v="0"/>
    <x v="3"/>
    <x v="0"/>
    <x v="0"/>
    <x v="0"/>
    <n v="9644.94"/>
    <x v="0"/>
    <x v="0"/>
  </r>
  <r>
    <x v="0"/>
    <x v="0"/>
    <x v="0"/>
    <x v="0"/>
    <x v="0"/>
    <n v="3099.97"/>
    <x v="0"/>
    <x v="0"/>
  </r>
  <r>
    <x v="0"/>
    <x v="0"/>
    <x v="0"/>
    <x v="0"/>
    <x v="0"/>
    <n v="2560.74"/>
    <x v="0"/>
    <x v="0"/>
  </r>
  <r>
    <x v="0"/>
    <x v="0"/>
    <x v="2"/>
    <x v="0"/>
    <x v="0"/>
    <n v="11633.76"/>
    <x v="0"/>
    <x v="0"/>
  </r>
  <r>
    <x v="0"/>
    <x v="0"/>
    <x v="0"/>
    <x v="0"/>
    <x v="0"/>
    <n v="4098.78"/>
    <x v="0"/>
    <x v="0"/>
  </r>
  <r>
    <x v="0"/>
    <x v="2"/>
    <x v="3"/>
    <x v="0"/>
    <x v="0"/>
    <n v="229133.94"/>
    <x v="0"/>
    <x v="0"/>
  </r>
  <r>
    <x v="0"/>
    <x v="0"/>
    <x v="0"/>
    <x v="0"/>
    <x v="0"/>
    <n v="1563.82"/>
    <x v="0"/>
    <x v="0"/>
  </r>
  <r>
    <x v="0"/>
    <x v="0"/>
    <x v="0"/>
    <x v="0"/>
    <x v="0"/>
    <n v="1157.86"/>
    <x v="0"/>
    <x v="0"/>
  </r>
  <r>
    <x v="0"/>
    <x v="0"/>
    <x v="1"/>
    <x v="0"/>
    <x v="0"/>
    <n v="671.64"/>
    <x v="0"/>
    <x v="0"/>
  </r>
  <r>
    <x v="0"/>
    <x v="1"/>
    <x v="3"/>
    <x v="0"/>
    <x v="0"/>
    <n v="215310.3"/>
    <x v="0"/>
    <x v="0"/>
  </r>
  <r>
    <x v="0"/>
    <x v="0"/>
    <x v="0"/>
    <x v="0"/>
    <x v="0"/>
    <n v="1373.43"/>
    <x v="0"/>
    <x v="0"/>
  </r>
  <r>
    <x v="0"/>
    <x v="3"/>
    <x v="0"/>
    <x v="0"/>
    <x v="0"/>
    <n v="9302.79"/>
    <x v="0"/>
    <x v="0"/>
  </r>
  <r>
    <x v="0"/>
    <x v="3"/>
    <x v="0"/>
    <x v="0"/>
    <x v="0"/>
    <n v="1065.41"/>
    <x v="0"/>
    <x v="0"/>
  </r>
  <r>
    <x v="0"/>
    <x v="0"/>
    <x v="0"/>
    <x v="0"/>
    <x v="0"/>
    <n v="3876.41"/>
    <x v="0"/>
    <x v="0"/>
  </r>
  <r>
    <x v="0"/>
    <x v="1"/>
    <x v="3"/>
    <x v="0"/>
    <x v="0"/>
    <n v="311685.89"/>
    <x v="0"/>
    <x v="0"/>
  </r>
  <r>
    <x v="0"/>
    <x v="0"/>
    <x v="0"/>
    <x v="0"/>
    <x v="0"/>
    <n v="6061.13"/>
    <x v="0"/>
    <x v="0"/>
  </r>
  <r>
    <x v="0"/>
    <x v="0"/>
    <x v="0"/>
    <x v="0"/>
    <x v="0"/>
    <n v="9478.39"/>
    <x v="0"/>
    <x v="0"/>
  </r>
  <r>
    <x v="0"/>
    <x v="0"/>
    <x v="0"/>
    <x v="0"/>
    <x v="0"/>
    <n v="8009.09"/>
    <x v="0"/>
    <x v="0"/>
  </r>
  <r>
    <x v="0"/>
    <x v="0"/>
    <x v="0"/>
    <x v="0"/>
    <x v="0"/>
    <n v="8901.99"/>
    <x v="0"/>
    <x v="0"/>
  </r>
  <r>
    <x v="0"/>
    <x v="0"/>
    <x v="0"/>
    <x v="0"/>
    <x v="0"/>
    <n v="9920.52"/>
    <x v="0"/>
    <x v="0"/>
  </r>
  <r>
    <x v="0"/>
    <x v="0"/>
    <x v="0"/>
    <x v="0"/>
    <x v="0"/>
    <n v="3448.92"/>
    <x v="0"/>
    <x v="0"/>
  </r>
  <r>
    <x v="0"/>
    <x v="0"/>
    <x v="0"/>
    <x v="0"/>
    <x v="0"/>
    <n v="4206.84"/>
    <x v="0"/>
    <x v="0"/>
  </r>
  <r>
    <x v="0"/>
    <x v="0"/>
    <x v="0"/>
    <x v="0"/>
    <x v="0"/>
    <n v="5885.56"/>
    <x v="0"/>
    <x v="0"/>
  </r>
  <r>
    <x v="0"/>
    <x v="0"/>
    <x v="0"/>
    <x v="0"/>
    <x v="0"/>
    <n v="5307.88"/>
    <x v="0"/>
    <x v="0"/>
  </r>
  <r>
    <x v="0"/>
    <x v="0"/>
    <x v="0"/>
    <x v="0"/>
    <x v="0"/>
    <n v="5031.22"/>
    <x v="0"/>
    <x v="0"/>
  </r>
  <r>
    <x v="0"/>
    <x v="0"/>
    <x v="2"/>
    <x v="0"/>
    <x v="0"/>
    <n v="24213.67"/>
    <x v="0"/>
    <x v="0"/>
  </r>
  <r>
    <x v="0"/>
    <x v="0"/>
    <x v="0"/>
    <x v="0"/>
    <x v="0"/>
    <n v="8603.42"/>
    <x v="0"/>
    <x v="0"/>
  </r>
  <r>
    <x v="0"/>
    <x v="0"/>
    <x v="0"/>
    <x v="0"/>
    <x v="0"/>
    <n v="2791.42"/>
    <x v="0"/>
    <x v="0"/>
  </r>
  <r>
    <x v="0"/>
    <x v="0"/>
    <x v="0"/>
    <x v="0"/>
    <x v="0"/>
    <n v="7413.54"/>
    <x v="0"/>
    <x v="0"/>
  </r>
  <r>
    <x v="0"/>
    <x v="0"/>
    <x v="0"/>
    <x v="0"/>
    <x v="0"/>
    <n v="3295.19"/>
    <x v="0"/>
    <x v="0"/>
  </r>
  <r>
    <x v="0"/>
    <x v="0"/>
    <x v="0"/>
    <x v="0"/>
    <x v="0"/>
    <n v="1684.81"/>
    <x v="0"/>
    <x v="0"/>
  </r>
  <r>
    <x v="0"/>
    <x v="3"/>
    <x v="0"/>
    <x v="0"/>
    <x v="0"/>
    <n v="5758.59"/>
    <x v="0"/>
    <x v="0"/>
  </r>
  <r>
    <x v="0"/>
    <x v="2"/>
    <x v="3"/>
    <x v="0"/>
    <x v="0"/>
    <n v="110414.71"/>
    <x v="0"/>
    <x v="0"/>
  </r>
  <r>
    <x v="0"/>
    <x v="0"/>
    <x v="0"/>
    <x v="0"/>
    <x v="0"/>
    <n v="7823.46"/>
    <x v="0"/>
    <x v="0"/>
  </r>
  <r>
    <x v="0"/>
    <x v="0"/>
    <x v="0"/>
    <x v="0"/>
    <x v="0"/>
    <n v="5086.48"/>
    <x v="0"/>
    <x v="0"/>
  </r>
  <r>
    <x v="0"/>
    <x v="0"/>
    <x v="0"/>
    <x v="0"/>
    <x v="0"/>
    <n v="5281.48"/>
    <x v="0"/>
    <x v="0"/>
  </r>
  <r>
    <x v="0"/>
    <x v="0"/>
    <x v="2"/>
    <x v="0"/>
    <x v="0"/>
    <n v="13875.98"/>
    <x v="0"/>
    <x v="0"/>
  </r>
  <r>
    <x v="0"/>
    <x v="2"/>
    <x v="2"/>
    <x v="0"/>
    <x v="0"/>
    <n v="56953.9"/>
    <x v="0"/>
    <x v="0"/>
  </r>
  <r>
    <x v="0"/>
    <x v="2"/>
    <x v="0"/>
    <x v="0"/>
    <x v="0"/>
    <n v="5346.89"/>
    <x v="0"/>
    <x v="0"/>
  </r>
  <r>
    <x v="0"/>
    <x v="0"/>
    <x v="0"/>
    <x v="0"/>
    <x v="0"/>
    <n v="2204.04"/>
    <x v="0"/>
    <x v="0"/>
  </r>
  <r>
    <x v="0"/>
    <x v="0"/>
    <x v="0"/>
    <x v="0"/>
    <x v="0"/>
    <n v="2641.47"/>
    <x v="0"/>
    <x v="0"/>
  </r>
  <r>
    <x v="0"/>
    <x v="2"/>
    <x v="2"/>
    <x v="0"/>
    <x v="0"/>
    <n v="23261.3"/>
    <x v="0"/>
    <x v="0"/>
  </r>
  <r>
    <x v="0"/>
    <x v="0"/>
    <x v="0"/>
    <x v="0"/>
    <x v="0"/>
    <n v="2330.64"/>
    <x v="0"/>
    <x v="0"/>
  </r>
  <r>
    <x v="0"/>
    <x v="0"/>
    <x v="0"/>
    <x v="0"/>
    <x v="0"/>
    <n v="1614.64"/>
    <x v="0"/>
    <x v="0"/>
  </r>
  <r>
    <x v="0"/>
    <x v="0"/>
    <x v="0"/>
    <x v="0"/>
    <x v="0"/>
    <n v="9164.71"/>
    <x v="0"/>
    <x v="0"/>
  </r>
  <r>
    <x v="0"/>
    <x v="0"/>
    <x v="0"/>
    <x v="0"/>
    <x v="0"/>
    <n v="2970.97"/>
    <x v="0"/>
    <x v="0"/>
  </r>
  <r>
    <x v="0"/>
    <x v="0"/>
    <x v="1"/>
    <x v="0"/>
    <x v="0"/>
    <n v="38.66"/>
    <x v="0"/>
    <x v="0"/>
  </r>
  <r>
    <x v="0"/>
    <x v="0"/>
    <x v="0"/>
    <x v="0"/>
    <x v="0"/>
    <n v="2252.44"/>
    <x v="0"/>
    <x v="0"/>
  </r>
  <r>
    <x v="0"/>
    <x v="1"/>
    <x v="2"/>
    <x v="0"/>
    <x v="0"/>
    <n v="62610.8"/>
    <x v="0"/>
    <x v="0"/>
  </r>
  <r>
    <x v="0"/>
    <x v="3"/>
    <x v="0"/>
    <x v="0"/>
    <x v="0"/>
    <n v="5529.13"/>
    <x v="0"/>
    <x v="0"/>
  </r>
  <r>
    <x v="0"/>
    <x v="2"/>
    <x v="2"/>
    <x v="0"/>
    <x v="0"/>
    <n v="82940.31"/>
    <x v="0"/>
    <x v="0"/>
  </r>
  <r>
    <x v="0"/>
    <x v="3"/>
    <x v="0"/>
    <x v="0"/>
    <x v="0"/>
    <n v="4510.22"/>
    <x v="0"/>
    <x v="0"/>
  </r>
  <r>
    <x v="0"/>
    <x v="3"/>
    <x v="0"/>
    <x v="0"/>
    <x v="0"/>
    <n v="8727.74"/>
    <x v="0"/>
    <x v="0"/>
  </r>
  <r>
    <x v="0"/>
    <x v="0"/>
    <x v="0"/>
    <x v="0"/>
    <x v="0"/>
    <n v="2599.46"/>
    <x v="0"/>
    <x v="0"/>
  </r>
  <r>
    <x v="0"/>
    <x v="3"/>
    <x v="0"/>
    <x v="0"/>
    <x v="0"/>
    <n v="4874.49"/>
    <x v="0"/>
    <x v="0"/>
  </r>
  <r>
    <x v="0"/>
    <x v="0"/>
    <x v="0"/>
    <x v="0"/>
    <x v="0"/>
    <n v="6440.78"/>
    <x v="0"/>
    <x v="0"/>
  </r>
  <r>
    <x v="0"/>
    <x v="0"/>
    <x v="0"/>
    <x v="0"/>
    <x v="0"/>
    <n v="4910.14"/>
    <x v="0"/>
    <x v="0"/>
  </r>
  <r>
    <x v="0"/>
    <x v="0"/>
    <x v="0"/>
    <x v="0"/>
    <x v="0"/>
    <n v="6444.64"/>
    <x v="0"/>
    <x v="0"/>
  </r>
  <r>
    <x v="0"/>
    <x v="3"/>
    <x v="0"/>
    <x v="0"/>
    <x v="0"/>
    <n v="5149.66"/>
    <x v="0"/>
    <x v="0"/>
  </r>
  <r>
    <x v="0"/>
    <x v="0"/>
    <x v="0"/>
    <x v="0"/>
    <x v="0"/>
    <n v="7292.16"/>
    <x v="0"/>
    <x v="0"/>
  </r>
  <r>
    <x v="0"/>
    <x v="2"/>
    <x v="2"/>
    <x v="0"/>
    <x v="0"/>
    <n v="47458.86"/>
    <x v="0"/>
    <x v="0"/>
  </r>
  <r>
    <x v="0"/>
    <x v="2"/>
    <x v="3"/>
    <x v="0"/>
    <x v="0"/>
    <n v="136872.92"/>
    <x v="0"/>
    <x v="0"/>
  </r>
  <r>
    <x v="0"/>
    <x v="2"/>
    <x v="2"/>
    <x v="0"/>
    <x v="0"/>
    <n v="94253.33"/>
    <x v="0"/>
    <x v="0"/>
  </r>
  <r>
    <x v="0"/>
    <x v="0"/>
    <x v="0"/>
    <x v="0"/>
    <x v="0"/>
    <n v="2998.04"/>
    <x v="0"/>
    <x v="0"/>
  </r>
  <r>
    <x v="0"/>
    <x v="0"/>
    <x v="0"/>
    <x v="0"/>
    <x v="0"/>
    <n v="3454.08"/>
    <x v="0"/>
    <x v="0"/>
  </r>
  <r>
    <x v="0"/>
    <x v="0"/>
    <x v="0"/>
    <x v="0"/>
    <x v="0"/>
    <n v="4316.2"/>
    <x v="0"/>
    <x v="0"/>
  </r>
  <r>
    <x v="0"/>
    <x v="0"/>
    <x v="0"/>
    <x v="0"/>
    <x v="0"/>
    <n v="2131.84"/>
    <x v="0"/>
    <x v="0"/>
  </r>
  <r>
    <x v="0"/>
    <x v="0"/>
    <x v="2"/>
    <x v="0"/>
    <x v="0"/>
    <n v="12986.61"/>
    <x v="0"/>
    <x v="0"/>
  </r>
  <r>
    <x v="0"/>
    <x v="1"/>
    <x v="2"/>
    <x v="0"/>
    <x v="0"/>
    <n v="42712.39"/>
    <x v="0"/>
    <x v="0"/>
  </r>
  <r>
    <x v="0"/>
    <x v="1"/>
    <x v="2"/>
    <x v="0"/>
    <x v="0"/>
    <n v="77957.68"/>
    <x v="0"/>
    <x v="0"/>
  </r>
  <r>
    <x v="0"/>
    <x v="1"/>
    <x v="2"/>
    <x v="0"/>
    <x v="0"/>
    <n v="17231.46"/>
    <x v="0"/>
    <x v="0"/>
  </r>
  <r>
    <x v="0"/>
    <x v="1"/>
    <x v="2"/>
    <x v="0"/>
    <x v="0"/>
    <n v="78766.03"/>
    <x v="0"/>
    <x v="0"/>
  </r>
  <r>
    <x v="0"/>
    <x v="1"/>
    <x v="3"/>
    <x v="0"/>
    <x v="0"/>
    <n v="224606.64"/>
    <x v="0"/>
    <x v="0"/>
  </r>
  <r>
    <x v="0"/>
    <x v="1"/>
    <x v="3"/>
    <x v="0"/>
    <x v="0"/>
    <n v="125872.53"/>
    <x v="0"/>
    <x v="0"/>
  </r>
  <r>
    <x v="0"/>
    <x v="1"/>
    <x v="3"/>
    <x v="0"/>
    <x v="0"/>
    <n v="379856.23"/>
    <x v="0"/>
    <x v="0"/>
  </r>
  <r>
    <x v="0"/>
    <x v="1"/>
    <x v="4"/>
    <x v="0"/>
    <x v="0"/>
    <n v="1505626.01"/>
    <x v="0"/>
    <x v="0"/>
  </r>
  <r>
    <x v="0"/>
    <x v="1"/>
    <x v="3"/>
    <x v="0"/>
    <x v="0"/>
    <n v="554026.99"/>
    <x v="0"/>
    <x v="0"/>
  </r>
  <r>
    <x v="0"/>
    <x v="1"/>
    <x v="3"/>
    <x v="0"/>
    <x v="0"/>
    <n v="147543.1"/>
    <x v="0"/>
    <x v="0"/>
  </r>
  <r>
    <x v="0"/>
    <x v="1"/>
    <x v="3"/>
    <x v="0"/>
    <x v="0"/>
    <n v="761507.39"/>
    <x v="0"/>
    <x v="0"/>
  </r>
  <r>
    <x v="0"/>
    <x v="1"/>
    <x v="4"/>
    <x v="0"/>
    <x v="0"/>
    <n v="1429051.47"/>
    <x v="0"/>
    <x v="0"/>
  </r>
  <r>
    <x v="0"/>
    <x v="1"/>
    <x v="3"/>
    <x v="0"/>
    <x v="0"/>
    <n v="358831.92"/>
    <x v="0"/>
    <x v="0"/>
  </r>
  <r>
    <x v="0"/>
    <x v="1"/>
    <x v="3"/>
    <x v="0"/>
    <x v="0"/>
    <n v="367768.4"/>
    <x v="0"/>
    <x v="0"/>
  </r>
  <r>
    <x v="0"/>
    <x v="1"/>
    <x v="3"/>
    <x v="0"/>
    <x v="0"/>
    <n v="209711.11"/>
    <x v="0"/>
    <x v="0"/>
  </r>
  <r>
    <x v="0"/>
    <x v="1"/>
    <x v="3"/>
    <x v="0"/>
    <x v="0"/>
    <n v="583848.46"/>
    <x v="0"/>
    <x v="0"/>
  </r>
  <r>
    <x v="0"/>
    <x v="1"/>
    <x v="4"/>
    <x v="0"/>
    <x v="0"/>
    <n v="1724887.05"/>
    <x v="0"/>
    <x v="0"/>
  </r>
  <r>
    <x v="0"/>
    <x v="1"/>
    <x v="3"/>
    <x v="0"/>
    <x v="0"/>
    <n v="710544.77"/>
    <x v="0"/>
    <x v="0"/>
  </r>
  <r>
    <x v="0"/>
    <x v="1"/>
    <x v="3"/>
    <x v="0"/>
    <x v="0"/>
    <n v="581294.26"/>
    <x v="0"/>
    <x v="0"/>
  </r>
  <r>
    <x v="0"/>
    <x v="1"/>
    <x v="2"/>
    <x v="0"/>
    <x v="0"/>
    <n v="11996.58"/>
    <x v="0"/>
    <x v="0"/>
  </r>
  <r>
    <x v="0"/>
    <x v="0"/>
    <x v="0"/>
    <x v="0"/>
    <x v="0"/>
    <n v="2875.1"/>
    <x v="0"/>
    <x v="0"/>
  </r>
  <r>
    <x v="0"/>
    <x v="0"/>
    <x v="0"/>
    <x v="0"/>
    <x v="0"/>
    <n v="8586.98"/>
    <x v="0"/>
    <x v="0"/>
  </r>
  <r>
    <x v="0"/>
    <x v="0"/>
    <x v="1"/>
    <x v="0"/>
    <x v="0"/>
    <n v="871.75"/>
    <x v="0"/>
    <x v="0"/>
  </r>
  <r>
    <x v="0"/>
    <x v="0"/>
    <x v="0"/>
    <x v="0"/>
    <x v="0"/>
    <n v="1035.36"/>
    <x v="0"/>
    <x v="0"/>
  </r>
  <r>
    <x v="0"/>
    <x v="0"/>
    <x v="0"/>
    <x v="0"/>
    <x v="0"/>
    <n v="1063.53"/>
    <x v="0"/>
    <x v="0"/>
  </r>
  <r>
    <x v="0"/>
    <x v="0"/>
    <x v="0"/>
    <x v="0"/>
    <x v="0"/>
    <n v="1019.9"/>
    <x v="0"/>
    <x v="0"/>
  </r>
  <r>
    <x v="0"/>
    <x v="0"/>
    <x v="0"/>
    <x v="0"/>
    <x v="0"/>
    <n v="4059.38"/>
    <x v="0"/>
    <x v="0"/>
  </r>
  <r>
    <x v="0"/>
    <x v="0"/>
    <x v="0"/>
    <x v="0"/>
    <x v="0"/>
    <n v="1876.44"/>
    <x v="0"/>
    <x v="0"/>
  </r>
  <r>
    <x v="0"/>
    <x v="2"/>
    <x v="2"/>
    <x v="0"/>
    <x v="0"/>
    <n v="28404.6"/>
    <x v="0"/>
    <x v="0"/>
  </r>
  <r>
    <x v="0"/>
    <x v="2"/>
    <x v="2"/>
    <x v="0"/>
    <x v="0"/>
    <n v="75405.1"/>
    <x v="0"/>
    <x v="0"/>
  </r>
  <r>
    <x v="0"/>
    <x v="2"/>
    <x v="2"/>
    <x v="0"/>
    <x v="0"/>
    <n v="50101.88"/>
    <x v="0"/>
    <x v="0"/>
  </r>
  <r>
    <x v="0"/>
    <x v="2"/>
    <x v="2"/>
    <x v="0"/>
    <x v="0"/>
    <n v="14121.82"/>
    <x v="0"/>
    <x v="0"/>
  </r>
  <r>
    <x v="0"/>
    <x v="2"/>
    <x v="2"/>
    <x v="0"/>
    <x v="0"/>
    <n v="78292.91"/>
    <x v="0"/>
    <x v="0"/>
  </r>
  <r>
    <x v="0"/>
    <x v="2"/>
    <x v="3"/>
    <x v="0"/>
    <x v="0"/>
    <n v="176149.9"/>
    <x v="0"/>
    <x v="0"/>
  </r>
  <r>
    <x v="0"/>
    <x v="2"/>
    <x v="3"/>
    <x v="0"/>
    <x v="0"/>
    <n v="212228.35"/>
    <x v="0"/>
    <x v="0"/>
  </r>
  <r>
    <x v="0"/>
    <x v="2"/>
    <x v="2"/>
    <x v="0"/>
    <x v="0"/>
    <n v="85423.63"/>
    <x v="0"/>
    <x v="0"/>
  </r>
  <r>
    <x v="0"/>
    <x v="2"/>
    <x v="2"/>
    <x v="0"/>
    <x v="0"/>
    <n v="11648.5"/>
    <x v="0"/>
    <x v="0"/>
  </r>
  <r>
    <x v="0"/>
    <x v="0"/>
    <x v="0"/>
    <x v="0"/>
    <x v="0"/>
    <n v="6165.58"/>
    <x v="0"/>
    <x v="0"/>
  </r>
  <r>
    <x v="0"/>
    <x v="0"/>
    <x v="0"/>
    <x v="0"/>
    <x v="0"/>
    <n v="3705.83"/>
    <x v="0"/>
    <x v="0"/>
  </r>
  <r>
    <x v="0"/>
    <x v="2"/>
    <x v="3"/>
    <x v="0"/>
    <x v="0"/>
    <n v="419801.4"/>
    <x v="0"/>
    <x v="0"/>
  </r>
  <r>
    <x v="0"/>
    <x v="2"/>
    <x v="3"/>
    <x v="0"/>
    <x v="0"/>
    <n v="335416.51"/>
    <x v="0"/>
    <x v="0"/>
  </r>
  <r>
    <x v="0"/>
    <x v="0"/>
    <x v="0"/>
    <x v="0"/>
    <x v="0"/>
    <n v="3372.29"/>
    <x v="0"/>
    <x v="0"/>
  </r>
  <r>
    <x v="0"/>
    <x v="0"/>
    <x v="1"/>
    <x v="0"/>
    <x v="0"/>
    <n v="661.43"/>
    <x v="0"/>
    <x v="0"/>
  </r>
  <r>
    <x v="0"/>
    <x v="3"/>
    <x v="1"/>
    <x v="0"/>
    <x v="0"/>
    <n v="864.68"/>
    <x v="0"/>
    <x v="0"/>
  </r>
  <r>
    <x v="0"/>
    <x v="0"/>
    <x v="0"/>
    <x v="0"/>
    <x v="0"/>
    <n v="1203.44"/>
    <x v="0"/>
    <x v="0"/>
  </r>
  <r>
    <x v="0"/>
    <x v="1"/>
    <x v="3"/>
    <x v="0"/>
    <x v="0"/>
    <n v="330757.04"/>
    <x v="0"/>
    <x v="0"/>
  </r>
  <r>
    <x v="0"/>
    <x v="0"/>
    <x v="0"/>
    <x v="0"/>
    <x v="0"/>
    <n v="1915.43"/>
    <x v="0"/>
    <x v="0"/>
  </r>
  <r>
    <x v="0"/>
    <x v="0"/>
    <x v="1"/>
    <x v="0"/>
    <x v="0"/>
    <n v="8.73"/>
    <x v="0"/>
    <x v="0"/>
  </r>
  <r>
    <x v="0"/>
    <x v="3"/>
    <x v="0"/>
    <x v="0"/>
    <x v="0"/>
    <n v="3058.8"/>
    <x v="0"/>
    <x v="0"/>
  </r>
  <r>
    <x v="0"/>
    <x v="0"/>
    <x v="0"/>
    <x v="0"/>
    <x v="0"/>
    <n v="5154.97"/>
    <x v="0"/>
    <x v="0"/>
  </r>
  <r>
    <x v="0"/>
    <x v="0"/>
    <x v="0"/>
    <x v="0"/>
    <x v="0"/>
    <n v="5213.25"/>
    <x v="0"/>
    <x v="0"/>
  </r>
  <r>
    <x v="0"/>
    <x v="0"/>
    <x v="0"/>
    <x v="0"/>
    <x v="0"/>
    <n v="5392.75"/>
    <x v="0"/>
    <x v="0"/>
  </r>
  <r>
    <x v="0"/>
    <x v="0"/>
    <x v="1"/>
    <x v="0"/>
    <x v="0"/>
    <n v="25.12"/>
    <x v="0"/>
    <x v="0"/>
  </r>
  <r>
    <x v="0"/>
    <x v="0"/>
    <x v="2"/>
    <x v="0"/>
    <x v="0"/>
    <n v="17150.89"/>
    <x v="0"/>
    <x v="0"/>
  </r>
  <r>
    <x v="0"/>
    <x v="1"/>
    <x v="3"/>
    <x v="0"/>
    <x v="0"/>
    <n v="679502.24"/>
    <x v="0"/>
    <x v="0"/>
  </r>
  <r>
    <x v="0"/>
    <x v="1"/>
    <x v="3"/>
    <x v="0"/>
    <x v="0"/>
    <n v="177652.91"/>
    <x v="0"/>
    <x v="0"/>
  </r>
  <r>
    <x v="0"/>
    <x v="0"/>
    <x v="0"/>
    <x v="0"/>
    <x v="0"/>
    <n v="5443.26"/>
    <x v="0"/>
    <x v="0"/>
  </r>
  <r>
    <x v="0"/>
    <x v="0"/>
    <x v="1"/>
    <x v="0"/>
    <x v="0"/>
    <n v="244.87"/>
    <x v="0"/>
    <x v="0"/>
  </r>
  <r>
    <x v="0"/>
    <x v="0"/>
    <x v="0"/>
    <x v="0"/>
    <x v="0"/>
    <n v="8281.57"/>
    <x v="0"/>
    <x v="0"/>
  </r>
  <r>
    <x v="0"/>
    <x v="0"/>
    <x v="0"/>
    <x v="0"/>
    <x v="0"/>
    <n v="1175.59"/>
    <x v="0"/>
    <x v="0"/>
  </r>
  <r>
    <x v="0"/>
    <x v="0"/>
    <x v="0"/>
    <x v="0"/>
    <x v="0"/>
    <n v="1097.74"/>
    <x v="0"/>
    <x v="0"/>
  </r>
  <r>
    <x v="0"/>
    <x v="1"/>
    <x v="3"/>
    <x v="0"/>
    <x v="0"/>
    <n v="184986.8"/>
    <x v="0"/>
    <x v="0"/>
  </r>
  <r>
    <x v="0"/>
    <x v="0"/>
    <x v="0"/>
    <x v="0"/>
    <x v="0"/>
    <n v="1718.29"/>
    <x v="0"/>
    <x v="0"/>
  </r>
  <r>
    <x v="0"/>
    <x v="0"/>
    <x v="0"/>
    <x v="0"/>
    <x v="0"/>
    <n v="3671.32"/>
    <x v="0"/>
    <x v="0"/>
  </r>
  <r>
    <x v="0"/>
    <x v="3"/>
    <x v="0"/>
    <x v="0"/>
    <x v="0"/>
    <n v="3580.26"/>
    <x v="0"/>
    <x v="0"/>
  </r>
  <r>
    <x v="0"/>
    <x v="0"/>
    <x v="0"/>
    <x v="0"/>
    <x v="0"/>
    <n v="8550.9"/>
    <x v="0"/>
    <x v="0"/>
  </r>
  <r>
    <x v="0"/>
    <x v="0"/>
    <x v="0"/>
    <x v="0"/>
    <x v="0"/>
    <n v="9753.55"/>
    <x v="0"/>
    <x v="0"/>
  </r>
  <r>
    <x v="0"/>
    <x v="0"/>
    <x v="0"/>
    <x v="0"/>
    <x v="0"/>
    <n v="3026.98"/>
    <x v="0"/>
    <x v="0"/>
  </r>
  <r>
    <x v="0"/>
    <x v="2"/>
    <x v="3"/>
    <x v="0"/>
    <x v="0"/>
    <n v="467177.03"/>
    <x v="0"/>
    <x v="0"/>
  </r>
  <r>
    <x v="0"/>
    <x v="3"/>
    <x v="0"/>
    <x v="0"/>
    <x v="0"/>
    <n v="3875.99"/>
    <x v="0"/>
    <x v="0"/>
  </r>
  <r>
    <x v="0"/>
    <x v="0"/>
    <x v="0"/>
    <x v="0"/>
    <x v="0"/>
    <n v="2148.89"/>
    <x v="0"/>
    <x v="0"/>
  </r>
  <r>
    <x v="0"/>
    <x v="0"/>
    <x v="1"/>
    <x v="0"/>
    <x v="0"/>
    <n v="466.97"/>
    <x v="0"/>
    <x v="0"/>
  </r>
  <r>
    <x v="0"/>
    <x v="2"/>
    <x v="3"/>
    <x v="0"/>
    <x v="0"/>
    <n v="154139.72"/>
    <x v="0"/>
    <x v="0"/>
  </r>
  <r>
    <x v="0"/>
    <x v="2"/>
    <x v="2"/>
    <x v="0"/>
    <x v="0"/>
    <n v="82685.93"/>
    <x v="0"/>
    <x v="0"/>
  </r>
  <r>
    <x v="0"/>
    <x v="2"/>
    <x v="2"/>
    <x v="0"/>
    <x v="0"/>
    <n v="83857.23"/>
    <x v="0"/>
    <x v="0"/>
  </r>
  <r>
    <x v="0"/>
    <x v="2"/>
    <x v="2"/>
    <x v="0"/>
    <x v="0"/>
    <n v="99109.77"/>
    <x v="0"/>
    <x v="0"/>
  </r>
  <r>
    <x v="0"/>
    <x v="2"/>
    <x v="3"/>
    <x v="0"/>
    <x v="0"/>
    <n v="187726.67"/>
    <x v="0"/>
    <x v="0"/>
  </r>
  <r>
    <x v="0"/>
    <x v="2"/>
    <x v="3"/>
    <x v="0"/>
    <x v="0"/>
    <n v="281339.92"/>
    <x v="0"/>
    <x v="0"/>
  </r>
  <r>
    <x v="0"/>
    <x v="2"/>
    <x v="3"/>
    <x v="0"/>
    <x v="0"/>
    <n v="186447.51"/>
    <x v="0"/>
    <x v="0"/>
  </r>
  <r>
    <x v="0"/>
    <x v="2"/>
    <x v="2"/>
    <x v="0"/>
    <x v="0"/>
    <n v="81029.86"/>
    <x v="0"/>
    <x v="0"/>
  </r>
  <r>
    <x v="0"/>
    <x v="2"/>
    <x v="3"/>
    <x v="0"/>
    <x v="0"/>
    <n v="139054.95"/>
    <x v="0"/>
    <x v="0"/>
  </r>
  <r>
    <x v="0"/>
    <x v="2"/>
    <x v="3"/>
    <x v="0"/>
    <x v="0"/>
    <n v="154716.2"/>
    <x v="0"/>
    <x v="0"/>
  </r>
  <r>
    <x v="0"/>
    <x v="2"/>
    <x v="2"/>
    <x v="0"/>
    <x v="0"/>
    <n v="53631.83"/>
    <x v="0"/>
    <x v="0"/>
  </r>
  <r>
    <x v="0"/>
    <x v="2"/>
    <x v="3"/>
    <x v="0"/>
    <x v="0"/>
    <n v="289645.52"/>
    <x v="0"/>
    <x v="0"/>
  </r>
  <r>
    <x v="0"/>
    <x v="2"/>
    <x v="3"/>
    <x v="0"/>
    <x v="0"/>
    <n v="267148.82"/>
    <x v="0"/>
    <x v="0"/>
  </r>
  <r>
    <x v="0"/>
    <x v="2"/>
    <x v="2"/>
    <x v="0"/>
    <x v="0"/>
    <n v="47913.58"/>
    <x v="0"/>
    <x v="0"/>
  </r>
  <r>
    <x v="0"/>
    <x v="2"/>
    <x v="3"/>
    <x v="0"/>
    <x v="0"/>
    <n v="193605.38"/>
    <x v="0"/>
    <x v="0"/>
  </r>
  <r>
    <x v="0"/>
    <x v="2"/>
    <x v="3"/>
    <x v="0"/>
    <x v="0"/>
    <n v="344464.4"/>
    <x v="0"/>
    <x v="0"/>
  </r>
  <r>
    <x v="0"/>
    <x v="2"/>
    <x v="3"/>
    <x v="0"/>
    <x v="0"/>
    <n v="169409.87"/>
    <x v="0"/>
    <x v="0"/>
  </r>
  <r>
    <x v="0"/>
    <x v="2"/>
    <x v="2"/>
    <x v="0"/>
    <x v="0"/>
    <n v="25793.74"/>
    <x v="0"/>
    <x v="0"/>
  </r>
  <r>
    <x v="0"/>
    <x v="2"/>
    <x v="3"/>
    <x v="0"/>
    <x v="0"/>
    <n v="114712.48"/>
    <x v="0"/>
    <x v="0"/>
  </r>
  <r>
    <x v="0"/>
    <x v="2"/>
    <x v="2"/>
    <x v="0"/>
    <x v="0"/>
    <n v="89038.75"/>
    <x v="0"/>
    <x v="0"/>
  </r>
  <r>
    <x v="0"/>
    <x v="2"/>
    <x v="0"/>
    <x v="0"/>
    <x v="0"/>
    <n v="1341.58"/>
    <x v="0"/>
    <x v="0"/>
  </r>
  <r>
    <x v="0"/>
    <x v="2"/>
    <x v="2"/>
    <x v="0"/>
    <x v="0"/>
    <n v="44443.08"/>
    <x v="0"/>
    <x v="0"/>
  </r>
  <r>
    <x v="0"/>
    <x v="2"/>
    <x v="2"/>
    <x v="0"/>
    <x v="0"/>
    <n v="34729.64"/>
    <x v="0"/>
    <x v="0"/>
  </r>
  <r>
    <x v="0"/>
    <x v="2"/>
    <x v="3"/>
    <x v="0"/>
    <x v="0"/>
    <n v="105979.34"/>
    <x v="0"/>
    <x v="0"/>
  </r>
  <r>
    <x v="0"/>
    <x v="2"/>
    <x v="2"/>
    <x v="0"/>
    <x v="0"/>
    <n v="57794.61"/>
    <x v="0"/>
    <x v="0"/>
  </r>
  <r>
    <x v="0"/>
    <x v="2"/>
    <x v="2"/>
    <x v="0"/>
    <x v="0"/>
    <n v="15918.79"/>
    <x v="0"/>
    <x v="0"/>
  </r>
  <r>
    <x v="0"/>
    <x v="2"/>
    <x v="2"/>
    <x v="0"/>
    <x v="0"/>
    <n v="19162.08"/>
    <x v="0"/>
    <x v="0"/>
  </r>
  <r>
    <x v="0"/>
    <x v="2"/>
    <x v="3"/>
    <x v="0"/>
    <x v="0"/>
    <n v="220691.42"/>
    <x v="0"/>
    <x v="0"/>
  </r>
  <r>
    <x v="0"/>
    <x v="2"/>
    <x v="0"/>
    <x v="0"/>
    <x v="0"/>
    <n v="9536.54"/>
    <x v="0"/>
    <x v="0"/>
  </r>
  <r>
    <x v="0"/>
    <x v="2"/>
    <x v="2"/>
    <x v="0"/>
    <x v="0"/>
    <n v="29784.06"/>
    <x v="0"/>
    <x v="0"/>
  </r>
  <r>
    <x v="0"/>
    <x v="2"/>
    <x v="3"/>
    <x v="0"/>
    <x v="0"/>
    <n v="190445.51"/>
    <x v="0"/>
    <x v="0"/>
  </r>
  <r>
    <x v="0"/>
    <x v="2"/>
    <x v="2"/>
    <x v="0"/>
    <x v="0"/>
    <n v="57279.11"/>
    <x v="0"/>
    <x v="0"/>
  </r>
  <r>
    <x v="0"/>
    <x v="2"/>
    <x v="3"/>
    <x v="0"/>
    <x v="0"/>
    <n v="112086.81"/>
    <x v="0"/>
    <x v="0"/>
  </r>
  <r>
    <x v="0"/>
    <x v="2"/>
    <x v="2"/>
    <x v="0"/>
    <x v="0"/>
    <n v="80311.89"/>
    <x v="0"/>
    <x v="0"/>
  </r>
  <r>
    <x v="0"/>
    <x v="2"/>
    <x v="3"/>
    <x v="0"/>
    <x v="0"/>
    <n v="151829.91"/>
    <x v="0"/>
    <x v="0"/>
  </r>
  <r>
    <x v="0"/>
    <x v="2"/>
    <x v="2"/>
    <x v="0"/>
    <x v="0"/>
    <n v="26004.52"/>
    <x v="0"/>
    <x v="0"/>
  </r>
  <r>
    <x v="0"/>
    <x v="2"/>
    <x v="0"/>
    <x v="0"/>
    <x v="0"/>
    <n v="3146.16"/>
    <x v="0"/>
    <x v="0"/>
  </r>
  <r>
    <x v="0"/>
    <x v="2"/>
    <x v="3"/>
    <x v="0"/>
    <x v="0"/>
    <n v="296752.75"/>
    <x v="0"/>
    <x v="0"/>
  </r>
  <r>
    <x v="0"/>
    <x v="2"/>
    <x v="3"/>
    <x v="0"/>
    <x v="0"/>
    <n v="191702.06"/>
    <x v="0"/>
    <x v="0"/>
  </r>
  <r>
    <x v="0"/>
    <x v="2"/>
    <x v="3"/>
    <x v="0"/>
    <x v="0"/>
    <n v="365510.05"/>
    <x v="0"/>
    <x v="0"/>
  </r>
  <r>
    <x v="0"/>
    <x v="2"/>
    <x v="3"/>
    <x v="0"/>
    <x v="0"/>
    <n v="202332.08"/>
    <x v="0"/>
    <x v="0"/>
  </r>
  <r>
    <x v="0"/>
    <x v="2"/>
    <x v="2"/>
    <x v="0"/>
    <x v="0"/>
    <n v="55105.9"/>
    <x v="0"/>
    <x v="0"/>
  </r>
  <r>
    <x v="0"/>
    <x v="2"/>
    <x v="3"/>
    <x v="0"/>
    <x v="0"/>
    <n v="171508.59"/>
    <x v="0"/>
    <x v="0"/>
  </r>
  <r>
    <x v="0"/>
    <x v="2"/>
    <x v="3"/>
    <x v="0"/>
    <x v="0"/>
    <n v="178439.26"/>
    <x v="0"/>
    <x v="0"/>
  </r>
  <r>
    <x v="0"/>
    <x v="2"/>
    <x v="2"/>
    <x v="0"/>
    <x v="0"/>
    <n v="88834.86"/>
    <x v="0"/>
    <x v="0"/>
  </r>
  <r>
    <x v="0"/>
    <x v="2"/>
    <x v="3"/>
    <x v="0"/>
    <x v="0"/>
    <n v="210370.09"/>
    <x v="0"/>
    <x v="0"/>
  </r>
  <r>
    <x v="0"/>
    <x v="2"/>
    <x v="2"/>
    <x v="0"/>
    <x v="0"/>
    <n v="36437.06"/>
    <x v="0"/>
    <x v="0"/>
  </r>
  <r>
    <x v="0"/>
    <x v="2"/>
    <x v="2"/>
    <x v="0"/>
    <x v="0"/>
    <n v="82691.56"/>
    <x v="0"/>
    <x v="0"/>
  </r>
  <r>
    <x v="0"/>
    <x v="2"/>
    <x v="3"/>
    <x v="0"/>
    <x v="0"/>
    <n v="338767.1"/>
    <x v="0"/>
    <x v="0"/>
  </r>
  <r>
    <x v="0"/>
    <x v="2"/>
    <x v="3"/>
    <x v="0"/>
    <x v="0"/>
    <n v="187728.59"/>
    <x v="0"/>
    <x v="0"/>
  </r>
  <r>
    <x v="0"/>
    <x v="2"/>
    <x v="3"/>
    <x v="0"/>
    <x v="0"/>
    <n v="271002.7"/>
    <x v="0"/>
    <x v="0"/>
  </r>
  <r>
    <x v="0"/>
    <x v="2"/>
    <x v="3"/>
    <x v="0"/>
    <x v="0"/>
    <n v="323105.08"/>
    <x v="0"/>
    <x v="0"/>
  </r>
  <r>
    <x v="0"/>
    <x v="2"/>
    <x v="2"/>
    <x v="0"/>
    <x v="0"/>
    <n v="10782.94"/>
    <x v="0"/>
    <x v="0"/>
  </r>
  <r>
    <x v="0"/>
    <x v="2"/>
    <x v="2"/>
    <x v="0"/>
    <x v="0"/>
    <n v="89962.11"/>
    <x v="0"/>
    <x v="0"/>
  </r>
  <r>
    <x v="0"/>
    <x v="2"/>
    <x v="3"/>
    <x v="0"/>
    <x v="0"/>
    <n v="101940.14"/>
    <x v="0"/>
    <x v="0"/>
  </r>
  <r>
    <x v="0"/>
    <x v="2"/>
    <x v="3"/>
    <x v="0"/>
    <x v="0"/>
    <n v="163100.34"/>
    <x v="0"/>
    <x v="0"/>
  </r>
  <r>
    <x v="0"/>
    <x v="2"/>
    <x v="3"/>
    <x v="0"/>
    <x v="0"/>
    <n v="136030.66"/>
    <x v="0"/>
    <x v="0"/>
  </r>
  <r>
    <x v="0"/>
    <x v="2"/>
    <x v="2"/>
    <x v="0"/>
    <x v="0"/>
    <n v="68912.23"/>
    <x v="0"/>
    <x v="0"/>
  </r>
  <r>
    <x v="0"/>
    <x v="2"/>
    <x v="2"/>
    <x v="0"/>
    <x v="0"/>
    <n v="73464.06"/>
    <x v="0"/>
    <x v="0"/>
  </r>
  <r>
    <x v="0"/>
    <x v="2"/>
    <x v="3"/>
    <x v="0"/>
    <x v="0"/>
    <n v="106117.28"/>
    <x v="0"/>
    <x v="0"/>
  </r>
  <r>
    <x v="0"/>
    <x v="2"/>
    <x v="3"/>
    <x v="0"/>
    <x v="0"/>
    <n v="503333.79"/>
    <x v="0"/>
    <x v="0"/>
  </r>
  <r>
    <x v="0"/>
    <x v="2"/>
    <x v="2"/>
    <x v="0"/>
    <x v="0"/>
    <n v="71991.42"/>
    <x v="0"/>
    <x v="0"/>
  </r>
  <r>
    <x v="0"/>
    <x v="2"/>
    <x v="2"/>
    <x v="0"/>
    <x v="0"/>
    <n v="91379.93"/>
    <x v="0"/>
    <x v="0"/>
  </r>
  <r>
    <x v="0"/>
    <x v="2"/>
    <x v="2"/>
    <x v="0"/>
    <x v="0"/>
    <n v="26759.05"/>
    <x v="0"/>
    <x v="0"/>
  </r>
  <r>
    <x v="0"/>
    <x v="2"/>
    <x v="3"/>
    <x v="0"/>
    <x v="0"/>
    <n v="128487.35"/>
    <x v="0"/>
    <x v="0"/>
  </r>
  <r>
    <x v="0"/>
    <x v="2"/>
    <x v="3"/>
    <x v="0"/>
    <x v="0"/>
    <n v="252908.87"/>
    <x v="0"/>
    <x v="0"/>
  </r>
  <r>
    <x v="0"/>
    <x v="2"/>
    <x v="2"/>
    <x v="0"/>
    <x v="0"/>
    <n v="64489.64"/>
    <x v="0"/>
    <x v="0"/>
  </r>
  <r>
    <x v="0"/>
    <x v="2"/>
    <x v="3"/>
    <x v="0"/>
    <x v="0"/>
    <n v="171369.73"/>
    <x v="0"/>
    <x v="0"/>
  </r>
  <r>
    <x v="0"/>
    <x v="0"/>
    <x v="0"/>
    <x v="0"/>
    <x v="0"/>
    <n v="4493.29"/>
    <x v="0"/>
    <x v="0"/>
  </r>
  <r>
    <x v="0"/>
    <x v="0"/>
    <x v="2"/>
    <x v="0"/>
    <x v="0"/>
    <n v="12121.5"/>
    <x v="0"/>
    <x v="0"/>
  </r>
  <r>
    <x v="0"/>
    <x v="0"/>
    <x v="0"/>
    <x v="0"/>
    <x v="0"/>
    <n v="2278.19"/>
    <x v="0"/>
    <x v="0"/>
  </r>
  <r>
    <x v="0"/>
    <x v="0"/>
    <x v="0"/>
    <x v="0"/>
    <x v="0"/>
    <n v="7707.44"/>
    <x v="0"/>
    <x v="0"/>
  </r>
  <r>
    <x v="0"/>
    <x v="0"/>
    <x v="0"/>
    <x v="0"/>
    <x v="0"/>
    <n v="4013.02"/>
    <x v="0"/>
    <x v="0"/>
  </r>
  <r>
    <x v="0"/>
    <x v="0"/>
    <x v="0"/>
    <x v="0"/>
    <x v="0"/>
    <n v="5775.15"/>
    <x v="0"/>
    <x v="0"/>
  </r>
  <r>
    <x v="0"/>
    <x v="0"/>
    <x v="0"/>
    <x v="0"/>
    <x v="0"/>
    <n v="4843.93"/>
    <x v="0"/>
    <x v="0"/>
  </r>
  <r>
    <x v="0"/>
    <x v="0"/>
    <x v="0"/>
    <x v="0"/>
    <x v="0"/>
    <n v="2397.82"/>
    <x v="0"/>
    <x v="0"/>
  </r>
  <r>
    <x v="0"/>
    <x v="0"/>
    <x v="0"/>
    <x v="0"/>
    <x v="0"/>
    <n v="4391.44"/>
    <x v="0"/>
    <x v="0"/>
  </r>
  <r>
    <x v="0"/>
    <x v="3"/>
    <x v="0"/>
    <x v="0"/>
    <x v="0"/>
    <n v="4497.87"/>
    <x v="0"/>
    <x v="0"/>
  </r>
  <r>
    <x v="0"/>
    <x v="0"/>
    <x v="0"/>
    <x v="0"/>
    <x v="0"/>
    <n v="7452.89"/>
    <x v="0"/>
    <x v="0"/>
  </r>
  <r>
    <x v="0"/>
    <x v="0"/>
    <x v="0"/>
    <x v="0"/>
    <x v="0"/>
    <n v="3930.81"/>
    <x v="0"/>
    <x v="0"/>
  </r>
  <r>
    <x v="0"/>
    <x v="2"/>
    <x v="2"/>
    <x v="0"/>
    <x v="0"/>
    <n v="71532.24"/>
    <x v="0"/>
    <x v="0"/>
  </r>
  <r>
    <x v="0"/>
    <x v="2"/>
    <x v="2"/>
    <x v="0"/>
    <x v="0"/>
    <n v="61159.51"/>
    <x v="0"/>
    <x v="0"/>
  </r>
  <r>
    <x v="0"/>
    <x v="2"/>
    <x v="2"/>
    <x v="0"/>
    <x v="0"/>
    <n v="12401.9"/>
    <x v="0"/>
    <x v="0"/>
  </r>
  <r>
    <x v="0"/>
    <x v="2"/>
    <x v="2"/>
    <x v="0"/>
    <x v="0"/>
    <n v="32702.61"/>
    <x v="0"/>
    <x v="0"/>
  </r>
  <r>
    <x v="0"/>
    <x v="0"/>
    <x v="0"/>
    <x v="0"/>
    <x v="0"/>
    <n v="6926.67"/>
    <x v="0"/>
    <x v="0"/>
  </r>
  <r>
    <x v="0"/>
    <x v="0"/>
    <x v="1"/>
    <x v="0"/>
    <x v="0"/>
    <n v="893.57"/>
    <x v="0"/>
    <x v="0"/>
  </r>
  <r>
    <x v="0"/>
    <x v="1"/>
    <x v="3"/>
    <x v="0"/>
    <x v="0"/>
    <n v="480222.51"/>
    <x v="0"/>
    <x v="0"/>
  </r>
  <r>
    <x v="0"/>
    <x v="0"/>
    <x v="0"/>
    <x v="0"/>
    <x v="0"/>
    <n v="3608.41"/>
    <x v="0"/>
    <x v="0"/>
  </r>
  <r>
    <x v="0"/>
    <x v="0"/>
    <x v="0"/>
    <x v="0"/>
    <x v="0"/>
    <n v="5946.79"/>
    <x v="0"/>
    <x v="0"/>
  </r>
  <r>
    <x v="0"/>
    <x v="0"/>
    <x v="0"/>
    <x v="0"/>
    <x v="0"/>
    <n v="6099.96"/>
    <x v="0"/>
    <x v="0"/>
  </r>
  <r>
    <x v="0"/>
    <x v="0"/>
    <x v="1"/>
    <x v="0"/>
    <x v="0"/>
    <n v="372.34"/>
    <x v="0"/>
    <x v="0"/>
  </r>
  <r>
    <x v="0"/>
    <x v="0"/>
    <x v="0"/>
    <x v="0"/>
    <x v="0"/>
    <n v="4635.18"/>
    <x v="0"/>
    <x v="0"/>
  </r>
  <r>
    <x v="0"/>
    <x v="0"/>
    <x v="0"/>
    <x v="0"/>
    <x v="0"/>
    <n v="1267.97"/>
    <x v="0"/>
    <x v="0"/>
  </r>
  <r>
    <x v="0"/>
    <x v="0"/>
    <x v="0"/>
    <x v="0"/>
    <x v="0"/>
    <n v="6911.99"/>
    <x v="0"/>
    <x v="0"/>
  </r>
  <r>
    <x v="0"/>
    <x v="0"/>
    <x v="0"/>
    <x v="0"/>
    <x v="0"/>
    <n v="1795.67"/>
    <x v="0"/>
    <x v="0"/>
  </r>
  <r>
    <x v="0"/>
    <x v="0"/>
    <x v="0"/>
    <x v="0"/>
    <x v="0"/>
    <n v="3199.06"/>
    <x v="0"/>
    <x v="0"/>
  </r>
  <r>
    <x v="0"/>
    <x v="0"/>
    <x v="2"/>
    <x v="0"/>
    <x v="0"/>
    <n v="10265.17"/>
    <x v="0"/>
    <x v="0"/>
  </r>
  <r>
    <x v="0"/>
    <x v="0"/>
    <x v="0"/>
    <x v="0"/>
    <x v="0"/>
    <n v="9029.12"/>
    <x v="0"/>
    <x v="0"/>
  </r>
  <r>
    <x v="0"/>
    <x v="0"/>
    <x v="0"/>
    <x v="0"/>
    <x v="0"/>
    <n v="7600.57"/>
    <x v="0"/>
    <x v="0"/>
  </r>
  <r>
    <x v="0"/>
    <x v="0"/>
    <x v="0"/>
    <x v="0"/>
    <x v="0"/>
    <n v="2057.71"/>
    <x v="0"/>
    <x v="0"/>
  </r>
  <r>
    <x v="0"/>
    <x v="0"/>
    <x v="0"/>
    <x v="0"/>
    <x v="0"/>
    <n v="3823.08"/>
    <x v="0"/>
    <x v="0"/>
  </r>
  <r>
    <x v="0"/>
    <x v="1"/>
    <x v="0"/>
    <x v="1"/>
    <x v="0"/>
    <n v="2806"/>
    <x v="1"/>
    <x v="2"/>
  </r>
  <r>
    <x v="0"/>
    <x v="2"/>
    <x v="0"/>
    <x v="1"/>
    <x v="0"/>
    <n v="2806"/>
    <x v="1"/>
    <x v="2"/>
  </r>
  <r>
    <x v="0"/>
    <x v="0"/>
    <x v="0"/>
    <x v="0"/>
    <x v="0"/>
    <n v="6737.2"/>
    <x v="0"/>
    <x v="0"/>
  </r>
  <r>
    <x v="0"/>
    <x v="0"/>
    <x v="0"/>
    <x v="0"/>
    <x v="0"/>
    <n v="9161.98"/>
    <x v="0"/>
    <x v="0"/>
  </r>
  <r>
    <x v="0"/>
    <x v="0"/>
    <x v="0"/>
    <x v="0"/>
    <x v="0"/>
    <n v="1239.06"/>
    <x v="0"/>
    <x v="0"/>
  </r>
  <r>
    <x v="0"/>
    <x v="0"/>
    <x v="1"/>
    <x v="0"/>
    <x v="0"/>
    <n v="365"/>
    <x v="0"/>
    <x v="0"/>
  </r>
  <r>
    <x v="0"/>
    <x v="0"/>
    <x v="0"/>
    <x v="0"/>
    <x v="0"/>
    <n v="5237.54"/>
    <x v="0"/>
    <x v="0"/>
  </r>
  <r>
    <x v="0"/>
    <x v="0"/>
    <x v="0"/>
    <x v="0"/>
    <x v="0"/>
    <n v="2618.76"/>
    <x v="0"/>
    <x v="0"/>
  </r>
  <r>
    <x v="0"/>
    <x v="0"/>
    <x v="1"/>
    <x v="0"/>
    <x v="0"/>
    <n v="339.82"/>
    <x v="0"/>
    <x v="0"/>
  </r>
  <r>
    <x v="0"/>
    <x v="3"/>
    <x v="0"/>
    <x v="0"/>
    <x v="0"/>
    <n v="1393.46"/>
    <x v="0"/>
    <x v="0"/>
  </r>
  <r>
    <x v="0"/>
    <x v="0"/>
    <x v="0"/>
    <x v="0"/>
    <x v="0"/>
    <n v="2731.37"/>
    <x v="0"/>
    <x v="0"/>
  </r>
  <r>
    <x v="0"/>
    <x v="0"/>
    <x v="0"/>
    <x v="0"/>
    <x v="0"/>
    <n v="8364.73"/>
    <x v="0"/>
    <x v="0"/>
  </r>
  <r>
    <x v="0"/>
    <x v="0"/>
    <x v="0"/>
    <x v="0"/>
    <x v="0"/>
    <n v="6598.71"/>
    <x v="0"/>
    <x v="0"/>
  </r>
  <r>
    <x v="0"/>
    <x v="0"/>
    <x v="0"/>
    <x v="0"/>
    <x v="0"/>
    <n v="4304.58"/>
    <x v="0"/>
    <x v="0"/>
  </r>
  <r>
    <x v="0"/>
    <x v="0"/>
    <x v="0"/>
    <x v="0"/>
    <x v="0"/>
    <n v="2867.14"/>
    <x v="0"/>
    <x v="0"/>
  </r>
  <r>
    <x v="0"/>
    <x v="0"/>
    <x v="0"/>
    <x v="0"/>
    <x v="0"/>
    <n v="2946.38"/>
    <x v="0"/>
    <x v="0"/>
  </r>
  <r>
    <x v="0"/>
    <x v="0"/>
    <x v="1"/>
    <x v="0"/>
    <x v="0"/>
    <n v="507.12"/>
    <x v="0"/>
    <x v="0"/>
  </r>
  <r>
    <x v="0"/>
    <x v="0"/>
    <x v="0"/>
    <x v="0"/>
    <x v="0"/>
    <n v="3020.86"/>
    <x v="0"/>
    <x v="0"/>
  </r>
  <r>
    <x v="0"/>
    <x v="0"/>
    <x v="0"/>
    <x v="0"/>
    <x v="0"/>
    <n v="8948.03"/>
    <x v="0"/>
    <x v="0"/>
  </r>
  <r>
    <x v="0"/>
    <x v="2"/>
    <x v="3"/>
    <x v="0"/>
    <x v="0"/>
    <n v="280877.92"/>
    <x v="0"/>
    <x v="0"/>
  </r>
  <r>
    <x v="0"/>
    <x v="0"/>
    <x v="0"/>
    <x v="0"/>
    <x v="0"/>
    <n v="1084.9"/>
    <x v="0"/>
    <x v="0"/>
  </r>
  <r>
    <x v="0"/>
    <x v="0"/>
    <x v="0"/>
    <x v="0"/>
    <x v="0"/>
    <n v="9456.69"/>
    <x v="0"/>
    <x v="0"/>
  </r>
  <r>
    <x v="0"/>
    <x v="0"/>
    <x v="0"/>
    <x v="0"/>
    <x v="0"/>
    <n v="5812.36"/>
    <x v="0"/>
    <x v="0"/>
  </r>
  <r>
    <x v="0"/>
    <x v="1"/>
    <x v="3"/>
    <x v="0"/>
    <x v="0"/>
    <n v="157883.07"/>
    <x v="0"/>
    <x v="0"/>
  </r>
  <r>
    <x v="0"/>
    <x v="0"/>
    <x v="0"/>
    <x v="0"/>
    <x v="0"/>
    <n v="2734.77"/>
    <x v="0"/>
    <x v="0"/>
  </r>
  <r>
    <x v="0"/>
    <x v="2"/>
    <x v="3"/>
    <x v="0"/>
    <x v="0"/>
    <n v="102153.86"/>
    <x v="0"/>
    <x v="0"/>
  </r>
  <r>
    <x v="0"/>
    <x v="0"/>
    <x v="1"/>
    <x v="0"/>
    <x v="0"/>
    <n v="584.52"/>
    <x v="0"/>
    <x v="0"/>
  </r>
  <r>
    <x v="0"/>
    <x v="0"/>
    <x v="0"/>
    <x v="0"/>
    <x v="0"/>
    <n v="6113.14"/>
    <x v="0"/>
    <x v="0"/>
  </r>
  <r>
    <x v="0"/>
    <x v="2"/>
    <x v="3"/>
    <x v="0"/>
    <x v="0"/>
    <n v="369989.2"/>
    <x v="0"/>
    <x v="0"/>
  </r>
  <r>
    <x v="0"/>
    <x v="2"/>
    <x v="3"/>
    <x v="0"/>
    <x v="0"/>
    <n v="215338.28"/>
    <x v="0"/>
    <x v="0"/>
  </r>
  <r>
    <x v="0"/>
    <x v="2"/>
    <x v="2"/>
    <x v="0"/>
    <x v="0"/>
    <n v="65521.42"/>
    <x v="0"/>
    <x v="0"/>
  </r>
  <r>
    <x v="0"/>
    <x v="2"/>
    <x v="3"/>
    <x v="0"/>
    <x v="0"/>
    <n v="116977.58"/>
    <x v="0"/>
    <x v="0"/>
  </r>
  <r>
    <x v="0"/>
    <x v="2"/>
    <x v="3"/>
    <x v="0"/>
    <x v="0"/>
    <n v="262392.36"/>
    <x v="0"/>
    <x v="0"/>
  </r>
  <r>
    <x v="0"/>
    <x v="2"/>
    <x v="2"/>
    <x v="0"/>
    <x v="0"/>
    <n v="51121.05"/>
    <x v="0"/>
    <x v="0"/>
  </r>
  <r>
    <x v="0"/>
    <x v="2"/>
    <x v="3"/>
    <x v="0"/>
    <x v="0"/>
    <n v="202624.59"/>
    <x v="0"/>
    <x v="0"/>
  </r>
  <r>
    <x v="0"/>
    <x v="2"/>
    <x v="3"/>
    <x v="0"/>
    <x v="0"/>
    <n v="118235.16"/>
    <x v="0"/>
    <x v="0"/>
  </r>
  <r>
    <x v="0"/>
    <x v="2"/>
    <x v="3"/>
    <x v="0"/>
    <x v="0"/>
    <n v="118056.71"/>
    <x v="0"/>
    <x v="0"/>
  </r>
  <r>
    <x v="0"/>
    <x v="2"/>
    <x v="3"/>
    <x v="0"/>
    <x v="0"/>
    <n v="498960.91"/>
    <x v="0"/>
    <x v="0"/>
  </r>
  <r>
    <x v="0"/>
    <x v="2"/>
    <x v="3"/>
    <x v="0"/>
    <x v="0"/>
    <n v="691738.36"/>
    <x v="0"/>
    <x v="0"/>
  </r>
  <r>
    <x v="0"/>
    <x v="2"/>
    <x v="2"/>
    <x v="0"/>
    <x v="0"/>
    <n v="58820.08"/>
    <x v="0"/>
    <x v="0"/>
  </r>
  <r>
    <x v="0"/>
    <x v="0"/>
    <x v="0"/>
    <x v="0"/>
    <x v="0"/>
    <n v="4419.04"/>
    <x v="0"/>
    <x v="0"/>
  </r>
  <r>
    <x v="0"/>
    <x v="0"/>
    <x v="0"/>
    <x v="0"/>
    <x v="0"/>
    <n v="4270.02"/>
    <x v="0"/>
    <x v="0"/>
  </r>
  <r>
    <x v="0"/>
    <x v="0"/>
    <x v="0"/>
    <x v="0"/>
    <x v="0"/>
    <n v="3007.83"/>
    <x v="0"/>
    <x v="0"/>
  </r>
  <r>
    <x v="0"/>
    <x v="0"/>
    <x v="0"/>
    <x v="0"/>
    <x v="0"/>
    <n v="1824.59"/>
    <x v="0"/>
    <x v="0"/>
  </r>
  <r>
    <x v="0"/>
    <x v="0"/>
    <x v="1"/>
    <x v="0"/>
    <x v="0"/>
    <n v="993.46"/>
    <x v="0"/>
    <x v="0"/>
  </r>
  <r>
    <x v="0"/>
    <x v="2"/>
    <x v="3"/>
    <x v="0"/>
    <x v="0"/>
    <n v="302693.14"/>
    <x v="0"/>
    <x v="0"/>
  </r>
  <r>
    <x v="0"/>
    <x v="0"/>
    <x v="0"/>
    <x v="0"/>
    <x v="0"/>
    <n v="1445.06"/>
    <x v="0"/>
    <x v="0"/>
  </r>
  <r>
    <x v="0"/>
    <x v="0"/>
    <x v="0"/>
    <x v="0"/>
    <x v="0"/>
    <n v="4059.25"/>
    <x v="0"/>
    <x v="0"/>
  </r>
  <r>
    <x v="0"/>
    <x v="0"/>
    <x v="0"/>
    <x v="0"/>
    <x v="0"/>
    <n v="3417.18"/>
    <x v="0"/>
    <x v="0"/>
  </r>
  <r>
    <x v="0"/>
    <x v="3"/>
    <x v="0"/>
    <x v="0"/>
    <x v="0"/>
    <n v="3428.95"/>
    <x v="0"/>
    <x v="0"/>
  </r>
  <r>
    <x v="0"/>
    <x v="0"/>
    <x v="0"/>
    <x v="0"/>
    <x v="0"/>
    <n v="5580.98"/>
    <x v="0"/>
    <x v="0"/>
  </r>
  <r>
    <x v="0"/>
    <x v="3"/>
    <x v="0"/>
    <x v="0"/>
    <x v="0"/>
    <n v="3455.85"/>
    <x v="0"/>
    <x v="0"/>
  </r>
  <r>
    <x v="0"/>
    <x v="0"/>
    <x v="0"/>
    <x v="0"/>
    <x v="0"/>
    <n v="7265.63"/>
    <x v="0"/>
    <x v="0"/>
  </r>
  <r>
    <x v="0"/>
    <x v="0"/>
    <x v="0"/>
    <x v="0"/>
    <x v="0"/>
    <n v="3852.64"/>
    <x v="0"/>
    <x v="0"/>
  </r>
  <r>
    <x v="0"/>
    <x v="0"/>
    <x v="0"/>
    <x v="0"/>
    <x v="0"/>
    <n v="7870.29"/>
    <x v="0"/>
    <x v="0"/>
  </r>
  <r>
    <x v="0"/>
    <x v="3"/>
    <x v="2"/>
    <x v="0"/>
    <x v="0"/>
    <n v="12872.92"/>
    <x v="0"/>
    <x v="0"/>
  </r>
  <r>
    <x v="0"/>
    <x v="0"/>
    <x v="0"/>
    <x v="0"/>
    <x v="0"/>
    <n v="6675.34"/>
    <x v="0"/>
    <x v="0"/>
  </r>
  <r>
    <x v="0"/>
    <x v="2"/>
    <x v="3"/>
    <x v="0"/>
    <x v="0"/>
    <n v="410201.89"/>
    <x v="0"/>
    <x v="0"/>
  </r>
  <r>
    <x v="0"/>
    <x v="0"/>
    <x v="2"/>
    <x v="0"/>
    <x v="0"/>
    <n v="13310.78"/>
    <x v="0"/>
    <x v="0"/>
  </r>
  <r>
    <x v="0"/>
    <x v="0"/>
    <x v="1"/>
    <x v="0"/>
    <x v="0"/>
    <n v="664.35"/>
    <x v="0"/>
    <x v="0"/>
  </r>
  <r>
    <x v="0"/>
    <x v="0"/>
    <x v="0"/>
    <x v="0"/>
    <x v="0"/>
    <n v="2130.3"/>
    <x v="0"/>
    <x v="0"/>
  </r>
  <r>
    <x v="0"/>
    <x v="0"/>
    <x v="0"/>
    <x v="0"/>
    <x v="0"/>
    <n v="7771.4"/>
    <x v="0"/>
    <x v="0"/>
  </r>
  <r>
    <x v="0"/>
    <x v="0"/>
    <x v="2"/>
    <x v="0"/>
    <x v="0"/>
    <n v="36349.35"/>
    <x v="0"/>
    <x v="0"/>
  </r>
  <r>
    <x v="0"/>
    <x v="0"/>
    <x v="1"/>
    <x v="0"/>
    <x v="0"/>
    <n v="749.34"/>
    <x v="0"/>
    <x v="0"/>
  </r>
  <r>
    <x v="0"/>
    <x v="0"/>
    <x v="0"/>
    <x v="0"/>
    <x v="0"/>
    <n v="2340.34"/>
    <x v="0"/>
    <x v="0"/>
  </r>
  <r>
    <x v="0"/>
    <x v="0"/>
    <x v="0"/>
    <x v="0"/>
    <x v="0"/>
    <n v="9686.85"/>
    <x v="0"/>
    <x v="0"/>
  </r>
  <r>
    <x v="0"/>
    <x v="0"/>
    <x v="2"/>
    <x v="0"/>
    <x v="0"/>
    <n v="15785.85"/>
    <x v="0"/>
    <x v="0"/>
  </r>
  <r>
    <x v="0"/>
    <x v="0"/>
    <x v="0"/>
    <x v="0"/>
    <x v="0"/>
    <n v="9006.78"/>
    <x v="0"/>
    <x v="0"/>
  </r>
  <r>
    <x v="0"/>
    <x v="0"/>
    <x v="0"/>
    <x v="0"/>
    <x v="0"/>
    <n v="9014.95"/>
    <x v="0"/>
    <x v="0"/>
  </r>
  <r>
    <x v="0"/>
    <x v="0"/>
    <x v="2"/>
    <x v="0"/>
    <x v="0"/>
    <n v="14420.66"/>
    <x v="0"/>
    <x v="0"/>
  </r>
  <r>
    <x v="0"/>
    <x v="0"/>
    <x v="0"/>
    <x v="0"/>
    <x v="0"/>
    <n v="4802.31"/>
    <x v="0"/>
    <x v="0"/>
  </r>
  <r>
    <x v="0"/>
    <x v="0"/>
    <x v="2"/>
    <x v="0"/>
    <x v="0"/>
    <n v="28527.44"/>
    <x v="0"/>
    <x v="0"/>
  </r>
  <r>
    <x v="0"/>
    <x v="0"/>
    <x v="0"/>
    <x v="0"/>
    <x v="0"/>
    <n v="4182.93"/>
    <x v="0"/>
    <x v="0"/>
  </r>
  <r>
    <x v="0"/>
    <x v="0"/>
    <x v="0"/>
    <x v="0"/>
    <x v="0"/>
    <n v="4088.21"/>
    <x v="0"/>
    <x v="0"/>
  </r>
  <r>
    <x v="0"/>
    <x v="0"/>
    <x v="0"/>
    <x v="0"/>
    <x v="0"/>
    <n v="8491.9"/>
    <x v="0"/>
    <x v="0"/>
  </r>
  <r>
    <x v="0"/>
    <x v="3"/>
    <x v="0"/>
    <x v="0"/>
    <x v="0"/>
    <n v="6666.78"/>
    <x v="0"/>
    <x v="0"/>
  </r>
  <r>
    <x v="0"/>
    <x v="0"/>
    <x v="0"/>
    <x v="0"/>
    <x v="0"/>
    <n v="6536.86"/>
    <x v="0"/>
    <x v="0"/>
  </r>
  <r>
    <x v="0"/>
    <x v="2"/>
    <x v="2"/>
    <x v="0"/>
    <x v="0"/>
    <n v="40684.97"/>
    <x v="0"/>
    <x v="0"/>
  </r>
  <r>
    <x v="0"/>
    <x v="0"/>
    <x v="0"/>
    <x v="0"/>
    <x v="0"/>
    <n v="1553.21"/>
    <x v="0"/>
    <x v="0"/>
  </r>
  <r>
    <x v="0"/>
    <x v="3"/>
    <x v="0"/>
    <x v="0"/>
    <x v="0"/>
    <n v="7344.92"/>
    <x v="0"/>
    <x v="0"/>
  </r>
  <r>
    <x v="0"/>
    <x v="2"/>
    <x v="3"/>
    <x v="0"/>
    <x v="0"/>
    <n v="106267.21"/>
    <x v="0"/>
    <x v="0"/>
  </r>
  <r>
    <x v="0"/>
    <x v="0"/>
    <x v="0"/>
    <x v="0"/>
    <x v="0"/>
    <n v="5491.5"/>
    <x v="0"/>
    <x v="0"/>
  </r>
  <r>
    <x v="0"/>
    <x v="0"/>
    <x v="0"/>
    <x v="0"/>
    <x v="0"/>
    <n v="3666.42"/>
    <x v="0"/>
    <x v="0"/>
  </r>
  <r>
    <x v="0"/>
    <x v="0"/>
    <x v="0"/>
    <x v="0"/>
    <x v="0"/>
    <n v="5507.18"/>
    <x v="0"/>
    <x v="0"/>
  </r>
  <r>
    <x v="0"/>
    <x v="3"/>
    <x v="0"/>
    <x v="0"/>
    <x v="0"/>
    <n v="4565.14"/>
    <x v="0"/>
    <x v="0"/>
  </r>
  <r>
    <x v="0"/>
    <x v="0"/>
    <x v="2"/>
    <x v="0"/>
    <x v="0"/>
    <n v="11348.71"/>
    <x v="0"/>
    <x v="0"/>
  </r>
  <r>
    <x v="0"/>
    <x v="1"/>
    <x v="3"/>
    <x v="0"/>
    <x v="0"/>
    <n v="123179.97"/>
    <x v="0"/>
    <x v="0"/>
  </r>
  <r>
    <x v="0"/>
    <x v="0"/>
    <x v="0"/>
    <x v="0"/>
    <x v="0"/>
    <n v="7073.6"/>
    <x v="0"/>
    <x v="0"/>
  </r>
  <r>
    <x v="0"/>
    <x v="0"/>
    <x v="0"/>
    <x v="0"/>
    <x v="0"/>
    <n v="2803.83"/>
    <x v="0"/>
    <x v="0"/>
  </r>
  <r>
    <x v="0"/>
    <x v="0"/>
    <x v="1"/>
    <x v="0"/>
    <x v="0"/>
    <n v="106.81"/>
    <x v="0"/>
    <x v="0"/>
  </r>
  <r>
    <x v="0"/>
    <x v="0"/>
    <x v="0"/>
    <x v="0"/>
    <x v="0"/>
    <n v="6297.71"/>
    <x v="0"/>
    <x v="0"/>
  </r>
  <r>
    <x v="0"/>
    <x v="0"/>
    <x v="0"/>
    <x v="0"/>
    <x v="0"/>
    <n v="2610.01"/>
    <x v="0"/>
    <x v="0"/>
  </r>
  <r>
    <x v="0"/>
    <x v="0"/>
    <x v="0"/>
    <x v="0"/>
    <x v="0"/>
    <n v="5320.1"/>
    <x v="0"/>
    <x v="0"/>
  </r>
  <r>
    <x v="0"/>
    <x v="0"/>
    <x v="0"/>
    <x v="0"/>
    <x v="0"/>
    <n v="1460.63"/>
    <x v="0"/>
    <x v="0"/>
  </r>
  <r>
    <x v="0"/>
    <x v="1"/>
    <x v="3"/>
    <x v="0"/>
    <x v="0"/>
    <n v="522264.81"/>
    <x v="0"/>
    <x v="0"/>
  </r>
  <r>
    <x v="0"/>
    <x v="3"/>
    <x v="0"/>
    <x v="0"/>
    <x v="0"/>
    <n v="3584.21"/>
    <x v="0"/>
    <x v="0"/>
  </r>
  <r>
    <x v="0"/>
    <x v="0"/>
    <x v="0"/>
    <x v="0"/>
    <x v="0"/>
    <n v="3704.97"/>
    <x v="0"/>
    <x v="0"/>
  </r>
  <r>
    <x v="0"/>
    <x v="0"/>
    <x v="0"/>
    <x v="0"/>
    <x v="0"/>
    <n v="2773.61"/>
    <x v="0"/>
    <x v="0"/>
  </r>
  <r>
    <x v="0"/>
    <x v="0"/>
    <x v="0"/>
    <x v="0"/>
    <x v="0"/>
    <n v="3896.42"/>
    <x v="0"/>
    <x v="0"/>
  </r>
  <r>
    <x v="0"/>
    <x v="0"/>
    <x v="2"/>
    <x v="0"/>
    <x v="0"/>
    <n v="18781.84"/>
    <x v="0"/>
    <x v="0"/>
  </r>
  <r>
    <x v="0"/>
    <x v="0"/>
    <x v="0"/>
    <x v="0"/>
    <x v="0"/>
    <n v="6660.33"/>
    <x v="0"/>
    <x v="0"/>
  </r>
  <r>
    <x v="0"/>
    <x v="1"/>
    <x v="2"/>
    <x v="0"/>
    <x v="0"/>
    <n v="26923.42"/>
    <x v="0"/>
    <x v="0"/>
  </r>
  <r>
    <x v="0"/>
    <x v="1"/>
    <x v="2"/>
    <x v="0"/>
    <x v="0"/>
    <n v="53783.57"/>
    <x v="0"/>
    <x v="0"/>
  </r>
  <r>
    <x v="0"/>
    <x v="1"/>
    <x v="2"/>
    <x v="0"/>
    <x v="0"/>
    <n v="80333.28"/>
    <x v="0"/>
    <x v="0"/>
  </r>
  <r>
    <x v="0"/>
    <x v="1"/>
    <x v="3"/>
    <x v="0"/>
    <x v="0"/>
    <n v="211075.91"/>
    <x v="0"/>
    <x v="0"/>
  </r>
  <r>
    <x v="0"/>
    <x v="1"/>
    <x v="3"/>
    <x v="0"/>
    <x v="0"/>
    <n v="100677.86"/>
    <x v="0"/>
    <x v="0"/>
  </r>
  <r>
    <x v="0"/>
    <x v="1"/>
    <x v="3"/>
    <x v="0"/>
    <x v="0"/>
    <n v="473499.51"/>
    <x v="0"/>
    <x v="0"/>
  </r>
  <r>
    <x v="0"/>
    <x v="1"/>
    <x v="4"/>
    <x v="0"/>
    <x v="0"/>
    <n v="1538200.39"/>
    <x v="0"/>
    <x v="0"/>
  </r>
  <r>
    <x v="0"/>
    <x v="1"/>
    <x v="4"/>
    <x v="0"/>
    <x v="0"/>
    <n v="2421578.09"/>
    <x v="0"/>
    <x v="0"/>
  </r>
  <r>
    <x v="0"/>
    <x v="1"/>
    <x v="4"/>
    <x v="0"/>
    <x v="0"/>
    <n v="1349670.68"/>
    <x v="0"/>
    <x v="0"/>
  </r>
  <r>
    <x v="0"/>
    <x v="1"/>
    <x v="3"/>
    <x v="0"/>
    <x v="0"/>
    <n v="314403.14"/>
    <x v="0"/>
    <x v="0"/>
  </r>
  <r>
    <x v="0"/>
    <x v="1"/>
    <x v="4"/>
    <x v="0"/>
    <x v="0"/>
    <n v="1457213.54"/>
    <x v="0"/>
    <x v="0"/>
  </r>
  <r>
    <x v="0"/>
    <x v="1"/>
    <x v="3"/>
    <x v="0"/>
    <x v="0"/>
    <n v="180368.84"/>
    <x v="0"/>
    <x v="0"/>
  </r>
  <r>
    <x v="0"/>
    <x v="1"/>
    <x v="3"/>
    <x v="0"/>
    <x v="0"/>
    <n v="445038.71"/>
    <x v="0"/>
    <x v="0"/>
  </r>
  <r>
    <x v="0"/>
    <x v="1"/>
    <x v="4"/>
    <x v="0"/>
    <x v="0"/>
    <n v="1123206.66"/>
    <x v="0"/>
    <x v="0"/>
  </r>
  <r>
    <x v="0"/>
    <x v="3"/>
    <x v="1"/>
    <x v="0"/>
    <x v="0"/>
    <n v="996"/>
    <x v="0"/>
    <x v="0"/>
  </r>
  <r>
    <x v="0"/>
    <x v="1"/>
    <x v="3"/>
    <x v="0"/>
    <x v="0"/>
    <n v="176334.26"/>
    <x v="0"/>
    <x v="0"/>
  </r>
  <r>
    <x v="0"/>
    <x v="1"/>
    <x v="3"/>
    <x v="0"/>
    <x v="0"/>
    <n v="161217.61"/>
    <x v="0"/>
    <x v="0"/>
  </r>
  <r>
    <x v="0"/>
    <x v="1"/>
    <x v="3"/>
    <x v="0"/>
    <x v="0"/>
    <n v="108443.61"/>
    <x v="0"/>
    <x v="0"/>
  </r>
  <r>
    <x v="0"/>
    <x v="1"/>
    <x v="2"/>
    <x v="0"/>
    <x v="0"/>
    <n v="75442.68"/>
    <x v="0"/>
    <x v="0"/>
  </r>
  <r>
    <x v="0"/>
    <x v="1"/>
    <x v="2"/>
    <x v="0"/>
    <x v="0"/>
    <n v="55536.86"/>
    <x v="0"/>
    <x v="0"/>
  </r>
  <r>
    <x v="0"/>
    <x v="1"/>
    <x v="3"/>
    <x v="0"/>
    <x v="0"/>
    <n v="438437.09"/>
    <x v="0"/>
    <x v="0"/>
  </r>
  <r>
    <x v="0"/>
    <x v="1"/>
    <x v="3"/>
    <x v="0"/>
    <x v="0"/>
    <n v="928722.69"/>
    <x v="0"/>
    <x v="0"/>
  </r>
  <r>
    <x v="0"/>
    <x v="1"/>
    <x v="4"/>
    <x v="0"/>
    <x v="0"/>
    <n v="1478772.04"/>
    <x v="0"/>
    <x v="0"/>
  </r>
  <r>
    <x v="0"/>
    <x v="1"/>
    <x v="4"/>
    <x v="0"/>
    <x v="0"/>
    <n v="2545478.01"/>
    <x v="0"/>
    <x v="0"/>
  </r>
  <r>
    <x v="0"/>
    <x v="1"/>
    <x v="4"/>
    <x v="0"/>
    <x v="0"/>
    <n v="2061082.82"/>
    <x v="0"/>
    <x v="0"/>
  </r>
  <r>
    <x v="0"/>
    <x v="1"/>
    <x v="3"/>
    <x v="0"/>
    <x v="0"/>
    <n v="983479.66"/>
    <x v="0"/>
    <x v="0"/>
  </r>
  <r>
    <x v="0"/>
    <x v="1"/>
    <x v="3"/>
    <x v="0"/>
    <x v="0"/>
    <n v="635507.97"/>
    <x v="0"/>
    <x v="0"/>
  </r>
  <r>
    <x v="0"/>
    <x v="1"/>
    <x v="3"/>
    <x v="0"/>
    <x v="0"/>
    <n v="848231.57"/>
    <x v="0"/>
    <x v="0"/>
  </r>
  <r>
    <x v="0"/>
    <x v="1"/>
    <x v="3"/>
    <x v="0"/>
    <x v="0"/>
    <n v="739112.93"/>
    <x v="0"/>
    <x v="0"/>
  </r>
  <r>
    <x v="0"/>
    <x v="1"/>
    <x v="3"/>
    <x v="0"/>
    <x v="0"/>
    <n v="324397.94"/>
    <x v="0"/>
    <x v="0"/>
  </r>
  <r>
    <x v="0"/>
    <x v="1"/>
    <x v="3"/>
    <x v="0"/>
    <x v="0"/>
    <n v="982862.81"/>
    <x v="0"/>
    <x v="0"/>
  </r>
  <r>
    <x v="0"/>
    <x v="1"/>
    <x v="3"/>
    <x v="0"/>
    <x v="0"/>
    <n v="955855"/>
    <x v="0"/>
    <x v="0"/>
  </r>
  <r>
    <x v="0"/>
    <x v="1"/>
    <x v="3"/>
    <x v="0"/>
    <x v="0"/>
    <n v="179253.24"/>
    <x v="0"/>
    <x v="0"/>
  </r>
  <r>
    <x v="0"/>
    <x v="0"/>
    <x v="0"/>
    <x v="0"/>
    <x v="0"/>
    <n v="5446.88"/>
    <x v="0"/>
    <x v="0"/>
  </r>
  <r>
    <x v="0"/>
    <x v="0"/>
    <x v="1"/>
    <x v="0"/>
    <x v="0"/>
    <n v="648.64"/>
    <x v="0"/>
    <x v="0"/>
  </r>
  <r>
    <x v="0"/>
    <x v="0"/>
    <x v="0"/>
    <x v="0"/>
    <x v="0"/>
    <n v="8494.71"/>
    <x v="0"/>
    <x v="0"/>
  </r>
  <r>
    <x v="0"/>
    <x v="2"/>
    <x v="3"/>
    <x v="0"/>
    <x v="0"/>
    <n v="373068.26"/>
    <x v="0"/>
    <x v="0"/>
  </r>
  <r>
    <x v="0"/>
    <x v="4"/>
    <x v="3"/>
    <x v="0"/>
    <x v="0"/>
    <n v="143236.26"/>
    <x v="0"/>
    <x v="0"/>
  </r>
  <r>
    <x v="0"/>
    <x v="4"/>
    <x v="3"/>
    <x v="0"/>
    <x v="0"/>
    <n v="228451.89"/>
    <x v="0"/>
    <x v="0"/>
  </r>
  <r>
    <x v="0"/>
    <x v="4"/>
    <x v="2"/>
    <x v="0"/>
    <x v="0"/>
    <n v="35902.49"/>
    <x v="0"/>
    <x v="0"/>
  </r>
  <r>
    <x v="0"/>
    <x v="4"/>
    <x v="3"/>
    <x v="0"/>
    <x v="0"/>
    <n v="232953.64"/>
    <x v="0"/>
    <x v="0"/>
  </r>
  <r>
    <x v="0"/>
    <x v="4"/>
    <x v="2"/>
    <x v="0"/>
    <x v="0"/>
    <n v="65912.95"/>
    <x v="0"/>
    <x v="0"/>
  </r>
  <r>
    <x v="0"/>
    <x v="4"/>
    <x v="3"/>
    <x v="0"/>
    <x v="0"/>
    <n v="193492.68"/>
    <x v="0"/>
    <x v="0"/>
  </r>
  <r>
    <x v="0"/>
    <x v="4"/>
    <x v="2"/>
    <x v="0"/>
    <x v="0"/>
    <n v="60836.64"/>
    <x v="0"/>
    <x v="0"/>
  </r>
  <r>
    <x v="0"/>
    <x v="4"/>
    <x v="2"/>
    <x v="0"/>
    <x v="0"/>
    <n v="62325.15"/>
    <x v="0"/>
    <x v="0"/>
  </r>
  <r>
    <x v="0"/>
    <x v="4"/>
    <x v="3"/>
    <x v="0"/>
    <x v="0"/>
    <n v="349640.51"/>
    <x v="0"/>
    <x v="0"/>
  </r>
  <r>
    <x v="0"/>
    <x v="4"/>
    <x v="3"/>
    <x v="0"/>
    <x v="0"/>
    <n v="135324.19"/>
    <x v="0"/>
    <x v="0"/>
  </r>
  <r>
    <x v="0"/>
    <x v="4"/>
    <x v="3"/>
    <x v="0"/>
    <x v="0"/>
    <n v="380015.14"/>
    <x v="0"/>
    <x v="0"/>
  </r>
  <r>
    <x v="0"/>
    <x v="4"/>
    <x v="3"/>
    <x v="0"/>
    <x v="0"/>
    <n v="418688.27"/>
    <x v="0"/>
    <x v="0"/>
  </r>
  <r>
    <x v="0"/>
    <x v="4"/>
    <x v="3"/>
    <x v="0"/>
    <x v="0"/>
    <n v="311023.52"/>
    <x v="0"/>
    <x v="0"/>
  </r>
  <r>
    <x v="0"/>
    <x v="4"/>
    <x v="3"/>
    <x v="0"/>
    <x v="0"/>
    <n v="151862.38"/>
    <x v="0"/>
    <x v="0"/>
  </r>
  <r>
    <x v="0"/>
    <x v="4"/>
    <x v="3"/>
    <x v="0"/>
    <x v="0"/>
    <n v="228710.05"/>
    <x v="0"/>
    <x v="0"/>
  </r>
  <r>
    <x v="0"/>
    <x v="4"/>
    <x v="3"/>
    <x v="0"/>
    <x v="0"/>
    <n v="220431.09"/>
    <x v="0"/>
    <x v="0"/>
  </r>
  <r>
    <x v="0"/>
    <x v="4"/>
    <x v="3"/>
    <x v="0"/>
    <x v="0"/>
    <n v="182861.45"/>
    <x v="0"/>
    <x v="0"/>
  </r>
  <r>
    <x v="0"/>
    <x v="4"/>
    <x v="3"/>
    <x v="0"/>
    <x v="0"/>
    <n v="231881.5"/>
    <x v="0"/>
    <x v="0"/>
  </r>
  <r>
    <x v="0"/>
    <x v="4"/>
    <x v="2"/>
    <x v="0"/>
    <x v="0"/>
    <n v="38071.17"/>
    <x v="0"/>
    <x v="0"/>
  </r>
  <r>
    <x v="0"/>
    <x v="4"/>
    <x v="2"/>
    <x v="0"/>
    <x v="0"/>
    <n v="87117.29"/>
    <x v="0"/>
    <x v="0"/>
  </r>
  <r>
    <x v="0"/>
    <x v="4"/>
    <x v="3"/>
    <x v="0"/>
    <x v="0"/>
    <n v="114271.72"/>
    <x v="0"/>
    <x v="0"/>
  </r>
  <r>
    <x v="0"/>
    <x v="4"/>
    <x v="2"/>
    <x v="0"/>
    <x v="0"/>
    <n v="73199.1"/>
    <x v="0"/>
    <x v="0"/>
  </r>
  <r>
    <x v="0"/>
    <x v="4"/>
    <x v="3"/>
    <x v="0"/>
    <x v="0"/>
    <n v="764772.98"/>
    <x v="0"/>
    <x v="0"/>
  </r>
  <r>
    <x v="0"/>
    <x v="4"/>
    <x v="3"/>
    <x v="0"/>
    <x v="0"/>
    <n v="106847.36"/>
    <x v="0"/>
    <x v="0"/>
  </r>
  <r>
    <x v="0"/>
    <x v="4"/>
    <x v="0"/>
    <x v="0"/>
    <x v="0"/>
    <n v="6287.28"/>
    <x v="0"/>
    <x v="0"/>
  </r>
  <r>
    <x v="0"/>
    <x v="4"/>
    <x v="2"/>
    <x v="0"/>
    <x v="0"/>
    <n v="24936.34"/>
    <x v="0"/>
    <x v="0"/>
  </r>
  <r>
    <x v="0"/>
    <x v="4"/>
    <x v="2"/>
    <x v="0"/>
    <x v="0"/>
    <n v="55837.16"/>
    <x v="0"/>
    <x v="0"/>
  </r>
  <r>
    <x v="0"/>
    <x v="4"/>
    <x v="2"/>
    <x v="0"/>
    <x v="0"/>
    <n v="63255.29"/>
    <x v="0"/>
    <x v="0"/>
  </r>
  <r>
    <x v="0"/>
    <x v="4"/>
    <x v="3"/>
    <x v="0"/>
    <x v="0"/>
    <n v="104605.78"/>
    <x v="0"/>
    <x v="0"/>
  </r>
  <r>
    <x v="0"/>
    <x v="4"/>
    <x v="3"/>
    <x v="0"/>
    <x v="0"/>
    <n v="154160.82"/>
    <x v="0"/>
    <x v="0"/>
  </r>
  <r>
    <x v="0"/>
    <x v="4"/>
    <x v="3"/>
    <x v="0"/>
    <x v="0"/>
    <n v="257348.03"/>
    <x v="0"/>
    <x v="0"/>
  </r>
  <r>
    <x v="0"/>
    <x v="4"/>
    <x v="3"/>
    <x v="0"/>
    <x v="0"/>
    <n v="201073.81"/>
    <x v="0"/>
    <x v="0"/>
  </r>
  <r>
    <x v="0"/>
    <x v="4"/>
    <x v="2"/>
    <x v="0"/>
    <x v="0"/>
    <n v="53560.68"/>
    <x v="0"/>
    <x v="0"/>
  </r>
  <r>
    <x v="0"/>
    <x v="4"/>
    <x v="3"/>
    <x v="0"/>
    <x v="0"/>
    <n v="334234.39"/>
    <x v="0"/>
    <x v="0"/>
  </r>
  <r>
    <x v="0"/>
    <x v="4"/>
    <x v="3"/>
    <x v="0"/>
    <x v="0"/>
    <n v="227335.16"/>
    <x v="0"/>
    <x v="0"/>
  </r>
  <r>
    <x v="0"/>
    <x v="4"/>
    <x v="3"/>
    <x v="0"/>
    <x v="0"/>
    <n v="134426.08"/>
    <x v="0"/>
    <x v="0"/>
  </r>
  <r>
    <x v="0"/>
    <x v="4"/>
    <x v="0"/>
    <x v="0"/>
    <x v="0"/>
    <n v="2643.45"/>
    <x v="0"/>
    <x v="0"/>
  </r>
  <r>
    <x v="0"/>
    <x v="4"/>
    <x v="3"/>
    <x v="0"/>
    <x v="0"/>
    <n v="134977.11"/>
    <x v="0"/>
    <x v="0"/>
  </r>
  <r>
    <x v="0"/>
    <x v="4"/>
    <x v="2"/>
    <x v="0"/>
    <x v="0"/>
    <n v="25090.03"/>
    <x v="0"/>
    <x v="0"/>
  </r>
  <r>
    <x v="0"/>
    <x v="4"/>
    <x v="3"/>
    <x v="0"/>
    <x v="0"/>
    <n v="147388.67"/>
    <x v="0"/>
    <x v="0"/>
  </r>
  <r>
    <x v="0"/>
    <x v="4"/>
    <x v="3"/>
    <x v="0"/>
    <x v="0"/>
    <n v="217615.09"/>
    <x v="0"/>
    <x v="0"/>
  </r>
  <r>
    <x v="0"/>
    <x v="4"/>
    <x v="3"/>
    <x v="0"/>
    <x v="0"/>
    <n v="355294.5"/>
    <x v="0"/>
    <x v="0"/>
  </r>
  <r>
    <x v="0"/>
    <x v="4"/>
    <x v="2"/>
    <x v="0"/>
    <x v="0"/>
    <n v="12336.48"/>
    <x v="0"/>
    <x v="0"/>
  </r>
  <r>
    <x v="0"/>
    <x v="4"/>
    <x v="3"/>
    <x v="0"/>
    <x v="0"/>
    <n v="349505.89"/>
    <x v="0"/>
    <x v="0"/>
  </r>
  <r>
    <x v="0"/>
    <x v="4"/>
    <x v="3"/>
    <x v="0"/>
    <x v="0"/>
    <n v="285185.34"/>
    <x v="0"/>
    <x v="0"/>
  </r>
  <r>
    <x v="0"/>
    <x v="4"/>
    <x v="3"/>
    <x v="0"/>
    <x v="0"/>
    <n v="132953.45"/>
    <x v="0"/>
    <x v="0"/>
  </r>
  <r>
    <x v="0"/>
    <x v="4"/>
    <x v="3"/>
    <x v="0"/>
    <x v="0"/>
    <n v="214851.41"/>
    <x v="0"/>
    <x v="0"/>
  </r>
  <r>
    <x v="0"/>
    <x v="4"/>
    <x v="2"/>
    <x v="0"/>
    <x v="0"/>
    <n v="54988.56"/>
    <x v="0"/>
    <x v="0"/>
  </r>
  <r>
    <x v="0"/>
    <x v="4"/>
    <x v="2"/>
    <x v="0"/>
    <x v="0"/>
    <n v="62871.06"/>
    <x v="0"/>
    <x v="0"/>
  </r>
  <r>
    <x v="0"/>
    <x v="4"/>
    <x v="2"/>
    <x v="0"/>
    <x v="0"/>
    <n v="61150.85"/>
    <x v="0"/>
    <x v="0"/>
  </r>
  <r>
    <x v="0"/>
    <x v="4"/>
    <x v="3"/>
    <x v="0"/>
    <x v="0"/>
    <n v="131409.27"/>
    <x v="0"/>
    <x v="0"/>
  </r>
  <r>
    <x v="0"/>
    <x v="4"/>
    <x v="2"/>
    <x v="0"/>
    <x v="0"/>
    <n v="10844.33"/>
    <x v="0"/>
    <x v="0"/>
  </r>
  <r>
    <x v="0"/>
    <x v="0"/>
    <x v="0"/>
    <x v="0"/>
    <x v="0"/>
    <n v="2054.84"/>
    <x v="0"/>
    <x v="0"/>
  </r>
  <r>
    <x v="0"/>
    <x v="4"/>
    <x v="3"/>
    <x v="0"/>
    <x v="0"/>
    <n v="313373.56"/>
    <x v="0"/>
    <x v="0"/>
  </r>
  <r>
    <x v="0"/>
    <x v="4"/>
    <x v="2"/>
    <x v="0"/>
    <x v="0"/>
    <n v="13289.87"/>
    <x v="0"/>
    <x v="0"/>
  </r>
  <r>
    <x v="0"/>
    <x v="4"/>
    <x v="2"/>
    <x v="0"/>
    <x v="0"/>
    <n v="27070.11"/>
    <x v="0"/>
    <x v="0"/>
  </r>
  <r>
    <x v="0"/>
    <x v="4"/>
    <x v="3"/>
    <x v="0"/>
    <x v="0"/>
    <n v="127954.7"/>
    <x v="0"/>
    <x v="0"/>
  </r>
  <r>
    <x v="0"/>
    <x v="4"/>
    <x v="3"/>
    <x v="0"/>
    <x v="0"/>
    <n v="197031.04"/>
    <x v="0"/>
    <x v="0"/>
  </r>
  <r>
    <x v="0"/>
    <x v="4"/>
    <x v="3"/>
    <x v="0"/>
    <x v="0"/>
    <n v="144366.64"/>
    <x v="0"/>
    <x v="0"/>
  </r>
  <r>
    <x v="0"/>
    <x v="4"/>
    <x v="0"/>
    <x v="0"/>
    <x v="0"/>
    <n v="7965.49"/>
    <x v="0"/>
    <x v="0"/>
  </r>
  <r>
    <x v="0"/>
    <x v="4"/>
    <x v="3"/>
    <x v="0"/>
    <x v="0"/>
    <n v="123103.74"/>
    <x v="0"/>
    <x v="0"/>
  </r>
  <r>
    <x v="0"/>
    <x v="4"/>
    <x v="3"/>
    <x v="0"/>
    <x v="0"/>
    <n v="106634.77"/>
    <x v="0"/>
    <x v="0"/>
  </r>
  <r>
    <x v="0"/>
    <x v="4"/>
    <x v="2"/>
    <x v="0"/>
    <x v="0"/>
    <n v="74933.22"/>
    <x v="0"/>
    <x v="0"/>
  </r>
  <r>
    <x v="0"/>
    <x v="4"/>
    <x v="3"/>
    <x v="0"/>
    <x v="0"/>
    <n v="120234.99"/>
    <x v="0"/>
    <x v="0"/>
  </r>
  <r>
    <x v="0"/>
    <x v="4"/>
    <x v="0"/>
    <x v="0"/>
    <x v="0"/>
    <n v="5763.99"/>
    <x v="0"/>
    <x v="0"/>
  </r>
  <r>
    <x v="0"/>
    <x v="4"/>
    <x v="3"/>
    <x v="0"/>
    <x v="0"/>
    <n v="156922.36"/>
    <x v="0"/>
    <x v="0"/>
  </r>
  <r>
    <x v="0"/>
    <x v="4"/>
    <x v="3"/>
    <x v="0"/>
    <x v="0"/>
    <n v="162665.98"/>
    <x v="0"/>
    <x v="0"/>
  </r>
  <r>
    <x v="0"/>
    <x v="4"/>
    <x v="3"/>
    <x v="0"/>
    <x v="0"/>
    <n v="110226.34"/>
    <x v="0"/>
    <x v="0"/>
  </r>
  <r>
    <x v="0"/>
    <x v="4"/>
    <x v="3"/>
    <x v="0"/>
    <x v="0"/>
    <n v="142577.44"/>
    <x v="0"/>
    <x v="0"/>
  </r>
  <r>
    <x v="0"/>
    <x v="4"/>
    <x v="0"/>
    <x v="0"/>
    <x v="0"/>
    <n v="6915.38"/>
    <x v="0"/>
    <x v="0"/>
  </r>
  <r>
    <x v="0"/>
    <x v="4"/>
    <x v="3"/>
    <x v="0"/>
    <x v="0"/>
    <n v="157108.01"/>
    <x v="0"/>
    <x v="0"/>
  </r>
  <r>
    <x v="0"/>
    <x v="4"/>
    <x v="3"/>
    <x v="0"/>
    <x v="0"/>
    <n v="223555.14"/>
    <x v="0"/>
    <x v="0"/>
  </r>
  <r>
    <x v="0"/>
    <x v="4"/>
    <x v="3"/>
    <x v="0"/>
    <x v="0"/>
    <n v="146331.12"/>
    <x v="0"/>
    <x v="0"/>
  </r>
  <r>
    <x v="0"/>
    <x v="4"/>
    <x v="3"/>
    <x v="0"/>
    <x v="0"/>
    <n v="141131.23"/>
    <x v="0"/>
    <x v="0"/>
  </r>
  <r>
    <x v="0"/>
    <x v="4"/>
    <x v="3"/>
    <x v="0"/>
    <x v="0"/>
    <n v="222711.47"/>
    <x v="0"/>
    <x v="0"/>
  </r>
  <r>
    <x v="0"/>
    <x v="4"/>
    <x v="2"/>
    <x v="0"/>
    <x v="0"/>
    <n v="84980.31"/>
    <x v="0"/>
    <x v="0"/>
  </r>
  <r>
    <x v="0"/>
    <x v="4"/>
    <x v="3"/>
    <x v="0"/>
    <x v="0"/>
    <n v="628719.07"/>
    <x v="0"/>
    <x v="0"/>
  </r>
  <r>
    <x v="0"/>
    <x v="4"/>
    <x v="2"/>
    <x v="0"/>
    <x v="0"/>
    <n v="79285.8"/>
    <x v="0"/>
    <x v="0"/>
  </r>
  <r>
    <x v="0"/>
    <x v="4"/>
    <x v="2"/>
    <x v="0"/>
    <x v="0"/>
    <n v="57809.81"/>
    <x v="0"/>
    <x v="0"/>
  </r>
  <r>
    <x v="0"/>
    <x v="4"/>
    <x v="2"/>
    <x v="0"/>
    <x v="0"/>
    <n v="75043.17"/>
    <x v="0"/>
    <x v="0"/>
  </r>
  <r>
    <x v="0"/>
    <x v="4"/>
    <x v="3"/>
    <x v="0"/>
    <x v="0"/>
    <n v="248196.92"/>
    <x v="0"/>
    <x v="0"/>
  </r>
  <r>
    <x v="0"/>
    <x v="4"/>
    <x v="2"/>
    <x v="0"/>
    <x v="0"/>
    <n v="18851.44"/>
    <x v="0"/>
    <x v="0"/>
  </r>
  <r>
    <x v="0"/>
    <x v="4"/>
    <x v="3"/>
    <x v="0"/>
    <x v="0"/>
    <n v="403418.39"/>
    <x v="0"/>
    <x v="0"/>
  </r>
  <r>
    <x v="0"/>
    <x v="4"/>
    <x v="3"/>
    <x v="0"/>
    <x v="0"/>
    <n v="235564.81"/>
    <x v="0"/>
    <x v="0"/>
  </r>
  <r>
    <x v="0"/>
    <x v="4"/>
    <x v="2"/>
    <x v="0"/>
    <x v="0"/>
    <n v="32325.24"/>
    <x v="0"/>
    <x v="0"/>
  </r>
  <r>
    <x v="0"/>
    <x v="4"/>
    <x v="3"/>
    <x v="0"/>
    <x v="0"/>
    <n v="345347.7"/>
    <x v="0"/>
    <x v="0"/>
  </r>
  <r>
    <x v="0"/>
    <x v="4"/>
    <x v="3"/>
    <x v="0"/>
    <x v="0"/>
    <n v="355500.25"/>
    <x v="0"/>
    <x v="0"/>
  </r>
  <r>
    <x v="0"/>
    <x v="4"/>
    <x v="3"/>
    <x v="0"/>
    <x v="0"/>
    <n v="103005.78"/>
    <x v="0"/>
    <x v="0"/>
  </r>
  <r>
    <x v="0"/>
    <x v="4"/>
    <x v="3"/>
    <x v="0"/>
    <x v="0"/>
    <n v="108803.98"/>
    <x v="0"/>
    <x v="0"/>
  </r>
  <r>
    <x v="0"/>
    <x v="4"/>
    <x v="3"/>
    <x v="0"/>
    <x v="0"/>
    <n v="259753.27"/>
    <x v="0"/>
    <x v="0"/>
  </r>
  <r>
    <x v="0"/>
    <x v="4"/>
    <x v="3"/>
    <x v="0"/>
    <x v="0"/>
    <n v="234094.24"/>
    <x v="0"/>
    <x v="0"/>
  </r>
  <r>
    <x v="0"/>
    <x v="4"/>
    <x v="3"/>
    <x v="0"/>
    <x v="0"/>
    <n v="273305.73"/>
    <x v="0"/>
    <x v="0"/>
  </r>
  <r>
    <x v="0"/>
    <x v="4"/>
    <x v="3"/>
    <x v="0"/>
    <x v="0"/>
    <n v="186838.95"/>
    <x v="0"/>
    <x v="0"/>
  </r>
  <r>
    <x v="0"/>
    <x v="4"/>
    <x v="3"/>
    <x v="0"/>
    <x v="0"/>
    <n v="193161.04"/>
    <x v="0"/>
    <x v="0"/>
  </r>
  <r>
    <x v="0"/>
    <x v="4"/>
    <x v="3"/>
    <x v="0"/>
    <x v="0"/>
    <n v="152823.85"/>
    <x v="0"/>
    <x v="0"/>
  </r>
  <r>
    <x v="0"/>
    <x v="4"/>
    <x v="2"/>
    <x v="0"/>
    <x v="0"/>
    <n v="91457.82"/>
    <x v="0"/>
    <x v="0"/>
  </r>
  <r>
    <x v="0"/>
    <x v="4"/>
    <x v="3"/>
    <x v="0"/>
    <x v="0"/>
    <n v="277807.48"/>
    <x v="0"/>
    <x v="0"/>
  </r>
  <r>
    <x v="0"/>
    <x v="4"/>
    <x v="0"/>
    <x v="0"/>
    <x v="0"/>
    <n v="8679.13"/>
    <x v="0"/>
    <x v="0"/>
  </r>
  <r>
    <x v="0"/>
    <x v="4"/>
    <x v="0"/>
    <x v="0"/>
    <x v="0"/>
    <n v="2099.59"/>
    <x v="0"/>
    <x v="0"/>
  </r>
  <r>
    <x v="0"/>
    <x v="4"/>
    <x v="3"/>
    <x v="0"/>
    <x v="0"/>
    <n v="221693.08"/>
    <x v="0"/>
    <x v="0"/>
  </r>
  <r>
    <x v="0"/>
    <x v="4"/>
    <x v="3"/>
    <x v="0"/>
    <x v="0"/>
    <n v="206097.65"/>
    <x v="0"/>
    <x v="0"/>
  </r>
  <r>
    <x v="0"/>
    <x v="4"/>
    <x v="2"/>
    <x v="0"/>
    <x v="0"/>
    <n v="22384.21"/>
    <x v="0"/>
    <x v="0"/>
  </r>
  <r>
    <x v="0"/>
    <x v="4"/>
    <x v="2"/>
    <x v="0"/>
    <x v="0"/>
    <n v="73210.99"/>
    <x v="0"/>
    <x v="0"/>
  </r>
  <r>
    <x v="0"/>
    <x v="4"/>
    <x v="3"/>
    <x v="0"/>
    <x v="0"/>
    <n v="236747.6"/>
    <x v="0"/>
    <x v="0"/>
  </r>
  <r>
    <x v="0"/>
    <x v="4"/>
    <x v="0"/>
    <x v="0"/>
    <x v="0"/>
    <n v="6284.18"/>
    <x v="0"/>
    <x v="0"/>
  </r>
  <r>
    <x v="0"/>
    <x v="4"/>
    <x v="3"/>
    <x v="0"/>
    <x v="0"/>
    <n v="100198.77"/>
    <x v="0"/>
    <x v="0"/>
  </r>
  <r>
    <x v="0"/>
    <x v="4"/>
    <x v="3"/>
    <x v="0"/>
    <x v="0"/>
    <n v="160347.32"/>
    <x v="0"/>
    <x v="0"/>
  </r>
  <r>
    <x v="0"/>
    <x v="4"/>
    <x v="3"/>
    <x v="0"/>
    <x v="0"/>
    <n v="289272.75"/>
    <x v="0"/>
    <x v="0"/>
  </r>
  <r>
    <x v="0"/>
    <x v="4"/>
    <x v="2"/>
    <x v="0"/>
    <x v="0"/>
    <n v="63189.26"/>
    <x v="0"/>
    <x v="0"/>
  </r>
  <r>
    <x v="0"/>
    <x v="4"/>
    <x v="3"/>
    <x v="0"/>
    <x v="0"/>
    <n v="196725.32"/>
    <x v="0"/>
    <x v="0"/>
  </r>
  <r>
    <x v="0"/>
    <x v="0"/>
    <x v="0"/>
    <x v="0"/>
    <x v="0"/>
    <n v="5882.32"/>
    <x v="0"/>
    <x v="0"/>
  </r>
  <r>
    <x v="0"/>
    <x v="3"/>
    <x v="1"/>
    <x v="0"/>
    <x v="0"/>
    <n v="625.92"/>
    <x v="0"/>
    <x v="0"/>
  </r>
  <r>
    <x v="0"/>
    <x v="0"/>
    <x v="0"/>
    <x v="0"/>
    <x v="0"/>
    <n v="5937.72"/>
    <x v="0"/>
    <x v="0"/>
  </r>
  <r>
    <x v="0"/>
    <x v="0"/>
    <x v="0"/>
    <x v="0"/>
    <x v="0"/>
    <n v="9796.29"/>
    <x v="0"/>
    <x v="0"/>
  </r>
  <r>
    <x v="0"/>
    <x v="0"/>
    <x v="2"/>
    <x v="0"/>
    <x v="0"/>
    <n v="13449.95"/>
    <x v="0"/>
    <x v="0"/>
  </r>
  <r>
    <x v="0"/>
    <x v="0"/>
    <x v="0"/>
    <x v="0"/>
    <x v="0"/>
    <n v="4749.6"/>
    <x v="0"/>
    <x v="0"/>
  </r>
  <r>
    <x v="0"/>
    <x v="0"/>
    <x v="0"/>
    <x v="0"/>
    <x v="0"/>
    <n v="6460.86"/>
    <x v="0"/>
    <x v="0"/>
  </r>
  <r>
    <x v="0"/>
    <x v="0"/>
    <x v="0"/>
    <x v="0"/>
    <x v="0"/>
    <n v="3605.26"/>
    <x v="0"/>
    <x v="0"/>
  </r>
  <r>
    <x v="0"/>
    <x v="0"/>
    <x v="1"/>
    <x v="0"/>
    <x v="0"/>
    <n v="624.61"/>
    <x v="0"/>
    <x v="0"/>
  </r>
  <r>
    <x v="0"/>
    <x v="0"/>
    <x v="0"/>
    <x v="0"/>
    <x v="0"/>
    <n v="3854.92"/>
    <x v="0"/>
    <x v="0"/>
  </r>
  <r>
    <x v="0"/>
    <x v="1"/>
    <x v="3"/>
    <x v="0"/>
    <x v="0"/>
    <n v="420532.33"/>
    <x v="0"/>
    <x v="0"/>
  </r>
  <r>
    <x v="0"/>
    <x v="0"/>
    <x v="0"/>
    <x v="0"/>
    <x v="0"/>
    <n v="4402.86"/>
    <x v="0"/>
    <x v="0"/>
  </r>
  <r>
    <x v="0"/>
    <x v="2"/>
    <x v="3"/>
    <x v="0"/>
    <x v="0"/>
    <n v="147804.02"/>
    <x v="0"/>
    <x v="0"/>
  </r>
  <r>
    <x v="0"/>
    <x v="0"/>
    <x v="1"/>
    <x v="0"/>
    <x v="0"/>
    <n v="151.2"/>
    <x v="0"/>
    <x v="0"/>
  </r>
  <r>
    <x v="0"/>
    <x v="0"/>
    <x v="1"/>
    <x v="0"/>
    <x v="0"/>
    <n v="58.21"/>
    <x v="0"/>
    <x v="0"/>
  </r>
  <r>
    <x v="0"/>
    <x v="0"/>
    <x v="0"/>
    <x v="0"/>
    <x v="0"/>
    <n v="5936.82"/>
    <x v="0"/>
    <x v="0"/>
  </r>
  <r>
    <x v="0"/>
    <x v="2"/>
    <x v="3"/>
    <x v="0"/>
    <x v="0"/>
    <n v="145944.67"/>
    <x v="0"/>
    <x v="0"/>
  </r>
  <r>
    <x v="0"/>
    <x v="1"/>
    <x v="0"/>
    <x v="0"/>
    <x v="0"/>
    <n v="7206.33"/>
    <x v="0"/>
    <x v="0"/>
  </r>
  <r>
    <x v="0"/>
    <x v="3"/>
    <x v="0"/>
    <x v="0"/>
    <x v="0"/>
    <n v="5581.55"/>
    <x v="0"/>
    <x v="0"/>
  </r>
  <r>
    <x v="0"/>
    <x v="3"/>
    <x v="0"/>
    <x v="0"/>
    <x v="0"/>
    <n v="5853.21"/>
    <x v="0"/>
    <x v="0"/>
  </r>
  <r>
    <x v="0"/>
    <x v="0"/>
    <x v="0"/>
    <x v="0"/>
    <x v="0"/>
    <n v="2528.1"/>
    <x v="0"/>
    <x v="0"/>
  </r>
  <r>
    <x v="0"/>
    <x v="0"/>
    <x v="0"/>
    <x v="0"/>
    <x v="0"/>
    <n v="5655.17"/>
    <x v="0"/>
    <x v="0"/>
  </r>
  <r>
    <x v="0"/>
    <x v="0"/>
    <x v="0"/>
    <x v="0"/>
    <x v="0"/>
    <n v="1456.09"/>
    <x v="0"/>
    <x v="0"/>
  </r>
  <r>
    <x v="0"/>
    <x v="0"/>
    <x v="0"/>
    <x v="0"/>
    <x v="0"/>
    <n v="4252.82"/>
    <x v="0"/>
    <x v="0"/>
  </r>
  <r>
    <x v="0"/>
    <x v="1"/>
    <x v="3"/>
    <x v="0"/>
    <x v="0"/>
    <n v="276460.62"/>
    <x v="0"/>
    <x v="0"/>
  </r>
  <r>
    <x v="0"/>
    <x v="0"/>
    <x v="0"/>
    <x v="0"/>
    <x v="0"/>
    <n v="8811.67"/>
    <x v="0"/>
    <x v="0"/>
  </r>
  <r>
    <x v="0"/>
    <x v="0"/>
    <x v="2"/>
    <x v="0"/>
    <x v="0"/>
    <n v="12666.68"/>
    <x v="0"/>
    <x v="0"/>
  </r>
  <r>
    <x v="0"/>
    <x v="2"/>
    <x v="2"/>
    <x v="0"/>
    <x v="0"/>
    <n v="95636.49"/>
    <x v="0"/>
    <x v="0"/>
  </r>
  <r>
    <x v="0"/>
    <x v="2"/>
    <x v="3"/>
    <x v="0"/>
    <x v="0"/>
    <n v="195314.34"/>
    <x v="0"/>
    <x v="0"/>
  </r>
  <r>
    <x v="0"/>
    <x v="0"/>
    <x v="0"/>
    <x v="0"/>
    <x v="0"/>
    <n v="6049.09"/>
    <x v="0"/>
    <x v="0"/>
  </r>
  <r>
    <x v="0"/>
    <x v="0"/>
    <x v="2"/>
    <x v="0"/>
    <x v="0"/>
    <n v="14306.8"/>
    <x v="0"/>
    <x v="0"/>
  </r>
  <r>
    <x v="0"/>
    <x v="0"/>
    <x v="0"/>
    <x v="0"/>
    <x v="0"/>
    <n v="1117.34"/>
    <x v="0"/>
    <x v="0"/>
  </r>
  <r>
    <x v="0"/>
    <x v="3"/>
    <x v="0"/>
    <x v="0"/>
    <x v="0"/>
    <n v="3179.7"/>
    <x v="0"/>
    <x v="0"/>
  </r>
  <r>
    <x v="0"/>
    <x v="0"/>
    <x v="0"/>
    <x v="0"/>
    <x v="0"/>
    <n v="2880.68"/>
    <x v="0"/>
    <x v="0"/>
  </r>
  <r>
    <x v="0"/>
    <x v="0"/>
    <x v="0"/>
    <x v="0"/>
    <x v="0"/>
    <n v="3060.54"/>
    <x v="0"/>
    <x v="0"/>
  </r>
  <r>
    <x v="0"/>
    <x v="0"/>
    <x v="1"/>
    <x v="0"/>
    <x v="0"/>
    <n v="879.42"/>
    <x v="0"/>
    <x v="0"/>
  </r>
  <r>
    <x v="0"/>
    <x v="0"/>
    <x v="0"/>
    <x v="0"/>
    <x v="0"/>
    <n v="3486.78"/>
    <x v="0"/>
    <x v="0"/>
  </r>
  <r>
    <x v="0"/>
    <x v="0"/>
    <x v="2"/>
    <x v="0"/>
    <x v="0"/>
    <n v="21530.96"/>
    <x v="0"/>
    <x v="0"/>
  </r>
  <r>
    <x v="0"/>
    <x v="0"/>
    <x v="0"/>
    <x v="0"/>
    <x v="0"/>
    <n v="2426.31"/>
    <x v="0"/>
    <x v="0"/>
  </r>
  <r>
    <x v="0"/>
    <x v="0"/>
    <x v="0"/>
    <x v="0"/>
    <x v="0"/>
    <n v="5110.1"/>
    <x v="0"/>
    <x v="0"/>
  </r>
  <r>
    <x v="0"/>
    <x v="0"/>
    <x v="1"/>
    <x v="0"/>
    <x v="0"/>
    <n v="207.75"/>
    <x v="0"/>
    <x v="0"/>
  </r>
  <r>
    <x v="0"/>
    <x v="0"/>
    <x v="2"/>
    <x v="0"/>
    <x v="0"/>
    <n v="18437.04"/>
    <x v="0"/>
    <x v="0"/>
  </r>
  <r>
    <x v="0"/>
    <x v="0"/>
    <x v="0"/>
    <x v="0"/>
    <x v="0"/>
    <n v="8690.69"/>
    <x v="0"/>
    <x v="0"/>
  </r>
  <r>
    <x v="0"/>
    <x v="0"/>
    <x v="0"/>
    <x v="0"/>
    <x v="0"/>
    <n v="4946.03"/>
    <x v="0"/>
    <x v="0"/>
  </r>
  <r>
    <x v="0"/>
    <x v="0"/>
    <x v="0"/>
    <x v="0"/>
    <x v="0"/>
    <n v="5432.09"/>
    <x v="0"/>
    <x v="0"/>
  </r>
  <r>
    <x v="0"/>
    <x v="0"/>
    <x v="0"/>
    <x v="0"/>
    <x v="0"/>
    <n v="7649.41"/>
    <x v="0"/>
    <x v="0"/>
  </r>
  <r>
    <x v="0"/>
    <x v="0"/>
    <x v="0"/>
    <x v="0"/>
    <x v="0"/>
    <n v="3943.17"/>
    <x v="0"/>
    <x v="0"/>
  </r>
  <r>
    <x v="0"/>
    <x v="0"/>
    <x v="0"/>
    <x v="0"/>
    <x v="0"/>
    <n v="3101.33"/>
    <x v="0"/>
    <x v="0"/>
  </r>
  <r>
    <x v="0"/>
    <x v="1"/>
    <x v="2"/>
    <x v="0"/>
    <x v="0"/>
    <n v="51719.13"/>
    <x v="0"/>
    <x v="0"/>
  </r>
  <r>
    <x v="0"/>
    <x v="0"/>
    <x v="2"/>
    <x v="0"/>
    <x v="0"/>
    <n v="13465.91"/>
    <x v="0"/>
    <x v="0"/>
  </r>
  <r>
    <x v="0"/>
    <x v="0"/>
    <x v="2"/>
    <x v="0"/>
    <x v="0"/>
    <n v="19561.05"/>
    <x v="0"/>
    <x v="0"/>
  </r>
  <r>
    <x v="0"/>
    <x v="0"/>
    <x v="0"/>
    <x v="0"/>
    <x v="0"/>
    <n v="9762.28"/>
    <x v="0"/>
    <x v="0"/>
  </r>
  <r>
    <x v="0"/>
    <x v="0"/>
    <x v="0"/>
    <x v="0"/>
    <x v="0"/>
    <n v="9778.81"/>
    <x v="0"/>
    <x v="0"/>
  </r>
  <r>
    <x v="0"/>
    <x v="2"/>
    <x v="3"/>
    <x v="0"/>
    <x v="0"/>
    <n v="562903.81"/>
    <x v="0"/>
    <x v="0"/>
  </r>
  <r>
    <x v="0"/>
    <x v="0"/>
    <x v="0"/>
    <x v="0"/>
    <x v="0"/>
    <n v="5055.94"/>
    <x v="0"/>
    <x v="0"/>
  </r>
  <r>
    <x v="0"/>
    <x v="0"/>
    <x v="0"/>
    <x v="0"/>
    <x v="0"/>
    <n v="2858.89"/>
    <x v="0"/>
    <x v="0"/>
  </r>
  <r>
    <x v="0"/>
    <x v="0"/>
    <x v="0"/>
    <x v="0"/>
    <x v="0"/>
    <n v="8531.42"/>
    <x v="0"/>
    <x v="0"/>
  </r>
  <r>
    <x v="0"/>
    <x v="0"/>
    <x v="1"/>
    <x v="0"/>
    <x v="0"/>
    <n v="84.22"/>
    <x v="0"/>
    <x v="0"/>
  </r>
  <r>
    <x v="0"/>
    <x v="2"/>
    <x v="3"/>
    <x v="0"/>
    <x v="0"/>
    <n v="227478.01"/>
    <x v="0"/>
    <x v="0"/>
  </r>
  <r>
    <x v="0"/>
    <x v="0"/>
    <x v="0"/>
    <x v="0"/>
    <x v="0"/>
    <n v="5033.02"/>
    <x v="0"/>
    <x v="0"/>
  </r>
  <r>
    <x v="0"/>
    <x v="1"/>
    <x v="3"/>
    <x v="0"/>
    <x v="0"/>
    <n v="100588.8"/>
    <x v="0"/>
    <x v="0"/>
  </r>
  <r>
    <x v="0"/>
    <x v="0"/>
    <x v="0"/>
    <x v="0"/>
    <x v="0"/>
    <n v="9374.72"/>
    <x v="0"/>
    <x v="0"/>
  </r>
  <r>
    <x v="0"/>
    <x v="0"/>
    <x v="1"/>
    <x v="0"/>
    <x v="0"/>
    <n v="598.24"/>
    <x v="0"/>
    <x v="0"/>
  </r>
  <r>
    <x v="0"/>
    <x v="0"/>
    <x v="0"/>
    <x v="0"/>
    <x v="0"/>
    <n v="4531.55"/>
    <x v="0"/>
    <x v="0"/>
  </r>
  <r>
    <x v="0"/>
    <x v="0"/>
    <x v="0"/>
    <x v="0"/>
    <x v="0"/>
    <n v="2998.2"/>
    <x v="0"/>
    <x v="0"/>
  </r>
  <r>
    <x v="0"/>
    <x v="0"/>
    <x v="0"/>
    <x v="0"/>
    <x v="0"/>
    <n v="9269.99"/>
    <x v="0"/>
    <x v="0"/>
  </r>
  <r>
    <x v="0"/>
    <x v="0"/>
    <x v="0"/>
    <x v="0"/>
    <x v="0"/>
    <n v="1209.64"/>
    <x v="0"/>
    <x v="0"/>
  </r>
  <r>
    <x v="0"/>
    <x v="0"/>
    <x v="0"/>
    <x v="0"/>
    <x v="0"/>
    <n v="1298.7"/>
    <x v="0"/>
    <x v="0"/>
  </r>
  <r>
    <x v="0"/>
    <x v="0"/>
    <x v="0"/>
    <x v="0"/>
    <x v="0"/>
    <n v="7797"/>
    <x v="0"/>
    <x v="0"/>
  </r>
  <r>
    <x v="0"/>
    <x v="0"/>
    <x v="0"/>
    <x v="0"/>
    <x v="0"/>
    <n v="5831.03"/>
    <x v="0"/>
    <x v="0"/>
  </r>
  <r>
    <x v="0"/>
    <x v="0"/>
    <x v="0"/>
    <x v="0"/>
    <x v="0"/>
    <n v="7067.9"/>
    <x v="0"/>
    <x v="0"/>
  </r>
  <r>
    <x v="0"/>
    <x v="0"/>
    <x v="2"/>
    <x v="0"/>
    <x v="0"/>
    <n v="14895.51"/>
    <x v="0"/>
    <x v="0"/>
  </r>
  <r>
    <x v="0"/>
    <x v="0"/>
    <x v="0"/>
    <x v="0"/>
    <x v="0"/>
    <n v="3316.21"/>
    <x v="0"/>
    <x v="0"/>
  </r>
  <r>
    <x v="0"/>
    <x v="0"/>
    <x v="2"/>
    <x v="0"/>
    <x v="0"/>
    <n v="22276"/>
    <x v="0"/>
    <x v="0"/>
  </r>
  <r>
    <x v="0"/>
    <x v="0"/>
    <x v="2"/>
    <x v="0"/>
    <x v="0"/>
    <n v="16505.51"/>
    <x v="0"/>
    <x v="0"/>
  </r>
  <r>
    <x v="0"/>
    <x v="0"/>
    <x v="1"/>
    <x v="0"/>
    <x v="0"/>
    <n v="636.95"/>
    <x v="0"/>
    <x v="0"/>
  </r>
  <r>
    <x v="0"/>
    <x v="0"/>
    <x v="0"/>
    <x v="0"/>
    <x v="0"/>
    <n v="2056.59"/>
    <x v="0"/>
    <x v="0"/>
  </r>
  <r>
    <x v="0"/>
    <x v="0"/>
    <x v="1"/>
    <x v="0"/>
    <x v="0"/>
    <n v="704.74"/>
    <x v="0"/>
    <x v="0"/>
  </r>
  <r>
    <x v="0"/>
    <x v="0"/>
    <x v="0"/>
    <x v="0"/>
    <x v="0"/>
    <n v="3222.32"/>
    <x v="0"/>
    <x v="0"/>
  </r>
  <r>
    <x v="0"/>
    <x v="0"/>
    <x v="2"/>
    <x v="0"/>
    <x v="0"/>
    <n v="11889.61"/>
    <x v="0"/>
    <x v="0"/>
  </r>
  <r>
    <x v="0"/>
    <x v="0"/>
    <x v="0"/>
    <x v="0"/>
    <x v="0"/>
    <n v="9491.89"/>
    <x v="0"/>
    <x v="0"/>
  </r>
  <r>
    <x v="0"/>
    <x v="0"/>
    <x v="0"/>
    <x v="0"/>
    <x v="0"/>
    <n v="6131.21"/>
    <x v="0"/>
    <x v="0"/>
  </r>
  <r>
    <x v="0"/>
    <x v="0"/>
    <x v="2"/>
    <x v="0"/>
    <x v="0"/>
    <n v="11938.61"/>
    <x v="0"/>
    <x v="0"/>
  </r>
  <r>
    <x v="0"/>
    <x v="0"/>
    <x v="0"/>
    <x v="0"/>
    <x v="0"/>
    <n v="4233.45"/>
    <x v="0"/>
    <x v="0"/>
  </r>
  <r>
    <x v="0"/>
    <x v="0"/>
    <x v="2"/>
    <x v="0"/>
    <x v="0"/>
    <n v="32643.79"/>
    <x v="0"/>
    <x v="0"/>
  </r>
  <r>
    <x v="0"/>
    <x v="0"/>
    <x v="1"/>
    <x v="0"/>
    <x v="0"/>
    <n v="622.15"/>
    <x v="0"/>
    <x v="0"/>
  </r>
  <r>
    <x v="0"/>
    <x v="0"/>
    <x v="0"/>
    <x v="0"/>
    <x v="0"/>
    <n v="4573.12"/>
    <x v="0"/>
    <x v="0"/>
  </r>
  <r>
    <x v="0"/>
    <x v="0"/>
    <x v="0"/>
    <x v="0"/>
    <x v="0"/>
    <n v="6057.8"/>
    <x v="0"/>
    <x v="0"/>
  </r>
  <r>
    <x v="0"/>
    <x v="0"/>
    <x v="0"/>
    <x v="0"/>
    <x v="0"/>
    <n v="5770.32"/>
    <x v="0"/>
    <x v="0"/>
  </r>
  <r>
    <x v="0"/>
    <x v="0"/>
    <x v="0"/>
    <x v="0"/>
    <x v="0"/>
    <n v="9152.97"/>
    <x v="0"/>
    <x v="0"/>
  </r>
  <r>
    <x v="0"/>
    <x v="3"/>
    <x v="2"/>
    <x v="0"/>
    <x v="0"/>
    <n v="12154.7"/>
    <x v="0"/>
    <x v="0"/>
  </r>
  <r>
    <x v="0"/>
    <x v="0"/>
    <x v="0"/>
    <x v="0"/>
    <x v="0"/>
    <n v="8378.01"/>
    <x v="0"/>
    <x v="0"/>
  </r>
  <r>
    <x v="0"/>
    <x v="0"/>
    <x v="0"/>
    <x v="0"/>
    <x v="0"/>
    <n v="9616.45"/>
    <x v="0"/>
    <x v="0"/>
  </r>
  <r>
    <x v="0"/>
    <x v="0"/>
    <x v="0"/>
    <x v="0"/>
    <x v="0"/>
    <n v="2231.28"/>
    <x v="0"/>
    <x v="0"/>
  </r>
  <r>
    <x v="0"/>
    <x v="0"/>
    <x v="0"/>
    <x v="0"/>
    <x v="0"/>
    <n v="4932.54"/>
    <x v="0"/>
    <x v="0"/>
  </r>
  <r>
    <x v="0"/>
    <x v="4"/>
    <x v="2"/>
    <x v="0"/>
    <x v="0"/>
    <n v="65413.89"/>
    <x v="0"/>
    <x v="0"/>
  </r>
  <r>
    <x v="0"/>
    <x v="4"/>
    <x v="2"/>
    <x v="0"/>
    <x v="0"/>
    <n v="98560.08"/>
    <x v="0"/>
    <x v="0"/>
  </r>
  <r>
    <x v="0"/>
    <x v="4"/>
    <x v="2"/>
    <x v="0"/>
    <x v="0"/>
    <n v="15054.61"/>
    <x v="0"/>
    <x v="0"/>
  </r>
  <r>
    <x v="0"/>
    <x v="4"/>
    <x v="3"/>
    <x v="0"/>
    <x v="0"/>
    <n v="161632.16"/>
    <x v="0"/>
    <x v="0"/>
  </r>
  <r>
    <x v="0"/>
    <x v="4"/>
    <x v="2"/>
    <x v="0"/>
    <x v="0"/>
    <n v="47529.19"/>
    <x v="0"/>
    <x v="0"/>
  </r>
  <r>
    <x v="0"/>
    <x v="4"/>
    <x v="0"/>
    <x v="0"/>
    <x v="0"/>
    <n v="9577.45"/>
    <x v="0"/>
    <x v="0"/>
  </r>
  <r>
    <x v="0"/>
    <x v="4"/>
    <x v="3"/>
    <x v="0"/>
    <x v="0"/>
    <n v="414238.59"/>
    <x v="0"/>
    <x v="0"/>
  </r>
  <r>
    <x v="0"/>
    <x v="4"/>
    <x v="2"/>
    <x v="0"/>
    <x v="0"/>
    <n v="89327.65"/>
    <x v="0"/>
    <x v="0"/>
  </r>
  <r>
    <x v="0"/>
    <x v="4"/>
    <x v="3"/>
    <x v="0"/>
    <x v="0"/>
    <n v="194900.16"/>
    <x v="0"/>
    <x v="0"/>
  </r>
  <r>
    <x v="0"/>
    <x v="4"/>
    <x v="2"/>
    <x v="0"/>
    <x v="0"/>
    <n v="24470.43"/>
    <x v="0"/>
    <x v="0"/>
  </r>
  <r>
    <x v="0"/>
    <x v="4"/>
    <x v="3"/>
    <x v="0"/>
    <x v="0"/>
    <n v="217668.38"/>
    <x v="0"/>
    <x v="0"/>
  </r>
  <r>
    <x v="0"/>
    <x v="4"/>
    <x v="0"/>
    <x v="0"/>
    <x v="0"/>
    <n v="9067.51"/>
    <x v="0"/>
    <x v="0"/>
  </r>
  <r>
    <x v="0"/>
    <x v="4"/>
    <x v="3"/>
    <x v="0"/>
    <x v="0"/>
    <n v="336827.91"/>
    <x v="0"/>
    <x v="0"/>
  </r>
  <r>
    <x v="0"/>
    <x v="4"/>
    <x v="2"/>
    <x v="0"/>
    <x v="0"/>
    <n v="45317.95"/>
    <x v="0"/>
    <x v="0"/>
  </r>
  <r>
    <x v="0"/>
    <x v="4"/>
    <x v="3"/>
    <x v="0"/>
    <x v="0"/>
    <n v="230021.01"/>
    <x v="0"/>
    <x v="0"/>
  </r>
  <r>
    <x v="0"/>
    <x v="4"/>
    <x v="3"/>
    <x v="0"/>
    <x v="0"/>
    <n v="154578.28"/>
    <x v="0"/>
    <x v="0"/>
  </r>
  <r>
    <x v="0"/>
    <x v="4"/>
    <x v="3"/>
    <x v="0"/>
    <x v="0"/>
    <n v="314134.01"/>
    <x v="0"/>
    <x v="0"/>
  </r>
  <r>
    <x v="0"/>
    <x v="4"/>
    <x v="3"/>
    <x v="0"/>
    <x v="0"/>
    <n v="206405.92"/>
    <x v="0"/>
    <x v="0"/>
  </r>
  <r>
    <x v="0"/>
    <x v="4"/>
    <x v="3"/>
    <x v="0"/>
    <x v="0"/>
    <n v="158995.29"/>
    <x v="0"/>
    <x v="0"/>
  </r>
  <r>
    <x v="0"/>
    <x v="4"/>
    <x v="3"/>
    <x v="0"/>
    <x v="0"/>
    <n v="188238.54"/>
    <x v="0"/>
    <x v="0"/>
  </r>
  <r>
    <x v="0"/>
    <x v="4"/>
    <x v="2"/>
    <x v="0"/>
    <x v="0"/>
    <n v="21255.8"/>
    <x v="0"/>
    <x v="0"/>
  </r>
  <r>
    <x v="0"/>
    <x v="4"/>
    <x v="3"/>
    <x v="0"/>
    <x v="0"/>
    <n v="205955.77"/>
    <x v="0"/>
    <x v="0"/>
  </r>
  <r>
    <x v="0"/>
    <x v="4"/>
    <x v="3"/>
    <x v="0"/>
    <x v="0"/>
    <n v="178370.36"/>
    <x v="0"/>
    <x v="0"/>
  </r>
  <r>
    <x v="0"/>
    <x v="4"/>
    <x v="2"/>
    <x v="0"/>
    <x v="0"/>
    <n v="42547.96"/>
    <x v="0"/>
    <x v="0"/>
  </r>
  <r>
    <x v="0"/>
    <x v="4"/>
    <x v="2"/>
    <x v="0"/>
    <x v="0"/>
    <n v="15152.15"/>
    <x v="0"/>
    <x v="0"/>
  </r>
  <r>
    <x v="0"/>
    <x v="4"/>
    <x v="2"/>
    <x v="0"/>
    <x v="0"/>
    <n v="39249.67"/>
    <x v="0"/>
    <x v="0"/>
  </r>
  <r>
    <x v="0"/>
    <x v="4"/>
    <x v="3"/>
    <x v="0"/>
    <x v="0"/>
    <n v="101669.17"/>
    <x v="0"/>
    <x v="0"/>
  </r>
  <r>
    <x v="0"/>
    <x v="4"/>
    <x v="2"/>
    <x v="0"/>
    <x v="0"/>
    <n v="81694.11"/>
    <x v="0"/>
    <x v="0"/>
  </r>
  <r>
    <x v="0"/>
    <x v="4"/>
    <x v="2"/>
    <x v="0"/>
    <x v="0"/>
    <n v="10266.7"/>
    <x v="0"/>
    <x v="0"/>
  </r>
  <r>
    <x v="0"/>
    <x v="4"/>
    <x v="2"/>
    <x v="0"/>
    <x v="0"/>
    <n v="35502.25"/>
    <x v="0"/>
    <x v="0"/>
  </r>
  <r>
    <x v="0"/>
    <x v="4"/>
    <x v="3"/>
    <x v="0"/>
    <x v="0"/>
    <n v="183250"/>
    <x v="0"/>
    <x v="0"/>
  </r>
  <r>
    <x v="0"/>
    <x v="4"/>
    <x v="3"/>
    <x v="0"/>
    <x v="0"/>
    <n v="219220.21"/>
    <x v="0"/>
    <x v="0"/>
  </r>
  <r>
    <x v="0"/>
    <x v="4"/>
    <x v="3"/>
    <x v="0"/>
    <x v="0"/>
    <n v="254895.5"/>
    <x v="0"/>
    <x v="0"/>
  </r>
  <r>
    <x v="0"/>
    <x v="4"/>
    <x v="3"/>
    <x v="0"/>
    <x v="0"/>
    <n v="143148.97"/>
    <x v="0"/>
    <x v="0"/>
  </r>
  <r>
    <x v="0"/>
    <x v="4"/>
    <x v="3"/>
    <x v="0"/>
    <x v="0"/>
    <n v="132457.52"/>
    <x v="0"/>
    <x v="0"/>
  </r>
  <r>
    <x v="0"/>
    <x v="4"/>
    <x v="3"/>
    <x v="0"/>
    <x v="0"/>
    <n v="148834.28"/>
    <x v="0"/>
    <x v="0"/>
  </r>
  <r>
    <x v="0"/>
    <x v="4"/>
    <x v="3"/>
    <x v="0"/>
    <x v="0"/>
    <n v="106727.81"/>
    <x v="0"/>
    <x v="0"/>
  </r>
  <r>
    <x v="0"/>
    <x v="4"/>
    <x v="3"/>
    <x v="0"/>
    <x v="0"/>
    <n v="223123.71"/>
    <x v="0"/>
    <x v="0"/>
  </r>
  <r>
    <x v="0"/>
    <x v="4"/>
    <x v="3"/>
    <x v="0"/>
    <x v="0"/>
    <n v="194311.34"/>
    <x v="0"/>
    <x v="0"/>
  </r>
  <r>
    <x v="0"/>
    <x v="4"/>
    <x v="3"/>
    <x v="0"/>
    <x v="0"/>
    <n v="338964.91"/>
    <x v="0"/>
    <x v="0"/>
  </r>
  <r>
    <x v="0"/>
    <x v="4"/>
    <x v="3"/>
    <x v="0"/>
    <x v="0"/>
    <n v="247575.4"/>
    <x v="0"/>
    <x v="0"/>
  </r>
  <r>
    <x v="0"/>
    <x v="4"/>
    <x v="2"/>
    <x v="0"/>
    <x v="0"/>
    <n v="29467.02"/>
    <x v="0"/>
    <x v="0"/>
  </r>
  <r>
    <x v="0"/>
    <x v="4"/>
    <x v="2"/>
    <x v="0"/>
    <x v="0"/>
    <n v="90340.16"/>
    <x v="0"/>
    <x v="0"/>
  </r>
  <r>
    <x v="0"/>
    <x v="4"/>
    <x v="3"/>
    <x v="0"/>
    <x v="0"/>
    <n v="198847.32"/>
    <x v="0"/>
    <x v="0"/>
  </r>
  <r>
    <x v="0"/>
    <x v="4"/>
    <x v="3"/>
    <x v="0"/>
    <x v="0"/>
    <n v="155075.41"/>
    <x v="0"/>
    <x v="0"/>
  </r>
  <r>
    <x v="0"/>
    <x v="4"/>
    <x v="2"/>
    <x v="0"/>
    <x v="0"/>
    <n v="76932.89"/>
    <x v="0"/>
    <x v="0"/>
  </r>
  <r>
    <x v="0"/>
    <x v="4"/>
    <x v="2"/>
    <x v="0"/>
    <x v="0"/>
    <n v="92971.79"/>
    <x v="0"/>
    <x v="0"/>
  </r>
  <r>
    <x v="0"/>
    <x v="4"/>
    <x v="0"/>
    <x v="0"/>
    <x v="0"/>
    <n v="7322.98"/>
    <x v="0"/>
    <x v="0"/>
  </r>
  <r>
    <x v="0"/>
    <x v="4"/>
    <x v="3"/>
    <x v="0"/>
    <x v="0"/>
    <n v="222126.95"/>
    <x v="0"/>
    <x v="0"/>
  </r>
  <r>
    <x v="0"/>
    <x v="4"/>
    <x v="2"/>
    <x v="0"/>
    <x v="0"/>
    <n v="62983.91"/>
    <x v="0"/>
    <x v="0"/>
  </r>
  <r>
    <x v="0"/>
    <x v="4"/>
    <x v="0"/>
    <x v="0"/>
    <x v="0"/>
    <n v="1271.77"/>
    <x v="0"/>
    <x v="0"/>
  </r>
  <r>
    <x v="0"/>
    <x v="4"/>
    <x v="3"/>
    <x v="0"/>
    <x v="0"/>
    <n v="246816.65"/>
    <x v="0"/>
    <x v="0"/>
  </r>
  <r>
    <x v="0"/>
    <x v="4"/>
    <x v="2"/>
    <x v="0"/>
    <x v="0"/>
    <n v="21898.97"/>
    <x v="0"/>
    <x v="0"/>
  </r>
  <r>
    <x v="0"/>
    <x v="4"/>
    <x v="2"/>
    <x v="0"/>
    <x v="0"/>
    <n v="30811.56"/>
    <x v="0"/>
    <x v="0"/>
  </r>
  <r>
    <x v="0"/>
    <x v="4"/>
    <x v="3"/>
    <x v="0"/>
    <x v="0"/>
    <n v="100275.09"/>
    <x v="0"/>
    <x v="0"/>
  </r>
  <r>
    <x v="0"/>
    <x v="4"/>
    <x v="2"/>
    <x v="0"/>
    <x v="0"/>
    <n v="46630.53"/>
    <x v="0"/>
    <x v="0"/>
  </r>
  <r>
    <x v="0"/>
    <x v="4"/>
    <x v="3"/>
    <x v="0"/>
    <x v="0"/>
    <n v="158775.58"/>
    <x v="0"/>
    <x v="0"/>
  </r>
  <r>
    <x v="0"/>
    <x v="4"/>
    <x v="2"/>
    <x v="0"/>
    <x v="0"/>
    <n v="90556.08"/>
    <x v="0"/>
    <x v="0"/>
  </r>
  <r>
    <x v="0"/>
    <x v="4"/>
    <x v="3"/>
    <x v="0"/>
    <x v="0"/>
    <n v="173948.89"/>
    <x v="0"/>
    <x v="0"/>
  </r>
  <r>
    <x v="0"/>
    <x v="4"/>
    <x v="2"/>
    <x v="0"/>
    <x v="0"/>
    <n v="66216.71"/>
    <x v="0"/>
    <x v="0"/>
  </r>
  <r>
    <x v="0"/>
    <x v="4"/>
    <x v="3"/>
    <x v="0"/>
    <x v="0"/>
    <n v="216133.99"/>
    <x v="0"/>
    <x v="0"/>
  </r>
  <r>
    <x v="0"/>
    <x v="4"/>
    <x v="3"/>
    <x v="0"/>
    <x v="0"/>
    <n v="371883.82"/>
    <x v="0"/>
    <x v="0"/>
  </r>
  <r>
    <x v="0"/>
    <x v="4"/>
    <x v="3"/>
    <x v="0"/>
    <x v="0"/>
    <n v="770537.37"/>
    <x v="0"/>
    <x v="0"/>
  </r>
  <r>
    <x v="0"/>
    <x v="4"/>
    <x v="2"/>
    <x v="0"/>
    <x v="0"/>
    <n v="71275.47"/>
    <x v="0"/>
    <x v="0"/>
  </r>
  <r>
    <x v="0"/>
    <x v="4"/>
    <x v="3"/>
    <x v="0"/>
    <x v="0"/>
    <n v="336298.77"/>
    <x v="0"/>
    <x v="0"/>
  </r>
  <r>
    <x v="0"/>
    <x v="4"/>
    <x v="3"/>
    <x v="0"/>
    <x v="0"/>
    <n v="317393.38"/>
    <x v="0"/>
    <x v="0"/>
  </r>
  <r>
    <x v="0"/>
    <x v="4"/>
    <x v="3"/>
    <x v="0"/>
    <x v="0"/>
    <n v="181002.01"/>
    <x v="0"/>
    <x v="0"/>
  </r>
  <r>
    <x v="0"/>
    <x v="4"/>
    <x v="3"/>
    <x v="0"/>
    <x v="0"/>
    <n v="311449.38"/>
    <x v="0"/>
    <x v="0"/>
  </r>
  <r>
    <x v="0"/>
    <x v="4"/>
    <x v="3"/>
    <x v="0"/>
    <x v="0"/>
    <n v="270824.42"/>
    <x v="0"/>
    <x v="0"/>
  </r>
  <r>
    <x v="0"/>
    <x v="0"/>
    <x v="0"/>
    <x v="0"/>
    <x v="0"/>
    <n v="1449.03"/>
    <x v="0"/>
    <x v="0"/>
  </r>
  <r>
    <x v="0"/>
    <x v="0"/>
    <x v="0"/>
    <x v="0"/>
    <x v="0"/>
    <n v="3551.48"/>
    <x v="0"/>
    <x v="0"/>
  </r>
  <r>
    <x v="0"/>
    <x v="2"/>
    <x v="3"/>
    <x v="0"/>
    <x v="0"/>
    <n v="227768.63"/>
    <x v="0"/>
    <x v="0"/>
  </r>
  <r>
    <x v="0"/>
    <x v="2"/>
    <x v="3"/>
    <x v="0"/>
    <x v="0"/>
    <n v="172986.7"/>
    <x v="0"/>
    <x v="0"/>
  </r>
  <r>
    <x v="0"/>
    <x v="0"/>
    <x v="0"/>
    <x v="0"/>
    <x v="0"/>
    <n v="4940.2"/>
    <x v="0"/>
    <x v="0"/>
  </r>
  <r>
    <x v="0"/>
    <x v="0"/>
    <x v="0"/>
    <x v="0"/>
    <x v="0"/>
    <n v="2755.96"/>
    <x v="0"/>
    <x v="0"/>
  </r>
  <r>
    <x v="0"/>
    <x v="3"/>
    <x v="0"/>
    <x v="0"/>
    <x v="0"/>
    <n v="8807.01"/>
    <x v="0"/>
    <x v="0"/>
  </r>
  <r>
    <x v="0"/>
    <x v="3"/>
    <x v="0"/>
    <x v="0"/>
    <x v="0"/>
    <n v="3111.86"/>
    <x v="0"/>
    <x v="0"/>
  </r>
  <r>
    <x v="0"/>
    <x v="0"/>
    <x v="2"/>
    <x v="0"/>
    <x v="0"/>
    <n v="10040.52"/>
    <x v="0"/>
    <x v="0"/>
  </r>
  <r>
    <x v="0"/>
    <x v="3"/>
    <x v="0"/>
    <x v="0"/>
    <x v="0"/>
    <n v="5363"/>
    <x v="0"/>
    <x v="0"/>
  </r>
  <r>
    <x v="0"/>
    <x v="0"/>
    <x v="2"/>
    <x v="0"/>
    <x v="0"/>
    <n v="11990.19"/>
    <x v="0"/>
    <x v="0"/>
  </r>
  <r>
    <x v="0"/>
    <x v="0"/>
    <x v="1"/>
    <x v="0"/>
    <x v="0"/>
    <n v="266.88"/>
    <x v="0"/>
    <x v="0"/>
  </r>
  <r>
    <x v="0"/>
    <x v="0"/>
    <x v="0"/>
    <x v="0"/>
    <x v="0"/>
    <n v="1928.55"/>
    <x v="0"/>
    <x v="0"/>
  </r>
  <r>
    <x v="0"/>
    <x v="0"/>
    <x v="2"/>
    <x v="0"/>
    <x v="0"/>
    <n v="10648.06"/>
    <x v="0"/>
    <x v="0"/>
  </r>
  <r>
    <x v="0"/>
    <x v="0"/>
    <x v="1"/>
    <x v="0"/>
    <x v="0"/>
    <n v="962.43"/>
    <x v="0"/>
    <x v="0"/>
  </r>
  <r>
    <x v="0"/>
    <x v="0"/>
    <x v="0"/>
    <x v="0"/>
    <x v="0"/>
    <n v="8348.1"/>
    <x v="0"/>
    <x v="0"/>
  </r>
  <r>
    <x v="0"/>
    <x v="0"/>
    <x v="0"/>
    <x v="0"/>
    <x v="0"/>
    <n v="6969.67"/>
    <x v="0"/>
    <x v="0"/>
  </r>
  <r>
    <x v="0"/>
    <x v="1"/>
    <x v="2"/>
    <x v="1"/>
    <x v="0"/>
    <n v="20128"/>
    <x v="1"/>
    <x v="3"/>
  </r>
  <r>
    <x v="0"/>
    <x v="2"/>
    <x v="2"/>
    <x v="1"/>
    <x v="0"/>
    <n v="20128"/>
    <x v="1"/>
    <x v="3"/>
  </r>
  <r>
    <x v="0"/>
    <x v="0"/>
    <x v="1"/>
    <x v="0"/>
    <x v="0"/>
    <n v="154.87"/>
    <x v="0"/>
    <x v="0"/>
  </r>
  <r>
    <x v="0"/>
    <x v="3"/>
    <x v="0"/>
    <x v="0"/>
    <x v="0"/>
    <n v="4040.84"/>
    <x v="0"/>
    <x v="0"/>
  </r>
  <r>
    <x v="0"/>
    <x v="0"/>
    <x v="0"/>
    <x v="0"/>
    <x v="0"/>
    <n v="6490.17"/>
    <x v="0"/>
    <x v="0"/>
  </r>
  <r>
    <x v="0"/>
    <x v="0"/>
    <x v="0"/>
    <x v="0"/>
    <x v="0"/>
    <n v="1101.09"/>
    <x v="0"/>
    <x v="0"/>
  </r>
  <r>
    <x v="0"/>
    <x v="3"/>
    <x v="0"/>
    <x v="0"/>
    <x v="0"/>
    <n v="4347.78"/>
    <x v="0"/>
    <x v="0"/>
  </r>
  <r>
    <x v="0"/>
    <x v="2"/>
    <x v="3"/>
    <x v="0"/>
    <x v="0"/>
    <n v="213922.13"/>
    <x v="0"/>
    <x v="0"/>
  </r>
  <r>
    <x v="0"/>
    <x v="2"/>
    <x v="2"/>
    <x v="0"/>
    <x v="0"/>
    <n v="83859.59"/>
    <x v="0"/>
    <x v="0"/>
  </r>
  <r>
    <x v="0"/>
    <x v="2"/>
    <x v="2"/>
    <x v="0"/>
    <x v="0"/>
    <n v="33269.25"/>
    <x v="0"/>
    <x v="0"/>
  </r>
  <r>
    <x v="0"/>
    <x v="2"/>
    <x v="2"/>
    <x v="0"/>
    <x v="0"/>
    <n v="51749.94"/>
    <x v="0"/>
    <x v="0"/>
  </r>
  <r>
    <x v="0"/>
    <x v="2"/>
    <x v="2"/>
    <x v="0"/>
    <x v="0"/>
    <n v="86410.3"/>
    <x v="0"/>
    <x v="0"/>
  </r>
  <r>
    <x v="0"/>
    <x v="2"/>
    <x v="2"/>
    <x v="0"/>
    <x v="0"/>
    <n v="10856.63"/>
    <x v="0"/>
    <x v="0"/>
  </r>
  <r>
    <x v="0"/>
    <x v="2"/>
    <x v="3"/>
    <x v="0"/>
    <x v="0"/>
    <n v="161613.93"/>
    <x v="0"/>
    <x v="0"/>
  </r>
  <r>
    <x v="0"/>
    <x v="2"/>
    <x v="3"/>
    <x v="0"/>
    <x v="0"/>
    <n v="244361.81"/>
    <x v="0"/>
    <x v="0"/>
  </r>
  <r>
    <x v="0"/>
    <x v="2"/>
    <x v="3"/>
    <x v="0"/>
    <x v="0"/>
    <n v="596617.87"/>
    <x v="0"/>
    <x v="0"/>
  </r>
  <r>
    <x v="0"/>
    <x v="2"/>
    <x v="3"/>
    <x v="0"/>
    <x v="0"/>
    <n v="108600.78"/>
    <x v="0"/>
    <x v="0"/>
  </r>
  <r>
    <x v="0"/>
    <x v="2"/>
    <x v="3"/>
    <x v="0"/>
    <x v="0"/>
    <n v="377520.94"/>
    <x v="0"/>
    <x v="0"/>
  </r>
  <r>
    <x v="0"/>
    <x v="2"/>
    <x v="2"/>
    <x v="0"/>
    <x v="0"/>
    <n v="60758.42"/>
    <x v="0"/>
    <x v="0"/>
  </r>
  <r>
    <x v="0"/>
    <x v="2"/>
    <x v="2"/>
    <x v="0"/>
    <x v="0"/>
    <n v="86204.31"/>
    <x v="0"/>
    <x v="0"/>
  </r>
  <r>
    <x v="0"/>
    <x v="2"/>
    <x v="0"/>
    <x v="0"/>
    <x v="0"/>
    <n v="1234"/>
    <x v="0"/>
    <x v="0"/>
  </r>
  <r>
    <x v="0"/>
    <x v="2"/>
    <x v="2"/>
    <x v="0"/>
    <x v="0"/>
    <n v="18288.91"/>
    <x v="0"/>
    <x v="0"/>
  </r>
  <r>
    <x v="0"/>
    <x v="2"/>
    <x v="3"/>
    <x v="0"/>
    <x v="0"/>
    <n v="248979.22"/>
    <x v="0"/>
    <x v="0"/>
  </r>
  <r>
    <x v="0"/>
    <x v="2"/>
    <x v="3"/>
    <x v="0"/>
    <x v="0"/>
    <n v="126774.5"/>
    <x v="0"/>
    <x v="0"/>
  </r>
  <r>
    <x v="0"/>
    <x v="2"/>
    <x v="2"/>
    <x v="0"/>
    <x v="0"/>
    <n v="38428.19"/>
    <x v="0"/>
    <x v="0"/>
  </r>
  <r>
    <x v="0"/>
    <x v="2"/>
    <x v="3"/>
    <x v="0"/>
    <x v="0"/>
    <n v="109732.52"/>
    <x v="0"/>
    <x v="0"/>
  </r>
  <r>
    <x v="0"/>
    <x v="2"/>
    <x v="2"/>
    <x v="0"/>
    <x v="0"/>
    <n v="17851.54"/>
    <x v="0"/>
    <x v="0"/>
  </r>
  <r>
    <x v="0"/>
    <x v="2"/>
    <x v="0"/>
    <x v="0"/>
    <x v="0"/>
    <n v="5223.97"/>
    <x v="0"/>
    <x v="0"/>
  </r>
  <r>
    <x v="0"/>
    <x v="2"/>
    <x v="2"/>
    <x v="0"/>
    <x v="0"/>
    <n v="63807.17"/>
    <x v="0"/>
    <x v="0"/>
  </r>
  <r>
    <x v="0"/>
    <x v="2"/>
    <x v="3"/>
    <x v="0"/>
    <x v="0"/>
    <n v="406297.68"/>
    <x v="0"/>
    <x v="0"/>
  </r>
  <r>
    <x v="0"/>
    <x v="0"/>
    <x v="0"/>
    <x v="0"/>
    <x v="0"/>
    <n v="4779.93"/>
    <x v="0"/>
    <x v="0"/>
  </r>
  <r>
    <x v="0"/>
    <x v="1"/>
    <x v="2"/>
    <x v="0"/>
    <x v="0"/>
    <n v="16631.14"/>
    <x v="0"/>
    <x v="0"/>
  </r>
  <r>
    <x v="0"/>
    <x v="0"/>
    <x v="0"/>
    <x v="0"/>
    <x v="0"/>
    <n v="2771.16"/>
    <x v="0"/>
    <x v="0"/>
  </r>
  <r>
    <x v="0"/>
    <x v="0"/>
    <x v="0"/>
    <x v="0"/>
    <x v="0"/>
    <n v="3154.06"/>
    <x v="0"/>
    <x v="0"/>
  </r>
  <r>
    <x v="0"/>
    <x v="0"/>
    <x v="0"/>
    <x v="0"/>
    <x v="0"/>
    <n v="7813.63"/>
    <x v="0"/>
    <x v="0"/>
  </r>
  <r>
    <x v="0"/>
    <x v="0"/>
    <x v="1"/>
    <x v="0"/>
    <x v="0"/>
    <n v="360.13"/>
    <x v="0"/>
    <x v="0"/>
  </r>
  <r>
    <x v="0"/>
    <x v="2"/>
    <x v="3"/>
    <x v="0"/>
    <x v="0"/>
    <n v="431381.17"/>
    <x v="0"/>
    <x v="0"/>
  </r>
  <r>
    <x v="0"/>
    <x v="1"/>
    <x v="2"/>
    <x v="0"/>
    <x v="0"/>
    <n v="43670.84"/>
    <x v="0"/>
    <x v="0"/>
  </r>
  <r>
    <x v="0"/>
    <x v="0"/>
    <x v="0"/>
    <x v="0"/>
    <x v="0"/>
    <n v="7342.63"/>
    <x v="0"/>
    <x v="0"/>
  </r>
  <r>
    <x v="0"/>
    <x v="0"/>
    <x v="0"/>
    <x v="0"/>
    <x v="0"/>
    <n v="7417.09"/>
    <x v="0"/>
    <x v="0"/>
  </r>
  <r>
    <x v="0"/>
    <x v="0"/>
    <x v="0"/>
    <x v="0"/>
    <x v="0"/>
    <n v="8865.26"/>
    <x v="0"/>
    <x v="0"/>
  </r>
  <r>
    <x v="0"/>
    <x v="2"/>
    <x v="3"/>
    <x v="0"/>
    <x v="0"/>
    <n v="213490.87"/>
    <x v="0"/>
    <x v="0"/>
  </r>
  <r>
    <x v="0"/>
    <x v="0"/>
    <x v="0"/>
    <x v="0"/>
    <x v="0"/>
    <n v="7444.4"/>
    <x v="0"/>
    <x v="0"/>
  </r>
  <r>
    <x v="0"/>
    <x v="2"/>
    <x v="3"/>
    <x v="0"/>
    <x v="0"/>
    <n v="287265.38"/>
    <x v="0"/>
    <x v="0"/>
  </r>
  <r>
    <x v="0"/>
    <x v="2"/>
    <x v="3"/>
    <x v="1"/>
    <x v="0"/>
    <n v="416001.33"/>
    <x v="1"/>
    <x v="4"/>
  </r>
  <r>
    <x v="0"/>
    <x v="0"/>
    <x v="0"/>
    <x v="0"/>
    <x v="0"/>
    <n v="6432.26"/>
    <x v="0"/>
    <x v="0"/>
  </r>
  <r>
    <x v="0"/>
    <x v="0"/>
    <x v="0"/>
    <x v="0"/>
    <x v="0"/>
    <n v="8690.86"/>
    <x v="0"/>
    <x v="0"/>
  </r>
  <r>
    <x v="0"/>
    <x v="0"/>
    <x v="0"/>
    <x v="0"/>
    <x v="0"/>
    <n v="3791.28"/>
    <x v="0"/>
    <x v="0"/>
  </r>
  <r>
    <x v="0"/>
    <x v="0"/>
    <x v="0"/>
    <x v="0"/>
    <x v="0"/>
    <n v="4111.34"/>
    <x v="0"/>
    <x v="0"/>
  </r>
  <r>
    <x v="0"/>
    <x v="0"/>
    <x v="0"/>
    <x v="0"/>
    <x v="0"/>
    <n v="7163.9"/>
    <x v="0"/>
    <x v="0"/>
  </r>
  <r>
    <x v="0"/>
    <x v="0"/>
    <x v="0"/>
    <x v="0"/>
    <x v="0"/>
    <n v="6557.51"/>
    <x v="0"/>
    <x v="0"/>
  </r>
  <r>
    <x v="0"/>
    <x v="0"/>
    <x v="2"/>
    <x v="0"/>
    <x v="0"/>
    <n v="17348.25"/>
    <x v="0"/>
    <x v="0"/>
  </r>
  <r>
    <x v="0"/>
    <x v="0"/>
    <x v="0"/>
    <x v="0"/>
    <x v="0"/>
    <n v="1586.28"/>
    <x v="0"/>
    <x v="0"/>
  </r>
  <r>
    <x v="0"/>
    <x v="0"/>
    <x v="0"/>
    <x v="0"/>
    <x v="0"/>
    <n v="6811.97"/>
    <x v="0"/>
    <x v="0"/>
  </r>
  <r>
    <x v="0"/>
    <x v="0"/>
    <x v="2"/>
    <x v="0"/>
    <x v="0"/>
    <n v="36651.07"/>
    <x v="0"/>
    <x v="0"/>
  </r>
  <r>
    <x v="0"/>
    <x v="0"/>
    <x v="0"/>
    <x v="0"/>
    <x v="0"/>
    <n v="4804.68"/>
    <x v="0"/>
    <x v="0"/>
  </r>
  <r>
    <x v="0"/>
    <x v="0"/>
    <x v="2"/>
    <x v="0"/>
    <x v="0"/>
    <n v="19375.5"/>
    <x v="0"/>
    <x v="0"/>
  </r>
  <r>
    <x v="0"/>
    <x v="0"/>
    <x v="2"/>
    <x v="0"/>
    <x v="0"/>
    <n v="13833.75"/>
    <x v="0"/>
    <x v="0"/>
  </r>
  <r>
    <x v="0"/>
    <x v="0"/>
    <x v="2"/>
    <x v="0"/>
    <x v="0"/>
    <n v="21008.52"/>
    <x v="0"/>
    <x v="0"/>
  </r>
  <r>
    <x v="0"/>
    <x v="0"/>
    <x v="2"/>
    <x v="0"/>
    <x v="0"/>
    <n v="22043.92"/>
    <x v="0"/>
    <x v="0"/>
  </r>
  <r>
    <x v="0"/>
    <x v="0"/>
    <x v="2"/>
    <x v="0"/>
    <x v="0"/>
    <n v="32635.14"/>
    <x v="0"/>
    <x v="0"/>
  </r>
  <r>
    <x v="0"/>
    <x v="0"/>
    <x v="2"/>
    <x v="0"/>
    <x v="0"/>
    <n v="11438.39"/>
    <x v="0"/>
    <x v="0"/>
  </r>
  <r>
    <x v="0"/>
    <x v="0"/>
    <x v="2"/>
    <x v="0"/>
    <x v="0"/>
    <n v="13527.16"/>
    <x v="0"/>
    <x v="0"/>
  </r>
  <r>
    <x v="0"/>
    <x v="0"/>
    <x v="2"/>
    <x v="0"/>
    <x v="0"/>
    <n v="11881.78"/>
    <x v="0"/>
    <x v="0"/>
  </r>
  <r>
    <x v="0"/>
    <x v="0"/>
    <x v="0"/>
    <x v="0"/>
    <x v="0"/>
    <n v="9805.46"/>
    <x v="0"/>
    <x v="0"/>
  </r>
  <r>
    <x v="0"/>
    <x v="0"/>
    <x v="0"/>
    <x v="0"/>
    <x v="0"/>
    <n v="9470.85"/>
    <x v="0"/>
    <x v="0"/>
  </r>
  <r>
    <x v="0"/>
    <x v="0"/>
    <x v="2"/>
    <x v="0"/>
    <x v="0"/>
    <n v="20560.86"/>
    <x v="0"/>
    <x v="0"/>
  </r>
  <r>
    <x v="0"/>
    <x v="0"/>
    <x v="2"/>
    <x v="0"/>
    <x v="0"/>
    <n v="13679.84"/>
    <x v="0"/>
    <x v="0"/>
  </r>
  <r>
    <x v="0"/>
    <x v="0"/>
    <x v="2"/>
    <x v="0"/>
    <x v="0"/>
    <n v="15448"/>
    <x v="0"/>
    <x v="0"/>
  </r>
  <r>
    <x v="0"/>
    <x v="0"/>
    <x v="0"/>
    <x v="0"/>
    <x v="0"/>
    <n v="1987.4"/>
    <x v="0"/>
    <x v="0"/>
  </r>
  <r>
    <x v="0"/>
    <x v="0"/>
    <x v="0"/>
    <x v="0"/>
    <x v="0"/>
    <n v="4145.04"/>
    <x v="0"/>
    <x v="0"/>
  </r>
  <r>
    <x v="0"/>
    <x v="0"/>
    <x v="0"/>
    <x v="0"/>
    <x v="0"/>
    <n v="3511.45"/>
    <x v="0"/>
    <x v="0"/>
  </r>
  <r>
    <x v="0"/>
    <x v="0"/>
    <x v="0"/>
    <x v="0"/>
    <x v="0"/>
    <n v="1118.1"/>
    <x v="0"/>
    <x v="0"/>
  </r>
  <r>
    <x v="0"/>
    <x v="0"/>
    <x v="1"/>
    <x v="0"/>
    <x v="0"/>
    <n v="15.06"/>
    <x v="0"/>
    <x v="0"/>
  </r>
  <r>
    <x v="0"/>
    <x v="4"/>
    <x v="3"/>
    <x v="0"/>
    <x v="0"/>
    <n v="352568.35"/>
    <x v="0"/>
    <x v="0"/>
  </r>
  <r>
    <x v="0"/>
    <x v="0"/>
    <x v="0"/>
    <x v="0"/>
    <x v="0"/>
    <n v="3043.27"/>
    <x v="0"/>
    <x v="0"/>
  </r>
  <r>
    <x v="0"/>
    <x v="0"/>
    <x v="0"/>
    <x v="0"/>
    <x v="0"/>
    <n v="9758.09"/>
    <x v="0"/>
    <x v="0"/>
  </r>
  <r>
    <x v="0"/>
    <x v="0"/>
    <x v="0"/>
    <x v="0"/>
    <x v="0"/>
    <n v="5924.89"/>
    <x v="0"/>
    <x v="0"/>
  </r>
  <r>
    <x v="0"/>
    <x v="0"/>
    <x v="0"/>
    <x v="0"/>
    <x v="0"/>
    <n v="9550.43"/>
    <x v="0"/>
    <x v="0"/>
  </r>
  <r>
    <x v="0"/>
    <x v="0"/>
    <x v="0"/>
    <x v="0"/>
    <x v="0"/>
    <n v="4355.66"/>
    <x v="0"/>
    <x v="0"/>
  </r>
  <r>
    <x v="0"/>
    <x v="3"/>
    <x v="0"/>
    <x v="0"/>
    <x v="0"/>
    <n v="6973.12"/>
    <x v="0"/>
    <x v="0"/>
  </r>
  <r>
    <x v="0"/>
    <x v="0"/>
    <x v="0"/>
    <x v="0"/>
    <x v="0"/>
    <n v="2358.63"/>
    <x v="0"/>
    <x v="0"/>
  </r>
  <r>
    <x v="0"/>
    <x v="3"/>
    <x v="1"/>
    <x v="0"/>
    <x v="0"/>
    <n v="374.36"/>
    <x v="0"/>
    <x v="0"/>
  </r>
  <r>
    <x v="0"/>
    <x v="0"/>
    <x v="0"/>
    <x v="0"/>
    <x v="0"/>
    <n v="8946.63"/>
    <x v="0"/>
    <x v="0"/>
  </r>
  <r>
    <x v="0"/>
    <x v="0"/>
    <x v="2"/>
    <x v="0"/>
    <x v="0"/>
    <n v="20573.4"/>
    <x v="0"/>
    <x v="0"/>
  </r>
  <r>
    <x v="0"/>
    <x v="0"/>
    <x v="0"/>
    <x v="0"/>
    <x v="0"/>
    <n v="8358.12"/>
    <x v="0"/>
    <x v="0"/>
  </r>
  <r>
    <x v="0"/>
    <x v="0"/>
    <x v="0"/>
    <x v="0"/>
    <x v="0"/>
    <n v="1006.76"/>
    <x v="0"/>
    <x v="0"/>
  </r>
  <r>
    <x v="0"/>
    <x v="0"/>
    <x v="2"/>
    <x v="0"/>
    <x v="0"/>
    <n v="10498.05"/>
    <x v="0"/>
    <x v="0"/>
  </r>
  <r>
    <x v="0"/>
    <x v="1"/>
    <x v="3"/>
    <x v="0"/>
    <x v="0"/>
    <n v="463722.76"/>
    <x v="0"/>
    <x v="0"/>
  </r>
  <r>
    <x v="0"/>
    <x v="1"/>
    <x v="3"/>
    <x v="0"/>
    <x v="0"/>
    <n v="138857.19"/>
    <x v="0"/>
    <x v="0"/>
  </r>
  <r>
    <x v="0"/>
    <x v="0"/>
    <x v="0"/>
    <x v="0"/>
    <x v="0"/>
    <n v="5184.9"/>
    <x v="0"/>
    <x v="0"/>
  </r>
  <r>
    <x v="0"/>
    <x v="0"/>
    <x v="0"/>
    <x v="0"/>
    <x v="0"/>
    <n v="3626.96"/>
    <x v="0"/>
    <x v="0"/>
  </r>
  <r>
    <x v="0"/>
    <x v="0"/>
    <x v="1"/>
    <x v="0"/>
    <x v="0"/>
    <n v="282.42"/>
    <x v="0"/>
    <x v="0"/>
  </r>
  <r>
    <x v="0"/>
    <x v="3"/>
    <x v="0"/>
    <x v="0"/>
    <x v="0"/>
    <n v="8703.54"/>
    <x v="0"/>
    <x v="0"/>
  </r>
  <r>
    <x v="0"/>
    <x v="0"/>
    <x v="0"/>
    <x v="0"/>
    <x v="0"/>
    <n v="3673.1"/>
    <x v="0"/>
    <x v="0"/>
  </r>
  <r>
    <x v="0"/>
    <x v="0"/>
    <x v="0"/>
    <x v="0"/>
    <x v="0"/>
    <n v="9800.58"/>
    <x v="0"/>
    <x v="0"/>
  </r>
  <r>
    <x v="0"/>
    <x v="2"/>
    <x v="2"/>
    <x v="0"/>
    <x v="0"/>
    <n v="88987.11"/>
    <x v="0"/>
    <x v="0"/>
  </r>
  <r>
    <x v="0"/>
    <x v="0"/>
    <x v="0"/>
    <x v="0"/>
    <x v="0"/>
    <n v="4227.19"/>
    <x v="0"/>
    <x v="0"/>
  </r>
  <r>
    <x v="0"/>
    <x v="0"/>
    <x v="0"/>
    <x v="0"/>
    <x v="0"/>
    <n v="2881.51"/>
    <x v="0"/>
    <x v="0"/>
  </r>
  <r>
    <x v="0"/>
    <x v="0"/>
    <x v="0"/>
    <x v="0"/>
    <x v="0"/>
    <n v="4376.46"/>
    <x v="0"/>
    <x v="0"/>
  </r>
  <r>
    <x v="0"/>
    <x v="0"/>
    <x v="2"/>
    <x v="0"/>
    <x v="0"/>
    <n v="11656.12"/>
    <x v="0"/>
    <x v="0"/>
  </r>
  <r>
    <x v="0"/>
    <x v="1"/>
    <x v="3"/>
    <x v="0"/>
    <x v="0"/>
    <n v="345698.98"/>
    <x v="0"/>
    <x v="0"/>
  </r>
  <r>
    <x v="0"/>
    <x v="0"/>
    <x v="0"/>
    <x v="0"/>
    <x v="0"/>
    <n v="3292.21"/>
    <x v="0"/>
    <x v="0"/>
  </r>
  <r>
    <x v="0"/>
    <x v="0"/>
    <x v="0"/>
    <x v="0"/>
    <x v="0"/>
    <n v="7367.06"/>
    <x v="0"/>
    <x v="0"/>
  </r>
  <r>
    <x v="0"/>
    <x v="0"/>
    <x v="0"/>
    <x v="0"/>
    <x v="0"/>
    <n v="2937.34"/>
    <x v="0"/>
    <x v="0"/>
  </r>
  <r>
    <x v="0"/>
    <x v="3"/>
    <x v="0"/>
    <x v="0"/>
    <x v="0"/>
    <n v="1150.14"/>
    <x v="0"/>
    <x v="0"/>
  </r>
  <r>
    <x v="0"/>
    <x v="0"/>
    <x v="0"/>
    <x v="0"/>
    <x v="0"/>
    <n v="3563.36"/>
    <x v="0"/>
    <x v="0"/>
  </r>
  <r>
    <x v="0"/>
    <x v="0"/>
    <x v="0"/>
    <x v="0"/>
    <x v="0"/>
    <n v="2380.46"/>
    <x v="0"/>
    <x v="0"/>
  </r>
  <r>
    <x v="0"/>
    <x v="0"/>
    <x v="0"/>
    <x v="0"/>
    <x v="0"/>
    <n v="2266.02"/>
    <x v="0"/>
    <x v="0"/>
  </r>
  <r>
    <x v="0"/>
    <x v="1"/>
    <x v="2"/>
    <x v="0"/>
    <x v="0"/>
    <n v="32132.45"/>
    <x v="0"/>
    <x v="0"/>
  </r>
  <r>
    <x v="0"/>
    <x v="1"/>
    <x v="2"/>
    <x v="0"/>
    <x v="0"/>
    <n v="51627.39"/>
    <x v="0"/>
    <x v="0"/>
  </r>
  <r>
    <x v="0"/>
    <x v="1"/>
    <x v="2"/>
    <x v="0"/>
    <x v="0"/>
    <n v="62073.54"/>
    <x v="0"/>
    <x v="0"/>
  </r>
  <r>
    <x v="0"/>
    <x v="1"/>
    <x v="2"/>
    <x v="0"/>
    <x v="0"/>
    <n v="13614.91"/>
    <x v="0"/>
    <x v="0"/>
  </r>
  <r>
    <x v="0"/>
    <x v="1"/>
    <x v="0"/>
    <x v="0"/>
    <x v="0"/>
    <n v="2290.73"/>
    <x v="0"/>
    <x v="0"/>
  </r>
  <r>
    <x v="0"/>
    <x v="1"/>
    <x v="3"/>
    <x v="0"/>
    <x v="0"/>
    <n v="637161"/>
    <x v="0"/>
    <x v="0"/>
  </r>
  <r>
    <x v="0"/>
    <x v="1"/>
    <x v="3"/>
    <x v="0"/>
    <x v="0"/>
    <n v="639378.37"/>
    <x v="0"/>
    <x v="0"/>
  </r>
  <r>
    <x v="0"/>
    <x v="1"/>
    <x v="2"/>
    <x v="0"/>
    <x v="0"/>
    <n v="34390.85"/>
    <x v="0"/>
    <x v="0"/>
  </r>
  <r>
    <x v="0"/>
    <x v="1"/>
    <x v="4"/>
    <x v="0"/>
    <x v="0"/>
    <n v="1867849.02"/>
    <x v="0"/>
    <x v="0"/>
  </r>
  <r>
    <x v="0"/>
    <x v="1"/>
    <x v="4"/>
    <x v="0"/>
    <x v="0"/>
    <n v="1193410.46"/>
    <x v="0"/>
    <x v="0"/>
  </r>
  <r>
    <x v="0"/>
    <x v="1"/>
    <x v="3"/>
    <x v="0"/>
    <x v="0"/>
    <n v="348186.2"/>
    <x v="0"/>
    <x v="0"/>
  </r>
  <r>
    <x v="0"/>
    <x v="1"/>
    <x v="4"/>
    <x v="0"/>
    <x v="0"/>
    <n v="1440296.14"/>
    <x v="0"/>
    <x v="0"/>
  </r>
  <r>
    <x v="0"/>
    <x v="1"/>
    <x v="3"/>
    <x v="0"/>
    <x v="0"/>
    <n v="799483.57"/>
    <x v="0"/>
    <x v="0"/>
  </r>
  <r>
    <x v="0"/>
    <x v="1"/>
    <x v="3"/>
    <x v="0"/>
    <x v="0"/>
    <n v="969631.31"/>
    <x v="0"/>
    <x v="0"/>
  </r>
  <r>
    <x v="0"/>
    <x v="1"/>
    <x v="3"/>
    <x v="0"/>
    <x v="0"/>
    <n v="483544.3"/>
    <x v="0"/>
    <x v="0"/>
  </r>
  <r>
    <x v="0"/>
    <x v="1"/>
    <x v="3"/>
    <x v="0"/>
    <x v="0"/>
    <n v="326349.91"/>
    <x v="0"/>
    <x v="0"/>
  </r>
  <r>
    <x v="0"/>
    <x v="3"/>
    <x v="0"/>
    <x v="0"/>
    <x v="0"/>
    <n v="7546.88"/>
    <x v="0"/>
    <x v="0"/>
  </r>
  <r>
    <x v="0"/>
    <x v="0"/>
    <x v="0"/>
    <x v="0"/>
    <x v="0"/>
    <n v="2469.75"/>
    <x v="0"/>
    <x v="0"/>
  </r>
  <r>
    <x v="0"/>
    <x v="3"/>
    <x v="0"/>
    <x v="0"/>
    <x v="0"/>
    <n v="1741.24"/>
    <x v="0"/>
    <x v="0"/>
  </r>
  <r>
    <x v="0"/>
    <x v="0"/>
    <x v="1"/>
    <x v="0"/>
    <x v="0"/>
    <n v="553.25"/>
    <x v="0"/>
    <x v="0"/>
  </r>
  <r>
    <x v="0"/>
    <x v="0"/>
    <x v="0"/>
    <x v="0"/>
    <x v="0"/>
    <n v="6606.31"/>
    <x v="0"/>
    <x v="0"/>
  </r>
  <r>
    <x v="0"/>
    <x v="0"/>
    <x v="0"/>
    <x v="0"/>
    <x v="0"/>
    <n v="2075.94"/>
    <x v="0"/>
    <x v="0"/>
  </r>
  <r>
    <x v="0"/>
    <x v="1"/>
    <x v="2"/>
    <x v="0"/>
    <x v="0"/>
    <n v="84212.94"/>
    <x v="0"/>
    <x v="0"/>
  </r>
  <r>
    <x v="0"/>
    <x v="2"/>
    <x v="3"/>
    <x v="0"/>
    <x v="0"/>
    <n v="312108.51"/>
    <x v="0"/>
    <x v="0"/>
  </r>
  <r>
    <x v="0"/>
    <x v="0"/>
    <x v="0"/>
    <x v="0"/>
    <x v="0"/>
    <n v="1647.93"/>
    <x v="0"/>
    <x v="0"/>
  </r>
  <r>
    <x v="0"/>
    <x v="0"/>
    <x v="0"/>
    <x v="0"/>
    <x v="0"/>
    <n v="3533.32"/>
    <x v="0"/>
    <x v="0"/>
  </r>
  <r>
    <x v="0"/>
    <x v="0"/>
    <x v="0"/>
    <x v="0"/>
    <x v="0"/>
    <n v="7659.86"/>
    <x v="0"/>
    <x v="0"/>
  </r>
  <r>
    <x v="0"/>
    <x v="0"/>
    <x v="0"/>
    <x v="0"/>
    <x v="0"/>
    <n v="7203.07"/>
    <x v="0"/>
    <x v="0"/>
  </r>
  <r>
    <x v="0"/>
    <x v="2"/>
    <x v="3"/>
    <x v="0"/>
    <x v="0"/>
    <n v="116206.75"/>
    <x v="0"/>
    <x v="0"/>
  </r>
  <r>
    <x v="0"/>
    <x v="2"/>
    <x v="2"/>
    <x v="0"/>
    <x v="0"/>
    <n v="30331.38"/>
    <x v="0"/>
    <x v="0"/>
  </r>
  <r>
    <x v="0"/>
    <x v="0"/>
    <x v="0"/>
    <x v="0"/>
    <x v="0"/>
    <n v="2063.77"/>
    <x v="0"/>
    <x v="0"/>
  </r>
  <r>
    <x v="0"/>
    <x v="0"/>
    <x v="0"/>
    <x v="0"/>
    <x v="0"/>
    <n v="3035.35"/>
    <x v="0"/>
    <x v="0"/>
  </r>
  <r>
    <x v="0"/>
    <x v="2"/>
    <x v="3"/>
    <x v="0"/>
    <x v="0"/>
    <n v="123797.1"/>
    <x v="0"/>
    <x v="0"/>
  </r>
  <r>
    <x v="0"/>
    <x v="3"/>
    <x v="0"/>
    <x v="0"/>
    <x v="0"/>
    <n v="8233.25"/>
    <x v="0"/>
    <x v="0"/>
  </r>
  <r>
    <x v="0"/>
    <x v="0"/>
    <x v="0"/>
    <x v="0"/>
    <x v="0"/>
    <n v="2271.34"/>
    <x v="0"/>
    <x v="0"/>
  </r>
  <r>
    <x v="0"/>
    <x v="0"/>
    <x v="0"/>
    <x v="0"/>
    <x v="0"/>
    <n v="3801.74"/>
    <x v="0"/>
    <x v="0"/>
  </r>
  <r>
    <x v="0"/>
    <x v="0"/>
    <x v="0"/>
    <x v="0"/>
    <x v="0"/>
    <n v="1530.83"/>
    <x v="0"/>
    <x v="0"/>
  </r>
  <r>
    <x v="0"/>
    <x v="0"/>
    <x v="0"/>
    <x v="0"/>
    <x v="0"/>
    <n v="4833.96"/>
    <x v="0"/>
    <x v="0"/>
  </r>
  <r>
    <x v="0"/>
    <x v="0"/>
    <x v="0"/>
    <x v="0"/>
    <x v="0"/>
    <n v="5842.61"/>
    <x v="0"/>
    <x v="0"/>
  </r>
  <r>
    <x v="0"/>
    <x v="0"/>
    <x v="0"/>
    <x v="0"/>
    <x v="0"/>
    <n v="2871.89"/>
    <x v="0"/>
    <x v="0"/>
  </r>
  <r>
    <x v="0"/>
    <x v="3"/>
    <x v="0"/>
    <x v="0"/>
    <x v="0"/>
    <n v="5297.36"/>
    <x v="0"/>
    <x v="0"/>
  </r>
  <r>
    <x v="0"/>
    <x v="1"/>
    <x v="3"/>
    <x v="0"/>
    <x v="0"/>
    <n v="621561.65"/>
    <x v="0"/>
    <x v="0"/>
  </r>
  <r>
    <x v="0"/>
    <x v="0"/>
    <x v="1"/>
    <x v="0"/>
    <x v="0"/>
    <n v="829.07"/>
    <x v="0"/>
    <x v="0"/>
  </r>
  <r>
    <x v="0"/>
    <x v="0"/>
    <x v="0"/>
    <x v="0"/>
    <x v="0"/>
    <n v="3418.07"/>
    <x v="0"/>
    <x v="0"/>
  </r>
  <r>
    <x v="0"/>
    <x v="2"/>
    <x v="2"/>
    <x v="0"/>
    <x v="0"/>
    <n v="41924.75"/>
    <x v="0"/>
    <x v="0"/>
  </r>
  <r>
    <x v="0"/>
    <x v="2"/>
    <x v="3"/>
    <x v="0"/>
    <x v="0"/>
    <n v="173597.57"/>
    <x v="0"/>
    <x v="0"/>
  </r>
  <r>
    <x v="0"/>
    <x v="2"/>
    <x v="2"/>
    <x v="0"/>
    <x v="0"/>
    <n v="77642.84"/>
    <x v="0"/>
    <x v="0"/>
  </r>
  <r>
    <x v="0"/>
    <x v="2"/>
    <x v="3"/>
    <x v="0"/>
    <x v="0"/>
    <n v="144964.23"/>
    <x v="0"/>
    <x v="0"/>
  </r>
  <r>
    <x v="0"/>
    <x v="2"/>
    <x v="2"/>
    <x v="0"/>
    <x v="0"/>
    <n v="94038.9"/>
    <x v="0"/>
    <x v="0"/>
  </r>
  <r>
    <x v="0"/>
    <x v="2"/>
    <x v="2"/>
    <x v="0"/>
    <x v="0"/>
    <n v="26051.33"/>
    <x v="0"/>
    <x v="0"/>
  </r>
  <r>
    <x v="0"/>
    <x v="2"/>
    <x v="3"/>
    <x v="0"/>
    <x v="0"/>
    <n v="134143.27"/>
    <x v="0"/>
    <x v="0"/>
  </r>
  <r>
    <x v="0"/>
    <x v="2"/>
    <x v="3"/>
    <x v="0"/>
    <x v="0"/>
    <n v="497424.19"/>
    <x v="0"/>
    <x v="0"/>
  </r>
  <r>
    <x v="0"/>
    <x v="2"/>
    <x v="3"/>
    <x v="0"/>
    <x v="0"/>
    <n v="607616.73"/>
    <x v="0"/>
    <x v="0"/>
  </r>
  <r>
    <x v="0"/>
    <x v="2"/>
    <x v="3"/>
    <x v="0"/>
    <x v="0"/>
    <n v="681093.57"/>
    <x v="0"/>
    <x v="0"/>
  </r>
  <r>
    <x v="0"/>
    <x v="2"/>
    <x v="3"/>
    <x v="0"/>
    <x v="0"/>
    <n v="114057.61"/>
    <x v="0"/>
    <x v="0"/>
  </r>
  <r>
    <x v="0"/>
    <x v="2"/>
    <x v="3"/>
    <x v="0"/>
    <x v="0"/>
    <n v="205279.62"/>
    <x v="0"/>
    <x v="0"/>
  </r>
  <r>
    <x v="0"/>
    <x v="2"/>
    <x v="3"/>
    <x v="0"/>
    <x v="0"/>
    <n v="173512.93"/>
    <x v="0"/>
    <x v="0"/>
  </r>
  <r>
    <x v="0"/>
    <x v="2"/>
    <x v="3"/>
    <x v="0"/>
    <x v="0"/>
    <n v="166817.98"/>
    <x v="0"/>
    <x v="0"/>
  </r>
  <r>
    <x v="0"/>
    <x v="2"/>
    <x v="3"/>
    <x v="0"/>
    <x v="0"/>
    <n v="113283.13"/>
    <x v="0"/>
    <x v="0"/>
  </r>
  <r>
    <x v="0"/>
    <x v="2"/>
    <x v="3"/>
    <x v="0"/>
    <x v="0"/>
    <n v="179030.05"/>
    <x v="0"/>
    <x v="0"/>
  </r>
  <r>
    <x v="0"/>
    <x v="2"/>
    <x v="2"/>
    <x v="0"/>
    <x v="0"/>
    <n v="94332"/>
    <x v="0"/>
    <x v="0"/>
  </r>
  <r>
    <x v="0"/>
    <x v="2"/>
    <x v="3"/>
    <x v="0"/>
    <x v="0"/>
    <n v="141111.15"/>
    <x v="0"/>
    <x v="0"/>
  </r>
  <r>
    <x v="0"/>
    <x v="2"/>
    <x v="2"/>
    <x v="0"/>
    <x v="0"/>
    <n v="45756.23"/>
    <x v="0"/>
    <x v="0"/>
  </r>
  <r>
    <x v="0"/>
    <x v="2"/>
    <x v="0"/>
    <x v="0"/>
    <x v="0"/>
    <n v="6039.61"/>
    <x v="0"/>
    <x v="0"/>
  </r>
  <r>
    <x v="0"/>
    <x v="2"/>
    <x v="2"/>
    <x v="0"/>
    <x v="0"/>
    <n v="46261.02"/>
    <x v="0"/>
    <x v="0"/>
  </r>
  <r>
    <x v="0"/>
    <x v="2"/>
    <x v="3"/>
    <x v="0"/>
    <x v="0"/>
    <n v="312471.16"/>
    <x v="0"/>
    <x v="0"/>
  </r>
  <r>
    <x v="0"/>
    <x v="2"/>
    <x v="3"/>
    <x v="0"/>
    <x v="0"/>
    <n v="195490.04"/>
    <x v="0"/>
    <x v="0"/>
  </r>
  <r>
    <x v="0"/>
    <x v="2"/>
    <x v="3"/>
    <x v="0"/>
    <x v="0"/>
    <n v="107308.84"/>
    <x v="0"/>
    <x v="0"/>
  </r>
  <r>
    <x v="0"/>
    <x v="2"/>
    <x v="2"/>
    <x v="0"/>
    <x v="0"/>
    <n v="48252.82"/>
    <x v="0"/>
    <x v="0"/>
  </r>
  <r>
    <x v="0"/>
    <x v="2"/>
    <x v="2"/>
    <x v="0"/>
    <x v="0"/>
    <n v="25674.03"/>
    <x v="0"/>
    <x v="0"/>
  </r>
  <r>
    <x v="0"/>
    <x v="2"/>
    <x v="2"/>
    <x v="0"/>
    <x v="0"/>
    <n v="63830.49"/>
    <x v="0"/>
    <x v="0"/>
  </r>
  <r>
    <x v="0"/>
    <x v="2"/>
    <x v="2"/>
    <x v="0"/>
    <x v="0"/>
    <n v="96178.8"/>
    <x v="0"/>
    <x v="0"/>
  </r>
  <r>
    <x v="0"/>
    <x v="2"/>
    <x v="3"/>
    <x v="0"/>
    <x v="0"/>
    <n v="155122.86"/>
    <x v="0"/>
    <x v="0"/>
  </r>
  <r>
    <x v="0"/>
    <x v="2"/>
    <x v="3"/>
    <x v="0"/>
    <x v="0"/>
    <n v="171757.76"/>
    <x v="0"/>
    <x v="0"/>
  </r>
  <r>
    <x v="0"/>
    <x v="2"/>
    <x v="0"/>
    <x v="0"/>
    <x v="0"/>
    <n v="8809.04"/>
    <x v="0"/>
    <x v="0"/>
  </r>
  <r>
    <x v="0"/>
    <x v="2"/>
    <x v="2"/>
    <x v="0"/>
    <x v="0"/>
    <n v="27320.2"/>
    <x v="0"/>
    <x v="0"/>
  </r>
  <r>
    <x v="0"/>
    <x v="2"/>
    <x v="3"/>
    <x v="0"/>
    <x v="0"/>
    <n v="517915.91"/>
    <x v="0"/>
    <x v="0"/>
  </r>
  <r>
    <x v="0"/>
    <x v="2"/>
    <x v="2"/>
    <x v="0"/>
    <x v="0"/>
    <n v="34629.16"/>
    <x v="0"/>
    <x v="0"/>
  </r>
  <r>
    <x v="0"/>
    <x v="2"/>
    <x v="2"/>
    <x v="0"/>
    <x v="0"/>
    <n v="94296.25"/>
    <x v="0"/>
    <x v="0"/>
  </r>
  <r>
    <x v="0"/>
    <x v="2"/>
    <x v="3"/>
    <x v="0"/>
    <x v="0"/>
    <n v="285360.06"/>
    <x v="0"/>
    <x v="0"/>
  </r>
  <r>
    <x v="0"/>
    <x v="2"/>
    <x v="3"/>
    <x v="0"/>
    <x v="0"/>
    <n v="161445.91"/>
    <x v="0"/>
    <x v="0"/>
  </r>
  <r>
    <x v="0"/>
    <x v="2"/>
    <x v="3"/>
    <x v="0"/>
    <x v="0"/>
    <n v="386683.04"/>
    <x v="0"/>
    <x v="0"/>
  </r>
  <r>
    <x v="0"/>
    <x v="2"/>
    <x v="3"/>
    <x v="0"/>
    <x v="0"/>
    <n v="169854.57"/>
    <x v="0"/>
    <x v="0"/>
  </r>
  <r>
    <x v="0"/>
    <x v="2"/>
    <x v="3"/>
    <x v="0"/>
    <x v="0"/>
    <n v="126167.7"/>
    <x v="0"/>
    <x v="0"/>
  </r>
  <r>
    <x v="0"/>
    <x v="2"/>
    <x v="3"/>
    <x v="0"/>
    <x v="0"/>
    <n v="152757.58"/>
    <x v="0"/>
    <x v="0"/>
  </r>
  <r>
    <x v="0"/>
    <x v="2"/>
    <x v="2"/>
    <x v="0"/>
    <x v="0"/>
    <n v="49661.18"/>
    <x v="0"/>
    <x v="0"/>
  </r>
  <r>
    <x v="0"/>
    <x v="2"/>
    <x v="2"/>
    <x v="0"/>
    <x v="0"/>
    <n v="73513.5"/>
    <x v="0"/>
    <x v="0"/>
  </r>
  <r>
    <x v="0"/>
    <x v="2"/>
    <x v="3"/>
    <x v="0"/>
    <x v="0"/>
    <n v="166335.32"/>
    <x v="0"/>
    <x v="0"/>
  </r>
  <r>
    <x v="0"/>
    <x v="2"/>
    <x v="3"/>
    <x v="0"/>
    <x v="0"/>
    <n v="234268.82"/>
    <x v="0"/>
    <x v="0"/>
  </r>
  <r>
    <x v="0"/>
    <x v="2"/>
    <x v="3"/>
    <x v="0"/>
    <x v="0"/>
    <n v="306280.12"/>
    <x v="0"/>
    <x v="0"/>
  </r>
  <r>
    <x v="0"/>
    <x v="2"/>
    <x v="3"/>
    <x v="0"/>
    <x v="0"/>
    <n v="194620.68"/>
    <x v="0"/>
    <x v="0"/>
  </r>
  <r>
    <x v="0"/>
    <x v="2"/>
    <x v="3"/>
    <x v="0"/>
    <x v="0"/>
    <n v="128278.74"/>
    <x v="0"/>
    <x v="0"/>
  </r>
  <r>
    <x v="0"/>
    <x v="2"/>
    <x v="3"/>
    <x v="0"/>
    <x v="0"/>
    <n v="256773.54"/>
    <x v="0"/>
    <x v="0"/>
  </r>
  <r>
    <x v="0"/>
    <x v="2"/>
    <x v="3"/>
    <x v="0"/>
    <x v="0"/>
    <n v="105759.12"/>
    <x v="0"/>
    <x v="0"/>
  </r>
  <r>
    <x v="0"/>
    <x v="2"/>
    <x v="2"/>
    <x v="0"/>
    <x v="0"/>
    <n v="59390.46"/>
    <x v="0"/>
    <x v="0"/>
  </r>
  <r>
    <x v="0"/>
    <x v="2"/>
    <x v="3"/>
    <x v="0"/>
    <x v="0"/>
    <n v="131991.26"/>
    <x v="0"/>
    <x v="0"/>
  </r>
  <r>
    <x v="0"/>
    <x v="2"/>
    <x v="2"/>
    <x v="0"/>
    <x v="0"/>
    <n v="65025.3"/>
    <x v="0"/>
    <x v="0"/>
  </r>
  <r>
    <x v="0"/>
    <x v="2"/>
    <x v="2"/>
    <x v="0"/>
    <x v="0"/>
    <n v="82054.36"/>
    <x v="0"/>
    <x v="0"/>
  </r>
  <r>
    <x v="0"/>
    <x v="2"/>
    <x v="2"/>
    <x v="0"/>
    <x v="0"/>
    <n v="69708.79"/>
    <x v="0"/>
    <x v="0"/>
  </r>
  <r>
    <x v="0"/>
    <x v="2"/>
    <x v="0"/>
    <x v="0"/>
    <x v="0"/>
    <n v="9104.26"/>
    <x v="0"/>
    <x v="0"/>
  </r>
  <r>
    <x v="0"/>
    <x v="2"/>
    <x v="2"/>
    <x v="0"/>
    <x v="0"/>
    <n v="92553.64"/>
    <x v="0"/>
    <x v="0"/>
  </r>
  <r>
    <x v="0"/>
    <x v="2"/>
    <x v="2"/>
    <x v="0"/>
    <x v="0"/>
    <n v="66312.08"/>
    <x v="0"/>
    <x v="0"/>
  </r>
  <r>
    <x v="0"/>
    <x v="2"/>
    <x v="3"/>
    <x v="0"/>
    <x v="0"/>
    <n v="142282.63"/>
    <x v="0"/>
    <x v="0"/>
  </r>
  <r>
    <x v="0"/>
    <x v="2"/>
    <x v="3"/>
    <x v="0"/>
    <x v="0"/>
    <n v="114499.14"/>
    <x v="0"/>
    <x v="0"/>
  </r>
  <r>
    <x v="0"/>
    <x v="2"/>
    <x v="2"/>
    <x v="0"/>
    <x v="0"/>
    <n v="76635.24"/>
    <x v="0"/>
    <x v="0"/>
  </r>
  <r>
    <x v="0"/>
    <x v="2"/>
    <x v="3"/>
    <x v="0"/>
    <x v="0"/>
    <n v="132574"/>
    <x v="0"/>
    <x v="0"/>
  </r>
  <r>
    <x v="0"/>
    <x v="2"/>
    <x v="2"/>
    <x v="0"/>
    <x v="0"/>
    <n v="39485.21"/>
    <x v="0"/>
    <x v="0"/>
  </r>
  <r>
    <x v="0"/>
    <x v="2"/>
    <x v="3"/>
    <x v="0"/>
    <x v="0"/>
    <n v="236825.42"/>
    <x v="0"/>
    <x v="0"/>
  </r>
  <r>
    <x v="0"/>
    <x v="2"/>
    <x v="3"/>
    <x v="0"/>
    <x v="0"/>
    <n v="327066.19"/>
    <x v="0"/>
    <x v="0"/>
  </r>
  <r>
    <x v="0"/>
    <x v="2"/>
    <x v="3"/>
    <x v="0"/>
    <x v="0"/>
    <n v="156819.6"/>
    <x v="0"/>
    <x v="0"/>
  </r>
  <r>
    <x v="0"/>
    <x v="2"/>
    <x v="2"/>
    <x v="0"/>
    <x v="0"/>
    <n v="13136.44"/>
    <x v="0"/>
    <x v="0"/>
  </r>
  <r>
    <x v="0"/>
    <x v="0"/>
    <x v="0"/>
    <x v="0"/>
    <x v="0"/>
    <n v="4306.89"/>
    <x v="0"/>
    <x v="0"/>
  </r>
  <r>
    <x v="0"/>
    <x v="0"/>
    <x v="0"/>
    <x v="0"/>
    <x v="0"/>
    <n v="8309.52"/>
    <x v="0"/>
    <x v="0"/>
  </r>
  <r>
    <x v="0"/>
    <x v="0"/>
    <x v="0"/>
    <x v="0"/>
    <x v="0"/>
    <n v="5363.35"/>
    <x v="0"/>
    <x v="0"/>
  </r>
  <r>
    <x v="0"/>
    <x v="0"/>
    <x v="1"/>
    <x v="0"/>
    <x v="0"/>
    <n v="132.42"/>
    <x v="0"/>
    <x v="0"/>
  </r>
  <r>
    <x v="0"/>
    <x v="0"/>
    <x v="2"/>
    <x v="0"/>
    <x v="0"/>
    <n v="19644.08"/>
    <x v="0"/>
    <x v="0"/>
  </r>
  <r>
    <x v="0"/>
    <x v="0"/>
    <x v="1"/>
    <x v="0"/>
    <x v="0"/>
    <n v="895.24"/>
    <x v="0"/>
    <x v="0"/>
  </r>
  <r>
    <x v="0"/>
    <x v="0"/>
    <x v="0"/>
    <x v="0"/>
    <x v="0"/>
    <n v="7641.08"/>
    <x v="0"/>
    <x v="0"/>
  </r>
  <r>
    <x v="0"/>
    <x v="0"/>
    <x v="2"/>
    <x v="0"/>
    <x v="0"/>
    <n v="31188.22"/>
    <x v="0"/>
    <x v="0"/>
  </r>
  <r>
    <x v="0"/>
    <x v="0"/>
    <x v="2"/>
    <x v="0"/>
    <x v="0"/>
    <n v="13954.75"/>
    <x v="0"/>
    <x v="0"/>
  </r>
  <r>
    <x v="0"/>
    <x v="0"/>
    <x v="2"/>
    <x v="0"/>
    <x v="0"/>
    <n v="10497.33"/>
    <x v="0"/>
    <x v="0"/>
  </r>
  <r>
    <x v="0"/>
    <x v="0"/>
    <x v="0"/>
    <x v="0"/>
    <x v="0"/>
    <n v="5843.75"/>
    <x v="0"/>
    <x v="0"/>
  </r>
  <r>
    <x v="0"/>
    <x v="0"/>
    <x v="0"/>
    <x v="0"/>
    <x v="0"/>
    <n v="7260.2"/>
    <x v="0"/>
    <x v="0"/>
  </r>
  <r>
    <x v="0"/>
    <x v="0"/>
    <x v="2"/>
    <x v="0"/>
    <x v="0"/>
    <n v="10285.86"/>
    <x v="0"/>
    <x v="0"/>
  </r>
  <r>
    <x v="0"/>
    <x v="0"/>
    <x v="0"/>
    <x v="0"/>
    <x v="0"/>
    <n v="6249.78"/>
    <x v="0"/>
    <x v="0"/>
  </r>
  <r>
    <x v="0"/>
    <x v="0"/>
    <x v="1"/>
    <x v="0"/>
    <x v="0"/>
    <n v="848.74"/>
    <x v="0"/>
    <x v="0"/>
  </r>
  <r>
    <x v="0"/>
    <x v="0"/>
    <x v="0"/>
    <x v="0"/>
    <x v="0"/>
    <n v="6993.7"/>
    <x v="0"/>
    <x v="0"/>
  </r>
  <r>
    <x v="0"/>
    <x v="0"/>
    <x v="1"/>
    <x v="0"/>
    <x v="0"/>
    <n v="795.29"/>
    <x v="0"/>
    <x v="0"/>
  </r>
  <r>
    <x v="0"/>
    <x v="0"/>
    <x v="0"/>
    <x v="0"/>
    <x v="0"/>
    <n v="9191.46"/>
    <x v="0"/>
    <x v="0"/>
  </r>
  <r>
    <x v="0"/>
    <x v="2"/>
    <x v="3"/>
    <x v="0"/>
    <x v="0"/>
    <n v="132038.41"/>
    <x v="0"/>
    <x v="0"/>
  </r>
  <r>
    <x v="0"/>
    <x v="0"/>
    <x v="0"/>
    <x v="0"/>
    <x v="0"/>
    <n v="6495.27"/>
    <x v="0"/>
    <x v="0"/>
  </r>
  <r>
    <x v="0"/>
    <x v="0"/>
    <x v="0"/>
    <x v="0"/>
    <x v="0"/>
    <n v="1679.68"/>
    <x v="0"/>
    <x v="0"/>
  </r>
  <r>
    <x v="0"/>
    <x v="1"/>
    <x v="2"/>
    <x v="0"/>
    <x v="0"/>
    <n v="47477.97"/>
    <x v="0"/>
    <x v="0"/>
  </r>
  <r>
    <x v="0"/>
    <x v="3"/>
    <x v="0"/>
    <x v="0"/>
    <x v="0"/>
    <n v="1260.62"/>
    <x v="0"/>
    <x v="0"/>
  </r>
  <r>
    <x v="0"/>
    <x v="0"/>
    <x v="2"/>
    <x v="0"/>
    <x v="0"/>
    <n v="15034.23"/>
    <x v="0"/>
    <x v="0"/>
  </r>
  <r>
    <x v="0"/>
    <x v="0"/>
    <x v="0"/>
    <x v="0"/>
    <x v="0"/>
    <n v="3238.39"/>
    <x v="0"/>
    <x v="0"/>
  </r>
  <r>
    <x v="0"/>
    <x v="2"/>
    <x v="3"/>
    <x v="0"/>
    <x v="0"/>
    <n v="251241.14"/>
    <x v="0"/>
    <x v="0"/>
  </r>
  <r>
    <x v="0"/>
    <x v="0"/>
    <x v="0"/>
    <x v="0"/>
    <x v="0"/>
    <n v="3644.12"/>
    <x v="0"/>
    <x v="0"/>
  </r>
  <r>
    <x v="0"/>
    <x v="2"/>
    <x v="3"/>
    <x v="0"/>
    <x v="0"/>
    <n v="283123.48"/>
    <x v="0"/>
    <x v="0"/>
  </r>
  <r>
    <x v="0"/>
    <x v="0"/>
    <x v="0"/>
    <x v="0"/>
    <x v="0"/>
    <n v="2851.83"/>
    <x v="0"/>
    <x v="0"/>
  </r>
  <r>
    <x v="0"/>
    <x v="4"/>
    <x v="2"/>
    <x v="0"/>
    <x v="0"/>
    <n v="94726.64"/>
    <x v="0"/>
    <x v="0"/>
  </r>
  <r>
    <x v="0"/>
    <x v="0"/>
    <x v="2"/>
    <x v="0"/>
    <x v="0"/>
    <n v="17020.69"/>
    <x v="0"/>
    <x v="0"/>
  </r>
  <r>
    <x v="0"/>
    <x v="0"/>
    <x v="0"/>
    <x v="0"/>
    <x v="0"/>
    <n v="6523.19"/>
    <x v="0"/>
    <x v="0"/>
  </r>
  <r>
    <x v="0"/>
    <x v="0"/>
    <x v="0"/>
    <x v="0"/>
    <x v="0"/>
    <n v="1383.56"/>
    <x v="0"/>
    <x v="0"/>
  </r>
  <r>
    <x v="0"/>
    <x v="3"/>
    <x v="0"/>
    <x v="0"/>
    <x v="0"/>
    <n v="1580.66"/>
    <x v="0"/>
    <x v="0"/>
  </r>
  <r>
    <x v="0"/>
    <x v="0"/>
    <x v="0"/>
    <x v="0"/>
    <x v="0"/>
    <n v="2466.95"/>
    <x v="0"/>
    <x v="0"/>
  </r>
  <r>
    <x v="0"/>
    <x v="0"/>
    <x v="0"/>
    <x v="0"/>
    <x v="0"/>
    <n v="1017.85"/>
    <x v="0"/>
    <x v="0"/>
  </r>
  <r>
    <x v="0"/>
    <x v="0"/>
    <x v="0"/>
    <x v="0"/>
    <x v="0"/>
    <n v="2270.41"/>
    <x v="0"/>
    <x v="0"/>
  </r>
  <r>
    <x v="0"/>
    <x v="2"/>
    <x v="3"/>
    <x v="0"/>
    <x v="0"/>
    <n v="102265.88"/>
    <x v="0"/>
    <x v="0"/>
  </r>
  <r>
    <x v="0"/>
    <x v="3"/>
    <x v="2"/>
    <x v="0"/>
    <x v="0"/>
    <n v="13758.63"/>
    <x v="0"/>
    <x v="0"/>
  </r>
  <r>
    <x v="0"/>
    <x v="4"/>
    <x v="0"/>
    <x v="0"/>
    <x v="0"/>
    <n v="5221.77"/>
    <x v="0"/>
    <x v="0"/>
  </r>
  <r>
    <x v="0"/>
    <x v="0"/>
    <x v="2"/>
    <x v="0"/>
    <x v="0"/>
    <n v="12256.66"/>
    <x v="0"/>
    <x v="0"/>
  </r>
  <r>
    <x v="0"/>
    <x v="0"/>
    <x v="0"/>
    <x v="0"/>
    <x v="0"/>
    <n v="8227.3"/>
    <x v="0"/>
    <x v="0"/>
  </r>
  <r>
    <x v="0"/>
    <x v="0"/>
    <x v="1"/>
    <x v="0"/>
    <x v="0"/>
    <n v="527.15"/>
    <x v="0"/>
    <x v="0"/>
  </r>
  <r>
    <x v="0"/>
    <x v="0"/>
    <x v="1"/>
    <x v="0"/>
    <x v="0"/>
    <n v="950.25"/>
    <x v="0"/>
    <x v="0"/>
  </r>
  <r>
    <x v="0"/>
    <x v="0"/>
    <x v="2"/>
    <x v="0"/>
    <x v="0"/>
    <n v="12728.46"/>
    <x v="0"/>
    <x v="0"/>
  </r>
  <r>
    <x v="0"/>
    <x v="0"/>
    <x v="0"/>
    <x v="0"/>
    <x v="0"/>
    <n v="1002.96"/>
    <x v="0"/>
    <x v="0"/>
  </r>
  <r>
    <x v="0"/>
    <x v="0"/>
    <x v="0"/>
    <x v="0"/>
    <x v="0"/>
    <n v="6917.1"/>
    <x v="0"/>
    <x v="0"/>
  </r>
  <r>
    <x v="0"/>
    <x v="0"/>
    <x v="0"/>
    <x v="0"/>
    <x v="0"/>
    <n v="1977.17"/>
    <x v="0"/>
    <x v="0"/>
  </r>
  <r>
    <x v="0"/>
    <x v="0"/>
    <x v="0"/>
    <x v="0"/>
    <x v="0"/>
    <n v="9314.84"/>
    <x v="0"/>
    <x v="0"/>
  </r>
  <r>
    <x v="0"/>
    <x v="0"/>
    <x v="0"/>
    <x v="0"/>
    <x v="0"/>
    <n v="1157.05"/>
    <x v="0"/>
    <x v="0"/>
  </r>
  <r>
    <x v="0"/>
    <x v="3"/>
    <x v="0"/>
    <x v="0"/>
    <x v="0"/>
    <n v="3766.99"/>
    <x v="0"/>
    <x v="0"/>
  </r>
  <r>
    <x v="0"/>
    <x v="0"/>
    <x v="0"/>
    <x v="0"/>
    <x v="0"/>
    <n v="3464.41"/>
    <x v="0"/>
    <x v="0"/>
  </r>
  <r>
    <x v="0"/>
    <x v="2"/>
    <x v="2"/>
    <x v="0"/>
    <x v="0"/>
    <n v="68662.06"/>
    <x v="0"/>
    <x v="0"/>
  </r>
  <r>
    <x v="0"/>
    <x v="3"/>
    <x v="0"/>
    <x v="0"/>
    <x v="0"/>
    <n v="8679.29"/>
    <x v="0"/>
    <x v="0"/>
  </r>
  <r>
    <x v="0"/>
    <x v="0"/>
    <x v="2"/>
    <x v="0"/>
    <x v="0"/>
    <n v="15266.05"/>
    <x v="0"/>
    <x v="0"/>
  </r>
  <r>
    <x v="0"/>
    <x v="0"/>
    <x v="0"/>
    <x v="0"/>
    <x v="0"/>
    <n v="8348.75"/>
    <x v="0"/>
    <x v="0"/>
  </r>
  <r>
    <x v="0"/>
    <x v="0"/>
    <x v="0"/>
    <x v="0"/>
    <x v="0"/>
    <n v="8419.73"/>
    <x v="0"/>
    <x v="0"/>
  </r>
  <r>
    <x v="0"/>
    <x v="0"/>
    <x v="0"/>
    <x v="0"/>
    <x v="0"/>
    <n v="6688.74"/>
    <x v="0"/>
    <x v="0"/>
  </r>
  <r>
    <x v="0"/>
    <x v="0"/>
    <x v="0"/>
    <x v="0"/>
    <x v="0"/>
    <n v="1979.94"/>
    <x v="0"/>
    <x v="0"/>
  </r>
  <r>
    <x v="0"/>
    <x v="0"/>
    <x v="0"/>
    <x v="0"/>
    <x v="0"/>
    <n v="9574.31"/>
    <x v="0"/>
    <x v="0"/>
  </r>
  <r>
    <x v="0"/>
    <x v="0"/>
    <x v="0"/>
    <x v="0"/>
    <x v="0"/>
    <n v="5287.68"/>
    <x v="0"/>
    <x v="0"/>
  </r>
  <r>
    <x v="0"/>
    <x v="0"/>
    <x v="2"/>
    <x v="0"/>
    <x v="0"/>
    <n v="10627.18"/>
    <x v="0"/>
    <x v="0"/>
  </r>
  <r>
    <x v="0"/>
    <x v="0"/>
    <x v="0"/>
    <x v="0"/>
    <x v="0"/>
    <n v="5809.78"/>
    <x v="0"/>
    <x v="0"/>
  </r>
  <r>
    <x v="0"/>
    <x v="1"/>
    <x v="3"/>
    <x v="0"/>
    <x v="0"/>
    <n v="411363.54"/>
    <x v="0"/>
    <x v="0"/>
  </r>
  <r>
    <x v="0"/>
    <x v="0"/>
    <x v="0"/>
    <x v="0"/>
    <x v="0"/>
    <n v="4086.5"/>
    <x v="0"/>
    <x v="0"/>
  </r>
  <r>
    <x v="0"/>
    <x v="0"/>
    <x v="2"/>
    <x v="0"/>
    <x v="0"/>
    <n v="19741.22"/>
    <x v="0"/>
    <x v="0"/>
  </r>
  <r>
    <x v="0"/>
    <x v="0"/>
    <x v="0"/>
    <x v="0"/>
    <x v="0"/>
    <n v="5270.72"/>
    <x v="0"/>
    <x v="0"/>
  </r>
  <r>
    <x v="0"/>
    <x v="4"/>
    <x v="2"/>
    <x v="0"/>
    <x v="0"/>
    <n v="55827.09"/>
    <x v="0"/>
    <x v="0"/>
  </r>
  <r>
    <x v="0"/>
    <x v="2"/>
    <x v="3"/>
    <x v="0"/>
    <x v="0"/>
    <n v="174068.82"/>
    <x v="0"/>
    <x v="0"/>
  </r>
  <r>
    <x v="0"/>
    <x v="1"/>
    <x v="4"/>
    <x v="1"/>
    <x v="0"/>
    <n v="1277212.77"/>
    <x v="1"/>
    <x v="5"/>
  </r>
  <r>
    <x v="0"/>
    <x v="2"/>
    <x v="4"/>
    <x v="1"/>
    <x v="0"/>
    <n v="1277212.77"/>
    <x v="1"/>
    <x v="5"/>
  </r>
  <r>
    <x v="0"/>
    <x v="4"/>
    <x v="2"/>
    <x v="0"/>
    <x v="0"/>
    <n v="24105.5"/>
    <x v="0"/>
    <x v="0"/>
  </r>
  <r>
    <x v="0"/>
    <x v="0"/>
    <x v="0"/>
    <x v="0"/>
    <x v="0"/>
    <n v="6854.06"/>
    <x v="0"/>
    <x v="0"/>
  </r>
  <r>
    <x v="0"/>
    <x v="2"/>
    <x v="3"/>
    <x v="0"/>
    <x v="0"/>
    <n v="111899.09"/>
    <x v="0"/>
    <x v="0"/>
  </r>
  <r>
    <x v="0"/>
    <x v="0"/>
    <x v="0"/>
    <x v="0"/>
    <x v="0"/>
    <n v="1231.79"/>
    <x v="0"/>
    <x v="0"/>
  </r>
  <r>
    <x v="0"/>
    <x v="0"/>
    <x v="0"/>
    <x v="0"/>
    <x v="0"/>
    <n v="3380.1"/>
    <x v="0"/>
    <x v="0"/>
  </r>
  <r>
    <x v="0"/>
    <x v="3"/>
    <x v="0"/>
    <x v="0"/>
    <x v="0"/>
    <n v="2869.65"/>
    <x v="0"/>
    <x v="0"/>
  </r>
  <r>
    <x v="0"/>
    <x v="0"/>
    <x v="0"/>
    <x v="0"/>
    <x v="0"/>
    <n v="1658.87"/>
    <x v="0"/>
    <x v="0"/>
  </r>
  <r>
    <x v="0"/>
    <x v="0"/>
    <x v="1"/>
    <x v="0"/>
    <x v="0"/>
    <n v="823.36"/>
    <x v="0"/>
    <x v="0"/>
  </r>
  <r>
    <x v="0"/>
    <x v="0"/>
    <x v="0"/>
    <x v="0"/>
    <x v="0"/>
    <n v="7541.47"/>
    <x v="0"/>
    <x v="0"/>
  </r>
  <r>
    <x v="0"/>
    <x v="3"/>
    <x v="0"/>
    <x v="0"/>
    <x v="0"/>
    <n v="3635.93"/>
    <x v="0"/>
    <x v="0"/>
  </r>
  <r>
    <x v="0"/>
    <x v="0"/>
    <x v="0"/>
    <x v="0"/>
    <x v="0"/>
    <n v="1328.59"/>
    <x v="0"/>
    <x v="0"/>
  </r>
  <r>
    <x v="0"/>
    <x v="1"/>
    <x v="2"/>
    <x v="0"/>
    <x v="0"/>
    <n v="56145.85"/>
    <x v="0"/>
    <x v="0"/>
  </r>
  <r>
    <x v="0"/>
    <x v="0"/>
    <x v="1"/>
    <x v="0"/>
    <x v="0"/>
    <n v="973.18"/>
    <x v="0"/>
    <x v="0"/>
  </r>
  <r>
    <x v="0"/>
    <x v="0"/>
    <x v="1"/>
    <x v="0"/>
    <x v="0"/>
    <n v="619.24"/>
    <x v="0"/>
    <x v="0"/>
  </r>
  <r>
    <x v="0"/>
    <x v="3"/>
    <x v="1"/>
    <x v="0"/>
    <x v="0"/>
    <n v="300.41"/>
    <x v="0"/>
    <x v="0"/>
  </r>
  <r>
    <x v="0"/>
    <x v="1"/>
    <x v="3"/>
    <x v="0"/>
    <x v="0"/>
    <n v="700967.19"/>
    <x v="0"/>
    <x v="0"/>
  </r>
  <r>
    <x v="0"/>
    <x v="0"/>
    <x v="0"/>
    <x v="0"/>
    <x v="0"/>
    <n v="8354.27"/>
    <x v="0"/>
    <x v="0"/>
  </r>
  <r>
    <x v="0"/>
    <x v="3"/>
    <x v="0"/>
    <x v="0"/>
    <x v="0"/>
    <n v="5423.28"/>
    <x v="0"/>
    <x v="0"/>
  </r>
  <r>
    <x v="0"/>
    <x v="0"/>
    <x v="1"/>
    <x v="0"/>
    <x v="0"/>
    <n v="708.59"/>
    <x v="0"/>
    <x v="0"/>
  </r>
  <r>
    <x v="0"/>
    <x v="0"/>
    <x v="0"/>
    <x v="0"/>
    <x v="0"/>
    <n v="8358.81"/>
    <x v="0"/>
    <x v="0"/>
  </r>
  <r>
    <x v="0"/>
    <x v="0"/>
    <x v="0"/>
    <x v="0"/>
    <x v="0"/>
    <n v="2245.62"/>
    <x v="0"/>
    <x v="0"/>
  </r>
  <r>
    <x v="0"/>
    <x v="0"/>
    <x v="0"/>
    <x v="0"/>
    <x v="0"/>
    <n v="4593.59"/>
    <x v="0"/>
    <x v="0"/>
  </r>
  <r>
    <x v="0"/>
    <x v="0"/>
    <x v="1"/>
    <x v="0"/>
    <x v="0"/>
    <n v="399.66"/>
    <x v="0"/>
    <x v="0"/>
  </r>
  <r>
    <x v="0"/>
    <x v="0"/>
    <x v="0"/>
    <x v="0"/>
    <x v="0"/>
    <n v="1617.9"/>
    <x v="0"/>
    <x v="0"/>
  </r>
  <r>
    <x v="0"/>
    <x v="0"/>
    <x v="0"/>
    <x v="0"/>
    <x v="0"/>
    <n v="2167.26"/>
    <x v="0"/>
    <x v="0"/>
  </r>
  <r>
    <x v="0"/>
    <x v="0"/>
    <x v="0"/>
    <x v="0"/>
    <x v="0"/>
    <n v="9738.95"/>
    <x v="0"/>
    <x v="0"/>
  </r>
  <r>
    <x v="0"/>
    <x v="0"/>
    <x v="0"/>
    <x v="0"/>
    <x v="0"/>
    <n v="3396.25"/>
    <x v="0"/>
    <x v="0"/>
  </r>
  <r>
    <x v="0"/>
    <x v="0"/>
    <x v="0"/>
    <x v="0"/>
    <x v="0"/>
    <n v="6780.78"/>
    <x v="0"/>
    <x v="0"/>
  </r>
  <r>
    <x v="0"/>
    <x v="0"/>
    <x v="0"/>
    <x v="0"/>
    <x v="0"/>
    <n v="2284.54"/>
    <x v="0"/>
    <x v="0"/>
  </r>
  <r>
    <x v="0"/>
    <x v="0"/>
    <x v="1"/>
    <x v="0"/>
    <x v="0"/>
    <n v="502.61"/>
    <x v="0"/>
    <x v="0"/>
  </r>
  <r>
    <x v="0"/>
    <x v="0"/>
    <x v="0"/>
    <x v="0"/>
    <x v="0"/>
    <n v="8716.47"/>
    <x v="0"/>
    <x v="0"/>
  </r>
  <r>
    <x v="0"/>
    <x v="2"/>
    <x v="3"/>
    <x v="0"/>
    <x v="0"/>
    <n v="209370.56"/>
    <x v="0"/>
    <x v="0"/>
  </r>
  <r>
    <x v="0"/>
    <x v="2"/>
    <x v="3"/>
    <x v="0"/>
    <x v="0"/>
    <n v="117023.79"/>
    <x v="0"/>
    <x v="0"/>
  </r>
  <r>
    <x v="0"/>
    <x v="0"/>
    <x v="2"/>
    <x v="0"/>
    <x v="0"/>
    <n v="10891.96"/>
    <x v="0"/>
    <x v="0"/>
  </r>
  <r>
    <x v="0"/>
    <x v="0"/>
    <x v="0"/>
    <x v="0"/>
    <x v="0"/>
    <n v="4149.86"/>
    <x v="0"/>
    <x v="0"/>
  </r>
  <r>
    <x v="0"/>
    <x v="0"/>
    <x v="2"/>
    <x v="0"/>
    <x v="0"/>
    <n v="13252.81"/>
    <x v="0"/>
    <x v="0"/>
  </r>
  <r>
    <x v="0"/>
    <x v="0"/>
    <x v="0"/>
    <x v="0"/>
    <x v="0"/>
    <n v="1213.64"/>
    <x v="0"/>
    <x v="0"/>
  </r>
  <r>
    <x v="0"/>
    <x v="0"/>
    <x v="0"/>
    <x v="0"/>
    <x v="0"/>
    <n v="5800.85"/>
    <x v="0"/>
    <x v="0"/>
  </r>
  <r>
    <x v="0"/>
    <x v="0"/>
    <x v="0"/>
    <x v="0"/>
    <x v="0"/>
    <n v="8094.53"/>
    <x v="0"/>
    <x v="0"/>
  </r>
  <r>
    <x v="0"/>
    <x v="0"/>
    <x v="0"/>
    <x v="0"/>
    <x v="0"/>
    <n v="3825.39"/>
    <x v="0"/>
    <x v="0"/>
  </r>
  <r>
    <x v="0"/>
    <x v="0"/>
    <x v="2"/>
    <x v="0"/>
    <x v="0"/>
    <n v="12162.01"/>
    <x v="0"/>
    <x v="0"/>
  </r>
  <r>
    <x v="0"/>
    <x v="2"/>
    <x v="3"/>
    <x v="0"/>
    <x v="0"/>
    <n v="472385.25"/>
    <x v="0"/>
    <x v="0"/>
  </r>
  <r>
    <x v="0"/>
    <x v="0"/>
    <x v="2"/>
    <x v="0"/>
    <x v="0"/>
    <n v="13427.34"/>
    <x v="0"/>
    <x v="0"/>
  </r>
  <r>
    <x v="0"/>
    <x v="0"/>
    <x v="0"/>
    <x v="0"/>
    <x v="0"/>
    <n v="1873.13"/>
    <x v="0"/>
    <x v="0"/>
  </r>
  <r>
    <x v="0"/>
    <x v="0"/>
    <x v="0"/>
    <x v="0"/>
    <x v="0"/>
    <n v="6443.58"/>
    <x v="0"/>
    <x v="0"/>
  </r>
  <r>
    <x v="0"/>
    <x v="0"/>
    <x v="0"/>
    <x v="0"/>
    <x v="0"/>
    <n v="4008.01"/>
    <x v="0"/>
    <x v="0"/>
  </r>
  <r>
    <x v="0"/>
    <x v="2"/>
    <x v="3"/>
    <x v="0"/>
    <x v="0"/>
    <n v="197186.52"/>
    <x v="0"/>
    <x v="0"/>
  </r>
  <r>
    <x v="0"/>
    <x v="0"/>
    <x v="0"/>
    <x v="0"/>
    <x v="0"/>
    <n v="1220.37"/>
    <x v="0"/>
    <x v="0"/>
  </r>
  <r>
    <x v="0"/>
    <x v="3"/>
    <x v="0"/>
    <x v="0"/>
    <x v="0"/>
    <n v="1683.95"/>
    <x v="0"/>
    <x v="0"/>
  </r>
  <r>
    <x v="0"/>
    <x v="0"/>
    <x v="0"/>
    <x v="0"/>
    <x v="0"/>
    <n v="2713.67"/>
    <x v="0"/>
    <x v="0"/>
  </r>
  <r>
    <x v="0"/>
    <x v="0"/>
    <x v="0"/>
    <x v="0"/>
    <x v="0"/>
    <n v="4867.56"/>
    <x v="0"/>
    <x v="0"/>
  </r>
  <r>
    <x v="0"/>
    <x v="2"/>
    <x v="3"/>
    <x v="0"/>
    <x v="0"/>
    <n v="242940.23"/>
    <x v="0"/>
    <x v="0"/>
  </r>
  <r>
    <x v="0"/>
    <x v="0"/>
    <x v="0"/>
    <x v="0"/>
    <x v="0"/>
    <n v="4433.98"/>
    <x v="0"/>
    <x v="0"/>
  </r>
  <r>
    <x v="0"/>
    <x v="0"/>
    <x v="0"/>
    <x v="0"/>
    <x v="0"/>
    <n v="2168.8"/>
    <x v="0"/>
    <x v="0"/>
  </r>
  <r>
    <x v="0"/>
    <x v="0"/>
    <x v="2"/>
    <x v="0"/>
    <x v="0"/>
    <n v="10059.7"/>
    <x v="0"/>
    <x v="0"/>
  </r>
  <r>
    <x v="0"/>
    <x v="0"/>
    <x v="0"/>
    <x v="0"/>
    <x v="0"/>
    <n v="8092.1"/>
    <x v="0"/>
    <x v="0"/>
  </r>
  <r>
    <x v="0"/>
    <x v="0"/>
    <x v="2"/>
    <x v="0"/>
    <x v="0"/>
    <n v="11770.54"/>
    <x v="0"/>
    <x v="0"/>
  </r>
  <r>
    <x v="0"/>
    <x v="0"/>
    <x v="0"/>
    <x v="0"/>
    <x v="0"/>
    <n v="1576.78"/>
    <x v="0"/>
    <x v="0"/>
  </r>
  <r>
    <x v="0"/>
    <x v="0"/>
    <x v="1"/>
    <x v="0"/>
    <x v="0"/>
    <n v="320.53"/>
    <x v="0"/>
    <x v="0"/>
  </r>
  <r>
    <x v="0"/>
    <x v="3"/>
    <x v="0"/>
    <x v="0"/>
    <x v="0"/>
    <n v="3390.74"/>
    <x v="0"/>
    <x v="0"/>
  </r>
  <r>
    <x v="0"/>
    <x v="0"/>
    <x v="0"/>
    <x v="0"/>
    <x v="0"/>
    <n v="2736.35"/>
    <x v="0"/>
    <x v="0"/>
  </r>
  <r>
    <x v="0"/>
    <x v="0"/>
    <x v="0"/>
    <x v="0"/>
    <x v="0"/>
    <n v="6029.92"/>
    <x v="0"/>
    <x v="0"/>
  </r>
  <r>
    <x v="0"/>
    <x v="0"/>
    <x v="0"/>
    <x v="0"/>
    <x v="0"/>
    <n v="7506.65"/>
    <x v="0"/>
    <x v="0"/>
  </r>
  <r>
    <x v="0"/>
    <x v="0"/>
    <x v="2"/>
    <x v="0"/>
    <x v="0"/>
    <n v="12621.09"/>
    <x v="0"/>
    <x v="0"/>
  </r>
  <r>
    <x v="0"/>
    <x v="0"/>
    <x v="0"/>
    <x v="0"/>
    <x v="0"/>
    <n v="1582.67"/>
    <x v="0"/>
    <x v="0"/>
  </r>
  <r>
    <x v="0"/>
    <x v="0"/>
    <x v="1"/>
    <x v="0"/>
    <x v="0"/>
    <n v="881.26"/>
    <x v="0"/>
    <x v="0"/>
  </r>
  <r>
    <x v="0"/>
    <x v="3"/>
    <x v="0"/>
    <x v="0"/>
    <x v="0"/>
    <n v="4651.67"/>
    <x v="0"/>
    <x v="0"/>
  </r>
  <r>
    <x v="0"/>
    <x v="0"/>
    <x v="0"/>
    <x v="0"/>
    <x v="0"/>
    <n v="8074.16"/>
    <x v="0"/>
    <x v="0"/>
  </r>
  <r>
    <x v="0"/>
    <x v="0"/>
    <x v="0"/>
    <x v="0"/>
    <x v="0"/>
    <n v="4337.08"/>
    <x v="0"/>
    <x v="0"/>
  </r>
  <r>
    <x v="0"/>
    <x v="3"/>
    <x v="1"/>
    <x v="0"/>
    <x v="0"/>
    <n v="429.42"/>
    <x v="0"/>
    <x v="0"/>
  </r>
  <r>
    <x v="0"/>
    <x v="0"/>
    <x v="0"/>
    <x v="0"/>
    <x v="0"/>
    <n v="7645.96"/>
    <x v="0"/>
    <x v="0"/>
  </r>
  <r>
    <x v="0"/>
    <x v="1"/>
    <x v="3"/>
    <x v="0"/>
    <x v="0"/>
    <n v="221654.28"/>
    <x v="0"/>
    <x v="0"/>
  </r>
  <r>
    <x v="0"/>
    <x v="0"/>
    <x v="2"/>
    <x v="0"/>
    <x v="0"/>
    <n v="10932.41"/>
    <x v="0"/>
    <x v="0"/>
  </r>
  <r>
    <x v="0"/>
    <x v="0"/>
    <x v="0"/>
    <x v="0"/>
    <x v="0"/>
    <n v="4518.42"/>
    <x v="0"/>
    <x v="0"/>
  </r>
  <r>
    <x v="0"/>
    <x v="0"/>
    <x v="0"/>
    <x v="0"/>
    <x v="0"/>
    <n v="1616.52"/>
    <x v="0"/>
    <x v="0"/>
  </r>
  <r>
    <x v="0"/>
    <x v="0"/>
    <x v="0"/>
    <x v="0"/>
    <x v="0"/>
    <n v="3545.37"/>
    <x v="0"/>
    <x v="0"/>
  </r>
  <r>
    <x v="0"/>
    <x v="4"/>
    <x v="3"/>
    <x v="0"/>
    <x v="0"/>
    <n v="159334.62"/>
    <x v="0"/>
    <x v="0"/>
  </r>
  <r>
    <x v="0"/>
    <x v="2"/>
    <x v="3"/>
    <x v="0"/>
    <x v="0"/>
    <n v="334262.17"/>
    <x v="0"/>
    <x v="0"/>
  </r>
  <r>
    <x v="0"/>
    <x v="0"/>
    <x v="0"/>
    <x v="0"/>
    <x v="0"/>
    <n v="5403.87"/>
    <x v="0"/>
    <x v="0"/>
  </r>
  <r>
    <x v="0"/>
    <x v="0"/>
    <x v="2"/>
    <x v="0"/>
    <x v="0"/>
    <n v="13288.84"/>
    <x v="0"/>
    <x v="0"/>
  </r>
  <r>
    <x v="0"/>
    <x v="0"/>
    <x v="0"/>
    <x v="0"/>
    <x v="0"/>
    <n v="7079.24"/>
    <x v="0"/>
    <x v="0"/>
  </r>
  <r>
    <x v="0"/>
    <x v="0"/>
    <x v="0"/>
    <x v="0"/>
    <x v="0"/>
    <n v="4451.95"/>
    <x v="0"/>
    <x v="0"/>
  </r>
  <r>
    <x v="0"/>
    <x v="0"/>
    <x v="2"/>
    <x v="0"/>
    <x v="0"/>
    <n v="25554.79"/>
    <x v="0"/>
    <x v="0"/>
  </r>
  <r>
    <x v="0"/>
    <x v="0"/>
    <x v="0"/>
    <x v="0"/>
    <x v="0"/>
    <n v="6757.51"/>
    <x v="0"/>
    <x v="0"/>
  </r>
  <r>
    <x v="0"/>
    <x v="0"/>
    <x v="0"/>
    <x v="0"/>
    <x v="0"/>
    <n v="2756.3"/>
    <x v="0"/>
    <x v="0"/>
  </r>
  <r>
    <x v="0"/>
    <x v="0"/>
    <x v="0"/>
    <x v="0"/>
    <x v="0"/>
    <n v="4163.82"/>
    <x v="0"/>
    <x v="0"/>
  </r>
  <r>
    <x v="0"/>
    <x v="3"/>
    <x v="0"/>
    <x v="0"/>
    <x v="0"/>
    <n v="5416.8"/>
    <x v="0"/>
    <x v="0"/>
  </r>
  <r>
    <x v="0"/>
    <x v="0"/>
    <x v="0"/>
    <x v="0"/>
    <x v="0"/>
    <n v="8356.44"/>
    <x v="0"/>
    <x v="0"/>
  </r>
  <r>
    <x v="0"/>
    <x v="3"/>
    <x v="0"/>
    <x v="0"/>
    <x v="0"/>
    <n v="7257.7"/>
    <x v="0"/>
    <x v="0"/>
  </r>
  <r>
    <x v="0"/>
    <x v="0"/>
    <x v="0"/>
    <x v="0"/>
    <x v="0"/>
    <n v="5570.5"/>
    <x v="0"/>
    <x v="0"/>
  </r>
  <r>
    <x v="0"/>
    <x v="0"/>
    <x v="0"/>
    <x v="0"/>
    <x v="0"/>
    <n v="9181.99"/>
    <x v="0"/>
    <x v="0"/>
  </r>
  <r>
    <x v="0"/>
    <x v="0"/>
    <x v="1"/>
    <x v="0"/>
    <x v="0"/>
    <n v="663.34"/>
    <x v="0"/>
    <x v="0"/>
  </r>
  <r>
    <x v="0"/>
    <x v="0"/>
    <x v="0"/>
    <x v="0"/>
    <x v="0"/>
    <n v="1532.35"/>
    <x v="0"/>
    <x v="0"/>
  </r>
  <r>
    <x v="0"/>
    <x v="0"/>
    <x v="0"/>
    <x v="0"/>
    <x v="0"/>
    <n v="1180.55"/>
    <x v="0"/>
    <x v="0"/>
  </r>
  <r>
    <x v="0"/>
    <x v="0"/>
    <x v="0"/>
    <x v="0"/>
    <x v="0"/>
    <n v="7950.29"/>
    <x v="0"/>
    <x v="0"/>
  </r>
  <r>
    <x v="0"/>
    <x v="0"/>
    <x v="0"/>
    <x v="0"/>
    <x v="0"/>
    <n v="5334.81"/>
    <x v="0"/>
    <x v="0"/>
  </r>
  <r>
    <x v="0"/>
    <x v="0"/>
    <x v="1"/>
    <x v="0"/>
    <x v="0"/>
    <n v="760.21"/>
    <x v="0"/>
    <x v="0"/>
  </r>
  <r>
    <x v="0"/>
    <x v="0"/>
    <x v="0"/>
    <x v="0"/>
    <x v="0"/>
    <n v="1697.56"/>
    <x v="0"/>
    <x v="0"/>
  </r>
  <r>
    <x v="0"/>
    <x v="0"/>
    <x v="1"/>
    <x v="0"/>
    <x v="0"/>
    <n v="112.56"/>
    <x v="0"/>
    <x v="0"/>
  </r>
  <r>
    <x v="0"/>
    <x v="0"/>
    <x v="2"/>
    <x v="0"/>
    <x v="0"/>
    <n v="13373.96"/>
    <x v="0"/>
    <x v="0"/>
  </r>
  <r>
    <x v="0"/>
    <x v="3"/>
    <x v="0"/>
    <x v="0"/>
    <x v="0"/>
    <n v="6606.47"/>
    <x v="0"/>
    <x v="0"/>
  </r>
  <r>
    <x v="0"/>
    <x v="2"/>
    <x v="3"/>
    <x v="0"/>
    <x v="0"/>
    <n v="208501.33"/>
    <x v="0"/>
    <x v="0"/>
  </r>
  <r>
    <x v="0"/>
    <x v="0"/>
    <x v="0"/>
    <x v="0"/>
    <x v="0"/>
    <n v="1045.63"/>
    <x v="0"/>
    <x v="0"/>
  </r>
  <r>
    <x v="0"/>
    <x v="2"/>
    <x v="3"/>
    <x v="0"/>
    <x v="0"/>
    <n v="363482.02"/>
    <x v="0"/>
    <x v="0"/>
  </r>
  <r>
    <x v="0"/>
    <x v="3"/>
    <x v="0"/>
    <x v="0"/>
    <x v="0"/>
    <n v="2935.86"/>
    <x v="0"/>
    <x v="0"/>
  </r>
  <r>
    <x v="0"/>
    <x v="4"/>
    <x v="2"/>
    <x v="0"/>
    <x v="0"/>
    <n v="88626.65"/>
    <x v="0"/>
    <x v="0"/>
  </r>
  <r>
    <x v="0"/>
    <x v="2"/>
    <x v="3"/>
    <x v="0"/>
    <x v="0"/>
    <n v="540789.56"/>
    <x v="0"/>
    <x v="0"/>
  </r>
  <r>
    <x v="0"/>
    <x v="0"/>
    <x v="2"/>
    <x v="0"/>
    <x v="0"/>
    <n v="10430.39"/>
    <x v="0"/>
    <x v="0"/>
  </r>
  <r>
    <x v="0"/>
    <x v="0"/>
    <x v="0"/>
    <x v="0"/>
    <x v="0"/>
    <n v="4279.07"/>
    <x v="0"/>
    <x v="0"/>
  </r>
  <r>
    <x v="0"/>
    <x v="0"/>
    <x v="0"/>
    <x v="0"/>
    <x v="0"/>
    <n v="3537.25"/>
    <x v="0"/>
    <x v="0"/>
  </r>
  <r>
    <x v="0"/>
    <x v="1"/>
    <x v="2"/>
    <x v="0"/>
    <x v="0"/>
    <n v="66225.76"/>
    <x v="0"/>
    <x v="0"/>
  </r>
  <r>
    <x v="0"/>
    <x v="0"/>
    <x v="1"/>
    <x v="0"/>
    <x v="0"/>
    <n v="964.77"/>
    <x v="0"/>
    <x v="0"/>
  </r>
  <r>
    <x v="0"/>
    <x v="0"/>
    <x v="2"/>
    <x v="0"/>
    <x v="0"/>
    <n v="12178.51"/>
    <x v="0"/>
    <x v="0"/>
  </r>
  <r>
    <x v="0"/>
    <x v="2"/>
    <x v="3"/>
    <x v="0"/>
    <x v="0"/>
    <n v="310157.55"/>
    <x v="0"/>
    <x v="0"/>
  </r>
  <r>
    <x v="0"/>
    <x v="0"/>
    <x v="0"/>
    <x v="0"/>
    <x v="0"/>
    <n v="2272.54"/>
    <x v="0"/>
    <x v="0"/>
  </r>
  <r>
    <x v="0"/>
    <x v="0"/>
    <x v="0"/>
    <x v="0"/>
    <x v="0"/>
    <n v="6078.56"/>
    <x v="0"/>
    <x v="0"/>
  </r>
  <r>
    <x v="0"/>
    <x v="0"/>
    <x v="0"/>
    <x v="0"/>
    <x v="0"/>
    <n v="4108.8"/>
    <x v="0"/>
    <x v="0"/>
  </r>
  <r>
    <x v="0"/>
    <x v="0"/>
    <x v="0"/>
    <x v="0"/>
    <x v="0"/>
    <n v="2671.31"/>
    <x v="0"/>
    <x v="0"/>
  </r>
  <r>
    <x v="0"/>
    <x v="0"/>
    <x v="2"/>
    <x v="0"/>
    <x v="0"/>
    <n v="12426.38"/>
    <x v="0"/>
    <x v="0"/>
  </r>
  <r>
    <x v="0"/>
    <x v="0"/>
    <x v="2"/>
    <x v="0"/>
    <x v="0"/>
    <n v="17373.04"/>
    <x v="0"/>
    <x v="0"/>
  </r>
  <r>
    <x v="0"/>
    <x v="0"/>
    <x v="0"/>
    <x v="0"/>
    <x v="0"/>
    <n v="7272.63"/>
    <x v="0"/>
    <x v="0"/>
  </r>
  <r>
    <x v="0"/>
    <x v="0"/>
    <x v="0"/>
    <x v="0"/>
    <x v="0"/>
    <n v="6548.43"/>
    <x v="0"/>
    <x v="0"/>
  </r>
  <r>
    <x v="0"/>
    <x v="0"/>
    <x v="0"/>
    <x v="0"/>
    <x v="0"/>
    <n v="2644.63"/>
    <x v="0"/>
    <x v="0"/>
  </r>
  <r>
    <x v="0"/>
    <x v="0"/>
    <x v="0"/>
    <x v="0"/>
    <x v="0"/>
    <n v="6776.93"/>
    <x v="0"/>
    <x v="0"/>
  </r>
  <r>
    <x v="0"/>
    <x v="0"/>
    <x v="0"/>
    <x v="0"/>
    <x v="0"/>
    <n v="1810.41"/>
    <x v="0"/>
    <x v="0"/>
  </r>
  <r>
    <x v="0"/>
    <x v="3"/>
    <x v="0"/>
    <x v="0"/>
    <x v="0"/>
    <n v="2586.39"/>
    <x v="0"/>
    <x v="0"/>
  </r>
  <r>
    <x v="0"/>
    <x v="1"/>
    <x v="2"/>
    <x v="0"/>
    <x v="0"/>
    <n v="47564.74"/>
    <x v="0"/>
    <x v="0"/>
  </r>
  <r>
    <x v="0"/>
    <x v="0"/>
    <x v="0"/>
    <x v="0"/>
    <x v="0"/>
    <n v="5485.04"/>
    <x v="0"/>
    <x v="0"/>
  </r>
  <r>
    <x v="0"/>
    <x v="3"/>
    <x v="0"/>
    <x v="0"/>
    <x v="0"/>
    <n v="2644.54"/>
    <x v="0"/>
    <x v="0"/>
  </r>
  <r>
    <x v="0"/>
    <x v="0"/>
    <x v="0"/>
    <x v="0"/>
    <x v="0"/>
    <n v="9361.47"/>
    <x v="0"/>
    <x v="0"/>
  </r>
  <r>
    <x v="0"/>
    <x v="0"/>
    <x v="0"/>
    <x v="0"/>
    <x v="0"/>
    <n v="1193.24"/>
    <x v="0"/>
    <x v="0"/>
  </r>
  <r>
    <x v="0"/>
    <x v="3"/>
    <x v="0"/>
    <x v="0"/>
    <x v="0"/>
    <n v="9549.7"/>
    <x v="0"/>
    <x v="0"/>
  </r>
  <r>
    <x v="0"/>
    <x v="2"/>
    <x v="1"/>
    <x v="0"/>
    <x v="0"/>
    <n v="593.4"/>
    <x v="0"/>
    <x v="0"/>
  </r>
  <r>
    <x v="0"/>
    <x v="0"/>
    <x v="0"/>
    <x v="0"/>
    <x v="0"/>
    <n v="1122.14"/>
    <x v="0"/>
    <x v="0"/>
  </r>
  <r>
    <x v="0"/>
    <x v="1"/>
    <x v="3"/>
    <x v="0"/>
    <x v="0"/>
    <n v="264361.19"/>
    <x v="0"/>
    <x v="0"/>
  </r>
  <r>
    <x v="0"/>
    <x v="0"/>
    <x v="0"/>
    <x v="0"/>
    <x v="0"/>
    <n v="8148.08"/>
    <x v="0"/>
    <x v="0"/>
  </r>
  <r>
    <x v="0"/>
    <x v="0"/>
    <x v="0"/>
    <x v="0"/>
    <x v="0"/>
    <n v="8264.22"/>
    <x v="0"/>
    <x v="0"/>
  </r>
  <r>
    <x v="0"/>
    <x v="0"/>
    <x v="0"/>
    <x v="0"/>
    <x v="0"/>
    <n v="3393.22"/>
    <x v="0"/>
    <x v="0"/>
  </r>
  <r>
    <x v="0"/>
    <x v="0"/>
    <x v="0"/>
    <x v="0"/>
    <x v="0"/>
    <n v="2392.53"/>
    <x v="0"/>
    <x v="0"/>
  </r>
  <r>
    <x v="0"/>
    <x v="0"/>
    <x v="0"/>
    <x v="0"/>
    <x v="0"/>
    <n v="5324.43"/>
    <x v="0"/>
    <x v="0"/>
  </r>
  <r>
    <x v="0"/>
    <x v="2"/>
    <x v="3"/>
    <x v="0"/>
    <x v="0"/>
    <n v="160700.51"/>
    <x v="0"/>
    <x v="0"/>
  </r>
  <r>
    <x v="0"/>
    <x v="3"/>
    <x v="0"/>
    <x v="0"/>
    <x v="0"/>
    <n v="8901.32"/>
    <x v="0"/>
    <x v="0"/>
  </r>
  <r>
    <x v="0"/>
    <x v="2"/>
    <x v="0"/>
    <x v="0"/>
    <x v="0"/>
    <n v="9864.23"/>
    <x v="0"/>
    <x v="0"/>
  </r>
  <r>
    <x v="0"/>
    <x v="0"/>
    <x v="0"/>
    <x v="0"/>
    <x v="0"/>
    <n v="8791.02"/>
    <x v="0"/>
    <x v="0"/>
  </r>
  <r>
    <x v="0"/>
    <x v="1"/>
    <x v="2"/>
    <x v="1"/>
    <x v="0"/>
    <n v="35063.63"/>
    <x v="1"/>
    <x v="6"/>
  </r>
  <r>
    <x v="0"/>
    <x v="2"/>
    <x v="2"/>
    <x v="1"/>
    <x v="0"/>
    <n v="35063.63"/>
    <x v="1"/>
    <x v="6"/>
  </r>
  <r>
    <x v="0"/>
    <x v="0"/>
    <x v="0"/>
    <x v="0"/>
    <x v="0"/>
    <n v="1066.04"/>
    <x v="0"/>
    <x v="0"/>
  </r>
  <r>
    <x v="0"/>
    <x v="3"/>
    <x v="0"/>
    <x v="0"/>
    <x v="0"/>
    <n v="5430.64"/>
    <x v="0"/>
    <x v="0"/>
  </r>
  <r>
    <x v="0"/>
    <x v="2"/>
    <x v="3"/>
    <x v="0"/>
    <x v="0"/>
    <n v="161796.96"/>
    <x v="0"/>
    <x v="0"/>
  </r>
  <r>
    <x v="0"/>
    <x v="2"/>
    <x v="3"/>
    <x v="0"/>
    <x v="0"/>
    <n v="107292.25"/>
    <x v="0"/>
    <x v="0"/>
  </r>
  <r>
    <x v="0"/>
    <x v="0"/>
    <x v="0"/>
    <x v="0"/>
    <x v="0"/>
    <n v="6488.6"/>
    <x v="0"/>
    <x v="0"/>
  </r>
  <r>
    <x v="0"/>
    <x v="0"/>
    <x v="0"/>
    <x v="0"/>
    <x v="0"/>
    <n v="1617.97"/>
    <x v="0"/>
    <x v="0"/>
  </r>
  <r>
    <x v="0"/>
    <x v="2"/>
    <x v="3"/>
    <x v="0"/>
    <x v="0"/>
    <n v="427175.03"/>
    <x v="0"/>
    <x v="0"/>
  </r>
  <r>
    <x v="0"/>
    <x v="3"/>
    <x v="0"/>
    <x v="0"/>
    <x v="0"/>
    <n v="6765.12"/>
    <x v="0"/>
    <x v="0"/>
  </r>
  <r>
    <x v="0"/>
    <x v="3"/>
    <x v="0"/>
    <x v="0"/>
    <x v="0"/>
    <n v="3269.72"/>
    <x v="0"/>
    <x v="0"/>
  </r>
  <r>
    <x v="0"/>
    <x v="0"/>
    <x v="0"/>
    <x v="0"/>
    <x v="0"/>
    <n v="9499.4"/>
    <x v="0"/>
    <x v="0"/>
  </r>
  <r>
    <x v="0"/>
    <x v="0"/>
    <x v="1"/>
    <x v="0"/>
    <x v="0"/>
    <n v="865.77"/>
    <x v="0"/>
    <x v="0"/>
  </r>
  <r>
    <x v="0"/>
    <x v="2"/>
    <x v="3"/>
    <x v="0"/>
    <x v="0"/>
    <n v="151096.79"/>
    <x v="0"/>
    <x v="0"/>
  </r>
  <r>
    <x v="0"/>
    <x v="3"/>
    <x v="0"/>
    <x v="0"/>
    <x v="0"/>
    <n v="4244.4"/>
    <x v="0"/>
    <x v="0"/>
  </r>
  <r>
    <x v="0"/>
    <x v="0"/>
    <x v="1"/>
    <x v="0"/>
    <x v="0"/>
    <n v="885.9"/>
    <x v="0"/>
    <x v="0"/>
  </r>
  <r>
    <x v="0"/>
    <x v="0"/>
    <x v="0"/>
    <x v="0"/>
    <x v="0"/>
    <n v="4322.17"/>
    <x v="0"/>
    <x v="0"/>
  </r>
  <r>
    <x v="0"/>
    <x v="0"/>
    <x v="0"/>
    <x v="0"/>
    <x v="0"/>
    <n v="7664.12"/>
    <x v="0"/>
    <x v="0"/>
  </r>
  <r>
    <x v="0"/>
    <x v="0"/>
    <x v="0"/>
    <x v="0"/>
    <x v="0"/>
    <n v="3644.85"/>
    <x v="0"/>
    <x v="0"/>
  </r>
  <r>
    <x v="0"/>
    <x v="0"/>
    <x v="2"/>
    <x v="0"/>
    <x v="0"/>
    <n v="12462.9"/>
    <x v="0"/>
    <x v="0"/>
  </r>
  <r>
    <x v="0"/>
    <x v="0"/>
    <x v="0"/>
    <x v="0"/>
    <x v="0"/>
    <n v="3014.54"/>
    <x v="0"/>
    <x v="0"/>
  </r>
  <r>
    <x v="0"/>
    <x v="0"/>
    <x v="0"/>
    <x v="0"/>
    <x v="0"/>
    <n v="5880.33"/>
    <x v="0"/>
    <x v="0"/>
  </r>
  <r>
    <x v="0"/>
    <x v="0"/>
    <x v="2"/>
    <x v="0"/>
    <x v="0"/>
    <n v="14025.72"/>
    <x v="0"/>
    <x v="0"/>
  </r>
  <r>
    <x v="0"/>
    <x v="0"/>
    <x v="2"/>
    <x v="0"/>
    <x v="0"/>
    <n v="12187.88"/>
    <x v="0"/>
    <x v="0"/>
  </r>
  <r>
    <x v="0"/>
    <x v="0"/>
    <x v="2"/>
    <x v="0"/>
    <x v="0"/>
    <n v="10777.89"/>
    <x v="0"/>
    <x v="0"/>
  </r>
  <r>
    <x v="0"/>
    <x v="0"/>
    <x v="1"/>
    <x v="0"/>
    <x v="0"/>
    <n v="708.82"/>
    <x v="0"/>
    <x v="0"/>
  </r>
  <r>
    <x v="0"/>
    <x v="3"/>
    <x v="0"/>
    <x v="0"/>
    <x v="0"/>
    <n v="5633.3"/>
    <x v="0"/>
    <x v="0"/>
  </r>
  <r>
    <x v="0"/>
    <x v="0"/>
    <x v="0"/>
    <x v="0"/>
    <x v="0"/>
    <n v="2223.41"/>
    <x v="0"/>
    <x v="0"/>
  </r>
  <r>
    <x v="0"/>
    <x v="0"/>
    <x v="0"/>
    <x v="0"/>
    <x v="0"/>
    <n v="2195.63"/>
    <x v="0"/>
    <x v="0"/>
  </r>
  <r>
    <x v="0"/>
    <x v="3"/>
    <x v="0"/>
    <x v="0"/>
    <x v="0"/>
    <n v="1668.11"/>
    <x v="0"/>
    <x v="0"/>
  </r>
  <r>
    <x v="0"/>
    <x v="1"/>
    <x v="3"/>
    <x v="0"/>
    <x v="0"/>
    <n v="281425.06"/>
    <x v="0"/>
    <x v="0"/>
  </r>
  <r>
    <x v="0"/>
    <x v="1"/>
    <x v="2"/>
    <x v="0"/>
    <x v="0"/>
    <n v="18561.23"/>
    <x v="0"/>
    <x v="0"/>
  </r>
  <r>
    <x v="0"/>
    <x v="1"/>
    <x v="2"/>
    <x v="0"/>
    <x v="0"/>
    <n v="39069.42"/>
    <x v="0"/>
    <x v="0"/>
  </r>
  <r>
    <x v="0"/>
    <x v="1"/>
    <x v="2"/>
    <x v="0"/>
    <x v="0"/>
    <n v="63186.93"/>
    <x v="0"/>
    <x v="0"/>
  </r>
  <r>
    <x v="0"/>
    <x v="1"/>
    <x v="3"/>
    <x v="0"/>
    <x v="0"/>
    <n v="419757.69"/>
    <x v="0"/>
    <x v="0"/>
  </r>
  <r>
    <x v="0"/>
    <x v="1"/>
    <x v="3"/>
    <x v="0"/>
    <x v="0"/>
    <n v="127920.4"/>
    <x v="0"/>
    <x v="0"/>
  </r>
  <r>
    <x v="0"/>
    <x v="1"/>
    <x v="2"/>
    <x v="0"/>
    <x v="0"/>
    <n v="11136.72"/>
    <x v="0"/>
    <x v="0"/>
  </r>
  <r>
    <x v="0"/>
    <x v="1"/>
    <x v="2"/>
    <x v="0"/>
    <x v="0"/>
    <n v="33782.98"/>
    <x v="0"/>
    <x v="0"/>
  </r>
  <r>
    <x v="0"/>
    <x v="1"/>
    <x v="4"/>
    <x v="0"/>
    <x v="0"/>
    <n v="3776389.09"/>
    <x v="0"/>
    <x v="0"/>
  </r>
  <r>
    <x v="0"/>
    <x v="1"/>
    <x v="4"/>
    <x v="0"/>
    <x v="0"/>
    <n v="1127058.69"/>
    <x v="0"/>
    <x v="0"/>
  </r>
  <r>
    <x v="0"/>
    <x v="1"/>
    <x v="3"/>
    <x v="0"/>
    <x v="0"/>
    <n v="112401.53"/>
    <x v="0"/>
    <x v="0"/>
  </r>
  <r>
    <x v="0"/>
    <x v="1"/>
    <x v="3"/>
    <x v="0"/>
    <x v="0"/>
    <n v="668237.36"/>
    <x v="0"/>
    <x v="0"/>
  </r>
  <r>
    <x v="0"/>
    <x v="1"/>
    <x v="3"/>
    <x v="0"/>
    <x v="0"/>
    <n v="789419.02"/>
    <x v="0"/>
    <x v="0"/>
  </r>
  <r>
    <x v="0"/>
    <x v="1"/>
    <x v="3"/>
    <x v="0"/>
    <x v="0"/>
    <n v="569068.84"/>
    <x v="0"/>
    <x v="0"/>
  </r>
  <r>
    <x v="0"/>
    <x v="1"/>
    <x v="3"/>
    <x v="0"/>
    <x v="0"/>
    <n v="682894.68"/>
    <x v="0"/>
    <x v="0"/>
  </r>
  <r>
    <x v="0"/>
    <x v="1"/>
    <x v="3"/>
    <x v="0"/>
    <x v="0"/>
    <n v="443116.03"/>
    <x v="0"/>
    <x v="0"/>
  </r>
  <r>
    <x v="0"/>
    <x v="1"/>
    <x v="0"/>
    <x v="0"/>
    <x v="0"/>
    <n v="3942.44"/>
    <x v="0"/>
    <x v="0"/>
  </r>
  <r>
    <x v="0"/>
    <x v="1"/>
    <x v="3"/>
    <x v="0"/>
    <x v="0"/>
    <n v="539430.95"/>
    <x v="0"/>
    <x v="0"/>
  </r>
  <r>
    <x v="0"/>
    <x v="1"/>
    <x v="3"/>
    <x v="0"/>
    <x v="0"/>
    <n v="598782.65"/>
    <x v="0"/>
    <x v="0"/>
  </r>
  <r>
    <x v="0"/>
    <x v="1"/>
    <x v="3"/>
    <x v="0"/>
    <x v="0"/>
    <n v="600581.61"/>
    <x v="0"/>
    <x v="0"/>
  </r>
  <r>
    <x v="0"/>
    <x v="1"/>
    <x v="3"/>
    <x v="0"/>
    <x v="0"/>
    <n v="221297.05"/>
    <x v="0"/>
    <x v="0"/>
  </r>
  <r>
    <x v="0"/>
    <x v="1"/>
    <x v="3"/>
    <x v="0"/>
    <x v="0"/>
    <n v="249592.99"/>
    <x v="0"/>
    <x v="0"/>
  </r>
  <r>
    <x v="0"/>
    <x v="0"/>
    <x v="0"/>
    <x v="0"/>
    <x v="0"/>
    <n v="5170.23"/>
    <x v="0"/>
    <x v="0"/>
  </r>
  <r>
    <x v="0"/>
    <x v="0"/>
    <x v="0"/>
    <x v="0"/>
    <x v="0"/>
    <n v="8553.73"/>
    <x v="0"/>
    <x v="0"/>
  </r>
  <r>
    <x v="0"/>
    <x v="2"/>
    <x v="0"/>
    <x v="0"/>
    <x v="0"/>
    <n v="9980.32"/>
    <x v="0"/>
    <x v="0"/>
  </r>
  <r>
    <x v="0"/>
    <x v="0"/>
    <x v="2"/>
    <x v="0"/>
    <x v="0"/>
    <n v="11982.62"/>
    <x v="0"/>
    <x v="0"/>
  </r>
  <r>
    <x v="0"/>
    <x v="3"/>
    <x v="0"/>
    <x v="0"/>
    <x v="0"/>
    <n v="2763.95"/>
    <x v="0"/>
    <x v="0"/>
  </r>
  <r>
    <x v="0"/>
    <x v="2"/>
    <x v="3"/>
    <x v="0"/>
    <x v="0"/>
    <n v="265763.02"/>
    <x v="0"/>
    <x v="0"/>
  </r>
  <r>
    <x v="0"/>
    <x v="0"/>
    <x v="0"/>
    <x v="0"/>
    <x v="0"/>
    <n v="2364.01"/>
    <x v="0"/>
    <x v="0"/>
  </r>
  <r>
    <x v="0"/>
    <x v="0"/>
    <x v="0"/>
    <x v="0"/>
    <x v="0"/>
    <n v="1432.47"/>
    <x v="0"/>
    <x v="0"/>
  </r>
  <r>
    <x v="0"/>
    <x v="0"/>
    <x v="1"/>
    <x v="0"/>
    <x v="0"/>
    <n v="233.76"/>
    <x v="0"/>
    <x v="0"/>
  </r>
  <r>
    <x v="0"/>
    <x v="0"/>
    <x v="2"/>
    <x v="0"/>
    <x v="0"/>
    <n v="13259.12"/>
    <x v="0"/>
    <x v="0"/>
  </r>
  <r>
    <x v="0"/>
    <x v="0"/>
    <x v="0"/>
    <x v="0"/>
    <x v="0"/>
    <n v="2364.34"/>
    <x v="0"/>
    <x v="0"/>
  </r>
  <r>
    <x v="0"/>
    <x v="0"/>
    <x v="0"/>
    <x v="0"/>
    <x v="0"/>
    <n v="3903.48"/>
    <x v="0"/>
    <x v="0"/>
  </r>
  <r>
    <x v="0"/>
    <x v="1"/>
    <x v="3"/>
    <x v="0"/>
    <x v="0"/>
    <n v="301298.69"/>
    <x v="0"/>
    <x v="0"/>
  </r>
  <r>
    <x v="0"/>
    <x v="0"/>
    <x v="0"/>
    <x v="0"/>
    <x v="0"/>
    <n v="6623.21"/>
    <x v="0"/>
    <x v="0"/>
  </r>
  <r>
    <x v="0"/>
    <x v="3"/>
    <x v="0"/>
    <x v="0"/>
    <x v="0"/>
    <n v="1009.43"/>
    <x v="0"/>
    <x v="0"/>
  </r>
  <r>
    <x v="0"/>
    <x v="0"/>
    <x v="0"/>
    <x v="0"/>
    <x v="0"/>
    <n v="1639.33"/>
    <x v="0"/>
    <x v="0"/>
  </r>
  <r>
    <x v="0"/>
    <x v="0"/>
    <x v="0"/>
    <x v="0"/>
    <x v="0"/>
    <n v="2033.14"/>
    <x v="0"/>
    <x v="0"/>
  </r>
  <r>
    <x v="0"/>
    <x v="1"/>
    <x v="2"/>
    <x v="0"/>
    <x v="0"/>
    <n v="45864.43"/>
    <x v="0"/>
    <x v="0"/>
  </r>
  <r>
    <x v="0"/>
    <x v="0"/>
    <x v="2"/>
    <x v="0"/>
    <x v="0"/>
    <n v="11411.34"/>
    <x v="0"/>
    <x v="0"/>
  </r>
  <r>
    <x v="0"/>
    <x v="0"/>
    <x v="1"/>
    <x v="0"/>
    <x v="0"/>
    <n v="23.31"/>
    <x v="0"/>
    <x v="0"/>
  </r>
  <r>
    <x v="0"/>
    <x v="0"/>
    <x v="1"/>
    <x v="0"/>
    <x v="0"/>
    <n v="613.83"/>
    <x v="0"/>
    <x v="0"/>
  </r>
  <r>
    <x v="0"/>
    <x v="0"/>
    <x v="0"/>
    <x v="0"/>
    <x v="0"/>
    <n v="7154.46"/>
    <x v="0"/>
    <x v="0"/>
  </r>
  <r>
    <x v="0"/>
    <x v="0"/>
    <x v="0"/>
    <x v="0"/>
    <x v="0"/>
    <n v="1091.54"/>
    <x v="0"/>
    <x v="0"/>
  </r>
  <r>
    <x v="0"/>
    <x v="0"/>
    <x v="0"/>
    <x v="0"/>
    <x v="0"/>
    <n v="3193.99"/>
    <x v="0"/>
    <x v="0"/>
  </r>
  <r>
    <x v="0"/>
    <x v="0"/>
    <x v="0"/>
    <x v="0"/>
    <x v="0"/>
    <n v="1849.56"/>
    <x v="0"/>
    <x v="0"/>
  </r>
  <r>
    <x v="0"/>
    <x v="0"/>
    <x v="0"/>
    <x v="0"/>
    <x v="0"/>
    <n v="4170.82"/>
    <x v="0"/>
    <x v="0"/>
  </r>
  <r>
    <x v="0"/>
    <x v="0"/>
    <x v="0"/>
    <x v="0"/>
    <x v="0"/>
    <n v="4099.91"/>
    <x v="0"/>
    <x v="0"/>
  </r>
  <r>
    <x v="0"/>
    <x v="0"/>
    <x v="0"/>
    <x v="0"/>
    <x v="0"/>
    <n v="5923.01"/>
    <x v="0"/>
    <x v="0"/>
  </r>
  <r>
    <x v="0"/>
    <x v="1"/>
    <x v="3"/>
    <x v="0"/>
    <x v="0"/>
    <n v="208376.61"/>
    <x v="0"/>
    <x v="0"/>
  </r>
  <r>
    <x v="0"/>
    <x v="1"/>
    <x v="3"/>
    <x v="0"/>
    <x v="0"/>
    <n v="131033.44"/>
    <x v="0"/>
    <x v="0"/>
  </r>
  <r>
    <x v="0"/>
    <x v="1"/>
    <x v="3"/>
    <x v="0"/>
    <x v="0"/>
    <n v="223848.92"/>
    <x v="0"/>
    <x v="0"/>
  </r>
  <r>
    <x v="0"/>
    <x v="1"/>
    <x v="2"/>
    <x v="0"/>
    <x v="0"/>
    <n v="68332.36"/>
    <x v="0"/>
    <x v="0"/>
  </r>
  <r>
    <x v="0"/>
    <x v="1"/>
    <x v="3"/>
    <x v="0"/>
    <x v="0"/>
    <n v="205368.78"/>
    <x v="0"/>
    <x v="0"/>
  </r>
  <r>
    <x v="0"/>
    <x v="1"/>
    <x v="3"/>
    <x v="0"/>
    <x v="0"/>
    <n v="424141.36"/>
    <x v="0"/>
    <x v="0"/>
  </r>
  <r>
    <x v="0"/>
    <x v="1"/>
    <x v="3"/>
    <x v="0"/>
    <x v="0"/>
    <n v="373185.07"/>
    <x v="0"/>
    <x v="0"/>
  </r>
  <r>
    <x v="0"/>
    <x v="1"/>
    <x v="4"/>
    <x v="0"/>
    <x v="0"/>
    <n v="2258388.15"/>
    <x v="0"/>
    <x v="0"/>
  </r>
  <r>
    <x v="0"/>
    <x v="1"/>
    <x v="3"/>
    <x v="0"/>
    <x v="0"/>
    <n v="250968.18"/>
    <x v="0"/>
    <x v="0"/>
  </r>
  <r>
    <x v="0"/>
    <x v="1"/>
    <x v="2"/>
    <x v="0"/>
    <x v="0"/>
    <n v="19772.53"/>
    <x v="0"/>
    <x v="0"/>
  </r>
  <r>
    <x v="0"/>
    <x v="1"/>
    <x v="2"/>
    <x v="0"/>
    <x v="0"/>
    <n v="43023.82"/>
    <x v="0"/>
    <x v="0"/>
  </r>
  <r>
    <x v="0"/>
    <x v="1"/>
    <x v="4"/>
    <x v="0"/>
    <x v="0"/>
    <n v="1628887.72"/>
    <x v="0"/>
    <x v="0"/>
  </r>
  <r>
    <x v="0"/>
    <x v="1"/>
    <x v="3"/>
    <x v="0"/>
    <x v="0"/>
    <n v="755499.13"/>
    <x v="0"/>
    <x v="0"/>
  </r>
  <r>
    <x v="0"/>
    <x v="1"/>
    <x v="3"/>
    <x v="0"/>
    <x v="0"/>
    <n v="289203.45"/>
    <x v="0"/>
    <x v="0"/>
  </r>
  <r>
    <x v="0"/>
    <x v="1"/>
    <x v="3"/>
    <x v="0"/>
    <x v="0"/>
    <n v="902485.36"/>
    <x v="0"/>
    <x v="0"/>
  </r>
  <r>
    <x v="0"/>
    <x v="1"/>
    <x v="3"/>
    <x v="0"/>
    <x v="0"/>
    <n v="351854.11"/>
    <x v="0"/>
    <x v="0"/>
  </r>
  <r>
    <x v="0"/>
    <x v="1"/>
    <x v="3"/>
    <x v="0"/>
    <x v="0"/>
    <n v="605790.2"/>
    <x v="0"/>
    <x v="0"/>
  </r>
  <r>
    <x v="0"/>
    <x v="1"/>
    <x v="3"/>
    <x v="0"/>
    <x v="0"/>
    <n v="353312.93"/>
    <x v="0"/>
    <x v="0"/>
  </r>
  <r>
    <x v="0"/>
    <x v="1"/>
    <x v="3"/>
    <x v="0"/>
    <x v="0"/>
    <n v="855931.4"/>
    <x v="0"/>
    <x v="0"/>
  </r>
  <r>
    <x v="0"/>
    <x v="1"/>
    <x v="3"/>
    <x v="0"/>
    <x v="0"/>
    <n v="699928.86"/>
    <x v="0"/>
    <x v="0"/>
  </r>
  <r>
    <x v="0"/>
    <x v="0"/>
    <x v="0"/>
    <x v="0"/>
    <x v="0"/>
    <n v="5886.25"/>
    <x v="0"/>
    <x v="0"/>
  </r>
  <r>
    <x v="0"/>
    <x v="1"/>
    <x v="3"/>
    <x v="0"/>
    <x v="0"/>
    <n v="200774.62"/>
    <x v="0"/>
    <x v="0"/>
  </r>
  <r>
    <x v="0"/>
    <x v="3"/>
    <x v="0"/>
    <x v="0"/>
    <x v="0"/>
    <n v="1088.94"/>
    <x v="0"/>
    <x v="0"/>
  </r>
  <r>
    <x v="0"/>
    <x v="0"/>
    <x v="0"/>
    <x v="0"/>
    <x v="0"/>
    <n v="3500"/>
    <x v="0"/>
    <x v="0"/>
  </r>
  <r>
    <x v="0"/>
    <x v="1"/>
    <x v="3"/>
    <x v="0"/>
    <x v="0"/>
    <n v="109552.96"/>
    <x v="0"/>
    <x v="0"/>
  </r>
  <r>
    <x v="0"/>
    <x v="1"/>
    <x v="2"/>
    <x v="0"/>
    <x v="0"/>
    <n v="59531.87"/>
    <x v="0"/>
    <x v="0"/>
  </r>
  <r>
    <x v="0"/>
    <x v="1"/>
    <x v="3"/>
    <x v="0"/>
    <x v="0"/>
    <n v="133637.07"/>
    <x v="0"/>
    <x v="0"/>
  </r>
  <r>
    <x v="0"/>
    <x v="1"/>
    <x v="2"/>
    <x v="0"/>
    <x v="0"/>
    <n v="75752.73"/>
    <x v="0"/>
    <x v="0"/>
  </r>
  <r>
    <x v="0"/>
    <x v="1"/>
    <x v="3"/>
    <x v="0"/>
    <x v="0"/>
    <n v="100362.16"/>
    <x v="0"/>
    <x v="0"/>
  </r>
  <r>
    <x v="0"/>
    <x v="1"/>
    <x v="3"/>
    <x v="0"/>
    <x v="0"/>
    <n v="191177.92"/>
    <x v="0"/>
    <x v="0"/>
  </r>
  <r>
    <x v="0"/>
    <x v="1"/>
    <x v="3"/>
    <x v="0"/>
    <x v="0"/>
    <n v="435589.96"/>
    <x v="0"/>
    <x v="0"/>
  </r>
  <r>
    <x v="0"/>
    <x v="1"/>
    <x v="0"/>
    <x v="0"/>
    <x v="0"/>
    <n v="1950.77"/>
    <x v="0"/>
    <x v="0"/>
  </r>
  <r>
    <x v="0"/>
    <x v="1"/>
    <x v="4"/>
    <x v="0"/>
    <x v="0"/>
    <n v="2223005.62"/>
    <x v="0"/>
    <x v="0"/>
  </r>
  <r>
    <x v="0"/>
    <x v="1"/>
    <x v="3"/>
    <x v="0"/>
    <x v="0"/>
    <n v="902505.61"/>
    <x v="0"/>
    <x v="0"/>
  </r>
  <r>
    <x v="0"/>
    <x v="1"/>
    <x v="4"/>
    <x v="0"/>
    <x v="0"/>
    <n v="1201716.66"/>
    <x v="0"/>
    <x v="0"/>
  </r>
  <r>
    <x v="0"/>
    <x v="1"/>
    <x v="3"/>
    <x v="0"/>
    <x v="0"/>
    <n v="494972.01"/>
    <x v="0"/>
    <x v="0"/>
  </r>
  <r>
    <x v="0"/>
    <x v="1"/>
    <x v="4"/>
    <x v="0"/>
    <x v="0"/>
    <n v="1417001.19"/>
    <x v="0"/>
    <x v="0"/>
  </r>
  <r>
    <x v="0"/>
    <x v="0"/>
    <x v="0"/>
    <x v="0"/>
    <x v="0"/>
    <n v="3445.96"/>
    <x v="0"/>
    <x v="0"/>
  </r>
  <r>
    <x v="0"/>
    <x v="0"/>
    <x v="0"/>
    <x v="0"/>
    <x v="0"/>
    <n v="2650.82"/>
    <x v="0"/>
    <x v="0"/>
  </r>
  <r>
    <x v="0"/>
    <x v="0"/>
    <x v="0"/>
    <x v="0"/>
    <x v="0"/>
    <n v="2073.2"/>
    <x v="0"/>
    <x v="0"/>
  </r>
  <r>
    <x v="0"/>
    <x v="2"/>
    <x v="3"/>
    <x v="0"/>
    <x v="0"/>
    <n v="319825.94"/>
    <x v="0"/>
    <x v="0"/>
  </r>
  <r>
    <x v="0"/>
    <x v="2"/>
    <x v="3"/>
    <x v="0"/>
    <x v="0"/>
    <n v="129431.13"/>
    <x v="0"/>
    <x v="0"/>
  </r>
  <r>
    <x v="0"/>
    <x v="2"/>
    <x v="3"/>
    <x v="0"/>
    <x v="0"/>
    <n v="105351.94"/>
    <x v="0"/>
    <x v="0"/>
  </r>
  <r>
    <x v="0"/>
    <x v="2"/>
    <x v="2"/>
    <x v="0"/>
    <x v="0"/>
    <n v="38167"/>
    <x v="0"/>
    <x v="0"/>
  </r>
  <r>
    <x v="0"/>
    <x v="2"/>
    <x v="0"/>
    <x v="0"/>
    <x v="0"/>
    <n v="4682.74"/>
    <x v="0"/>
    <x v="0"/>
  </r>
  <r>
    <x v="0"/>
    <x v="3"/>
    <x v="0"/>
    <x v="0"/>
    <x v="0"/>
    <n v="1280.14"/>
    <x v="0"/>
    <x v="0"/>
  </r>
  <r>
    <x v="0"/>
    <x v="3"/>
    <x v="0"/>
    <x v="0"/>
    <x v="0"/>
    <n v="3039.84"/>
    <x v="0"/>
    <x v="0"/>
  </r>
  <r>
    <x v="0"/>
    <x v="0"/>
    <x v="0"/>
    <x v="0"/>
    <x v="0"/>
    <n v="5998"/>
    <x v="0"/>
    <x v="0"/>
  </r>
  <r>
    <x v="0"/>
    <x v="0"/>
    <x v="0"/>
    <x v="0"/>
    <x v="0"/>
    <n v="4273"/>
    <x v="0"/>
    <x v="0"/>
  </r>
  <r>
    <x v="0"/>
    <x v="0"/>
    <x v="0"/>
    <x v="0"/>
    <x v="0"/>
    <n v="3637.13"/>
    <x v="0"/>
    <x v="0"/>
  </r>
  <r>
    <x v="0"/>
    <x v="0"/>
    <x v="1"/>
    <x v="0"/>
    <x v="0"/>
    <n v="892.53"/>
    <x v="0"/>
    <x v="0"/>
  </r>
  <r>
    <x v="0"/>
    <x v="0"/>
    <x v="2"/>
    <x v="0"/>
    <x v="0"/>
    <n v="10707.6"/>
    <x v="0"/>
    <x v="0"/>
  </r>
  <r>
    <x v="0"/>
    <x v="0"/>
    <x v="0"/>
    <x v="0"/>
    <x v="0"/>
    <n v="6380.75"/>
    <x v="0"/>
    <x v="0"/>
  </r>
  <r>
    <x v="0"/>
    <x v="1"/>
    <x v="3"/>
    <x v="0"/>
    <x v="0"/>
    <n v="271161.74"/>
    <x v="0"/>
    <x v="0"/>
  </r>
  <r>
    <x v="0"/>
    <x v="1"/>
    <x v="3"/>
    <x v="0"/>
    <x v="0"/>
    <n v="274108.4"/>
    <x v="0"/>
    <x v="0"/>
  </r>
  <r>
    <x v="0"/>
    <x v="3"/>
    <x v="0"/>
    <x v="0"/>
    <x v="0"/>
    <n v="2676.97"/>
    <x v="0"/>
    <x v="0"/>
  </r>
  <r>
    <x v="0"/>
    <x v="0"/>
    <x v="0"/>
    <x v="0"/>
    <x v="0"/>
    <n v="7512.61"/>
    <x v="0"/>
    <x v="0"/>
  </r>
  <r>
    <x v="0"/>
    <x v="0"/>
    <x v="0"/>
    <x v="0"/>
    <x v="0"/>
    <n v="8612.28"/>
    <x v="0"/>
    <x v="0"/>
  </r>
  <r>
    <x v="0"/>
    <x v="0"/>
    <x v="1"/>
    <x v="0"/>
    <x v="0"/>
    <n v="413.4"/>
    <x v="0"/>
    <x v="0"/>
  </r>
  <r>
    <x v="0"/>
    <x v="0"/>
    <x v="0"/>
    <x v="0"/>
    <x v="0"/>
    <n v="6794.39"/>
    <x v="0"/>
    <x v="0"/>
  </r>
  <r>
    <x v="0"/>
    <x v="0"/>
    <x v="0"/>
    <x v="0"/>
    <x v="0"/>
    <n v="9247.18"/>
    <x v="0"/>
    <x v="0"/>
  </r>
  <r>
    <x v="0"/>
    <x v="0"/>
    <x v="0"/>
    <x v="0"/>
    <x v="0"/>
    <n v="2821.51"/>
    <x v="0"/>
    <x v="0"/>
  </r>
  <r>
    <x v="0"/>
    <x v="1"/>
    <x v="3"/>
    <x v="0"/>
    <x v="0"/>
    <n v="378703.81"/>
    <x v="0"/>
    <x v="0"/>
  </r>
  <r>
    <x v="0"/>
    <x v="0"/>
    <x v="0"/>
    <x v="0"/>
    <x v="0"/>
    <n v="9818.95"/>
    <x v="0"/>
    <x v="0"/>
  </r>
  <r>
    <x v="0"/>
    <x v="0"/>
    <x v="2"/>
    <x v="0"/>
    <x v="0"/>
    <n v="13268.46"/>
    <x v="0"/>
    <x v="0"/>
  </r>
  <r>
    <x v="0"/>
    <x v="4"/>
    <x v="3"/>
    <x v="0"/>
    <x v="0"/>
    <n v="378896.52"/>
    <x v="0"/>
    <x v="0"/>
  </r>
  <r>
    <x v="0"/>
    <x v="4"/>
    <x v="2"/>
    <x v="0"/>
    <x v="0"/>
    <n v="65671.39"/>
    <x v="0"/>
    <x v="0"/>
  </r>
  <r>
    <x v="0"/>
    <x v="4"/>
    <x v="2"/>
    <x v="0"/>
    <x v="0"/>
    <n v="35492.2"/>
    <x v="0"/>
    <x v="0"/>
  </r>
  <r>
    <x v="0"/>
    <x v="4"/>
    <x v="2"/>
    <x v="0"/>
    <x v="0"/>
    <n v="18510.43"/>
    <x v="0"/>
    <x v="0"/>
  </r>
  <r>
    <x v="0"/>
    <x v="4"/>
    <x v="2"/>
    <x v="0"/>
    <x v="0"/>
    <n v="83587.86"/>
    <x v="0"/>
    <x v="0"/>
  </r>
  <r>
    <x v="0"/>
    <x v="4"/>
    <x v="2"/>
    <x v="0"/>
    <x v="0"/>
    <n v="62455.76"/>
    <x v="0"/>
    <x v="0"/>
  </r>
  <r>
    <x v="0"/>
    <x v="4"/>
    <x v="2"/>
    <x v="0"/>
    <x v="0"/>
    <n v="44708.03"/>
    <x v="0"/>
    <x v="0"/>
  </r>
  <r>
    <x v="0"/>
    <x v="4"/>
    <x v="3"/>
    <x v="0"/>
    <x v="0"/>
    <n v="343189.13"/>
    <x v="0"/>
    <x v="0"/>
  </r>
  <r>
    <x v="0"/>
    <x v="4"/>
    <x v="2"/>
    <x v="0"/>
    <x v="0"/>
    <n v="60215.46"/>
    <x v="0"/>
    <x v="0"/>
  </r>
  <r>
    <x v="0"/>
    <x v="4"/>
    <x v="3"/>
    <x v="0"/>
    <x v="0"/>
    <n v="235288.68"/>
    <x v="0"/>
    <x v="0"/>
  </r>
  <r>
    <x v="0"/>
    <x v="4"/>
    <x v="3"/>
    <x v="0"/>
    <x v="0"/>
    <n v="206955.99"/>
    <x v="0"/>
    <x v="0"/>
  </r>
  <r>
    <x v="0"/>
    <x v="4"/>
    <x v="3"/>
    <x v="0"/>
    <x v="0"/>
    <n v="383446.61"/>
    <x v="0"/>
    <x v="0"/>
  </r>
  <r>
    <x v="0"/>
    <x v="4"/>
    <x v="3"/>
    <x v="0"/>
    <x v="0"/>
    <n v="145095.94"/>
    <x v="0"/>
    <x v="0"/>
  </r>
  <r>
    <x v="0"/>
    <x v="4"/>
    <x v="3"/>
    <x v="0"/>
    <x v="0"/>
    <n v="300632.87"/>
    <x v="0"/>
    <x v="0"/>
  </r>
  <r>
    <x v="0"/>
    <x v="4"/>
    <x v="3"/>
    <x v="0"/>
    <x v="0"/>
    <n v="119081.76"/>
    <x v="0"/>
    <x v="0"/>
  </r>
  <r>
    <x v="0"/>
    <x v="4"/>
    <x v="3"/>
    <x v="0"/>
    <x v="0"/>
    <n v="203148.34"/>
    <x v="0"/>
    <x v="0"/>
  </r>
  <r>
    <x v="0"/>
    <x v="4"/>
    <x v="3"/>
    <x v="0"/>
    <x v="0"/>
    <n v="104335.07"/>
    <x v="0"/>
    <x v="0"/>
  </r>
  <r>
    <x v="0"/>
    <x v="4"/>
    <x v="3"/>
    <x v="0"/>
    <x v="0"/>
    <n v="251482.63"/>
    <x v="0"/>
    <x v="0"/>
  </r>
  <r>
    <x v="0"/>
    <x v="4"/>
    <x v="2"/>
    <x v="0"/>
    <x v="0"/>
    <n v="92784.06"/>
    <x v="0"/>
    <x v="0"/>
  </r>
  <r>
    <x v="0"/>
    <x v="4"/>
    <x v="2"/>
    <x v="0"/>
    <x v="0"/>
    <n v="21670.38"/>
    <x v="0"/>
    <x v="0"/>
  </r>
  <r>
    <x v="0"/>
    <x v="4"/>
    <x v="3"/>
    <x v="0"/>
    <x v="0"/>
    <n v="175443.85"/>
    <x v="0"/>
    <x v="0"/>
  </r>
  <r>
    <x v="0"/>
    <x v="4"/>
    <x v="3"/>
    <x v="0"/>
    <x v="0"/>
    <n v="226031.29"/>
    <x v="0"/>
    <x v="0"/>
  </r>
  <r>
    <x v="0"/>
    <x v="4"/>
    <x v="3"/>
    <x v="0"/>
    <x v="0"/>
    <n v="234052.7"/>
    <x v="0"/>
    <x v="0"/>
  </r>
  <r>
    <x v="0"/>
    <x v="4"/>
    <x v="3"/>
    <x v="0"/>
    <x v="0"/>
    <n v="229848.96"/>
    <x v="0"/>
    <x v="0"/>
  </r>
  <r>
    <x v="0"/>
    <x v="4"/>
    <x v="3"/>
    <x v="0"/>
    <x v="0"/>
    <n v="111655.85"/>
    <x v="0"/>
    <x v="0"/>
  </r>
  <r>
    <x v="0"/>
    <x v="4"/>
    <x v="2"/>
    <x v="0"/>
    <x v="0"/>
    <n v="51284.87"/>
    <x v="0"/>
    <x v="0"/>
  </r>
  <r>
    <x v="0"/>
    <x v="4"/>
    <x v="1"/>
    <x v="0"/>
    <x v="0"/>
    <n v="270.78"/>
    <x v="0"/>
    <x v="0"/>
  </r>
  <r>
    <x v="0"/>
    <x v="4"/>
    <x v="3"/>
    <x v="0"/>
    <x v="0"/>
    <n v="154442.99"/>
    <x v="0"/>
    <x v="0"/>
  </r>
  <r>
    <x v="0"/>
    <x v="4"/>
    <x v="2"/>
    <x v="0"/>
    <x v="0"/>
    <n v="34918.59"/>
    <x v="0"/>
    <x v="0"/>
  </r>
  <r>
    <x v="0"/>
    <x v="4"/>
    <x v="2"/>
    <x v="0"/>
    <x v="0"/>
    <n v="57262.72"/>
    <x v="0"/>
    <x v="0"/>
  </r>
  <r>
    <x v="0"/>
    <x v="4"/>
    <x v="3"/>
    <x v="0"/>
    <x v="0"/>
    <n v="189703.56"/>
    <x v="0"/>
    <x v="0"/>
  </r>
  <r>
    <x v="0"/>
    <x v="4"/>
    <x v="3"/>
    <x v="0"/>
    <x v="0"/>
    <n v="288838.13"/>
    <x v="0"/>
    <x v="0"/>
  </r>
  <r>
    <x v="0"/>
    <x v="4"/>
    <x v="2"/>
    <x v="0"/>
    <x v="0"/>
    <n v="61505.91"/>
    <x v="0"/>
    <x v="0"/>
  </r>
  <r>
    <x v="0"/>
    <x v="4"/>
    <x v="3"/>
    <x v="0"/>
    <x v="0"/>
    <n v="404167.6"/>
    <x v="0"/>
    <x v="0"/>
  </r>
  <r>
    <x v="0"/>
    <x v="4"/>
    <x v="2"/>
    <x v="0"/>
    <x v="0"/>
    <n v="57323.56"/>
    <x v="0"/>
    <x v="0"/>
  </r>
  <r>
    <x v="0"/>
    <x v="4"/>
    <x v="2"/>
    <x v="0"/>
    <x v="0"/>
    <n v="68988.21"/>
    <x v="0"/>
    <x v="0"/>
  </r>
  <r>
    <x v="0"/>
    <x v="4"/>
    <x v="2"/>
    <x v="0"/>
    <x v="0"/>
    <n v="74230.21"/>
    <x v="0"/>
    <x v="0"/>
  </r>
  <r>
    <x v="0"/>
    <x v="4"/>
    <x v="3"/>
    <x v="0"/>
    <x v="0"/>
    <n v="377287.8"/>
    <x v="0"/>
    <x v="0"/>
  </r>
  <r>
    <x v="0"/>
    <x v="4"/>
    <x v="3"/>
    <x v="0"/>
    <x v="0"/>
    <n v="185897.79"/>
    <x v="0"/>
    <x v="0"/>
  </r>
  <r>
    <x v="0"/>
    <x v="4"/>
    <x v="3"/>
    <x v="0"/>
    <x v="0"/>
    <n v="173842.23"/>
    <x v="0"/>
    <x v="0"/>
  </r>
  <r>
    <x v="0"/>
    <x v="4"/>
    <x v="2"/>
    <x v="0"/>
    <x v="0"/>
    <n v="31646.31"/>
    <x v="0"/>
    <x v="0"/>
  </r>
  <r>
    <x v="0"/>
    <x v="4"/>
    <x v="2"/>
    <x v="0"/>
    <x v="0"/>
    <n v="48134.99"/>
    <x v="0"/>
    <x v="0"/>
  </r>
  <r>
    <x v="0"/>
    <x v="4"/>
    <x v="3"/>
    <x v="0"/>
    <x v="0"/>
    <n v="229982.47"/>
    <x v="0"/>
    <x v="0"/>
  </r>
  <r>
    <x v="0"/>
    <x v="4"/>
    <x v="3"/>
    <x v="0"/>
    <x v="0"/>
    <n v="216806.48"/>
    <x v="0"/>
    <x v="0"/>
  </r>
  <r>
    <x v="0"/>
    <x v="4"/>
    <x v="3"/>
    <x v="0"/>
    <x v="0"/>
    <n v="117257.18"/>
    <x v="0"/>
    <x v="0"/>
  </r>
  <r>
    <x v="0"/>
    <x v="4"/>
    <x v="3"/>
    <x v="0"/>
    <x v="0"/>
    <n v="174413.77"/>
    <x v="0"/>
    <x v="0"/>
  </r>
  <r>
    <x v="0"/>
    <x v="4"/>
    <x v="2"/>
    <x v="0"/>
    <x v="0"/>
    <n v="72897.92"/>
    <x v="0"/>
    <x v="0"/>
  </r>
  <r>
    <x v="0"/>
    <x v="4"/>
    <x v="2"/>
    <x v="0"/>
    <x v="0"/>
    <n v="82564.24"/>
    <x v="0"/>
    <x v="0"/>
  </r>
  <r>
    <x v="0"/>
    <x v="4"/>
    <x v="2"/>
    <x v="0"/>
    <x v="0"/>
    <n v="63764.9"/>
    <x v="0"/>
    <x v="0"/>
  </r>
  <r>
    <x v="0"/>
    <x v="4"/>
    <x v="3"/>
    <x v="0"/>
    <x v="0"/>
    <n v="183074.81"/>
    <x v="0"/>
    <x v="0"/>
  </r>
  <r>
    <x v="0"/>
    <x v="4"/>
    <x v="3"/>
    <x v="0"/>
    <x v="0"/>
    <n v="223744.8"/>
    <x v="0"/>
    <x v="0"/>
  </r>
  <r>
    <x v="0"/>
    <x v="4"/>
    <x v="2"/>
    <x v="0"/>
    <x v="0"/>
    <n v="46179.38"/>
    <x v="0"/>
    <x v="0"/>
  </r>
  <r>
    <x v="0"/>
    <x v="4"/>
    <x v="2"/>
    <x v="0"/>
    <x v="0"/>
    <n v="91611.03"/>
    <x v="0"/>
    <x v="0"/>
  </r>
  <r>
    <x v="0"/>
    <x v="4"/>
    <x v="3"/>
    <x v="0"/>
    <x v="0"/>
    <n v="128022.19"/>
    <x v="0"/>
    <x v="0"/>
  </r>
  <r>
    <x v="0"/>
    <x v="4"/>
    <x v="3"/>
    <x v="0"/>
    <x v="0"/>
    <n v="157949.72"/>
    <x v="0"/>
    <x v="0"/>
  </r>
  <r>
    <x v="0"/>
    <x v="4"/>
    <x v="2"/>
    <x v="0"/>
    <x v="0"/>
    <n v="26516.56"/>
    <x v="0"/>
    <x v="0"/>
  </r>
  <r>
    <x v="0"/>
    <x v="4"/>
    <x v="3"/>
    <x v="0"/>
    <x v="0"/>
    <n v="105647.45"/>
    <x v="0"/>
    <x v="0"/>
  </r>
  <r>
    <x v="0"/>
    <x v="4"/>
    <x v="2"/>
    <x v="0"/>
    <x v="0"/>
    <n v="61858.19"/>
    <x v="0"/>
    <x v="0"/>
  </r>
  <r>
    <x v="0"/>
    <x v="4"/>
    <x v="3"/>
    <x v="0"/>
    <x v="0"/>
    <n v="245041.35"/>
    <x v="0"/>
    <x v="0"/>
  </r>
  <r>
    <x v="0"/>
    <x v="4"/>
    <x v="2"/>
    <x v="0"/>
    <x v="0"/>
    <n v="42922.81"/>
    <x v="0"/>
    <x v="0"/>
  </r>
  <r>
    <x v="0"/>
    <x v="4"/>
    <x v="3"/>
    <x v="0"/>
    <x v="0"/>
    <n v="137465.55"/>
    <x v="0"/>
    <x v="0"/>
  </r>
  <r>
    <x v="0"/>
    <x v="4"/>
    <x v="3"/>
    <x v="0"/>
    <x v="0"/>
    <n v="170207.14"/>
    <x v="0"/>
    <x v="0"/>
  </r>
  <r>
    <x v="0"/>
    <x v="4"/>
    <x v="2"/>
    <x v="0"/>
    <x v="0"/>
    <n v="18513.77"/>
    <x v="0"/>
    <x v="0"/>
  </r>
  <r>
    <x v="0"/>
    <x v="4"/>
    <x v="3"/>
    <x v="0"/>
    <x v="0"/>
    <n v="199318.34"/>
    <x v="0"/>
    <x v="0"/>
  </r>
  <r>
    <x v="0"/>
    <x v="4"/>
    <x v="2"/>
    <x v="0"/>
    <x v="0"/>
    <n v="26295.3"/>
    <x v="0"/>
    <x v="0"/>
  </r>
  <r>
    <x v="0"/>
    <x v="4"/>
    <x v="3"/>
    <x v="0"/>
    <x v="0"/>
    <n v="111549.83"/>
    <x v="0"/>
    <x v="0"/>
  </r>
  <r>
    <x v="0"/>
    <x v="4"/>
    <x v="2"/>
    <x v="0"/>
    <x v="0"/>
    <n v="56912.01"/>
    <x v="0"/>
    <x v="0"/>
  </r>
  <r>
    <x v="0"/>
    <x v="4"/>
    <x v="3"/>
    <x v="0"/>
    <x v="0"/>
    <n v="414285.51"/>
    <x v="0"/>
    <x v="0"/>
  </r>
  <r>
    <x v="0"/>
    <x v="4"/>
    <x v="3"/>
    <x v="0"/>
    <x v="0"/>
    <n v="298109.36"/>
    <x v="0"/>
    <x v="0"/>
  </r>
  <r>
    <x v="0"/>
    <x v="4"/>
    <x v="3"/>
    <x v="0"/>
    <x v="0"/>
    <n v="269736.99"/>
    <x v="0"/>
    <x v="0"/>
  </r>
  <r>
    <x v="0"/>
    <x v="4"/>
    <x v="2"/>
    <x v="0"/>
    <x v="0"/>
    <n v="18622.16"/>
    <x v="0"/>
    <x v="0"/>
  </r>
  <r>
    <x v="0"/>
    <x v="4"/>
    <x v="3"/>
    <x v="0"/>
    <x v="0"/>
    <n v="183816.31"/>
    <x v="0"/>
    <x v="0"/>
  </r>
  <r>
    <x v="0"/>
    <x v="4"/>
    <x v="3"/>
    <x v="0"/>
    <x v="0"/>
    <n v="143405.8"/>
    <x v="0"/>
    <x v="0"/>
  </r>
  <r>
    <x v="0"/>
    <x v="0"/>
    <x v="1"/>
    <x v="0"/>
    <x v="0"/>
    <n v="449.97"/>
    <x v="0"/>
    <x v="0"/>
  </r>
  <r>
    <x v="0"/>
    <x v="0"/>
    <x v="0"/>
    <x v="0"/>
    <x v="0"/>
    <n v="2743.55"/>
    <x v="0"/>
    <x v="0"/>
  </r>
  <r>
    <x v="0"/>
    <x v="0"/>
    <x v="0"/>
    <x v="0"/>
    <x v="0"/>
    <n v="1548.73"/>
    <x v="0"/>
    <x v="0"/>
  </r>
  <r>
    <x v="0"/>
    <x v="0"/>
    <x v="0"/>
    <x v="0"/>
    <x v="0"/>
    <n v="4828.43"/>
    <x v="0"/>
    <x v="0"/>
  </r>
  <r>
    <x v="0"/>
    <x v="0"/>
    <x v="0"/>
    <x v="0"/>
    <x v="0"/>
    <n v="1737.12"/>
    <x v="0"/>
    <x v="0"/>
  </r>
  <r>
    <x v="0"/>
    <x v="0"/>
    <x v="0"/>
    <x v="0"/>
    <x v="0"/>
    <n v="1089.31"/>
    <x v="0"/>
    <x v="0"/>
  </r>
  <r>
    <x v="0"/>
    <x v="0"/>
    <x v="0"/>
    <x v="0"/>
    <x v="0"/>
    <n v="5237.7"/>
    <x v="0"/>
    <x v="0"/>
  </r>
  <r>
    <x v="0"/>
    <x v="0"/>
    <x v="0"/>
    <x v="0"/>
    <x v="0"/>
    <n v="3364.48"/>
    <x v="0"/>
    <x v="0"/>
  </r>
  <r>
    <x v="0"/>
    <x v="0"/>
    <x v="0"/>
    <x v="0"/>
    <x v="0"/>
    <n v="1889.41"/>
    <x v="0"/>
    <x v="0"/>
  </r>
  <r>
    <x v="0"/>
    <x v="0"/>
    <x v="0"/>
    <x v="0"/>
    <x v="0"/>
    <n v="2685.44"/>
    <x v="0"/>
    <x v="0"/>
  </r>
  <r>
    <x v="0"/>
    <x v="0"/>
    <x v="0"/>
    <x v="0"/>
    <x v="0"/>
    <n v="1238.08"/>
    <x v="0"/>
    <x v="0"/>
  </r>
  <r>
    <x v="0"/>
    <x v="0"/>
    <x v="2"/>
    <x v="0"/>
    <x v="0"/>
    <n v="17994.24"/>
    <x v="0"/>
    <x v="0"/>
  </r>
  <r>
    <x v="0"/>
    <x v="0"/>
    <x v="0"/>
    <x v="0"/>
    <x v="0"/>
    <n v="6396.49"/>
    <x v="0"/>
    <x v="0"/>
  </r>
  <r>
    <x v="0"/>
    <x v="0"/>
    <x v="0"/>
    <x v="0"/>
    <x v="0"/>
    <n v="2380.21"/>
    <x v="0"/>
    <x v="0"/>
  </r>
  <r>
    <x v="0"/>
    <x v="2"/>
    <x v="3"/>
    <x v="0"/>
    <x v="0"/>
    <n v="139754.72"/>
    <x v="0"/>
    <x v="0"/>
  </r>
  <r>
    <x v="0"/>
    <x v="0"/>
    <x v="0"/>
    <x v="0"/>
    <x v="0"/>
    <n v="8787.63"/>
    <x v="0"/>
    <x v="0"/>
  </r>
  <r>
    <x v="0"/>
    <x v="3"/>
    <x v="0"/>
    <x v="0"/>
    <x v="0"/>
    <n v="2261.24"/>
    <x v="0"/>
    <x v="0"/>
  </r>
  <r>
    <x v="0"/>
    <x v="3"/>
    <x v="0"/>
    <x v="0"/>
    <x v="0"/>
    <n v="2807.73"/>
    <x v="0"/>
    <x v="0"/>
  </r>
  <r>
    <x v="0"/>
    <x v="0"/>
    <x v="0"/>
    <x v="0"/>
    <x v="0"/>
    <n v="4247.14"/>
    <x v="0"/>
    <x v="0"/>
  </r>
  <r>
    <x v="0"/>
    <x v="0"/>
    <x v="0"/>
    <x v="0"/>
    <x v="0"/>
    <n v="4504.48"/>
    <x v="0"/>
    <x v="0"/>
  </r>
  <r>
    <x v="0"/>
    <x v="0"/>
    <x v="0"/>
    <x v="0"/>
    <x v="0"/>
    <n v="3051.76"/>
    <x v="0"/>
    <x v="0"/>
  </r>
  <r>
    <x v="0"/>
    <x v="0"/>
    <x v="0"/>
    <x v="0"/>
    <x v="0"/>
    <n v="5675.84"/>
    <x v="0"/>
    <x v="0"/>
  </r>
  <r>
    <x v="0"/>
    <x v="3"/>
    <x v="1"/>
    <x v="0"/>
    <x v="0"/>
    <n v="194.4"/>
    <x v="0"/>
    <x v="0"/>
  </r>
  <r>
    <x v="0"/>
    <x v="0"/>
    <x v="0"/>
    <x v="0"/>
    <x v="0"/>
    <n v="8176.58"/>
    <x v="0"/>
    <x v="0"/>
  </r>
  <r>
    <x v="0"/>
    <x v="0"/>
    <x v="0"/>
    <x v="0"/>
    <x v="0"/>
    <n v="4074.17"/>
    <x v="0"/>
    <x v="0"/>
  </r>
  <r>
    <x v="0"/>
    <x v="0"/>
    <x v="2"/>
    <x v="0"/>
    <x v="0"/>
    <n v="13695.83"/>
    <x v="0"/>
    <x v="0"/>
  </r>
  <r>
    <x v="0"/>
    <x v="0"/>
    <x v="0"/>
    <x v="0"/>
    <x v="0"/>
    <n v="8092.22"/>
    <x v="0"/>
    <x v="0"/>
  </r>
  <r>
    <x v="0"/>
    <x v="2"/>
    <x v="3"/>
    <x v="0"/>
    <x v="0"/>
    <n v="286803.5"/>
    <x v="0"/>
    <x v="0"/>
  </r>
  <r>
    <x v="0"/>
    <x v="0"/>
    <x v="0"/>
    <x v="0"/>
    <x v="0"/>
    <n v="3620.25"/>
    <x v="0"/>
    <x v="0"/>
  </r>
  <r>
    <x v="0"/>
    <x v="2"/>
    <x v="3"/>
    <x v="0"/>
    <x v="0"/>
    <n v="153952.87"/>
    <x v="0"/>
    <x v="0"/>
  </r>
  <r>
    <x v="0"/>
    <x v="0"/>
    <x v="0"/>
    <x v="0"/>
    <x v="0"/>
    <n v="1335.03"/>
    <x v="0"/>
    <x v="0"/>
  </r>
  <r>
    <x v="0"/>
    <x v="0"/>
    <x v="1"/>
    <x v="0"/>
    <x v="0"/>
    <n v="96.32"/>
    <x v="0"/>
    <x v="0"/>
  </r>
  <r>
    <x v="0"/>
    <x v="1"/>
    <x v="3"/>
    <x v="0"/>
    <x v="0"/>
    <n v="412906.88"/>
    <x v="0"/>
    <x v="0"/>
  </r>
  <r>
    <x v="0"/>
    <x v="1"/>
    <x v="3"/>
    <x v="0"/>
    <x v="0"/>
    <n v="288638.46"/>
    <x v="0"/>
    <x v="0"/>
  </r>
  <r>
    <x v="0"/>
    <x v="0"/>
    <x v="0"/>
    <x v="0"/>
    <x v="0"/>
    <n v="2918.83"/>
    <x v="0"/>
    <x v="0"/>
  </r>
  <r>
    <x v="0"/>
    <x v="0"/>
    <x v="0"/>
    <x v="0"/>
    <x v="0"/>
    <n v="4852.65"/>
    <x v="0"/>
    <x v="0"/>
  </r>
  <r>
    <x v="0"/>
    <x v="0"/>
    <x v="2"/>
    <x v="0"/>
    <x v="0"/>
    <n v="13343.47"/>
    <x v="0"/>
    <x v="0"/>
  </r>
  <r>
    <x v="0"/>
    <x v="3"/>
    <x v="0"/>
    <x v="0"/>
    <x v="0"/>
    <n v="1672.55"/>
    <x v="0"/>
    <x v="0"/>
  </r>
  <r>
    <x v="0"/>
    <x v="0"/>
    <x v="0"/>
    <x v="0"/>
    <x v="0"/>
    <n v="1020.89"/>
    <x v="0"/>
    <x v="0"/>
  </r>
  <r>
    <x v="0"/>
    <x v="0"/>
    <x v="0"/>
    <x v="0"/>
    <x v="0"/>
    <n v="4440.79"/>
    <x v="0"/>
    <x v="0"/>
  </r>
  <r>
    <x v="0"/>
    <x v="0"/>
    <x v="2"/>
    <x v="0"/>
    <x v="0"/>
    <n v="12271.39"/>
    <x v="0"/>
    <x v="0"/>
  </r>
  <r>
    <x v="0"/>
    <x v="1"/>
    <x v="3"/>
    <x v="0"/>
    <x v="0"/>
    <n v="379953.15"/>
    <x v="0"/>
    <x v="0"/>
  </r>
  <r>
    <x v="0"/>
    <x v="0"/>
    <x v="0"/>
    <x v="0"/>
    <x v="0"/>
    <n v="9198.49"/>
    <x v="0"/>
    <x v="0"/>
  </r>
  <r>
    <x v="0"/>
    <x v="0"/>
    <x v="1"/>
    <x v="0"/>
    <x v="0"/>
    <n v="660.52"/>
    <x v="0"/>
    <x v="0"/>
  </r>
  <r>
    <x v="0"/>
    <x v="0"/>
    <x v="0"/>
    <x v="0"/>
    <x v="0"/>
    <n v="3485.64"/>
    <x v="0"/>
    <x v="0"/>
  </r>
  <r>
    <x v="0"/>
    <x v="0"/>
    <x v="1"/>
    <x v="0"/>
    <x v="0"/>
    <n v="413.84"/>
    <x v="0"/>
    <x v="0"/>
  </r>
  <r>
    <x v="0"/>
    <x v="0"/>
    <x v="0"/>
    <x v="0"/>
    <x v="0"/>
    <n v="3865.44"/>
    <x v="0"/>
    <x v="0"/>
  </r>
  <r>
    <x v="0"/>
    <x v="2"/>
    <x v="3"/>
    <x v="0"/>
    <x v="0"/>
    <n v="124832.65"/>
    <x v="0"/>
    <x v="0"/>
  </r>
  <r>
    <x v="0"/>
    <x v="1"/>
    <x v="3"/>
    <x v="0"/>
    <x v="0"/>
    <n v="302151.25"/>
    <x v="0"/>
    <x v="0"/>
  </r>
  <r>
    <x v="0"/>
    <x v="0"/>
    <x v="0"/>
    <x v="0"/>
    <x v="0"/>
    <n v="1854.51"/>
    <x v="0"/>
    <x v="0"/>
  </r>
  <r>
    <x v="0"/>
    <x v="0"/>
    <x v="0"/>
    <x v="0"/>
    <x v="0"/>
    <n v="2850.6"/>
    <x v="0"/>
    <x v="0"/>
  </r>
  <r>
    <x v="0"/>
    <x v="2"/>
    <x v="3"/>
    <x v="0"/>
    <x v="0"/>
    <n v="130905.88"/>
    <x v="0"/>
    <x v="0"/>
  </r>
  <r>
    <x v="0"/>
    <x v="0"/>
    <x v="0"/>
    <x v="0"/>
    <x v="0"/>
    <n v="8782.48"/>
    <x v="0"/>
    <x v="0"/>
  </r>
  <r>
    <x v="0"/>
    <x v="4"/>
    <x v="3"/>
    <x v="0"/>
    <x v="0"/>
    <n v="254286.27"/>
    <x v="0"/>
    <x v="0"/>
  </r>
  <r>
    <x v="0"/>
    <x v="0"/>
    <x v="2"/>
    <x v="0"/>
    <x v="0"/>
    <n v="10239.16"/>
    <x v="0"/>
    <x v="0"/>
  </r>
  <r>
    <x v="0"/>
    <x v="1"/>
    <x v="0"/>
    <x v="0"/>
    <x v="0"/>
    <n v="7276.69"/>
    <x v="0"/>
    <x v="0"/>
  </r>
  <r>
    <x v="0"/>
    <x v="3"/>
    <x v="0"/>
    <x v="0"/>
    <x v="0"/>
    <n v="4993.81"/>
    <x v="0"/>
    <x v="0"/>
  </r>
  <r>
    <x v="0"/>
    <x v="3"/>
    <x v="0"/>
    <x v="0"/>
    <x v="0"/>
    <n v="8531.44"/>
    <x v="0"/>
    <x v="0"/>
  </r>
  <r>
    <x v="0"/>
    <x v="0"/>
    <x v="0"/>
    <x v="0"/>
    <x v="0"/>
    <n v="4297.27"/>
    <x v="0"/>
    <x v="0"/>
  </r>
  <r>
    <x v="0"/>
    <x v="0"/>
    <x v="0"/>
    <x v="0"/>
    <x v="0"/>
    <n v="7287.73"/>
    <x v="0"/>
    <x v="0"/>
  </r>
  <r>
    <x v="0"/>
    <x v="0"/>
    <x v="0"/>
    <x v="0"/>
    <x v="0"/>
    <n v="5375.2"/>
    <x v="0"/>
    <x v="0"/>
  </r>
  <r>
    <x v="0"/>
    <x v="0"/>
    <x v="0"/>
    <x v="0"/>
    <x v="0"/>
    <n v="3830.45"/>
    <x v="0"/>
    <x v="0"/>
  </r>
  <r>
    <x v="0"/>
    <x v="1"/>
    <x v="2"/>
    <x v="0"/>
    <x v="0"/>
    <n v="70543.76"/>
    <x v="0"/>
    <x v="0"/>
  </r>
  <r>
    <x v="0"/>
    <x v="0"/>
    <x v="0"/>
    <x v="0"/>
    <x v="0"/>
    <n v="3558.79"/>
    <x v="0"/>
    <x v="0"/>
  </r>
  <r>
    <x v="0"/>
    <x v="0"/>
    <x v="0"/>
    <x v="0"/>
    <x v="0"/>
    <n v="6891.56"/>
    <x v="0"/>
    <x v="0"/>
  </r>
  <r>
    <x v="0"/>
    <x v="0"/>
    <x v="0"/>
    <x v="0"/>
    <x v="0"/>
    <n v="2875.66"/>
    <x v="0"/>
    <x v="0"/>
  </r>
  <r>
    <x v="0"/>
    <x v="0"/>
    <x v="0"/>
    <x v="0"/>
    <x v="0"/>
    <n v="4632.68"/>
    <x v="0"/>
    <x v="0"/>
  </r>
  <r>
    <x v="0"/>
    <x v="0"/>
    <x v="2"/>
    <x v="0"/>
    <x v="0"/>
    <n v="13693.11"/>
    <x v="0"/>
    <x v="0"/>
  </r>
  <r>
    <x v="0"/>
    <x v="1"/>
    <x v="2"/>
    <x v="0"/>
    <x v="0"/>
    <n v="81222.77"/>
    <x v="0"/>
    <x v="0"/>
  </r>
  <r>
    <x v="0"/>
    <x v="3"/>
    <x v="0"/>
    <x v="0"/>
    <x v="0"/>
    <n v="2801.1"/>
    <x v="0"/>
    <x v="0"/>
  </r>
  <r>
    <x v="0"/>
    <x v="1"/>
    <x v="3"/>
    <x v="0"/>
    <x v="0"/>
    <n v="273951.34"/>
    <x v="0"/>
    <x v="0"/>
  </r>
  <r>
    <x v="0"/>
    <x v="1"/>
    <x v="3"/>
    <x v="0"/>
    <x v="0"/>
    <n v="490341.11"/>
    <x v="0"/>
    <x v="0"/>
  </r>
  <r>
    <x v="0"/>
    <x v="0"/>
    <x v="1"/>
    <x v="0"/>
    <x v="0"/>
    <n v="226.29"/>
    <x v="0"/>
    <x v="0"/>
  </r>
  <r>
    <x v="0"/>
    <x v="2"/>
    <x v="3"/>
    <x v="0"/>
    <x v="0"/>
    <n v="204691.97"/>
    <x v="0"/>
    <x v="0"/>
  </r>
  <r>
    <x v="0"/>
    <x v="0"/>
    <x v="0"/>
    <x v="0"/>
    <x v="0"/>
    <n v="3399.54"/>
    <x v="0"/>
    <x v="0"/>
  </r>
  <r>
    <x v="0"/>
    <x v="0"/>
    <x v="1"/>
    <x v="0"/>
    <x v="0"/>
    <n v="261.95"/>
    <x v="0"/>
    <x v="0"/>
  </r>
  <r>
    <x v="0"/>
    <x v="0"/>
    <x v="0"/>
    <x v="0"/>
    <x v="0"/>
    <n v="1815.83"/>
    <x v="0"/>
    <x v="0"/>
  </r>
  <r>
    <x v="0"/>
    <x v="0"/>
    <x v="2"/>
    <x v="0"/>
    <x v="0"/>
    <n v="10287.6"/>
    <x v="0"/>
    <x v="0"/>
  </r>
  <r>
    <x v="0"/>
    <x v="3"/>
    <x v="0"/>
    <x v="0"/>
    <x v="0"/>
    <n v="2633.08"/>
    <x v="0"/>
    <x v="0"/>
  </r>
  <r>
    <x v="0"/>
    <x v="0"/>
    <x v="0"/>
    <x v="0"/>
    <x v="0"/>
    <n v="8818.07"/>
    <x v="0"/>
    <x v="0"/>
  </r>
  <r>
    <x v="0"/>
    <x v="0"/>
    <x v="1"/>
    <x v="0"/>
    <x v="0"/>
    <n v="271.77"/>
    <x v="0"/>
    <x v="0"/>
  </r>
  <r>
    <x v="0"/>
    <x v="0"/>
    <x v="0"/>
    <x v="0"/>
    <x v="0"/>
    <n v="7017.21"/>
    <x v="0"/>
    <x v="0"/>
  </r>
  <r>
    <x v="0"/>
    <x v="0"/>
    <x v="2"/>
    <x v="0"/>
    <x v="0"/>
    <n v="16709.74"/>
    <x v="0"/>
    <x v="0"/>
  </r>
  <r>
    <x v="0"/>
    <x v="0"/>
    <x v="0"/>
    <x v="0"/>
    <x v="0"/>
    <n v="2020.04"/>
    <x v="0"/>
    <x v="0"/>
  </r>
  <r>
    <x v="0"/>
    <x v="0"/>
    <x v="0"/>
    <x v="0"/>
    <x v="0"/>
    <n v="3601.28"/>
    <x v="0"/>
    <x v="0"/>
  </r>
  <r>
    <x v="0"/>
    <x v="3"/>
    <x v="0"/>
    <x v="0"/>
    <x v="0"/>
    <n v="6027.22"/>
    <x v="0"/>
    <x v="0"/>
  </r>
  <r>
    <x v="0"/>
    <x v="0"/>
    <x v="0"/>
    <x v="0"/>
    <x v="0"/>
    <n v="7886.77"/>
    <x v="0"/>
    <x v="0"/>
  </r>
  <r>
    <x v="0"/>
    <x v="1"/>
    <x v="3"/>
    <x v="0"/>
    <x v="0"/>
    <n v="421520.68"/>
    <x v="0"/>
    <x v="0"/>
  </r>
  <r>
    <x v="0"/>
    <x v="0"/>
    <x v="0"/>
    <x v="0"/>
    <x v="0"/>
    <n v="2444.49"/>
    <x v="0"/>
    <x v="0"/>
  </r>
  <r>
    <x v="0"/>
    <x v="0"/>
    <x v="0"/>
    <x v="0"/>
    <x v="0"/>
    <n v="2786.6"/>
    <x v="0"/>
    <x v="0"/>
  </r>
  <r>
    <x v="0"/>
    <x v="0"/>
    <x v="0"/>
    <x v="0"/>
    <x v="0"/>
    <n v="2186.58"/>
    <x v="0"/>
    <x v="0"/>
  </r>
  <r>
    <x v="0"/>
    <x v="2"/>
    <x v="3"/>
    <x v="0"/>
    <x v="0"/>
    <n v="265803.38"/>
    <x v="0"/>
    <x v="0"/>
  </r>
  <r>
    <x v="0"/>
    <x v="0"/>
    <x v="2"/>
    <x v="0"/>
    <x v="0"/>
    <n v="12363.37"/>
    <x v="0"/>
    <x v="0"/>
  </r>
  <r>
    <x v="0"/>
    <x v="3"/>
    <x v="0"/>
    <x v="0"/>
    <x v="0"/>
    <n v="3014.72"/>
    <x v="0"/>
    <x v="0"/>
  </r>
  <r>
    <x v="0"/>
    <x v="1"/>
    <x v="0"/>
    <x v="0"/>
    <x v="0"/>
    <n v="9533.48"/>
    <x v="0"/>
    <x v="0"/>
  </r>
  <r>
    <x v="0"/>
    <x v="1"/>
    <x v="3"/>
    <x v="0"/>
    <x v="0"/>
    <n v="139555.44"/>
    <x v="0"/>
    <x v="0"/>
  </r>
  <r>
    <x v="0"/>
    <x v="0"/>
    <x v="2"/>
    <x v="0"/>
    <x v="0"/>
    <n v="13525.15"/>
    <x v="0"/>
    <x v="0"/>
  </r>
  <r>
    <x v="0"/>
    <x v="0"/>
    <x v="0"/>
    <x v="0"/>
    <x v="0"/>
    <n v="5134.7"/>
    <x v="0"/>
    <x v="0"/>
  </r>
  <r>
    <x v="0"/>
    <x v="0"/>
    <x v="0"/>
    <x v="0"/>
    <x v="0"/>
    <n v="4881.15"/>
    <x v="0"/>
    <x v="0"/>
  </r>
  <r>
    <x v="0"/>
    <x v="2"/>
    <x v="3"/>
    <x v="0"/>
    <x v="0"/>
    <n v="130470.14"/>
    <x v="0"/>
    <x v="0"/>
  </r>
  <r>
    <x v="0"/>
    <x v="1"/>
    <x v="3"/>
    <x v="0"/>
    <x v="0"/>
    <n v="722161.86"/>
    <x v="0"/>
    <x v="0"/>
  </r>
  <r>
    <x v="0"/>
    <x v="0"/>
    <x v="0"/>
    <x v="0"/>
    <x v="0"/>
    <n v="5085.47"/>
    <x v="0"/>
    <x v="0"/>
  </r>
  <r>
    <x v="0"/>
    <x v="0"/>
    <x v="0"/>
    <x v="0"/>
    <x v="0"/>
    <n v="4617.63"/>
    <x v="0"/>
    <x v="0"/>
  </r>
  <r>
    <x v="0"/>
    <x v="0"/>
    <x v="0"/>
    <x v="0"/>
    <x v="0"/>
    <n v="3941.6"/>
    <x v="0"/>
    <x v="0"/>
  </r>
  <r>
    <x v="0"/>
    <x v="0"/>
    <x v="0"/>
    <x v="0"/>
    <x v="0"/>
    <n v="1471.39"/>
    <x v="0"/>
    <x v="0"/>
  </r>
  <r>
    <x v="0"/>
    <x v="0"/>
    <x v="0"/>
    <x v="0"/>
    <x v="0"/>
    <n v="5480.96"/>
    <x v="0"/>
    <x v="0"/>
  </r>
  <r>
    <x v="0"/>
    <x v="0"/>
    <x v="0"/>
    <x v="0"/>
    <x v="0"/>
    <n v="1834.74"/>
    <x v="0"/>
    <x v="0"/>
  </r>
  <r>
    <x v="0"/>
    <x v="4"/>
    <x v="3"/>
    <x v="0"/>
    <x v="0"/>
    <n v="365914.64"/>
    <x v="0"/>
    <x v="0"/>
  </r>
  <r>
    <x v="0"/>
    <x v="0"/>
    <x v="2"/>
    <x v="0"/>
    <x v="0"/>
    <n v="16472.92"/>
    <x v="0"/>
    <x v="0"/>
  </r>
  <r>
    <x v="0"/>
    <x v="0"/>
    <x v="2"/>
    <x v="0"/>
    <x v="0"/>
    <n v="31922.09"/>
    <x v="0"/>
    <x v="0"/>
  </r>
  <r>
    <x v="0"/>
    <x v="0"/>
    <x v="0"/>
    <x v="0"/>
    <x v="0"/>
    <n v="6450.56"/>
    <x v="0"/>
    <x v="0"/>
  </r>
  <r>
    <x v="0"/>
    <x v="2"/>
    <x v="3"/>
    <x v="0"/>
    <x v="0"/>
    <n v="315325.25"/>
    <x v="0"/>
    <x v="0"/>
  </r>
  <r>
    <x v="0"/>
    <x v="0"/>
    <x v="0"/>
    <x v="0"/>
    <x v="0"/>
    <n v="2869.11"/>
    <x v="0"/>
    <x v="0"/>
  </r>
  <r>
    <x v="0"/>
    <x v="0"/>
    <x v="0"/>
    <x v="0"/>
    <x v="0"/>
    <n v="2738.86"/>
    <x v="0"/>
    <x v="0"/>
  </r>
  <r>
    <x v="0"/>
    <x v="4"/>
    <x v="2"/>
    <x v="0"/>
    <x v="0"/>
    <n v="60503.37"/>
    <x v="0"/>
    <x v="0"/>
  </r>
  <r>
    <x v="0"/>
    <x v="0"/>
    <x v="1"/>
    <x v="0"/>
    <x v="0"/>
    <n v="450.55"/>
    <x v="0"/>
    <x v="0"/>
  </r>
  <r>
    <x v="0"/>
    <x v="3"/>
    <x v="0"/>
    <x v="0"/>
    <x v="0"/>
    <n v="8161.64"/>
    <x v="0"/>
    <x v="0"/>
  </r>
  <r>
    <x v="0"/>
    <x v="1"/>
    <x v="2"/>
    <x v="0"/>
    <x v="0"/>
    <n v="40149.38"/>
    <x v="0"/>
    <x v="0"/>
  </r>
  <r>
    <x v="0"/>
    <x v="0"/>
    <x v="0"/>
    <x v="0"/>
    <x v="0"/>
    <n v="5829.39"/>
    <x v="0"/>
    <x v="0"/>
  </r>
  <r>
    <x v="0"/>
    <x v="0"/>
    <x v="0"/>
    <x v="0"/>
    <x v="0"/>
    <n v="9119.89"/>
    <x v="0"/>
    <x v="0"/>
  </r>
  <r>
    <x v="0"/>
    <x v="0"/>
    <x v="0"/>
    <x v="0"/>
    <x v="0"/>
    <n v="3854.39"/>
    <x v="0"/>
    <x v="0"/>
  </r>
  <r>
    <x v="0"/>
    <x v="0"/>
    <x v="0"/>
    <x v="0"/>
    <x v="0"/>
    <n v="1053.13"/>
    <x v="0"/>
    <x v="0"/>
  </r>
  <r>
    <x v="0"/>
    <x v="0"/>
    <x v="0"/>
    <x v="0"/>
    <x v="0"/>
    <n v="7296.95"/>
    <x v="0"/>
    <x v="0"/>
  </r>
  <r>
    <x v="0"/>
    <x v="0"/>
    <x v="0"/>
    <x v="0"/>
    <x v="0"/>
    <n v="9114.34"/>
    <x v="0"/>
    <x v="0"/>
  </r>
  <r>
    <x v="0"/>
    <x v="0"/>
    <x v="2"/>
    <x v="0"/>
    <x v="0"/>
    <n v="18625.28"/>
    <x v="0"/>
    <x v="0"/>
  </r>
  <r>
    <x v="0"/>
    <x v="0"/>
    <x v="0"/>
    <x v="0"/>
    <x v="0"/>
    <n v="2134.11"/>
    <x v="0"/>
    <x v="0"/>
  </r>
  <r>
    <x v="0"/>
    <x v="0"/>
    <x v="0"/>
    <x v="0"/>
    <x v="0"/>
    <n v="3743.03"/>
    <x v="0"/>
    <x v="0"/>
  </r>
  <r>
    <x v="0"/>
    <x v="0"/>
    <x v="2"/>
    <x v="0"/>
    <x v="0"/>
    <n v="17457.7"/>
    <x v="0"/>
    <x v="0"/>
  </r>
  <r>
    <x v="0"/>
    <x v="0"/>
    <x v="0"/>
    <x v="0"/>
    <x v="0"/>
    <n v="1098.78"/>
    <x v="0"/>
    <x v="0"/>
  </r>
  <r>
    <x v="0"/>
    <x v="0"/>
    <x v="0"/>
    <x v="0"/>
    <x v="0"/>
    <n v="1393.49"/>
    <x v="0"/>
    <x v="0"/>
  </r>
  <r>
    <x v="0"/>
    <x v="0"/>
    <x v="0"/>
    <x v="0"/>
    <x v="0"/>
    <n v="3466.83"/>
    <x v="0"/>
    <x v="0"/>
  </r>
  <r>
    <x v="0"/>
    <x v="0"/>
    <x v="2"/>
    <x v="0"/>
    <x v="0"/>
    <n v="12960.72"/>
    <x v="0"/>
    <x v="0"/>
  </r>
  <r>
    <x v="0"/>
    <x v="0"/>
    <x v="0"/>
    <x v="0"/>
    <x v="0"/>
    <n v="3383.61"/>
    <x v="0"/>
    <x v="0"/>
  </r>
  <r>
    <x v="0"/>
    <x v="0"/>
    <x v="0"/>
    <x v="0"/>
    <x v="0"/>
    <n v="3285.68"/>
    <x v="0"/>
    <x v="0"/>
  </r>
  <r>
    <x v="0"/>
    <x v="0"/>
    <x v="0"/>
    <x v="0"/>
    <x v="0"/>
    <n v="4898.07"/>
    <x v="0"/>
    <x v="0"/>
  </r>
  <r>
    <x v="0"/>
    <x v="0"/>
    <x v="0"/>
    <x v="0"/>
    <x v="0"/>
    <n v="9642.19"/>
    <x v="0"/>
    <x v="0"/>
  </r>
  <r>
    <x v="0"/>
    <x v="0"/>
    <x v="0"/>
    <x v="0"/>
    <x v="0"/>
    <n v="1919.77"/>
    <x v="0"/>
    <x v="0"/>
  </r>
  <r>
    <x v="0"/>
    <x v="0"/>
    <x v="2"/>
    <x v="0"/>
    <x v="0"/>
    <n v="21820.68"/>
    <x v="0"/>
    <x v="0"/>
  </r>
  <r>
    <x v="0"/>
    <x v="0"/>
    <x v="2"/>
    <x v="0"/>
    <x v="0"/>
    <n v="18187.81"/>
    <x v="0"/>
    <x v="0"/>
  </r>
  <r>
    <x v="0"/>
    <x v="0"/>
    <x v="2"/>
    <x v="0"/>
    <x v="0"/>
    <n v="23069.76"/>
    <x v="0"/>
    <x v="0"/>
  </r>
  <r>
    <x v="0"/>
    <x v="0"/>
    <x v="0"/>
    <x v="0"/>
    <x v="0"/>
    <n v="6820.53"/>
    <x v="0"/>
    <x v="0"/>
  </r>
  <r>
    <x v="0"/>
    <x v="0"/>
    <x v="0"/>
    <x v="0"/>
    <x v="0"/>
    <n v="2635.06"/>
    <x v="0"/>
    <x v="0"/>
  </r>
  <r>
    <x v="0"/>
    <x v="0"/>
    <x v="0"/>
    <x v="0"/>
    <x v="0"/>
    <n v="5371.1"/>
    <x v="0"/>
    <x v="0"/>
  </r>
  <r>
    <x v="0"/>
    <x v="2"/>
    <x v="3"/>
    <x v="0"/>
    <x v="0"/>
    <n v="358124.44"/>
    <x v="0"/>
    <x v="0"/>
  </r>
  <r>
    <x v="0"/>
    <x v="0"/>
    <x v="0"/>
    <x v="0"/>
    <x v="0"/>
    <n v="2645.88"/>
    <x v="0"/>
    <x v="0"/>
  </r>
  <r>
    <x v="0"/>
    <x v="3"/>
    <x v="0"/>
    <x v="0"/>
    <x v="0"/>
    <n v="5454.05"/>
    <x v="0"/>
    <x v="0"/>
  </r>
  <r>
    <x v="0"/>
    <x v="0"/>
    <x v="0"/>
    <x v="0"/>
    <x v="0"/>
    <n v="2691.57"/>
    <x v="0"/>
    <x v="0"/>
  </r>
  <r>
    <x v="0"/>
    <x v="3"/>
    <x v="0"/>
    <x v="0"/>
    <x v="0"/>
    <n v="3269.57"/>
    <x v="0"/>
    <x v="0"/>
  </r>
  <r>
    <x v="0"/>
    <x v="0"/>
    <x v="0"/>
    <x v="0"/>
    <x v="0"/>
    <n v="3623.4"/>
    <x v="0"/>
    <x v="0"/>
  </r>
  <r>
    <x v="0"/>
    <x v="0"/>
    <x v="1"/>
    <x v="0"/>
    <x v="0"/>
    <n v="102.37"/>
    <x v="0"/>
    <x v="0"/>
  </r>
  <r>
    <x v="0"/>
    <x v="0"/>
    <x v="0"/>
    <x v="0"/>
    <x v="0"/>
    <n v="5601.3"/>
    <x v="0"/>
    <x v="0"/>
  </r>
  <r>
    <x v="0"/>
    <x v="2"/>
    <x v="3"/>
    <x v="0"/>
    <x v="0"/>
    <n v="151768.14"/>
    <x v="0"/>
    <x v="0"/>
  </r>
  <r>
    <x v="0"/>
    <x v="0"/>
    <x v="0"/>
    <x v="0"/>
    <x v="0"/>
    <n v="2725.19"/>
    <x v="0"/>
    <x v="0"/>
  </r>
  <r>
    <x v="0"/>
    <x v="0"/>
    <x v="0"/>
    <x v="0"/>
    <x v="0"/>
    <n v="1534.54"/>
    <x v="0"/>
    <x v="0"/>
  </r>
  <r>
    <x v="0"/>
    <x v="0"/>
    <x v="1"/>
    <x v="0"/>
    <x v="0"/>
    <n v="402.54"/>
    <x v="0"/>
    <x v="0"/>
  </r>
  <r>
    <x v="0"/>
    <x v="3"/>
    <x v="2"/>
    <x v="0"/>
    <x v="0"/>
    <n v="12617.81"/>
    <x v="0"/>
    <x v="0"/>
  </r>
  <r>
    <x v="0"/>
    <x v="0"/>
    <x v="0"/>
    <x v="0"/>
    <x v="0"/>
    <n v="3631.87"/>
    <x v="0"/>
    <x v="0"/>
  </r>
  <r>
    <x v="0"/>
    <x v="2"/>
    <x v="3"/>
    <x v="0"/>
    <x v="0"/>
    <n v="333946.96"/>
    <x v="0"/>
    <x v="0"/>
  </r>
  <r>
    <x v="0"/>
    <x v="0"/>
    <x v="0"/>
    <x v="0"/>
    <x v="0"/>
    <n v="7648.78"/>
    <x v="0"/>
    <x v="0"/>
  </r>
  <r>
    <x v="0"/>
    <x v="0"/>
    <x v="2"/>
    <x v="0"/>
    <x v="0"/>
    <n v="11679.19"/>
    <x v="0"/>
    <x v="0"/>
  </r>
  <r>
    <x v="0"/>
    <x v="0"/>
    <x v="1"/>
    <x v="0"/>
    <x v="0"/>
    <n v="272.8"/>
    <x v="0"/>
    <x v="0"/>
  </r>
  <r>
    <x v="0"/>
    <x v="0"/>
    <x v="0"/>
    <x v="0"/>
    <x v="0"/>
    <n v="1380.95"/>
    <x v="0"/>
    <x v="0"/>
  </r>
  <r>
    <x v="0"/>
    <x v="2"/>
    <x v="2"/>
    <x v="0"/>
    <x v="0"/>
    <n v="29587.32"/>
    <x v="0"/>
    <x v="0"/>
  </r>
  <r>
    <x v="0"/>
    <x v="0"/>
    <x v="0"/>
    <x v="0"/>
    <x v="0"/>
    <n v="1056.64"/>
    <x v="0"/>
    <x v="0"/>
  </r>
  <r>
    <x v="0"/>
    <x v="0"/>
    <x v="0"/>
    <x v="0"/>
    <x v="0"/>
    <n v="2515.46"/>
    <x v="0"/>
    <x v="0"/>
  </r>
  <r>
    <x v="0"/>
    <x v="3"/>
    <x v="0"/>
    <x v="0"/>
    <x v="0"/>
    <n v="6077.94"/>
    <x v="0"/>
    <x v="0"/>
  </r>
  <r>
    <x v="0"/>
    <x v="3"/>
    <x v="0"/>
    <x v="0"/>
    <x v="0"/>
    <n v="8648.45"/>
    <x v="0"/>
    <x v="0"/>
  </r>
  <r>
    <x v="0"/>
    <x v="3"/>
    <x v="0"/>
    <x v="0"/>
    <x v="0"/>
    <n v="5264.43"/>
    <x v="0"/>
    <x v="0"/>
  </r>
  <r>
    <x v="0"/>
    <x v="0"/>
    <x v="0"/>
    <x v="0"/>
    <x v="0"/>
    <n v="3821.75"/>
    <x v="0"/>
    <x v="0"/>
  </r>
  <r>
    <x v="0"/>
    <x v="0"/>
    <x v="0"/>
    <x v="0"/>
    <x v="0"/>
    <n v="4920.42"/>
    <x v="0"/>
    <x v="0"/>
  </r>
  <r>
    <x v="0"/>
    <x v="0"/>
    <x v="0"/>
    <x v="0"/>
    <x v="0"/>
    <n v="5635.6"/>
    <x v="0"/>
    <x v="0"/>
  </r>
  <r>
    <x v="0"/>
    <x v="0"/>
    <x v="2"/>
    <x v="0"/>
    <x v="0"/>
    <n v="11508.76"/>
    <x v="0"/>
    <x v="0"/>
  </r>
  <r>
    <x v="0"/>
    <x v="0"/>
    <x v="0"/>
    <x v="0"/>
    <x v="0"/>
    <n v="2147.21"/>
    <x v="0"/>
    <x v="0"/>
  </r>
  <r>
    <x v="0"/>
    <x v="0"/>
    <x v="0"/>
    <x v="0"/>
    <x v="0"/>
    <n v="8380.77"/>
    <x v="0"/>
    <x v="0"/>
  </r>
  <r>
    <x v="0"/>
    <x v="0"/>
    <x v="0"/>
    <x v="0"/>
    <x v="0"/>
    <n v="3850.6"/>
    <x v="0"/>
    <x v="0"/>
  </r>
  <r>
    <x v="0"/>
    <x v="0"/>
    <x v="0"/>
    <x v="0"/>
    <x v="0"/>
    <n v="5238.73"/>
    <x v="0"/>
    <x v="0"/>
  </r>
  <r>
    <x v="0"/>
    <x v="0"/>
    <x v="0"/>
    <x v="0"/>
    <x v="0"/>
    <n v="6173.13"/>
    <x v="0"/>
    <x v="0"/>
  </r>
  <r>
    <x v="0"/>
    <x v="0"/>
    <x v="0"/>
    <x v="0"/>
    <x v="0"/>
    <n v="1196.9"/>
    <x v="0"/>
    <x v="0"/>
  </r>
  <r>
    <x v="0"/>
    <x v="0"/>
    <x v="1"/>
    <x v="0"/>
    <x v="0"/>
    <n v="150.07"/>
    <x v="0"/>
    <x v="0"/>
  </r>
  <r>
    <x v="0"/>
    <x v="0"/>
    <x v="1"/>
    <x v="0"/>
    <x v="0"/>
    <n v="624.1"/>
    <x v="0"/>
    <x v="0"/>
  </r>
  <r>
    <x v="0"/>
    <x v="0"/>
    <x v="0"/>
    <x v="0"/>
    <x v="0"/>
    <n v="1012.86"/>
    <x v="0"/>
    <x v="0"/>
  </r>
  <r>
    <x v="0"/>
    <x v="0"/>
    <x v="0"/>
    <x v="0"/>
    <x v="0"/>
    <n v="3688.28"/>
    <x v="0"/>
    <x v="0"/>
  </r>
  <r>
    <x v="0"/>
    <x v="1"/>
    <x v="2"/>
    <x v="0"/>
    <x v="0"/>
    <n v="26112.94"/>
    <x v="0"/>
    <x v="0"/>
  </r>
  <r>
    <x v="0"/>
    <x v="2"/>
    <x v="3"/>
    <x v="0"/>
    <x v="0"/>
    <n v="286590.92"/>
    <x v="0"/>
    <x v="0"/>
  </r>
  <r>
    <x v="0"/>
    <x v="0"/>
    <x v="0"/>
    <x v="0"/>
    <x v="0"/>
    <n v="5430.53"/>
    <x v="0"/>
    <x v="0"/>
  </r>
  <r>
    <x v="0"/>
    <x v="0"/>
    <x v="2"/>
    <x v="0"/>
    <x v="0"/>
    <n v="13840.98"/>
    <x v="0"/>
    <x v="0"/>
  </r>
  <r>
    <x v="0"/>
    <x v="0"/>
    <x v="2"/>
    <x v="0"/>
    <x v="0"/>
    <n v="11479.22"/>
    <x v="0"/>
    <x v="0"/>
  </r>
  <r>
    <x v="0"/>
    <x v="2"/>
    <x v="3"/>
    <x v="0"/>
    <x v="0"/>
    <n v="119570.96"/>
    <x v="0"/>
    <x v="0"/>
  </r>
  <r>
    <x v="0"/>
    <x v="3"/>
    <x v="1"/>
    <x v="0"/>
    <x v="0"/>
    <n v="818.99"/>
    <x v="0"/>
    <x v="0"/>
  </r>
  <r>
    <x v="0"/>
    <x v="0"/>
    <x v="0"/>
    <x v="0"/>
    <x v="0"/>
    <n v="2736.66"/>
    <x v="0"/>
    <x v="0"/>
  </r>
  <r>
    <x v="0"/>
    <x v="0"/>
    <x v="0"/>
    <x v="0"/>
    <x v="0"/>
    <n v="6166.35"/>
    <x v="0"/>
    <x v="0"/>
  </r>
  <r>
    <x v="0"/>
    <x v="0"/>
    <x v="0"/>
    <x v="0"/>
    <x v="0"/>
    <n v="4052.14"/>
    <x v="0"/>
    <x v="0"/>
  </r>
  <r>
    <x v="0"/>
    <x v="0"/>
    <x v="0"/>
    <x v="0"/>
    <x v="0"/>
    <n v="6730.59"/>
    <x v="0"/>
    <x v="0"/>
  </r>
  <r>
    <x v="0"/>
    <x v="1"/>
    <x v="3"/>
    <x v="0"/>
    <x v="0"/>
    <n v="259096.62"/>
    <x v="0"/>
    <x v="0"/>
  </r>
  <r>
    <x v="0"/>
    <x v="1"/>
    <x v="2"/>
    <x v="0"/>
    <x v="0"/>
    <n v="21502.38"/>
    <x v="0"/>
    <x v="0"/>
  </r>
  <r>
    <x v="0"/>
    <x v="0"/>
    <x v="0"/>
    <x v="0"/>
    <x v="0"/>
    <n v="1810.88"/>
    <x v="0"/>
    <x v="0"/>
  </r>
  <r>
    <x v="0"/>
    <x v="0"/>
    <x v="1"/>
    <x v="0"/>
    <x v="0"/>
    <n v="700.86"/>
    <x v="0"/>
    <x v="0"/>
  </r>
  <r>
    <x v="0"/>
    <x v="3"/>
    <x v="0"/>
    <x v="0"/>
    <x v="0"/>
    <n v="7273.9"/>
    <x v="0"/>
    <x v="0"/>
  </r>
  <r>
    <x v="0"/>
    <x v="0"/>
    <x v="0"/>
    <x v="0"/>
    <x v="0"/>
    <n v="4845.31"/>
    <x v="0"/>
    <x v="0"/>
  </r>
  <r>
    <x v="0"/>
    <x v="0"/>
    <x v="0"/>
    <x v="0"/>
    <x v="0"/>
    <n v="1153.98"/>
    <x v="0"/>
    <x v="0"/>
  </r>
  <r>
    <x v="0"/>
    <x v="0"/>
    <x v="0"/>
    <x v="0"/>
    <x v="0"/>
    <n v="1624.03"/>
    <x v="0"/>
    <x v="0"/>
  </r>
  <r>
    <x v="0"/>
    <x v="0"/>
    <x v="0"/>
    <x v="0"/>
    <x v="0"/>
    <n v="8076.53"/>
    <x v="0"/>
    <x v="0"/>
  </r>
  <r>
    <x v="0"/>
    <x v="0"/>
    <x v="0"/>
    <x v="0"/>
    <x v="0"/>
    <n v="1313.6"/>
    <x v="0"/>
    <x v="0"/>
  </r>
  <r>
    <x v="0"/>
    <x v="0"/>
    <x v="0"/>
    <x v="0"/>
    <x v="0"/>
    <n v="6128.41"/>
    <x v="0"/>
    <x v="0"/>
  </r>
  <r>
    <x v="0"/>
    <x v="0"/>
    <x v="2"/>
    <x v="0"/>
    <x v="0"/>
    <n v="11301.82"/>
    <x v="0"/>
    <x v="0"/>
  </r>
  <r>
    <x v="0"/>
    <x v="0"/>
    <x v="0"/>
    <x v="0"/>
    <x v="0"/>
    <n v="4508.96"/>
    <x v="0"/>
    <x v="0"/>
  </r>
  <r>
    <x v="0"/>
    <x v="0"/>
    <x v="0"/>
    <x v="0"/>
    <x v="0"/>
    <n v="2588.24"/>
    <x v="0"/>
    <x v="0"/>
  </r>
  <r>
    <x v="0"/>
    <x v="0"/>
    <x v="1"/>
    <x v="0"/>
    <x v="0"/>
    <n v="909.33"/>
    <x v="0"/>
    <x v="0"/>
  </r>
  <r>
    <x v="0"/>
    <x v="0"/>
    <x v="0"/>
    <x v="0"/>
    <x v="0"/>
    <n v="7123.18"/>
    <x v="0"/>
    <x v="0"/>
  </r>
  <r>
    <x v="0"/>
    <x v="0"/>
    <x v="0"/>
    <x v="0"/>
    <x v="0"/>
    <n v="4449.8"/>
    <x v="0"/>
    <x v="0"/>
  </r>
  <r>
    <x v="0"/>
    <x v="0"/>
    <x v="1"/>
    <x v="0"/>
    <x v="0"/>
    <n v="663.34"/>
    <x v="0"/>
    <x v="0"/>
  </r>
  <r>
    <x v="0"/>
    <x v="0"/>
    <x v="0"/>
    <x v="0"/>
    <x v="0"/>
    <n v="4043.76"/>
    <x v="0"/>
    <x v="0"/>
  </r>
  <r>
    <x v="0"/>
    <x v="0"/>
    <x v="2"/>
    <x v="0"/>
    <x v="0"/>
    <n v="15350.84"/>
    <x v="0"/>
    <x v="0"/>
  </r>
  <r>
    <x v="0"/>
    <x v="0"/>
    <x v="2"/>
    <x v="0"/>
    <x v="0"/>
    <n v="11917.23"/>
    <x v="0"/>
    <x v="0"/>
  </r>
  <r>
    <x v="0"/>
    <x v="0"/>
    <x v="2"/>
    <x v="0"/>
    <x v="0"/>
    <n v="14145.51"/>
    <x v="0"/>
    <x v="0"/>
  </r>
  <r>
    <x v="0"/>
    <x v="0"/>
    <x v="2"/>
    <x v="0"/>
    <x v="0"/>
    <n v="28301.88"/>
    <x v="0"/>
    <x v="0"/>
  </r>
  <r>
    <x v="0"/>
    <x v="0"/>
    <x v="0"/>
    <x v="0"/>
    <x v="0"/>
    <n v="6976.97"/>
    <x v="0"/>
    <x v="0"/>
  </r>
  <r>
    <x v="0"/>
    <x v="0"/>
    <x v="2"/>
    <x v="0"/>
    <x v="0"/>
    <n v="19572.25"/>
    <x v="0"/>
    <x v="0"/>
  </r>
  <r>
    <x v="0"/>
    <x v="0"/>
    <x v="2"/>
    <x v="0"/>
    <x v="0"/>
    <n v="17389.94"/>
    <x v="0"/>
    <x v="0"/>
  </r>
  <r>
    <x v="0"/>
    <x v="0"/>
    <x v="2"/>
    <x v="0"/>
    <x v="0"/>
    <n v="12123.91"/>
    <x v="0"/>
    <x v="0"/>
  </r>
  <r>
    <x v="0"/>
    <x v="0"/>
    <x v="2"/>
    <x v="0"/>
    <x v="0"/>
    <n v="20007.91"/>
    <x v="0"/>
    <x v="0"/>
  </r>
  <r>
    <x v="0"/>
    <x v="0"/>
    <x v="2"/>
    <x v="0"/>
    <x v="0"/>
    <n v="18389.77"/>
    <x v="0"/>
    <x v="0"/>
  </r>
  <r>
    <x v="0"/>
    <x v="0"/>
    <x v="0"/>
    <x v="0"/>
    <x v="0"/>
    <n v="5947.8"/>
    <x v="0"/>
    <x v="0"/>
  </r>
  <r>
    <x v="0"/>
    <x v="0"/>
    <x v="1"/>
    <x v="0"/>
    <x v="0"/>
    <n v="804.16"/>
    <x v="0"/>
    <x v="0"/>
  </r>
  <r>
    <x v="0"/>
    <x v="0"/>
    <x v="2"/>
    <x v="0"/>
    <x v="0"/>
    <n v="14711.9"/>
    <x v="0"/>
    <x v="0"/>
  </r>
  <r>
    <x v="0"/>
    <x v="0"/>
    <x v="0"/>
    <x v="0"/>
    <x v="0"/>
    <n v="2407.47"/>
    <x v="0"/>
    <x v="0"/>
  </r>
  <r>
    <x v="0"/>
    <x v="0"/>
    <x v="0"/>
    <x v="0"/>
    <x v="0"/>
    <n v="2074.51"/>
    <x v="0"/>
    <x v="0"/>
  </r>
  <r>
    <x v="0"/>
    <x v="0"/>
    <x v="0"/>
    <x v="0"/>
    <x v="0"/>
    <n v="5711.01"/>
    <x v="0"/>
    <x v="0"/>
  </r>
  <r>
    <x v="0"/>
    <x v="0"/>
    <x v="2"/>
    <x v="0"/>
    <x v="0"/>
    <n v="21897.3"/>
    <x v="0"/>
    <x v="0"/>
  </r>
  <r>
    <x v="0"/>
    <x v="0"/>
    <x v="0"/>
    <x v="0"/>
    <x v="0"/>
    <n v="5462.01"/>
    <x v="0"/>
    <x v="0"/>
  </r>
  <r>
    <x v="0"/>
    <x v="0"/>
    <x v="0"/>
    <x v="0"/>
    <x v="0"/>
    <n v="2185.54"/>
    <x v="0"/>
    <x v="0"/>
  </r>
  <r>
    <x v="0"/>
    <x v="3"/>
    <x v="0"/>
    <x v="0"/>
    <x v="0"/>
    <n v="5655.43"/>
    <x v="0"/>
    <x v="0"/>
  </r>
  <r>
    <x v="0"/>
    <x v="0"/>
    <x v="1"/>
    <x v="0"/>
    <x v="0"/>
    <n v="727.94"/>
    <x v="0"/>
    <x v="0"/>
  </r>
  <r>
    <x v="0"/>
    <x v="0"/>
    <x v="0"/>
    <x v="0"/>
    <x v="0"/>
    <n v="7868.9"/>
    <x v="0"/>
    <x v="0"/>
  </r>
  <r>
    <x v="0"/>
    <x v="0"/>
    <x v="0"/>
    <x v="0"/>
    <x v="0"/>
    <n v="4029.56"/>
    <x v="0"/>
    <x v="0"/>
  </r>
  <r>
    <x v="0"/>
    <x v="3"/>
    <x v="0"/>
    <x v="0"/>
    <x v="0"/>
    <n v="2637.07"/>
    <x v="0"/>
    <x v="0"/>
  </r>
  <r>
    <x v="0"/>
    <x v="0"/>
    <x v="0"/>
    <x v="0"/>
    <x v="0"/>
    <n v="3129.06"/>
    <x v="0"/>
    <x v="0"/>
  </r>
  <r>
    <x v="0"/>
    <x v="0"/>
    <x v="0"/>
    <x v="0"/>
    <x v="0"/>
    <n v="6899.83"/>
    <x v="0"/>
    <x v="0"/>
  </r>
  <r>
    <x v="0"/>
    <x v="4"/>
    <x v="2"/>
    <x v="0"/>
    <x v="0"/>
    <n v="38366.56"/>
    <x v="0"/>
    <x v="0"/>
  </r>
  <r>
    <x v="0"/>
    <x v="0"/>
    <x v="0"/>
    <x v="0"/>
    <x v="0"/>
    <n v="6778.32"/>
    <x v="0"/>
    <x v="0"/>
  </r>
  <r>
    <x v="0"/>
    <x v="4"/>
    <x v="2"/>
    <x v="0"/>
    <x v="0"/>
    <n v="96015.94"/>
    <x v="0"/>
    <x v="0"/>
  </r>
  <r>
    <x v="0"/>
    <x v="0"/>
    <x v="0"/>
    <x v="0"/>
    <x v="0"/>
    <n v="2304.2"/>
    <x v="0"/>
    <x v="0"/>
  </r>
  <r>
    <x v="0"/>
    <x v="0"/>
    <x v="0"/>
    <x v="0"/>
    <x v="0"/>
    <n v="5575.09"/>
    <x v="0"/>
    <x v="0"/>
  </r>
  <r>
    <x v="0"/>
    <x v="0"/>
    <x v="0"/>
    <x v="0"/>
    <x v="0"/>
    <n v="1667.88"/>
    <x v="0"/>
    <x v="0"/>
  </r>
  <r>
    <x v="0"/>
    <x v="0"/>
    <x v="2"/>
    <x v="0"/>
    <x v="0"/>
    <n v="24659.46"/>
    <x v="0"/>
    <x v="0"/>
  </r>
  <r>
    <x v="0"/>
    <x v="4"/>
    <x v="3"/>
    <x v="0"/>
    <x v="0"/>
    <n v="221557.88"/>
    <x v="0"/>
    <x v="0"/>
  </r>
  <r>
    <x v="0"/>
    <x v="0"/>
    <x v="0"/>
    <x v="0"/>
    <x v="0"/>
    <n v="1117.17"/>
    <x v="0"/>
    <x v="0"/>
  </r>
  <r>
    <x v="0"/>
    <x v="0"/>
    <x v="0"/>
    <x v="0"/>
    <x v="0"/>
    <n v="7731.23"/>
    <x v="0"/>
    <x v="0"/>
  </r>
  <r>
    <x v="0"/>
    <x v="2"/>
    <x v="2"/>
    <x v="0"/>
    <x v="0"/>
    <n v="69490.69"/>
    <x v="0"/>
    <x v="0"/>
  </r>
  <r>
    <x v="0"/>
    <x v="0"/>
    <x v="0"/>
    <x v="0"/>
    <x v="0"/>
    <n v="5437.85"/>
    <x v="0"/>
    <x v="0"/>
  </r>
  <r>
    <x v="0"/>
    <x v="0"/>
    <x v="0"/>
    <x v="0"/>
    <x v="0"/>
    <n v="3984.3"/>
    <x v="0"/>
    <x v="0"/>
  </r>
  <r>
    <x v="0"/>
    <x v="0"/>
    <x v="0"/>
    <x v="0"/>
    <x v="0"/>
    <n v="5630.13"/>
    <x v="0"/>
    <x v="0"/>
  </r>
  <r>
    <x v="0"/>
    <x v="0"/>
    <x v="0"/>
    <x v="0"/>
    <x v="0"/>
    <n v="3399.78"/>
    <x v="0"/>
    <x v="0"/>
  </r>
  <r>
    <x v="0"/>
    <x v="0"/>
    <x v="0"/>
    <x v="0"/>
    <x v="0"/>
    <n v="7883.75"/>
    <x v="0"/>
    <x v="0"/>
  </r>
  <r>
    <x v="0"/>
    <x v="0"/>
    <x v="1"/>
    <x v="0"/>
    <x v="0"/>
    <n v="635.55"/>
    <x v="0"/>
    <x v="0"/>
  </r>
  <r>
    <x v="0"/>
    <x v="0"/>
    <x v="0"/>
    <x v="0"/>
    <x v="0"/>
    <n v="2248.26"/>
    <x v="0"/>
    <x v="0"/>
  </r>
  <r>
    <x v="0"/>
    <x v="0"/>
    <x v="0"/>
    <x v="0"/>
    <x v="0"/>
    <n v="9261.94"/>
    <x v="0"/>
    <x v="0"/>
  </r>
  <r>
    <x v="0"/>
    <x v="0"/>
    <x v="0"/>
    <x v="0"/>
    <x v="0"/>
    <n v="9614.73"/>
    <x v="0"/>
    <x v="0"/>
  </r>
  <r>
    <x v="0"/>
    <x v="2"/>
    <x v="2"/>
    <x v="0"/>
    <x v="0"/>
    <n v="30308.45"/>
    <x v="0"/>
    <x v="0"/>
  </r>
  <r>
    <x v="0"/>
    <x v="0"/>
    <x v="0"/>
    <x v="0"/>
    <x v="0"/>
    <n v="1012.84"/>
    <x v="0"/>
    <x v="0"/>
  </r>
  <r>
    <x v="0"/>
    <x v="0"/>
    <x v="0"/>
    <x v="0"/>
    <x v="0"/>
    <n v="6534.05"/>
    <x v="0"/>
    <x v="0"/>
  </r>
  <r>
    <x v="0"/>
    <x v="0"/>
    <x v="0"/>
    <x v="0"/>
    <x v="0"/>
    <n v="9460.66"/>
    <x v="0"/>
    <x v="0"/>
  </r>
  <r>
    <x v="0"/>
    <x v="0"/>
    <x v="0"/>
    <x v="0"/>
    <x v="0"/>
    <n v="2552.79"/>
    <x v="0"/>
    <x v="0"/>
  </r>
  <r>
    <x v="0"/>
    <x v="0"/>
    <x v="0"/>
    <x v="0"/>
    <x v="0"/>
    <n v="5912.4"/>
    <x v="0"/>
    <x v="0"/>
  </r>
  <r>
    <x v="0"/>
    <x v="0"/>
    <x v="0"/>
    <x v="0"/>
    <x v="0"/>
    <n v="8009.83"/>
    <x v="0"/>
    <x v="0"/>
  </r>
  <r>
    <x v="0"/>
    <x v="0"/>
    <x v="0"/>
    <x v="0"/>
    <x v="0"/>
    <n v="8625.97"/>
    <x v="0"/>
    <x v="0"/>
  </r>
  <r>
    <x v="0"/>
    <x v="1"/>
    <x v="3"/>
    <x v="0"/>
    <x v="0"/>
    <n v="244964.08"/>
    <x v="0"/>
    <x v="0"/>
  </r>
  <r>
    <x v="0"/>
    <x v="0"/>
    <x v="0"/>
    <x v="0"/>
    <x v="0"/>
    <n v="5663.87"/>
    <x v="0"/>
    <x v="0"/>
  </r>
  <r>
    <x v="0"/>
    <x v="0"/>
    <x v="0"/>
    <x v="0"/>
    <x v="0"/>
    <n v="1892.34"/>
    <x v="0"/>
    <x v="0"/>
  </r>
  <r>
    <x v="0"/>
    <x v="0"/>
    <x v="1"/>
    <x v="0"/>
    <x v="0"/>
    <n v="561.01"/>
    <x v="0"/>
    <x v="0"/>
  </r>
  <r>
    <x v="0"/>
    <x v="0"/>
    <x v="0"/>
    <x v="0"/>
    <x v="0"/>
    <n v="3218.06"/>
    <x v="0"/>
    <x v="0"/>
  </r>
  <r>
    <x v="0"/>
    <x v="0"/>
    <x v="0"/>
    <x v="0"/>
    <x v="0"/>
    <n v="9731.47"/>
    <x v="0"/>
    <x v="0"/>
  </r>
  <r>
    <x v="0"/>
    <x v="0"/>
    <x v="0"/>
    <x v="0"/>
    <x v="0"/>
    <n v="4018.12"/>
    <x v="0"/>
    <x v="0"/>
  </r>
  <r>
    <x v="0"/>
    <x v="0"/>
    <x v="0"/>
    <x v="0"/>
    <x v="0"/>
    <n v="6376.99"/>
    <x v="0"/>
    <x v="0"/>
  </r>
  <r>
    <x v="0"/>
    <x v="0"/>
    <x v="0"/>
    <x v="0"/>
    <x v="0"/>
    <n v="5983.88"/>
    <x v="0"/>
    <x v="0"/>
  </r>
  <r>
    <x v="0"/>
    <x v="0"/>
    <x v="1"/>
    <x v="0"/>
    <x v="0"/>
    <n v="280.59"/>
    <x v="0"/>
    <x v="0"/>
  </r>
  <r>
    <x v="0"/>
    <x v="0"/>
    <x v="0"/>
    <x v="0"/>
    <x v="0"/>
    <n v="5263.67"/>
    <x v="0"/>
    <x v="0"/>
  </r>
  <r>
    <x v="0"/>
    <x v="4"/>
    <x v="3"/>
    <x v="0"/>
    <x v="0"/>
    <n v="176370.68"/>
    <x v="0"/>
    <x v="0"/>
  </r>
  <r>
    <x v="0"/>
    <x v="4"/>
    <x v="2"/>
    <x v="0"/>
    <x v="0"/>
    <n v="62783.13"/>
    <x v="0"/>
    <x v="0"/>
  </r>
  <r>
    <x v="0"/>
    <x v="4"/>
    <x v="2"/>
    <x v="0"/>
    <x v="0"/>
    <n v="90956.1"/>
    <x v="0"/>
    <x v="0"/>
  </r>
  <r>
    <x v="0"/>
    <x v="4"/>
    <x v="3"/>
    <x v="0"/>
    <x v="0"/>
    <n v="120556.62"/>
    <x v="0"/>
    <x v="0"/>
  </r>
  <r>
    <x v="0"/>
    <x v="4"/>
    <x v="3"/>
    <x v="0"/>
    <x v="0"/>
    <n v="475857.13"/>
    <x v="0"/>
    <x v="0"/>
  </r>
  <r>
    <x v="0"/>
    <x v="4"/>
    <x v="3"/>
    <x v="0"/>
    <x v="0"/>
    <n v="239510.08"/>
    <x v="0"/>
    <x v="0"/>
  </r>
  <r>
    <x v="0"/>
    <x v="4"/>
    <x v="2"/>
    <x v="0"/>
    <x v="0"/>
    <n v="50938.65"/>
    <x v="0"/>
    <x v="0"/>
  </r>
  <r>
    <x v="0"/>
    <x v="4"/>
    <x v="3"/>
    <x v="0"/>
    <x v="0"/>
    <n v="288438"/>
    <x v="0"/>
    <x v="0"/>
  </r>
  <r>
    <x v="0"/>
    <x v="0"/>
    <x v="2"/>
    <x v="0"/>
    <x v="0"/>
    <n v="10349.31"/>
    <x v="0"/>
    <x v="0"/>
  </r>
  <r>
    <x v="0"/>
    <x v="0"/>
    <x v="0"/>
    <x v="0"/>
    <x v="0"/>
    <n v="7672.12"/>
    <x v="0"/>
    <x v="0"/>
  </r>
  <r>
    <x v="0"/>
    <x v="0"/>
    <x v="0"/>
    <x v="0"/>
    <x v="0"/>
    <n v="1203.13"/>
    <x v="0"/>
    <x v="0"/>
  </r>
  <r>
    <x v="0"/>
    <x v="0"/>
    <x v="0"/>
    <x v="0"/>
    <x v="0"/>
    <n v="1635.86"/>
    <x v="0"/>
    <x v="0"/>
  </r>
  <r>
    <x v="0"/>
    <x v="0"/>
    <x v="0"/>
    <x v="0"/>
    <x v="0"/>
    <n v="5072.52"/>
    <x v="0"/>
    <x v="0"/>
  </r>
  <r>
    <x v="0"/>
    <x v="0"/>
    <x v="0"/>
    <x v="0"/>
    <x v="0"/>
    <n v="3176.52"/>
    <x v="0"/>
    <x v="0"/>
  </r>
  <r>
    <x v="0"/>
    <x v="0"/>
    <x v="0"/>
    <x v="0"/>
    <x v="0"/>
    <n v="2891.7"/>
    <x v="0"/>
    <x v="0"/>
  </r>
  <r>
    <x v="0"/>
    <x v="0"/>
    <x v="0"/>
    <x v="0"/>
    <x v="0"/>
    <n v="1557.98"/>
    <x v="0"/>
    <x v="0"/>
  </r>
  <r>
    <x v="0"/>
    <x v="0"/>
    <x v="2"/>
    <x v="0"/>
    <x v="0"/>
    <n v="19316.5"/>
    <x v="0"/>
    <x v="0"/>
  </r>
  <r>
    <x v="0"/>
    <x v="0"/>
    <x v="0"/>
    <x v="0"/>
    <x v="0"/>
    <n v="8212.99"/>
    <x v="0"/>
    <x v="0"/>
  </r>
  <r>
    <x v="0"/>
    <x v="0"/>
    <x v="0"/>
    <x v="0"/>
    <x v="0"/>
    <n v="5284.56"/>
    <x v="0"/>
    <x v="0"/>
  </r>
  <r>
    <x v="0"/>
    <x v="0"/>
    <x v="2"/>
    <x v="0"/>
    <x v="0"/>
    <n v="16265.77"/>
    <x v="0"/>
    <x v="0"/>
  </r>
  <r>
    <x v="0"/>
    <x v="0"/>
    <x v="2"/>
    <x v="0"/>
    <x v="0"/>
    <n v="14054.64"/>
    <x v="0"/>
    <x v="0"/>
  </r>
  <r>
    <x v="0"/>
    <x v="0"/>
    <x v="2"/>
    <x v="0"/>
    <x v="0"/>
    <n v="11334.96"/>
    <x v="0"/>
    <x v="0"/>
  </r>
  <r>
    <x v="0"/>
    <x v="0"/>
    <x v="2"/>
    <x v="0"/>
    <x v="0"/>
    <n v="12445.65"/>
    <x v="0"/>
    <x v="0"/>
  </r>
  <r>
    <x v="0"/>
    <x v="0"/>
    <x v="1"/>
    <x v="0"/>
    <x v="0"/>
    <n v="42"/>
    <x v="0"/>
    <x v="0"/>
  </r>
  <r>
    <x v="0"/>
    <x v="0"/>
    <x v="2"/>
    <x v="0"/>
    <x v="0"/>
    <n v="10685.2"/>
    <x v="0"/>
    <x v="0"/>
  </r>
  <r>
    <x v="0"/>
    <x v="0"/>
    <x v="0"/>
    <x v="0"/>
    <x v="0"/>
    <n v="5778.99"/>
    <x v="0"/>
    <x v="0"/>
  </r>
  <r>
    <x v="0"/>
    <x v="0"/>
    <x v="0"/>
    <x v="0"/>
    <x v="0"/>
    <n v="7366.3"/>
    <x v="0"/>
    <x v="0"/>
  </r>
  <r>
    <x v="0"/>
    <x v="0"/>
    <x v="2"/>
    <x v="0"/>
    <x v="0"/>
    <n v="10810.73"/>
    <x v="0"/>
    <x v="0"/>
  </r>
  <r>
    <x v="0"/>
    <x v="0"/>
    <x v="0"/>
    <x v="0"/>
    <x v="0"/>
    <n v="5935.34"/>
    <x v="0"/>
    <x v="0"/>
  </r>
  <r>
    <x v="0"/>
    <x v="0"/>
    <x v="0"/>
    <x v="0"/>
    <x v="0"/>
    <n v="8539.76"/>
    <x v="0"/>
    <x v="0"/>
  </r>
  <r>
    <x v="0"/>
    <x v="3"/>
    <x v="0"/>
    <x v="0"/>
    <x v="0"/>
    <n v="1703.38"/>
    <x v="0"/>
    <x v="0"/>
  </r>
  <r>
    <x v="0"/>
    <x v="0"/>
    <x v="0"/>
    <x v="0"/>
    <x v="0"/>
    <n v="7566.04"/>
    <x v="0"/>
    <x v="0"/>
  </r>
  <r>
    <x v="0"/>
    <x v="0"/>
    <x v="1"/>
    <x v="0"/>
    <x v="0"/>
    <n v="186.33"/>
    <x v="0"/>
    <x v="0"/>
  </r>
  <r>
    <x v="0"/>
    <x v="0"/>
    <x v="2"/>
    <x v="0"/>
    <x v="0"/>
    <n v="10425.95"/>
    <x v="0"/>
    <x v="0"/>
  </r>
  <r>
    <x v="0"/>
    <x v="0"/>
    <x v="0"/>
    <x v="0"/>
    <x v="0"/>
    <n v="4764.33"/>
    <x v="0"/>
    <x v="0"/>
  </r>
  <r>
    <x v="0"/>
    <x v="0"/>
    <x v="0"/>
    <x v="0"/>
    <x v="0"/>
    <n v="9632.45"/>
    <x v="0"/>
    <x v="0"/>
  </r>
  <r>
    <x v="0"/>
    <x v="0"/>
    <x v="0"/>
    <x v="0"/>
    <x v="0"/>
    <n v="1573.42"/>
    <x v="0"/>
    <x v="0"/>
  </r>
  <r>
    <x v="0"/>
    <x v="0"/>
    <x v="0"/>
    <x v="0"/>
    <x v="0"/>
    <n v="9125.93"/>
    <x v="0"/>
    <x v="0"/>
  </r>
  <r>
    <x v="0"/>
    <x v="1"/>
    <x v="3"/>
    <x v="0"/>
    <x v="0"/>
    <n v="119352.09"/>
    <x v="0"/>
    <x v="0"/>
  </r>
  <r>
    <x v="0"/>
    <x v="1"/>
    <x v="3"/>
    <x v="0"/>
    <x v="0"/>
    <n v="221452.04"/>
    <x v="0"/>
    <x v="0"/>
  </r>
  <r>
    <x v="0"/>
    <x v="1"/>
    <x v="3"/>
    <x v="0"/>
    <x v="0"/>
    <n v="354832.51"/>
    <x v="0"/>
    <x v="0"/>
  </r>
  <r>
    <x v="0"/>
    <x v="0"/>
    <x v="0"/>
    <x v="0"/>
    <x v="0"/>
    <n v="3677.29"/>
    <x v="0"/>
    <x v="0"/>
  </r>
  <r>
    <x v="0"/>
    <x v="0"/>
    <x v="2"/>
    <x v="0"/>
    <x v="0"/>
    <n v="16749.98"/>
    <x v="0"/>
    <x v="0"/>
  </r>
  <r>
    <x v="0"/>
    <x v="0"/>
    <x v="2"/>
    <x v="0"/>
    <x v="0"/>
    <n v="10142.56"/>
    <x v="0"/>
    <x v="0"/>
  </r>
  <r>
    <x v="0"/>
    <x v="1"/>
    <x v="3"/>
    <x v="0"/>
    <x v="0"/>
    <n v="182385.22"/>
    <x v="0"/>
    <x v="0"/>
  </r>
  <r>
    <x v="0"/>
    <x v="0"/>
    <x v="0"/>
    <x v="0"/>
    <x v="0"/>
    <n v="4448.53"/>
    <x v="0"/>
    <x v="0"/>
  </r>
  <r>
    <x v="0"/>
    <x v="4"/>
    <x v="2"/>
    <x v="0"/>
    <x v="0"/>
    <n v="58408.09"/>
    <x v="0"/>
    <x v="0"/>
  </r>
  <r>
    <x v="0"/>
    <x v="0"/>
    <x v="1"/>
    <x v="0"/>
    <x v="0"/>
    <n v="141.87"/>
    <x v="0"/>
    <x v="0"/>
  </r>
  <r>
    <x v="0"/>
    <x v="0"/>
    <x v="1"/>
    <x v="0"/>
    <x v="0"/>
    <n v="793.64"/>
    <x v="0"/>
    <x v="0"/>
  </r>
  <r>
    <x v="0"/>
    <x v="2"/>
    <x v="2"/>
    <x v="0"/>
    <x v="0"/>
    <n v="98247.27"/>
    <x v="0"/>
    <x v="0"/>
  </r>
  <r>
    <x v="0"/>
    <x v="0"/>
    <x v="0"/>
    <x v="0"/>
    <x v="0"/>
    <n v="7315.54"/>
    <x v="0"/>
    <x v="0"/>
  </r>
  <r>
    <x v="0"/>
    <x v="0"/>
    <x v="0"/>
    <x v="0"/>
    <x v="0"/>
    <n v="3599.77"/>
    <x v="0"/>
    <x v="0"/>
  </r>
  <r>
    <x v="0"/>
    <x v="0"/>
    <x v="0"/>
    <x v="0"/>
    <x v="0"/>
    <n v="6831.38"/>
    <x v="0"/>
    <x v="0"/>
  </r>
  <r>
    <x v="0"/>
    <x v="0"/>
    <x v="0"/>
    <x v="0"/>
    <x v="0"/>
    <n v="2419.45"/>
    <x v="0"/>
    <x v="0"/>
  </r>
  <r>
    <x v="0"/>
    <x v="2"/>
    <x v="2"/>
    <x v="0"/>
    <x v="0"/>
    <n v="94740.26"/>
    <x v="0"/>
    <x v="0"/>
  </r>
  <r>
    <x v="0"/>
    <x v="0"/>
    <x v="0"/>
    <x v="0"/>
    <x v="0"/>
    <n v="6577.3"/>
    <x v="0"/>
    <x v="0"/>
  </r>
  <r>
    <x v="0"/>
    <x v="0"/>
    <x v="2"/>
    <x v="0"/>
    <x v="0"/>
    <n v="12429.59"/>
    <x v="0"/>
    <x v="0"/>
  </r>
  <r>
    <x v="0"/>
    <x v="3"/>
    <x v="0"/>
    <x v="0"/>
    <x v="0"/>
    <n v="6522.37"/>
    <x v="0"/>
    <x v="0"/>
  </r>
  <r>
    <x v="0"/>
    <x v="0"/>
    <x v="2"/>
    <x v="0"/>
    <x v="0"/>
    <n v="12762.36"/>
    <x v="0"/>
    <x v="0"/>
  </r>
  <r>
    <x v="0"/>
    <x v="0"/>
    <x v="2"/>
    <x v="0"/>
    <x v="0"/>
    <n v="11287.39"/>
    <x v="0"/>
    <x v="0"/>
  </r>
  <r>
    <x v="0"/>
    <x v="0"/>
    <x v="2"/>
    <x v="0"/>
    <x v="0"/>
    <n v="10884.19"/>
    <x v="0"/>
    <x v="0"/>
  </r>
  <r>
    <x v="0"/>
    <x v="0"/>
    <x v="0"/>
    <x v="0"/>
    <x v="0"/>
    <n v="1592.5"/>
    <x v="0"/>
    <x v="0"/>
  </r>
  <r>
    <x v="0"/>
    <x v="0"/>
    <x v="2"/>
    <x v="0"/>
    <x v="0"/>
    <n v="15751.26"/>
    <x v="0"/>
    <x v="0"/>
  </r>
  <r>
    <x v="0"/>
    <x v="0"/>
    <x v="1"/>
    <x v="0"/>
    <x v="0"/>
    <n v="351.26"/>
    <x v="0"/>
    <x v="0"/>
  </r>
  <r>
    <x v="0"/>
    <x v="0"/>
    <x v="0"/>
    <x v="0"/>
    <x v="0"/>
    <n v="3734.21"/>
    <x v="0"/>
    <x v="0"/>
  </r>
  <r>
    <x v="0"/>
    <x v="0"/>
    <x v="0"/>
    <x v="0"/>
    <x v="0"/>
    <n v="8403.66"/>
    <x v="0"/>
    <x v="0"/>
  </r>
  <r>
    <x v="0"/>
    <x v="0"/>
    <x v="0"/>
    <x v="0"/>
    <x v="0"/>
    <n v="9945.01"/>
    <x v="0"/>
    <x v="0"/>
  </r>
  <r>
    <x v="0"/>
    <x v="0"/>
    <x v="2"/>
    <x v="0"/>
    <x v="0"/>
    <n v="12491.01"/>
    <x v="0"/>
    <x v="0"/>
  </r>
  <r>
    <x v="0"/>
    <x v="0"/>
    <x v="0"/>
    <x v="0"/>
    <x v="0"/>
    <n v="7889.84"/>
    <x v="0"/>
    <x v="0"/>
  </r>
  <r>
    <x v="0"/>
    <x v="0"/>
    <x v="0"/>
    <x v="0"/>
    <x v="0"/>
    <n v="5169.09"/>
    <x v="0"/>
    <x v="0"/>
  </r>
  <r>
    <x v="0"/>
    <x v="0"/>
    <x v="2"/>
    <x v="0"/>
    <x v="0"/>
    <n v="13496.51"/>
    <x v="0"/>
    <x v="0"/>
  </r>
  <r>
    <x v="0"/>
    <x v="3"/>
    <x v="0"/>
    <x v="0"/>
    <x v="0"/>
    <n v="3548.72"/>
    <x v="0"/>
    <x v="0"/>
  </r>
  <r>
    <x v="0"/>
    <x v="0"/>
    <x v="0"/>
    <x v="0"/>
    <x v="0"/>
    <n v="9273.52"/>
    <x v="0"/>
    <x v="0"/>
  </r>
  <r>
    <x v="0"/>
    <x v="0"/>
    <x v="0"/>
    <x v="0"/>
    <x v="0"/>
    <n v="4522.66"/>
    <x v="0"/>
    <x v="0"/>
  </r>
  <r>
    <x v="0"/>
    <x v="0"/>
    <x v="1"/>
    <x v="0"/>
    <x v="0"/>
    <n v="997.34"/>
    <x v="0"/>
    <x v="0"/>
  </r>
  <r>
    <x v="0"/>
    <x v="0"/>
    <x v="0"/>
    <x v="0"/>
    <x v="0"/>
    <n v="3041.43"/>
    <x v="0"/>
    <x v="0"/>
  </r>
  <r>
    <x v="0"/>
    <x v="0"/>
    <x v="1"/>
    <x v="0"/>
    <x v="0"/>
    <n v="698.41"/>
    <x v="0"/>
    <x v="0"/>
  </r>
  <r>
    <x v="0"/>
    <x v="0"/>
    <x v="0"/>
    <x v="0"/>
    <x v="0"/>
    <n v="7269.74"/>
    <x v="0"/>
    <x v="0"/>
  </r>
  <r>
    <x v="0"/>
    <x v="0"/>
    <x v="0"/>
    <x v="0"/>
    <x v="0"/>
    <n v="8329.3"/>
    <x v="0"/>
    <x v="0"/>
  </r>
  <r>
    <x v="0"/>
    <x v="0"/>
    <x v="0"/>
    <x v="0"/>
    <x v="0"/>
    <n v="2312.71"/>
    <x v="0"/>
    <x v="0"/>
  </r>
  <r>
    <x v="0"/>
    <x v="0"/>
    <x v="0"/>
    <x v="0"/>
    <x v="0"/>
    <n v="7550.29"/>
    <x v="0"/>
    <x v="0"/>
  </r>
  <r>
    <x v="0"/>
    <x v="0"/>
    <x v="2"/>
    <x v="0"/>
    <x v="0"/>
    <n v="17396.31"/>
    <x v="0"/>
    <x v="0"/>
  </r>
  <r>
    <x v="0"/>
    <x v="0"/>
    <x v="0"/>
    <x v="0"/>
    <x v="0"/>
    <n v="3876.42"/>
    <x v="0"/>
    <x v="0"/>
  </r>
  <r>
    <x v="0"/>
    <x v="0"/>
    <x v="0"/>
    <x v="0"/>
    <x v="0"/>
    <n v="3835.42"/>
    <x v="0"/>
    <x v="0"/>
  </r>
  <r>
    <x v="0"/>
    <x v="0"/>
    <x v="2"/>
    <x v="0"/>
    <x v="0"/>
    <n v="18792.11"/>
    <x v="0"/>
    <x v="0"/>
  </r>
  <r>
    <x v="0"/>
    <x v="0"/>
    <x v="1"/>
    <x v="0"/>
    <x v="0"/>
    <n v="27.55"/>
    <x v="0"/>
    <x v="0"/>
  </r>
  <r>
    <x v="0"/>
    <x v="4"/>
    <x v="3"/>
    <x v="0"/>
    <x v="0"/>
    <n v="218753.79"/>
    <x v="0"/>
    <x v="0"/>
  </r>
  <r>
    <x v="0"/>
    <x v="4"/>
    <x v="2"/>
    <x v="0"/>
    <x v="0"/>
    <n v="42963.87"/>
    <x v="0"/>
    <x v="0"/>
  </r>
  <r>
    <x v="0"/>
    <x v="4"/>
    <x v="2"/>
    <x v="0"/>
    <x v="0"/>
    <n v="92184.04"/>
    <x v="0"/>
    <x v="0"/>
  </r>
  <r>
    <x v="0"/>
    <x v="4"/>
    <x v="3"/>
    <x v="0"/>
    <x v="0"/>
    <n v="669936.4"/>
    <x v="0"/>
    <x v="0"/>
  </r>
  <r>
    <x v="0"/>
    <x v="4"/>
    <x v="2"/>
    <x v="0"/>
    <x v="0"/>
    <n v="43198.52"/>
    <x v="0"/>
    <x v="0"/>
  </r>
  <r>
    <x v="0"/>
    <x v="4"/>
    <x v="3"/>
    <x v="0"/>
    <x v="0"/>
    <n v="171683.57"/>
    <x v="0"/>
    <x v="0"/>
  </r>
  <r>
    <x v="0"/>
    <x v="4"/>
    <x v="2"/>
    <x v="0"/>
    <x v="0"/>
    <n v="34784.78"/>
    <x v="0"/>
    <x v="0"/>
  </r>
  <r>
    <x v="0"/>
    <x v="4"/>
    <x v="3"/>
    <x v="0"/>
    <x v="0"/>
    <n v="521419.58"/>
    <x v="0"/>
    <x v="0"/>
  </r>
  <r>
    <x v="0"/>
    <x v="4"/>
    <x v="3"/>
    <x v="0"/>
    <x v="0"/>
    <n v="209859.04"/>
    <x v="0"/>
    <x v="0"/>
  </r>
  <r>
    <x v="0"/>
    <x v="4"/>
    <x v="2"/>
    <x v="0"/>
    <x v="0"/>
    <n v="61650.32"/>
    <x v="0"/>
    <x v="0"/>
  </r>
  <r>
    <x v="0"/>
    <x v="4"/>
    <x v="3"/>
    <x v="0"/>
    <x v="0"/>
    <n v="235362.23"/>
    <x v="0"/>
    <x v="0"/>
  </r>
  <r>
    <x v="0"/>
    <x v="4"/>
    <x v="3"/>
    <x v="0"/>
    <x v="0"/>
    <n v="327686.42"/>
    <x v="0"/>
    <x v="0"/>
  </r>
  <r>
    <x v="0"/>
    <x v="4"/>
    <x v="3"/>
    <x v="0"/>
    <x v="0"/>
    <n v="348463.93"/>
    <x v="0"/>
    <x v="0"/>
  </r>
  <r>
    <x v="0"/>
    <x v="4"/>
    <x v="3"/>
    <x v="0"/>
    <x v="0"/>
    <n v="137209.38"/>
    <x v="0"/>
    <x v="0"/>
  </r>
  <r>
    <x v="0"/>
    <x v="4"/>
    <x v="3"/>
    <x v="0"/>
    <x v="0"/>
    <n v="279846.24"/>
    <x v="0"/>
    <x v="0"/>
  </r>
  <r>
    <x v="0"/>
    <x v="4"/>
    <x v="3"/>
    <x v="0"/>
    <x v="0"/>
    <n v="159270.52"/>
    <x v="0"/>
    <x v="0"/>
  </r>
  <r>
    <x v="0"/>
    <x v="4"/>
    <x v="2"/>
    <x v="0"/>
    <x v="0"/>
    <n v="19872.97"/>
    <x v="0"/>
    <x v="0"/>
  </r>
  <r>
    <x v="0"/>
    <x v="4"/>
    <x v="3"/>
    <x v="0"/>
    <x v="0"/>
    <n v="203283.36"/>
    <x v="0"/>
    <x v="0"/>
  </r>
  <r>
    <x v="0"/>
    <x v="4"/>
    <x v="2"/>
    <x v="0"/>
    <x v="0"/>
    <n v="37475.31"/>
    <x v="0"/>
    <x v="0"/>
  </r>
  <r>
    <x v="0"/>
    <x v="4"/>
    <x v="3"/>
    <x v="0"/>
    <x v="0"/>
    <n v="151764.65"/>
    <x v="0"/>
    <x v="0"/>
  </r>
  <r>
    <x v="0"/>
    <x v="4"/>
    <x v="2"/>
    <x v="0"/>
    <x v="0"/>
    <n v="72311.62"/>
    <x v="0"/>
    <x v="0"/>
  </r>
  <r>
    <x v="0"/>
    <x v="4"/>
    <x v="3"/>
    <x v="0"/>
    <x v="0"/>
    <n v="198443.49"/>
    <x v="0"/>
    <x v="0"/>
  </r>
  <r>
    <x v="0"/>
    <x v="4"/>
    <x v="3"/>
    <x v="0"/>
    <x v="0"/>
    <n v="532111.14"/>
    <x v="0"/>
    <x v="0"/>
  </r>
  <r>
    <x v="0"/>
    <x v="4"/>
    <x v="3"/>
    <x v="0"/>
    <x v="0"/>
    <n v="839300.36"/>
    <x v="0"/>
    <x v="0"/>
  </r>
  <r>
    <x v="0"/>
    <x v="4"/>
    <x v="2"/>
    <x v="0"/>
    <x v="0"/>
    <n v="11436.9"/>
    <x v="0"/>
    <x v="0"/>
  </r>
  <r>
    <x v="0"/>
    <x v="4"/>
    <x v="2"/>
    <x v="0"/>
    <x v="0"/>
    <n v="37554.62"/>
    <x v="0"/>
    <x v="0"/>
  </r>
  <r>
    <x v="0"/>
    <x v="4"/>
    <x v="2"/>
    <x v="0"/>
    <x v="0"/>
    <n v="33499.16"/>
    <x v="0"/>
    <x v="0"/>
  </r>
  <r>
    <x v="0"/>
    <x v="4"/>
    <x v="3"/>
    <x v="0"/>
    <x v="0"/>
    <n v="283308"/>
    <x v="0"/>
    <x v="0"/>
  </r>
  <r>
    <x v="0"/>
    <x v="4"/>
    <x v="3"/>
    <x v="0"/>
    <x v="0"/>
    <n v="147844.59"/>
    <x v="0"/>
    <x v="0"/>
  </r>
  <r>
    <x v="0"/>
    <x v="4"/>
    <x v="2"/>
    <x v="0"/>
    <x v="0"/>
    <n v="65525.9"/>
    <x v="0"/>
    <x v="0"/>
  </r>
  <r>
    <x v="0"/>
    <x v="4"/>
    <x v="2"/>
    <x v="0"/>
    <x v="0"/>
    <n v="10844.67"/>
    <x v="0"/>
    <x v="0"/>
  </r>
  <r>
    <x v="0"/>
    <x v="4"/>
    <x v="3"/>
    <x v="0"/>
    <x v="0"/>
    <n v="455440.65"/>
    <x v="0"/>
    <x v="0"/>
  </r>
  <r>
    <x v="0"/>
    <x v="4"/>
    <x v="3"/>
    <x v="0"/>
    <x v="0"/>
    <n v="135327.21"/>
    <x v="0"/>
    <x v="0"/>
  </r>
  <r>
    <x v="0"/>
    <x v="4"/>
    <x v="3"/>
    <x v="0"/>
    <x v="0"/>
    <n v="211094.41"/>
    <x v="0"/>
    <x v="0"/>
  </r>
  <r>
    <x v="0"/>
    <x v="4"/>
    <x v="3"/>
    <x v="0"/>
    <x v="0"/>
    <n v="189595.83"/>
    <x v="0"/>
    <x v="0"/>
  </r>
  <r>
    <x v="0"/>
    <x v="4"/>
    <x v="2"/>
    <x v="0"/>
    <x v="0"/>
    <n v="66413.56"/>
    <x v="0"/>
    <x v="0"/>
  </r>
  <r>
    <x v="0"/>
    <x v="0"/>
    <x v="0"/>
    <x v="0"/>
    <x v="0"/>
    <n v="4552.47"/>
    <x v="0"/>
    <x v="0"/>
  </r>
  <r>
    <x v="0"/>
    <x v="3"/>
    <x v="0"/>
    <x v="0"/>
    <x v="0"/>
    <n v="1285.04"/>
    <x v="0"/>
    <x v="0"/>
  </r>
  <r>
    <x v="0"/>
    <x v="0"/>
    <x v="0"/>
    <x v="0"/>
    <x v="0"/>
    <n v="7627.89"/>
    <x v="0"/>
    <x v="0"/>
  </r>
  <r>
    <x v="0"/>
    <x v="0"/>
    <x v="1"/>
    <x v="0"/>
    <x v="0"/>
    <n v="846.91"/>
    <x v="0"/>
    <x v="0"/>
  </r>
  <r>
    <x v="0"/>
    <x v="1"/>
    <x v="3"/>
    <x v="0"/>
    <x v="0"/>
    <n v="206336.47"/>
    <x v="0"/>
    <x v="0"/>
  </r>
  <r>
    <x v="0"/>
    <x v="0"/>
    <x v="1"/>
    <x v="0"/>
    <x v="0"/>
    <n v="689.85"/>
    <x v="0"/>
    <x v="0"/>
  </r>
  <r>
    <x v="0"/>
    <x v="3"/>
    <x v="0"/>
    <x v="0"/>
    <x v="0"/>
    <n v="9837.13"/>
    <x v="0"/>
    <x v="0"/>
  </r>
  <r>
    <x v="0"/>
    <x v="0"/>
    <x v="0"/>
    <x v="0"/>
    <x v="0"/>
    <n v="9463.48"/>
    <x v="0"/>
    <x v="0"/>
  </r>
  <r>
    <x v="0"/>
    <x v="0"/>
    <x v="0"/>
    <x v="0"/>
    <x v="0"/>
    <n v="6456.26"/>
    <x v="0"/>
    <x v="0"/>
  </r>
  <r>
    <x v="0"/>
    <x v="2"/>
    <x v="2"/>
    <x v="0"/>
    <x v="0"/>
    <n v="96833.52"/>
    <x v="0"/>
    <x v="0"/>
  </r>
  <r>
    <x v="0"/>
    <x v="0"/>
    <x v="0"/>
    <x v="0"/>
    <x v="0"/>
    <n v="1146.72"/>
    <x v="0"/>
    <x v="0"/>
  </r>
  <r>
    <x v="0"/>
    <x v="0"/>
    <x v="2"/>
    <x v="0"/>
    <x v="0"/>
    <n v="13812.23"/>
    <x v="0"/>
    <x v="0"/>
  </r>
  <r>
    <x v="0"/>
    <x v="2"/>
    <x v="3"/>
    <x v="0"/>
    <x v="0"/>
    <n v="332573.12"/>
    <x v="0"/>
    <x v="0"/>
  </r>
  <r>
    <x v="0"/>
    <x v="0"/>
    <x v="2"/>
    <x v="0"/>
    <x v="0"/>
    <n v="13812.46"/>
    <x v="0"/>
    <x v="0"/>
  </r>
  <r>
    <x v="0"/>
    <x v="3"/>
    <x v="0"/>
    <x v="0"/>
    <x v="0"/>
    <n v="6159.72"/>
    <x v="0"/>
    <x v="0"/>
  </r>
  <r>
    <x v="0"/>
    <x v="3"/>
    <x v="2"/>
    <x v="0"/>
    <x v="0"/>
    <n v="11711.1"/>
    <x v="0"/>
    <x v="0"/>
  </r>
  <r>
    <x v="0"/>
    <x v="0"/>
    <x v="0"/>
    <x v="0"/>
    <x v="0"/>
    <n v="5881.78"/>
    <x v="0"/>
    <x v="0"/>
  </r>
  <r>
    <x v="0"/>
    <x v="0"/>
    <x v="0"/>
    <x v="0"/>
    <x v="0"/>
    <n v="1461.06"/>
    <x v="0"/>
    <x v="0"/>
  </r>
  <r>
    <x v="0"/>
    <x v="3"/>
    <x v="0"/>
    <x v="0"/>
    <x v="0"/>
    <n v="4242.85"/>
    <x v="0"/>
    <x v="0"/>
  </r>
  <r>
    <x v="0"/>
    <x v="0"/>
    <x v="0"/>
    <x v="0"/>
    <x v="0"/>
    <n v="2724.24"/>
    <x v="0"/>
    <x v="0"/>
  </r>
  <r>
    <x v="0"/>
    <x v="3"/>
    <x v="0"/>
    <x v="0"/>
    <x v="0"/>
    <n v="2344.79"/>
    <x v="0"/>
    <x v="0"/>
  </r>
  <r>
    <x v="0"/>
    <x v="0"/>
    <x v="0"/>
    <x v="0"/>
    <x v="0"/>
    <n v="8525.08"/>
    <x v="0"/>
    <x v="0"/>
  </r>
  <r>
    <x v="0"/>
    <x v="0"/>
    <x v="2"/>
    <x v="0"/>
    <x v="0"/>
    <n v="15640.06"/>
    <x v="0"/>
    <x v="0"/>
  </r>
  <r>
    <x v="0"/>
    <x v="3"/>
    <x v="0"/>
    <x v="0"/>
    <x v="0"/>
    <n v="1533.55"/>
    <x v="0"/>
    <x v="0"/>
  </r>
  <r>
    <x v="0"/>
    <x v="3"/>
    <x v="0"/>
    <x v="0"/>
    <x v="0"/>
    <n v="3256.43"/>
    <x v="0"/>
    <x v="0"/>
  </r>
  <r>
    <x v="0"/>
    <x v="0"/>
    <x v="0"/>
    <x v="0"/>
    <x v="0"/>
    <n v="4591.98"/>
    <x v="0"/>
    <x v="0"/>
  </r>
  <r>
    <x v="0"/>
    <x v="0"/>
    <x v="0"/>
    <x v="0"/>
    <x v="0"/>
    <n v="5567.55"/>
    <x v="0"/>
    <x v="0"/>
  </r>
  <r>
    <x v="0"/>
    <x v="0"/>
    <x v="0"/>
    <x v="0"/>
    <x v="0"/>
    <n v="4213.36"/>
    <x v="0"/>
    <x v="0"/>
  </r>
  <r>
    <x v="0"/>
    <x v="0"/>
    <x v="0"/>
    <x v="0"/>
    <x v="0"/>
    <n v="3970.45"/>
    <x v="0"/>
    <x v="0"/>
  </r>
  <r>
    <x v="0"/>
    <x v="3"/>
    <x v="0"/>
    <x v="0"/>
    <x v="0"/>
    <n v="4497.03"/>
    <x v="0"/>
    <x v="0"/>
  </r>
  <r>
    <x v="0"/>
    <x v="1"/>
    <x v="3"/>
    <x v="0"/>
    <x v="0"/>
    <n v="301706.01"/>
    <x v="0"/>
    <x v="0"/>
  </r>
  <r>
    <x v="0"/>
    <x v="0"/>
    <x v="0"/>
    <x v="0"/>
    <x v="0"/>
    <n v="3065.41"/>
    <x v="0"/>
    <x v="0"/>
  </r>
  <r>
    <x v="0"/>
    <x v="1"/>
    <x v="3"/>
    <x v="0"/>
    <x v="0"/>
    <n v="229316.19"/>
    <x v="0"/>
    <x v="0"/>
  </r>
  <r>
    <x v="0"/>
    <x v="3"/>
    <x v="0"/>
    <x v="0"/>
    <x v="0"/>
    <n v="1898.84"/>
    <x v="0"/>
    <x v="0"/>
  </r>
  <r>
    <x v="0"/>
    <x v="0"/>
    <x v="1"/>
    <x v="0"/>
    <x v="0"/>
    <n v="652.67"/>
    <x v="0"/>
    <x v="0"/>
  </r>
  <r>
    <x v="0"/>
    <x v="0"/>
    <x v="0"/>
    <x v="0"/>
    <x v="0"/>
    <n v="1795.14"/>
    <x v="0"/>
    <x v="0"/>
  </r>
  <r>
    <x v="0"/>
    <x v="0"/>
    <x v="0"/>
    <x v="0"/>
    <x v="0"/>
    <n v="5088.99"/>
    <x v="0"/>
    <x v="0"/>
  </r>
  <r>
    <x v="0"/>
    <x v="0"/>
    <x v="0"/>
    <x v="0"/>
    <x v="0"/>
    <n v="9305.93"/>
    <x v="0"/>
    <x v="0"/>
  </r>
  <r>
    <x v="0"/>
    <x v="1"/>
    <x v="3"/>
    <x v="0"/>
    <x v="0"/>
    <n v="498178.68"/>
    <x v="0"/>
    <x v="0"/>
  </r>
  <r>
    <x v="0"/>
    <x v="0"/>
    <x v="0"/>
    <x v="0"/>
    <x v="0"/>
    <n v="1897.66"/>
    <x v="0"/>
    <x v="0"/>
  </r>
  <r>
    <x v="0"/>
    <x v="0"/>
    <x v="0"/>
    <x v="0"/>
    <x v="0"/>
    <n v="1033.44"/>
    <x v="0"/>
    <x v="0"/>
  </r>
  <r>
    <x v="0"/>
    <x v="0"/>
    <x v="0"/>
    <x v="0"/>
    <x v="0"/>
    <n v="1252.27"/>
    <x v="0"/>
    <x v="0"/>
  </r>
  <r>
    <x v="0"/>
    <x v="0"/>
    <x v="0"/>
    <x v="0"/>
    <x v="0"/>
    <n v="4911.89"/>
    <x v="0"/>
    <x v="0"/>
  </r>
  <r>
    <x v="0"/>
    <x v="3"/>
    <x v="0"/>
    <x v="0"/>
    <x v="0"/>
    <n v="9755.38"/>
    <x v="0"/>
    <x v="0"/>
  </r>
  <r>
    <x v="0"/>
    <x v="1"/>
    <x v="3"/>
    <x v="0"/>
    <x v="0"/>
    <n v="300932.58"/>
    <x v="0"/>
    <x v="0"/>
  </r>
  <r>
    <x v="0"/>
    <x v="1"/>
    <x v="2"/>
    <x v="0"/>
    <x v="0"/>
    <n v="47940.14"/>
    <x v="0"/>
    <x v="0"/>
  </r>
  <r>
    <x v="0"/>
    <x v="1"/>
    <x v="3"/>
    <x v="0"/>
    <x v="0"/>
    <n v="118365.47"/>
    <x v="0"/>
    <x v="0"/>
  </r>
  <r>
    <x v="0"/>
    <x v="1"/>
    <x v="2"/>
    <x v="0"/>
    <x v="0"/>
    <n v="16626.81"/>
    <x v="0"/>
    <x v="0"/>
  </r>
  <r>
    <x v="0"/>
    <x v="1"/>
    <x v="2"/>
    <x v="0"/>
    <x v="0"/>
    <n v="96757.4"/>
    <x v="0"/>
    <x v="0"/>
  </r>
  <r>
    <x v="0"/>
    <x v="1"/>
    <x v="3"/>
    <x v="0"/>
    <x v="0"/>
    <n v="297448.33"/>
    <x v="0"/>
    <x v="0"/>
  </r>
  <r>
    <x v="0"/>
    <x v="1"/>
    <x v="3"/>
    <x v="0"/>
    <x v="0"/>
    <n v="287509.05"/>
    <x v="0"/>
    <x v="0"/>
  </r>
  <r>
    <x v="0"/>
    <x v="1"/>
    <x v="4"/>
    <x v="0"/>
    <x v="0"/>
    <n v="1212719.61"/>
    <x v="0"/>
    <x v="0"/>
  </r>
  <r>
    <x v="0"/>
    <x v="1"/>
    <x v="3"/>
    <x v="0"/>
    <x v="0"/>
    <n v="210650.2"/>
    <x v="0"/>
    <x v="0"/>
  </r>
  <r>
    <x v="0"/>
    <x v="1"/>
    <x v="4"/>
    <x v="0"/>
    <x v="0"/>
    <n v="1636507.63"/>
    <x v="0"/>
    <x v="0"/>
  </r>
  <r>
    <x v="0"/>
    <x v="1"/>
    <x v="3"/>
    <x v="0"/>
    <x v="0"/>
    <n v="651387.84"/>
    <x v="0"/>
    <x v="0"/>
  </r>
  <r>
    <x v="0"/>
    <x v="1"/>
    <x v="3"/>
    <x v="0"/>
    <x v="0"/>
    <n v="548288.31"/>
    <x v="0"/>
    <x v="0"/>
  </r>
  <r>
    <x v="0"/>
    <x v="1"/>
    <x v="4"/>
    <x v="0"/>
    <x v="0"/>
    <n v="2107293.71"/>
    <x v="0"/>
    <x v="0"/>
  </r>
  <r>
    <x v="0"/>
    <x v="1"/>
    <x v="4"/>
    <x v="0"/>
    <x v="0"/>
    <n v="1918461.7"/>
    <x v="0"/>
    <x v="0"/>
  </r>
  <r>
    <x v="0"/>
    <x v="1"/>
    <x v="3"/>
    <x v="0"/>
    <x v="0"/>
    <n v="291753.7"/>
    <x v="0"/>
    <x v="0"/>
  </r>
  <r>
    <x v="0"/>
    <x v="1"/>
    <x v="3"/>
    <x v="0"/>
    <x v="0"/>
    <n v="556542.19"/>
    <x v="0"/>
    <x v="0"/>
  </r>
  <r>
    <x v="0"/>
    <x v="3"/>
    <x v="1"/>
    <x v="0"/>
    <x v="0"/>
    <n v="588.33"/>
    <x v="0"/>
    <x v="0"/>
  </r>
  <r>
    <x v="0"/>
    <x v="0"/>
    <x v="0"/>
    <x v="0"/>
    <x v="0"/>
    <n v="3559.49"/>
    <x v="0"/>
    <x v="0"/>
  </r>
  <r>
    <x v="0"/>
    <x v="0"/>
    <x v="0"/>
    <x v="0"/>
    <x v="0"/>
    <n v="2488.09"/>
    <x v="0"/>
    <x v="0"/>
  </r>
  <r>
    <x v="0"/>
    <x v="0"/>
    <x v="1"/>
    <x v="0"/>
    <x v="0"/>
    <n v="353.9"/>
    <x v="0"/>
    <x v="0"/>
  </r>
  <r>
    <x v="0"/>
    <x v="0"/>
    <x v="0"/>
    <x v="0"/>
    <x v="0"/>
    <n v="8440.86"/>
    <x v="0"/>
    <x v="0"/>
  </r>
  <r>
    <x v="0"/>
    <x v="0"/>
    <x v="0"/>
    <x v="0"/>
    <x v="0"/>
    <n v="9160.94"/>
    <x v="0"/>
    <x v="0"/>
  </r>
  <r>
    <x v="0"/>
    <x v="0"/>
    <x v="2"/>
    <x v="0"/>
    <x v="0"/>
    <n v="11063.08"/>
    <x v="0"/>
    <x v="0"/>
  </r>
  <r>
    <x v="0"/>
    <x v="0"/>
    <x v="2"/>
    <x v="0"/>
    <x v="0"/>
    <n v="18392.23"/>
    <x v="0"/>
    <x v="0"/>
  </r>
  <r>
    <x v="0"/>
    <x v="0"/>
    <x v="0"/>
    <x v="0"/>
    <x v="0"/>
    <n v="2357.63"/>
    <x v="0"/>
    <x v="0"/>
  </r>
  <r>
    <x v="0"/>
    <x v="0"/>
    <x v="0"/>
    <x v="0"/>
    <x v="0"/>
    <n v="5157.05"/>
    <x v="0"/>
    <x v="0"/>
  </r>
  <r>
    <x v="0"/>
    <x v="0"/>
    <x v="0"/>
    <x v="0"/>
    <x v="0"/>
    <n v="5746.44"/>
    <x v="0"/>
    <x v="0"/>
  </r>
  <r>
    <x v="0"/>
    <x v="0"/>
    <x v="0"/>
    <x v="0"/>
    <x v="0"/>
    <n v="5607.36"/>
    <x v="0"/>
    <x v="0"/>
  </r>
  <r>
    <x v="0"/>
    <x v="0"/>
    <x v="0"/>
    <x v="0"/>
    <x v="0"/>
    <n v="6360.79"/>
    <x v="0"/>
    <x v="0"/>
  </r>
  <r>
    <x v="0"/>
    <x v="4"/>
    <x v="2"/>
    <x v="0"/>
    <x v="0"/>
    <n v="67200.07"/>
    <x v="0"/>
    <x v="0"/>
  </r>
  <r>
    <x v="0"/>
    <x v="0"/>
    <x v="0"/>
    <x v="0"/>
    <x v="0"/>
    <n v="2453.34"/>
    <x v="0"/>
    <x v="0"/>
  </r>
  <r>
    <x v="0"/>
    <x v="0"/>
    <x v="1"/>
    <x v="0"/>
    <x v="0"/>
    <n v="79.26"/>
    <x v="0"/>
    <x v="0"/>
  </r>
  <r>
    <x v="0"/>
    <x v="0"/>
    <x v="0"/>
    <x v="0"/>
    <x v="0"/>
    <n v="3758.16"/>
    <x v="0"/>
    <x v="0"/>
  </r>
  <r>
    <x v="0"/>
    <x v="0"/>
    <x v="2"/>
    <x v="0"/>
    <x v="0"/>
    <n v="24495.45"/>
    <x v="0"/>
    <x v="0"/>
  </r>
  <r>
    <x v="0"/>
    <x v="0"/>
    <x v="0"/>
    <x v="0"/>
    <x v="0"/>
    <n v="1284.49"/>
    <x v="0"/>
    <x v="0"/>
  </r>
  <r>
    <x v="0"/>
    <x v="0"/>
    <x v="0"/>
    <x v="0"/>
    <x v="0"/>
    <n v="3283.87"/>
    <x v="0"/>
    <x v="0"/>
  </r>
  <r>
    <x v="0"/>
    <x v="1"/>
    <x v="2"/>
    <x v="0"/>
    <x v="0"/>
    <n v="42136.28"/>
    <x v="0"/>
    <x v="0"/>
  </r>
  <r>
    <x v="0"/>
    <x v="1"/>
    <x v="2"/>
    <x v="0"/>
    <x v="0"/>
    <n v="27008.84"/>
    <x v="0"/>
    <x v="0"/>
  </r>
  <r>
    <x v="0"/>
    <x v="1"/>
    <x v="3"/>
    <x v="0"/>
    <x v="0"/>
    <n v="331545.25"/>
    <x v="0"/>
    <x v="0"/>
  </r>
  <r>
    <x v="0"/>
    <x v="1"/>
    <x v="2"/>
    <x v="0"/>
    <x v="0"/>
    <n v="42529.28"/>
    <x v="0"/>
    <x v="0"/>
  </r>
  <r>
    <x v="0"/>
    <x v="1"/>
    <x v="3"/>
    <x v="0"/>
    <x v="0"/>
    <n v="252129.73"/>
    <x v="0"/>
    <x v="0"/>
  </r>
  <r>
    <x v="0"/>
    <x v="1"/>
    <x v="3"/>
    <x v="0"/>
    <x v="0"/>
    <n v="473469.94"/>
    <x v="0"/>
    <x v="0"/>
  </r>
  <r>
    <x v="0"/>
    <x v="1"/>
    <x v="4"/>
    <x v="0"/>
    <x v="0"/>
    <n v="2317408.88"/>
    <x v="0"/>
    <x v="0"/>
  </r>
  <r>
    <x v="0"/>
    <x v="1"/>
    <x v="3"/>
    <x v="0"/>
    <x v="0"/>
    <n v="864389.49"/>
    <x v="0"/>
    <x v="0"/>
  </r>
  <r>
    <x v="0"/>
    <x v="1"/>
    <x v="3"/>
    <x v="0"/>
    <x v="0"/>
    <n v="276094.92"/>
    <x v="0"/>
    <x v="0"/>
  </r>
  <r>
    <x v="0"/>
    <x v="1"/>
    <x v="3"/>
    <x v="0"/>
    <x v="0"/>
    <n v="132355.33"/>
    <x v="0"/>
    <x v="0"/>
  </r>
  <r>
    <x v="0"/>
    <x v="1"/>
    <x v="3"/>
    <x v="0"/>
    <x v="0"/>
    <n v="169106.97"/>
    <x v="0"/>
    <x v="0"/>
  </r>
  <r>
    <x v="0"/>
    <x v="1"/>
    <x v="4"/>
    <x v="0"/>
    <x v="0"/>
    <n v="2604219.11"/>
    <x v="0"/>
    <x v="0"/>
  </r>
  <r>
    <x v="0"/>
    <x v="1"/>
    <x v="3"/>
    <x v="0"/>
    <x v="0"/>
    <n v="249740.75"/>
    <x v="0"/>
    <x v="0"/>
  </r>
  <r>
    <x v="0"/>
    <x v="0"/>
    <x v="0"/>
    <x v="0"/>
    <x v="0"/>
    <n v="7977.96"/>
    <x v="0"/>
    <x v="0"/>
  </r>
  <r>
    <x v="0"/>
    <x v="0"/>
    <x v="0"/>
    <x v="0"/>
    <x v="0"/>
    <n v="7848.22"/>
    <x v="0"/>
    <x v="0"/>
  </r>
  <r>
    <x v="0"/>
    <x v="0"/>
    <x v="0"/>
    <x v="0"/>
    <x v="0"/>
    <n v="7625.73"/>
    <x v="0"/>
    <x v="0"/>
  </r>
  <r>
    <x v="0"/>
    <x v="0"/>
    <x v="0"/>
    <x v="0"/>
    <x v="0"/>
    <n v="3499.43"/>
    <x v="0"/>
    <x v="0"/>
  </r>
  <r>
    <x v="0"/>
    <x v="3"/>
    <x v="1"/>
    <x v="0"/>
    <x v="0"/>
    <n v="642.26"/>
    <x v="0"/>
    <x v="0"/>
  </r>
  <r>
    <x v="0"/>
    <x v="2"/>
    <x v="2"/>
    <x v="0"/>
    <x v="0"/>
    <n v="41295.56"/>
    <x v="0"/>
    <x v="0"/>
  </r>
  <r>
    <x v="0"/>
    <x v="2"/>
    <x v="2"/>
    <x v="0"/>
    <x v="0"/>
    <n v="13576.03"/>
    <x v="0"/>
    <x v="0"/>
  </r>
  <r>
    <x v="0"/>
    <x v="2"/>
    <x v="2"/>
    <x v="0"/>
    <x v="0"/>
    <n v="29572.74"/>
    <x v="0"/>
    <x v="0"/>
  </r>
  <r>
    <x v="0"/>
    <x v="2"/>
    <x v="2"/>
    <x v="0"/>
    <x v="0"/>
    <n v="53569.21"/>
    <x v="0"/>
    <x v="0"/>
  </r>
  <r>
    <x v="0"/>
    <x v="2"/>
    <x v="3"/>
    <x v="0"/>
    <x v="0"/>
    <n v="139247.62"/>
    <x v="0"/>
    <x v="0"/>
  </r>
  <r>
    <x v="0"/>
    <x v="2"/>
    <x v="2"/>
    <x v="0"/>
    <x v="0"/>
    <n v="60360.45"/>
    <x v="0"/>
    <x v="0"/>
  </r>
  <r>
    <x v="0"/>
    <x v="2"/>
    <x v="3"/>
    <x v="0"/>
    <x v="0"/>
    <n v="161795.9"/>
    <x v="0"/>
    <x v="0"/>
  </r>
  <r>
    <x v="0"/>
    <x v="2"/>
    <x v="3"/>
    <x v="0"/>
    <x v="0"/>
    <n v="607537.17"/>
    <x v="0"/>
    <x v="0"/>
  </r>
  <r>
    <x v="0"/>
    <x v="2"/>
    <x v="3"/>
    <x v="0"/>
    <x v="0"/>
    <n v="254399.35"/>
    <x v="0"/>
    <x v="0"/>
  </r>
  <r>
    <x v="0"/>
    <x v="2"/>
    <x v="3"/>
    <x v="0"/>
    <x v="0"/>
    <n v="427823.47"/>
    <x v="0"/>
    <x v="0"/>
  </r>
  <r>
    <x v="0"/>
    <x v="2"/>
    <x v="2"/>
    <x v="0"/>
    <x v="0"/>
    <n v="16662.21"/>
    <x v="0"/>
    <x v="0"/>
  </r>
  <r>
    <x v="0"/>
    <x v="2"/>
    <x v="3"/>
    <x v="0"/>
    <x v="0"/>
    <n v="173570.67"/>
    <x v="0"/>
    <x v="0"/>
  </r>
  <r>
    <x v="0"/>
    <x v="2"/>
    <x v="2"/>
    <x v="0"/>
    <x v="0"/>
    <n v="54684.17"/>
    <x v="0"/>
    <x v="0"/>
  </r>
  <r>
    <x v="0"/>
    <x v="2"/>
    <x v="2"/>
    <x v="0"/>
    <x v="0"/>
    <n v="87963.9"/>
    <x v="0"/>
    <x v="0"/>
  </r>
  <r>
    <x v="0"/>
    <x v="2"/>
    <x v="3"/>
    <x v="0"/>
    <x v="0"/>
    <n v="565349.9"/>
    <x v="0"/>
    <x v="0"/>
  </r>
  <r>
    <x v="0"/>
    <x v="2"/>
    <x v="2"/>
    <x v="0"/>
    <x v="0"/>
    <n v="94527.39"/>
    <x v="0"/>
    <x v="0"/>
  </r>
  <r>
    <x v="0"/>
    <x v="2"/>
    <x v="3"/>
    <x v="0"/>
    <x v="0"/>
    <n v="315552.62"/>
    <x v="0"/>
    <x v="0"/>
  </r>
  <r>
    <x v="0"/>
    <x v="2"/>
    <x v="2"/>
    <x v="0"/>
    <x v="0"/>
    <n v="48169.69"/>
    <x v="0"/>
    <x v="0"/>
  </r>
  <r>
    <x v="0"/>
    <x v="2"/>
    <x v="3"/>
    <x v="0"/>
    <x v="0"/>
    <n v="118753.07"/>
    <x v="0"/>
    <x v="0"/>
  </r>
  <r>
    <x v="0"/>
    <x v="2"/>
    <x v="3"/>
    <x v="0"/>
    <x v="0"/>
    <n v="106705.8"/>
    <x v="0"/>
    <x v="0"/>
  </r>
  <r>
    <x v="0"/>
    <x v="2"/>
    <x v="3"/>
    <x v="0"/>
    <x v="0"/>
    <n v="328967.35"/>
    <x v="0"/>
    <x v="0"/>
  </r>
  <r>
    <x v="0"/>
    <x v="2"/>
    <x v="2"/>
    <x v="0"/>
    <x v="0"/>
    <n v="55855.58"/>
    <x v="0"/>
    <x v="0"/>
  </r>
  <r>
    <x v="0"/>
    <x v="2"/>
    <x v="3"/>
    <x v="0"/>
    <x v="0"/>
    <n v="370751.08"/>
    <x v="0"/>
    <x v="0"/>
  </r>
  <r>
    <x v="0"/>
    <x v="2"/>
    <x v="2"/>
    <x v="0"/>
    <x v="0"/>
    <n v="49177.38"/>
    <x v="0"/>
    <x v="0"/>
  </r>
  <r>
    <x v="0"/>
    <x v="2"/>
    <x v="2"/>
    <x v="0"/>
    <x v="0"/>
    <n v="63557.19"/>
    <x v="0"/>
    <x v="0"/>
  </r>
  <r>
    <x v="0"/>
    <x v="2"/>
    <x v="2"/>
    <x v="0"/>
    <x v="0"/>
    <n v="33663.22"/>
    <x v="0"/>
    <x v="0"/>
  </r>
  <r>
    <x v="0"/>
    <x v="2"/>
    <x v="2"/>
    <x v="0"/>
    <x v="0"/>
    <n v="20986.8"/>
    <x v="0"/>
    <x v="0"/>
  </r>
  <r>
    <x v="0"/>
    <x v="2"/>
    <x v="3"/>
    <x v="0"/>
    <x v="0"/>
    <n v="301680.88"/>
    <x v="0"/>
    <x v="0"/>
  </r>
  <r>
    <x v="0"/>
    <x v="2"/>
    <x v="0"/>
    <x v="0"/>
    <x v="0"/>
    <n v="9320.15"/>
    <x v="0"/>
    <x v="0"/>
  </r>
  <r>
    <x v="0"/>
    <x v="2"/>
    <x v="3"/>
    <x v="0"/>
    <x v="0"/>
    <n v="241488.05"/>
    <x v="0"/>
    <x v="0"/>
  </r>
  <r>
    <x v="0"/>
    <x v="2"/>
    <x v="2"/>
    <x v="0"/>
    <x v="0"/>
    <n v="60850.8"/>
    <x v="0"/>
    <x v="0"/>
  </r>
  <r>
    <x v="0"/>
    <x v="2"/>
    <x v="3"/>
    <x v="0"/>
    <x v="0"/>
    <n v="476934.35"/>
    <x v="0"/>
    <x v="0"/>
  </r>
  <r>
    <x v="0"/>
    <x v="2"/>
    <x v="3"/>
    <x v="0"/>
    <x v="0"/>
    <n v="598674.03"/>
    <x v="0"/>
    <x v="0"/>
  </r>
  <r>
    <x v="0"/>
    <x v="2"/>
    <x v="3"/>
    <x v="0"/>
    <x v="0"/>
    <n v="135357.16"/>
    <x v="0"/>
    <x v="0"/>
  </r>
  <r>
    <x v="0"/>
    <x v="2"/>
    <x v="3"/>
    <x v="0"/>
    <x v="0"/>
    <n v="422125.99"/>
    <x v="0"/>
    <x v="0"/>
  </r>
  <r>
    <x v="0"/>
    <x v="2"/>
    <x v="2"/>
    <x v="0"/>
    <x v="0"/>
    <n v="57643.24"/>
    <x v="0"/>
    <x v="0"/>
  </r>
  <r>
    <x v="0"/>
    <x v="0"/>
    <x v="2"/>
    <x v="0"/>
    <x v="0"/>
    <n v="11261.67"/>
    <x v="0"/>
    <x v="0"/>
  </r>
  <r>
    <x v="0"/>
    <x v="1"/>
    <x v="3"/>
    <x v="0"/>
    <x v="0"/>
    <n v="416106.78"/>
    <x v="0"/>
    <x v="0"/>
  </r>
  <r>
    <x v="0"/>
    <x v="0"/>
    <x v="0"/>
    <x v="0"/>
    <x v="0"/>
    <n v="4447.55"/>
    <x v="0"/>
    <x v="0"/>
  </r>
  <r>
    <x v="0"/>
    <x v="1"/>
    <x v="2"/>
    <x v="1"/>
    <x v="0"/>
    <n v="25071.46"/>
    <x v="1"/>
    <x v="7"/>
  </r>
  <r>
    <x v="0"/>
    <x v="2"/>
    <x v="2"/>
    <x v="1"/>
    <x v="0"/>
    <n v="25071.46"/>
    <x v="1"/>
    <x v="7"/>
  </r>
  <r>
    <x v="0"/>
    <x v="0"/>
    <x v="0"/>
    <x v="0"/>
    <x v="0"/>
    <n v="3239.95"/>
    <x v="0"/>
    <x v="0"/>
  </r>
  <r>
    <x v="0"/>
    <x v="0"/>
    <x v="2"/>
    <x v="0"/>
    <x v="0"/>
    <n v="10286.48"/>
    <x v="0"/>
    <x v="0"/>
  </r>
  <r>
    <x v="0"/>
    <x v="0"/>
    <x v="0"/>
    <x v="0"/>
    <x v="0"/>
    <n v="2011.81"/>
    <x v="0"/>
    <x v="0"/>
  </r>
  <r>
    <x v="0"/>
    <x v="0"/>
    <x v="0"/>
    <x v="0"/>
    <x v="0"/>
    <n v="9520.02"/>
    <x v="0"/>
    <x v="0"/>
  </r>
  <r>
    <x v="0"/>
    <x v="0"/>
    <x v="0"/>
    <x v="0"/>
    <x v="0"/>
    <n v="4273.56"/>
    <x v="0"/>
    <x v="0"/>
  </r>
  <r>
    <x v="0"/>
    <x v="2"/>
    <x v="2"/>
    <x v="0"/>
    <x v="0"/>
    <n v="26844.84"/>
    <x v="0"/>
    <x v="0"/>
  </r>
  <r>
    <x v="0"/>
    <x v="0"/>
    <x v="1"/>
    <x v="0"/>
    <x v="0"/>
    <n v="634.41"/>
    <x v="0"/>
    <x v="0"/>
  </r>
  <r>
    <x v="0"/>
    <x v="2"/>
    <x v="2"/>
    <x v="0"/>
    <x v="0"/>
    <n v="58516.68"/>
    <x v="0"/>
    <x v="0"/>
  </r>
  <r>
    <x v="0"/>
    <x v="0"/>
    <x v="0"/>
    <x v="0"/>
    <x v="0"/>
    <n v="5077.6"/>
    <x v="0"/>
    <x v="0"/>
  </r>
  <r>
    <x v="0"/>
    <x v="0"/>
    <x v="0"/>
    <x v="0"/>
    <x v="0"/>
    <n v="4471.34"/>
    <x v="0"/>
    <x v="0"/>
  </r>
  <r>
    <x v="0"/>
    <x v="0"/>
    <x v="0"/>
    <x v="0"/>
    <x v="0"/>
    <n v="6525.58"/>
    <x v="0"/>
    <x v="0"/>
  </r>
  <r>
    <x v="0"/>
    <x v="0"/>
    <x v="2"/>
    <x v="0"/>
    <x v="0"/>
    <n v="12749.19"/>
    <x v="0"/>
    <x v="0"/>
  </r>
  <r>
    <x v="0"/>
    <x v="0"/>
    <x v="0"/>
    <x v="0"/>
    <x v="0"/>
    <n v="7652.07"/>
    <x v="0"/>
    <x v="0"/>
  </r>
  <r>
    <x v="0"/>
    <x v="2"/>
    <x v="3"/>
    <x v="0"/>
    <x v="0"/>
    <n v="450465.15"/>
    <x v="0"/>
    <x v="0"/>
  </r>
  <r>
    <x v="0"/>
    <x v="0"/>
    <x v="2"/>
    <x v="0"/>
    <x v="0"/>
    <n v="17540.66"/>
    <x v="0"/>
    <x v="0"/>
  </r>
  <r>
    <x v="0"/>
    <x v="4"/>
    <x v="0"/>
    <x v="0"/>
    <x v="0"/>
    <n v="2673.64"/>
    <x v="0"/>
    <x v="0"/>
  </r>
  <r>
    <x v="0"/>
    <x v="0"/>
    <x v="0"/>
    <x v="0"/>
    <x v="0"/>
    <n v="4215.08"/>
    <x v="0"/>
    <x v="0"/>
  </r>
  <r>
    <x v="0"/>
    <x v="0"/>
    <x v="0"/>
    <x v="0"/>
    <x v="0"/>
    <n v="3468.74"/>
    <x v="0"/>
    <x v="0"/>
  </r>
  <r>
    <x v="0"/>
    <x v="0"/>
    <x v="1"/>
    <x v="0"/>
    <x v="0"/>
    <n v="244.09"/>
    <x v="0"/>
    <x v="0"/>
  </r>
  <r>
    <x v="0"/>
    <x v="0"/>
    <x v="1"/>
    <x v="0"/>
    <x v="0"/>
    <n v="137.88"/>
    <x v="0"/>
    <x v="0"/>
  </r>
  <r>
    <x v="0"/>
    <x v="0"/>
    <x v="0"/>
    <x v="0"/>
    <x v="0"/>
    <n v="7155.31"/>
    <x v="0"/>
    <x v="0"/>
  </r>
  <r>
    <x v="0"/>
    <x v="0"/>
    <x v="0"/>
    <x v="0"/>
    <x v="0"/>
    <n v="2432.88"/>
    <x v="0"/>
    <x v="0"/>
  </r>
  <r>
    <x v="0"/>
    <x v="0"/>
    <x v="0"/>
    <x v="0"/>
    <x v="0"/>
    <n v="9021.44"/>
    <x v="0"/>
    <x v="0"/>
  </r>
  <r>
    <x v="0"/>
    <x v="0"/>
    <x v="0"/>
    <x v="0"/>
    <x v="0"/>
    <n v="4476.2"/>
    <x v="0"/>
    <x v="0"/>
  </r>
  <r>
    <x v="0"/>
    <x v="0"/>
    <x v="2"/>
    <x v="0"/>
    <x v="0"/>
    <n v="14546.65"/>
    <x v="0"/>
    <x v="0"/>
  </r>
  <r>
    <x v="0"/>
    <x v="1"/>
    <x v="3"/>
    <x v="0"/>
    <x v="0"/>
    <n v="272709.33"/>
    <x v="0"/>
    <x v="0"/>
  </r>
  <r>
    <x v="0"/>
    <x v="0"/>
    <x v="0"/>
    <x v="0"/>
    <x v="0"/>
    <n v="7669.42"/>
    <x v="0"/>
    <x v="0"/>
  </r>
  <r>
    <x v="0"/>
    <x v="2"/>
    <x v="2"/>
    <x v="0"/>
    <x v="0"/>
    <n v="14750.26"/>
    <x v="0"/>
    <x v="0"/>
  </r>
  <r>
    <x v="0"/>
    <x v="2"/>
    <x v="3"/>
    <x v="0"/>
    <x v="0"/>
    <n v="107421.26"/>
    <x v="0"/>
    <x v="0"/>
  </r>
  <r>
    <x v="0"/>
    <x v="2"/>
    <x v="2"/>
    <x v="0"/>
    <x v="0"/>
    <n v="36448.64"/>
    <x v="0"/>
    <x v="0"/>
  </r>
  <r>
    <x v="0"/>
    <x v="2"/>
    <x v="2"/>
    <x v="0"/>
    <x v="0"/>
    <n v="12939.66"/>
    <x v="0"/>
    <x v="0"/>
  </r>
  <r>
    <x v="0"/>
    <x v="2"/>
    <x v="3"/>
    <x v="0"/>
    <x v="0"/>
    <n v="198137.4"/>
    <x v="0"/>
    <x v="0"/>
  </r>
  <r>
    <x v="0"/>
    <x v="2"/>
    <x v="3"/>
    <x v="0"/>
    <x v="0"/>
    <n v="112193.65"/>
    <x v="0"/>
    <x v="0"/>
  </r>
  <r>
    <x v="0"/>
    <x v="2"/>
    <x v="2"/>
    <x v="0"/>
    <x v="0"/>
    <n v="40030.78"/>
    <x v="0"/>
    <x v="0"/>
  </r>
  <r>
    <x v="0"/>
    <x v="2"/>
    <x v="3"/>
    <x v="0"/>
    <x v="0"/>
    <n v="207283.84"/>
    <x v="0"/>
    <x v="0"/>
  </r>
  <r>
    <x v="0"/>
    <x v="2"/>
    <x v="3"/>
    <x v="0"/>
    <x v="0"/>
    <n v="141648.13"/>
    <x v="0"/>
    <x v="0"/>
  </r>
  <r>
    <x v="0"/>
    <x v="2"/>
    <x v="3"/>
    <x v="0"/>
    <x v="0"/>
    <n v="361980.67"/>
    <x v="0"/>
    <x v="0"/>
  </r>
  <r>
    <x v="0"/>
    <x v="2"/>
    <x v="3"/>
    <x v="0"/>
    <x v="0"/>
    <n v="614317.64"/>
    <x v="0"/>
    <x v="0"/>
  </r>
  <r>
    <x v="0"/>
    <x v="2"/>
    <x v="3"/>
    <x v="0"/>
    <x v="0"/>
    <n v="233255.73"/>
    <x v="0"/>
    <x v="0"/>
  </r>
  <r>
    <x v="0"/>
    <x v="0"/>
    <x v="0"/>
    <x v="0"/>
    <x v="0"/>
    <n v="1420.96"/>
    <x v="0"/>
    <x v="0"/>
  </r>
  <r>
    <x v="0"/>
    <x v="2"/>
    <x v="3"/>
    <x v="1"/>
    <x v="0"/>
    <n v="132842.64"/>
    <x v="1"/>
    <x v="8"/>
  </r>
  <r>
    <x v="0"/>
    <x v="0"/>
    <x v="0"/>
    <x v="0"/>
    <x v="0"/>
    <n v="4881.52"/>
    <x v="0"/>
    <x v="0"/>
  </r>
  <r>
    <x v="0"/>
    <x v="0"/>
    <x v="2"/>
    <x v="0"/>
    <x v="0"/>
    <n v="14403.17"/>
    <x v="0"/>
    <x v="0"/>
  </r>
  <r>
    <x v="0"/>
    <x v="0"/>
    <x v="0"/>
    <x v="0"/>
    <x v="0"/>
    <n v="4843.76"/>
    <x v="0"/>
    <x v="0"/>
  </r>
  <r>
    <x v="0"/>
    <x v="0"/>
    <x v="0"/>
    <x v="0"/>
    <x v="0"/>
    <n v="7143.2"/>
    <x v="0"/>
    <x v="0"/>
  </r>
  <r>
    <x v="0"/>
    <x v="0"/>
    <x v="0"/>
    <x v="0"/>
    <x v="0"/>
    <n v="2279.65"/>
    <x v="0"/>
    <x v="0"/>
  </r>
  <r>
    <x v="0"/>
    <x v="0"/>
    <x v="0"/>
    <x v="0"/>
    <x v="0"/>
    <n v="2571.49"/>
    <x v="0"/>
    <x v="0"/>
  </r>
  <r>
    <x v="0"/>
    <x v="0"/>
    <x v="0"/>
    <x v="0"/>
    <x v="0"/>
    <n v="2873.37"/>
    <x v="0"/>
    <x v="0"/>
  </r>
  <r>
    <x v="0"/>
    <x v="0"/>
    <x v="0"/>
    <x v="0"/>
    <x v="0"/>
    <n v="7394.33"/>
    <x v="0"/>
    <x v="0"/>
  </r>
  <r>
    <x v="0"/>
    <x v="0"/>
    <x v="2"/>
    <x v="0"/>
    <x v="0"/>
    <n v="21902.51"/>
    <x v="0"/>
    <x v="0"/>
  </r>
  <r>
    <x v="0"/>
    <x v="0"/>
    <x v="0"/>
    <x v="0"/>
    <x v="0"/>
    <n v="1730.16"/>
    <x v="0"/>
    <x v="0"/>
  </r>
  <r>
    <x v="0"/>
    <x v="0"/>
    <x v="2"/>
    <x v="0"/>
    <x v="0"/>
    <n v="11491.76"/>
    <x v="0"/>
    <x v="0"/>
  </r>
  <r>
    <x v="0"/>
    <x v="0"/>
    <x v="2"/>
    <x v="0"/>
    <x v="0"/>
    <n v="14204.94"/>
    <x v="0"/>
    <x v="0"/>
  </r>
  <r>
    <x v="0"/>
    <x v="0"/>
    <x v="2"/>
    <x v="0"/>
    <x v="0"/>
    <n v="14432.6"/>
    <x v="0"/>
    <x v="0"/>
  </r>
  <r>
    <x v="0"/>
    <x v="0"/>
    <x v="0"/>
    <x v="0"/>
    <x v="0"/>
    <n v="2501.21"/>
    <x v="0"/>
    <x v="0"/>
  </r>
  <r>
    <x v="0"/>
    <x v="0"/>
    <x v="2"/>
    <x v="0"/>
    <x v="0"/>
    <n v="27845.63"/>
    <x v="0"/>
    <x v="0"/>
  </r>
  <r>
    <x v="0"/>
    <x v="0"/>
    <x v="1"/>
    <x v="0"/>
    <x v="0"/>
    <n v="900.37"/>
    <x v="0"/>
    <x v="0"/>
  </r>
  <r>
    <x v="0"/>
    <x v="0"/>
    <x v="2"/>
    <x v="0"/>
    <x v="0"/>
    <n v="28147.47"/>
    <x v="0"/>
    <x v="0"/>
  </r>
  <r>
    <x v="0"/>
    <x v="0"/>
    <x v="0"/>
    <x v="0"/>
    <x v="0"/>
    <n v="3782.98"/>
    <x v="0"/>
    <x v="0"/>
  </r>
  <r>
    <x v="0"/>
    <x v="0"/>
    <x v="0"/>
    <x v="0"/>
    <x v="0"/>
    <n v="4828.64"/>
    <x v="0"/>
    <x v="0"/>
  </r>
  <r>
    <x v="0"/>
    <x v="0"/>
    <x v="0"/>
    <x v="0"/>
    <x v="0"/>
    <n v="6540.9"/>
    <x v="0"/>
    <x v="0"/>
  </r>
  <r>
    <x v="0"/>
    <x v="0"/>
    <x v="2"/>
    <x v="0"/>
    <x v="0"/>
    <n v="21840.26"/>
    <x v="0"/>
    <x v="0"/>
  </r>
  <r>
    <x v="0"/>
    <x v="0"/>
    <x v="0"/>
    <x v="0"/>
    <x v="0"/>
    <n v="5805.93"/>
    <x v="0"/>
    <x v="0"/>
  </r>
  <r>
    <x v="0"/>
    <x v="0"/>
    <x v="0"/>
    <x v="0"/>
    <x v="0"/>
    <n v="5018.24"/>
    <x v="0"/>
    <x v="0"/>
  </r>
  <r>
    <x v="0"/>
    <x v="0"/>
    <x v="0"/>
    <x v="0"/>
    <x v="0"/>
    <n v="1066.91"/>
    <x v="0"/>
    <x v="0"/>
  </r>
  <r>
    <x v="0"/>
    <x v="0"/>
    <x v="0"/>
    <x v="0"/>
    <x v="0"/>
    <n v="1902.02"/>
    <x v="0"/>
    <x v="0"/>
  </r>
  <r>
    <x v="0"/>
    <x v="0"/>
    <x v="0"/>
    <x v="0"/>
    <x v="0"/>
    <n v="1982.04"/>
    <x v="0"/>
    <x v="0"/>
  </r>
  <r>
    <x v="0"/>
    <x v="0"/>
    <x v="0"/>
    <x v="0"/>
    <x v="0"/>
    <n v="7020.05"/>
    <x v="0"/>
    <x v="0"/>
  </r>
  <r>
    <x v="0"/>
    <x v="0"/>
    <x v="2"/>
    <x v="0"/>
    <x v="0"/>
    <n v="11488.23"/>
    <x v="0"/>
    <x v="0"/>
  </r>
  <r>
    <x v="0"/>
    <x v="0"/>
    <x v="0"/>
    <x v="0"/>
    <x v="0"/>
    <n v="1253.6"/>
    <x v="0"/>
    <x v="0"/>
  </r>
  <r>
    <x v="0"/>
    <x v="0"/>
    <x v="2"/>
    <x v="0"/>
    <x v="0"/>
    <n v="10183.1"/>
    <x v="0"/>
    <x v="0"/>
  </r>
  <r>
    <x v="0"/>
    <x v="2"/>
    <x v="3"/>
    <x v="0"/>
    <x v="0"/>
    <n v="146534.96"/>
    <x v="0"/>
    <x v="0"/>
  </r>
  <r>
    <x v="0"/>
    <x v="0"/>
    <x v="0"/>
    <x v="0"/>
    <x v="0"/>
    <n v="5616.1"/>
    <x v="0"/>
    <x v="0"/>
  </r>
  <r>
    <x v="0"/>
    <x v="0"/>
    <x v="0"/>
    <x v="0"/>
    <x v="0"/>
    <n v="5272.81"/>
    <x v="0"/>
    <x v="0"/>
  </r>
  <r>
    <x v="0"/>
    <x v="1"/>
    <x v="3"/>
    <x v="0"/>
    <x v="0"/>
    <n v="236343.99"/>
    <x v="0"/>
    <x v="0"/>
  </r>
  <r>
    <x v="0"/>
    <x v="1"/>
    <x v="2"/>
    <x v="0"/>
    <x v="0"/>
    <n v="86401.93"/>
    <x v="0"/>
    <x v="0"/>
  </r>
  <r>
    <x v="0"/>
    <x v="0"/>
    <x v="0"/>
    <x v="0"/>
    <x v="0"/>
    <n v="3923.32"/>
    <x v="0"/>
    <x v="0"/>
  </r>
  <r>
    <x v="0"/>
    <x v="2"/>
    <x v="3"/>
    <x v="0"/>
    <x v="0"/>
    <n v="289326.88"/>
    <x v="0"/>
    <x v="0"/>
  </r>
  <r>
    <x v="0"/>
    <x v="3"/>
    <x v="0"/>
    <x v="0"/>
    <x v="0"/>
    <n v="4444.35"/>
    <x v="0"/>
    <x v="0"/>
  </r>
  <r>
    <x v="0"/>
    <x v="0"/>
    <x v="0"/>
    <x v="0"/>
    <x v="0"/>
    <n v="5323.28"/>
    <x v="0"/>
    <x v="0"/>
  </r>
  <r>
    <x v="0"/>
    <x v="0"/>
    <x v="0"/>
    <x v="0"/>
    <x v="0"/>
    <n v="2141.82"/>
    <x v="0"/>
    <x v="0"/>
  </r>
  <r>
    <x v="0"/>
    <x v="0"/>
    <x v="1"/>
    <x v="0"/>
    <x v="0"/>
    <n v="328.07"/>
    <x v="0"/>
    <x v="0"/>
  </r>
  <r>
    <x v="0"/>
    <x v="0"/>
    <x v="0"/>
    <x v="0"/>
    <x v="0"/>
    <n v="1439.72"/>
    <x v="0"/>
    <x v="0"/>
  </r>
  <r>
    <x v="0"/>
    <x v="0"/>
    <x v="0"/>
    <x v="0"/>
    <x v="0"/>
    <n v="4416.74"/>
    <x v="0"/>
    <x v="0"/>
  </r>
  <r>
    <x v="0"/>
    <x v="2"/>
    <x v="2"/>
    <x v="0"/>
    <x v="0"/>
    <n v="84051"/>
    <x v="0"/>
    <x v="0"/>
  </r>
  <r>
    <x v="0"/>
    <x v="0"/>
    <x v="0"/>
    <x v="0"/>
    <x v="0"/>
    <n v="1246.74"/>
    <x v="0"/>
    <x v="0"/>
  </r>
  <r>
    <x v="0"/>
    <x v="0"/>
    <x v="0"/>
    <x v="0"/>
    <x v="0"/>
    <n v="1527.08"/>
    <x v="0"/>
    <x v="0"/>
  </r>
  <r>
    <x v="0"/>
    <x v="1"/>
    <x v="2"/>
    <x v="0"/>
    <x v="0"/>
    <n v="38829.9"/>
    <x v="0"/>
    <x v="0"/>
  </r>
  <r>
    <x v="0"/>
    <x v="0"/>
    <x v="1"/>
    <x v="0"/>
    <x v="0"/>
    <n v="749.26"/>
    <x v="0"/>
    <x v="0"/>
  </r>
  <r>
    <x v="0"/>
    <x v="0"/>
    <x v="0"/>
    <x v="0"/>
    <x v="0"/>
    <n v="2560.3"/>
    <x v="0"/>
    <x v="0"/>
  </r>
  <r>
    <x v="0"/>
    <x v="1"/>
    <x v="3"/>
    <x v="0"/>
    <x v="0"/>
    <n v="383736.31"/>
    <x v="0"/>
    <x v="0"/>
  </r>
  <r>
    <x v="0"/>
    <x v="3"/>
    <x v="1"/>
    <x v="0"/>
    <x v="0"/>
    <n v="917.38"/>
    <x v="0"/>
    <x v="0"/>
  </r>
  <r>
    <x v="0"/>
    <x v="0"/>
    <x v="0"/>
    <x v="0"/>
    <x v="0"/>
    <n v="6905.9"/>
    <x v="0"/>
    <x v="0"/>
  </r>
  <r>
    <x v="0"/>
    <x v="0"/>
    <x v="0"/>
    <x v="0"/>
    <x v="0"/>
    <n v="3611.72"/>
    <x v="0"/>
    <x v="0"/>
  </r>
  <r>
    <x v="0"/>
    <x v="0"/>
    <x v="0"/>
    <x v="0"/>
    <x v="0"/>
    <n v="8949.54"/>
    <x v="0"/>
    <x v="0"/>
  </r>
  <r>
    <x v="0"/>
    <x v="0"/>
    <x v="0"/>
    <x v="0"/>
    <x v="0"/>
    <n v="2193.94"/>
    <x v="0"/>
    <x v="0"/>
  </r>
  <r>
    <x v="0"/>
    <x v="0"/>
    <x v="0"/>
    <x v="0"/>
    <x v="0"/>
    <n v="9479.66"/>
    <x v="0"/>
    <x v="0"/>
  </r>
  <r>
    <x v="0"/>
    <x v="0"/>
    <x v="2"/>
    <x v="0"/>
    <x v="0"/>
    <n v="10757.7"/>
    <x v="0"/>
    <x v="0"/>
  </r>
  <r>
    <x v="0"/>
    <x v="0"/>
    <x v="0"/>
    <x v="0"/>
    <x v="0"/>
    <n v="6259.18"/>
    <x v="0"/>
    <x v="0"/>
  </r>
  <r>
    <x v="0"/>
    <x v="0"/>
    <x v="0"/>
    <x v="0"/>
    <x v="0"/>
    <n v="7003.44"/>
    <x v="0"/>
    <x v="0"/>
  </r>
  <r>
    <x v="0"/>
    <x v="0"/>
    <x v="0"/>
    <x v="0"/>
    <x v="0"/>
    <n v="6872.19"/>
    <x v="0"/>
    <x v="0"/>
  </r>
  <r>
    <x v="0"/>
    <x v="0"/>
    <x v="1"/>
    <x v="0"/>
    <x v="0"/>
    <n v="911.27"/>
    <x v="0"/>
    <x v="0"/>
  </r>
  <r>
    <x v="0"/>
    <x v="0"/>
    <x v="0"/>
    <x v="0"/>
    <x v="0"/>
    <n v="7694.63"/>
    <x v="0"/>
    <x v="0"/>
  </r>
  <r>
    <x v="0"/>
    <x v="0"/>
    <x v="2"/>
    <x v="0"/>
    <x v="0"/>
    <n v="11353.99"/>
    <x v="0"/>
    <x v="0"/>
  </r>
  <r>
    <x v="0"/>
    <x v="0"/>
    <x v="0"/>
    <x v="0"/>
    <x v="0"/>
    <n v="6683.73"/>
    <x v="0"/>
    <x v="0"/>
  </r>
  <r>
    <x v="0"/>
    <x v="0"/>
    <x v="0"/>
    <x v="0"/>
    <x v="0"/>
    <n v="4261.17"/>
    <x v="0"/>
    <x v="0"/>
  </r>
  <r>
    <x v="0"/>
    <x v="0"/>
    <x v="0"/>
    <x v="0"/>
    <x v="0"/>
    <n v="6146.81"/>
    <x v="0"/>
    <x v="0"/>
  </r>
  <r>
    <x v="0"/>
    <x v="3"/>
    <x v="0"/>
    <x v="0"/>
    <x v="0"/>
    <n v="4479.63"/>
    <x v="0"/>
    <x v="0"/>
  </r>
  <r>
    <x v="0"/>
    <x v="2"/>
    <x v="3"/>
    <x v="0"/>
    <x v="0"/>
    <n v="144659.77"/>
    <x v="0"/>
    <x v="0"/>
  </r>
  <r>
    <x v="0"/>
    <x v="2"/>
    <x v="2"/>
    <x v="0"/>
    <x v="0"/>
    <n v="53094.17"/>
    <x v="0"/>
    <x v="0"/>
  </r>
  <r>
    <x v="0"/>
    <x v="2"/>
    <x v="2"/>
    <x v="0"/>
    <x v="0"/>
    <n v="43721.1"/>
    <x v="0"/>
    <x v="0"/>
  </r>
  <r>
    <x v="0"/>
    <x v="2"/>
    <x v="3"/>
    <x v="0"/>
    <x v="0"/>
    <n v="119537.32"/>
    <x v="0"/>
    <x v="0"/>
  </r>
  <r>
    <x v="0"/>
    <x v="2"/>
    <x v="2"/>
    <x v="0"/>
    <x v="0"/>
    <n v="33349.84"/>
    <x v="0"/>
    <x v="0"/>
  </r>
  <r>
    <x v="0"/>
    <x v="2"/>
    <x v="3"/>
    <x v="0"/>
    <x v="0"/>
    <n v="335979.26"/>
    <x v="0"/>
    <x v="0"/>
  </r>
  <r>
    <x v="0"/>
    <x v="2"/>
    <x v="3"/>
    <x v="0"/>
    <x v="0"/>
    <n v="183842.53"/>
    <x v="0"/>
    <x v="0"/>
  </r>
  <r>
    <x v="0"/>
    <x v="2"/>
    <x v="3"/>
    <x v="0"/>
    <x v="0"/>
    <n v="286737.98"/>
    <x v="0"/>
    <x v="0"/>
  </r>
  <r>
    <x v="0"/>
    <x v="2"/>
    <x v="3"/>
    <x v="0"/>
    <x v="0"/>
    <n v="472609.82"/>
    <x v="0"/>
    <x v="0"/>
  </r>
  <r>
    <x v="0"/>
    <x v="2"/>
    <x v="3"/>
    <x v="0"/>
    <x v="0"/>
    <n v="271982.1"/>
    <x v="0"/>
    <x v="0"/>
  </r>
  <r>
    <x v="0"/>
    <x v="2"/>
    <x v="3"/>
    <x v="0"/>
    <x v="0"/>
    <n v="154611.64"/>
    <x v="0"/>
    <x v="0"/>
  </r>
  <r>
    <x v="0"/>
    <x v="2"/>
    <x v="3"/>
    <x v="0"/>
    <x v="0"/>
    <n v="125275"/>
    <x v="0"/>
    <x v="0"/>
  </r>
  <r>
    <x v="0"/>
    <x v="2"/>
    <x v="3"/>
    <x v="0"/>
    <x v="0"/>
    <n v="443200.31"/>
    <x v="0"/>
    <x v="0"/>
  </r>
  <r>
    <x v="0"/>
    <x v="2"/>
    <x v="3"/>
    <x v="0"/>
    <x v="0"/>
    <n v="256481.43"/>
    <x v="0"/>
    <x v="0"/>
  </r>
  <r>
    <x v="0"/>
    <x v="2"/>
    <x v="3"/>
    <x v="0"/>
    <x v="0"/>
    <n v="236277.01"/>
    <x v="0"/>
    <x v="0"/>
  </r>
  <r>
    <x v="0"/>
    <x v="0"/>
    <x v="0"/>
    <x v="0"/>
    <x v="0"/>
    <n v="7071.77"/>
    <x v="0"/>
    <x v="0"/>
  </r>
  <r>
    <x v="0"/>
    <x v="0"/>
    <x v="0"/>
    <x v="0"/>
    <x v="0"/>
    <n v="6511.48"/>
    <x v="0"/>
    <x v="0"/>
  </r>
  <r>
    <x v="0"/>
    <x v="0"/>
    <x v="0"/>
    <x v="0"/>
    <x v="0"/>
    <n v="8592.89"/>
    <x v="0"/>
    <x v="0"/>
  </r>
  <r>
    <x v="0"/>
    <x v="3"/>
    <x v="0"/>
    <x v="0"/>
    <x v="0"/>
    <n v="2356.99"/>
    <x v="0"/>
    <x v="0"/>
  </r>
  <r>
    <x v="0"/>
    <x v="2"/>
    <x v="3"/>
    <x v="0"/>
    <x v="0"/>
    <n v="287126.39"/>
    <x v="0"/>
    <x v="0"/>
  </r>
  <r>
    <x v="0"/>
    <x v="0"/>
    <x v="0"/>
    <x v="0"/>
    <x v="0"/>
    <n v="7363.65"/>
    <x v="0"/>
    <x v="0"/>
  </r>
  <r>
    <x v="0"/>
    <x v="0"/>
    <x v="0"/>
    <x v="0"/>
    <x v="0"/>
    <n v="4613.1"/>
    <x v="0"/>
    <x v="0"/>
  </r>
  <r>
    <x v="0"/>
    <x v="0"/>
    <x v="0"/>
    <x v="0"/>
    <x v="0"/>
    <n v="3787.43"/>
    <x v="0"/>
    <x v="0"/>
  </r>
  <r>
    <x v="0"/>
    <x v="0"/>
    <x v="2"/>
    <x v="0"/>
    <x v="0"/>
    <n v="10543.05"/>
    <x v="0"/>
    <x v="0"/>
  </r>
  <r>
    <x v="0"/>
    <x v="0"/>
    <x v="2"/>
    <x v="0"/>
    <x v="0"/>
    <n v="10719.85"/>
    <x v="0"/>
    <x v="0"/>
  </r>
  <r>
    <x v="0"/>
    <x v="0"/>
    <x v="0"/>
    <x v="0"/>
    <x v="0"/>
    <n v="3857.29"/>
    <x v="0"/>
    <x v="0"/>
  </r>
  <r>
    <x v="0"/>
    <x v="0"/>
    <x v="0"/>
    <x v="0"/>
    <x v="0"/>
    <n v="7028.85"/>
    <x v="0"/>
    <x v="0"/>
  </r>
  <r>
    <x v="0"/>
    <x v="0"/>
    <x v="0"/>
    <x v="0"/>
    <x v="0"/>
    <n v="2402.16"/>
    <x v="0"/>
    <x v="0"/>
  </r>
  <r>
    <x v="0"/>
    <x v="0"/>
    <x v="0"/>
    <x v="0"/>
    <x v="0"/>
    <n v="3375.94"/>
    <x v="0"/>
    <x v="0"/>
  </r>
  <r>
    <x v="0"/>
    <x v="0"/>
    <x v="0"/>
    <x v="0"/>
    <x v="0"/>
    <n v="8999.94"/>
    <x v="0"/>
    <x v="0"/>
  </r>
  <r>
    <x v="0"/>
    <x v="0"/>
    <x v="0"/>
    <x v="0"/>
    <x v="0"/>
    <n v="2562.66"/>
    <x v="0"/>
    <x v="0"/>
  </r>
  <r>
    <x v="0"/>
    <x v="0"/>
    <x v="0"/>
    <x v="0"/>
    <x v="0"/>
    <n v="8480.48"/>
    <x v="0"/>
    <x v="0"/>
  </r>
  <r>
    <x v="0"/>
    <x v="0"/>
    <x v="0"/>
    <x v="0"/>
    <x v="0"/>
    <n v="9471.15"/>
    <x v="0"/>
    <x v="0"/>
  </r>
  <r>
    <x v="0"/>
    <x v="0"/>
    <x v="0"/>
    <x v="0"/>
    <x v="0"/>
    <n v="2569.57"/>
    <x v="0"/>
    <x v="0"/>
  </r>
  <r>
    <x v="0"/>
    <x v="0"/>
    <x v="0"/>
    <x v="0"/>
    <x v="0"/>
    <n v="4470.38"/>
    <x v="0"/>
    <x v="0"/>
  </r>
  <r>
    <x v="0"/>
    <x v="0"/>
    <x v="0"/>
    <x v="0"/>
    <x v="0"/>
    <n v="1068.22"/>
    <x v="0"/>
    <x v="0"/>
  </r>
  <r>
    <x v="0"/>
    <x v="3"/>
    <x v="0"/>
    <x v="0"/>
    <x v="0"/>
    <n v="1128.69"/>
    <x v="0"/>
    <x v="0"/>
  </r>
  <r>
    <x v="0"/>
    <x v="0"/>
    <x v="0"/>
    <x v="0"/>
    <x v="0"/>
    <n v="3488.78"/>
    <x v="0"/>
    <x v="0"/>
  </r>
  <r>
    <x v="0"/>
    <x v="0"/>
    <x v="0"/>
    <x v="0"/>
    <x v="0"/>
    <n v="6086.87"/>
    <x v="0"/>
    <x v="0"/>
  </r>
  <r>
    <x v="0"/>
    <x v="0"/>
    <x v="1"/>
    <x v="0"/>
    <x v="0"/>
    <n v="688.53"/>
    <x v="0"/>
    <x v="0"/>
  </r>
  <r>
    <x v="0"/>
    <x v="0"/>
    <x v="0"/>
    <x v="0"/>
    <x v="0"/>
    <n v="2778.17"/>
    <x v="0"/>
    <x v="0"/>
  </r>
  <r>
    <x v="0"/>
    <x v="0"/>
    <x v="0"/>
    <x v="0"/>
    <x v="0"/>
    <n v="5078.54"/>
    <x v="0"/>
    <x v="0"/>
  </r>
  <r>
    <x v="0"/>
    <x v="0"/>
    <x v="0"/>
    <x v="0"/>
    <x v="0"/>
    <n v="5610.36"/>
    <x v="0"/>
    <x v="0"/>
  </r>
  <r>
    <x v="0"/>
    <x v="0"/>
    <x v="0"/>
    <x v="0"/>
    <x v="0"/>
    <n v="5202.26"/>
    <x v="0"/>
    <x v="0"/>
  </r>
  <r>
    <x v="0"/>
    <x v="0"/>
    <x v="0"/>
    <x v="0"/>
    <x v="0"/>
    <n v="5785.77"/>
    <x v="0"/>
    <x v="0"/>
  </r>
  <r>
    <x v="0"/>
    <x v="0"/>
    <x v="0"/>
    <x v="0"/>
    <x v="0"/>
    <n v="7299.46"/>
    <x v="0"/>
    <x v="0"/>
  </r>
  <r>
    <x v="0"/>
    <x v="4"/>
    <x v="2"/>
    <x v="0"/>
    <x v="0"/>
    <n v="47440.86"/>
    <x v="0"/>
    <x v="0"/>
  </r>
  <r>
    <x v="0"/>
    <x v="0"/>
    <x v="0"/>
    <x v="0"/>
    <x v="0"/>
    <n v="7538"/>
    <x v="0"/>
    <x v="0"/>
  </r>
  <r>
    <x v="0"/>
    <x v="0"/>
    <x v="0"/>
    <x v="0"/>
    <x v="0"/>
    <n v="4372.05"/>
    <x v="0"/>
    <x v="0"/>
  </r>
  <r>
    <x v="0"/>
    <x v="0"/>
    <x v="1"/>
    <x v="0"/>
    <x v="0"/>
    <n v="748.42"/>
    <x v="0"/>
    <x v="0"/>
  </r>
  <r>
    <x v="0"/>
    <x v="0"/>
    <x v="0"/>
    <x v="0"/>
    <x v="0"/>
    <n v="1296.58"/>
    <x v="0"/>
    <x v="0"/>
  </r>
  <r>
    <x v="0"/>
    <x v="0"/>
    <x v="0"/>
    <x v="0"/>
    <x v="0"/>
    <n v="2545.15"/>
    <x v="0"/>
    <x v="0"/>
  </r>
  <r>
    <x v="0"/>
    <x v="0"/>
    <x v="0"/>
    <x v="0"/>
    <x v="0"/>
    <n v="2527.41"/>
    <x v="0"/>
    <x v="0"/>
  </r>
  <r>
    <x v="0"/>
    <x v="0"/>
    <x v="0"/>
    <x v="0"/>
    <x v="0"/>
    <n v="8361.63"/>
    <x v="0"/>
    <x v="0"/>
  </r>
  <r>
    <x v="0"/>
    <x v="2"/>
    <x v="3"/>
    <x v="0"/>
    <x v="0"/>
    <n v="216007.53"/>
    <x v="0"/>
    <x v="0"/>
  </r>
  <r>
    <x v="0"/>
    <x v="0"/>
    <x v="0"/>
    <x v="0"/>
    <x v="0"/>
    <n v="2092.06"/>
    <x v="0"/>
    <x v="0"/>
  </r>
  <r>
    <x v="0"/>
    <x v="0"/>
    <x v="0"/>
    <x v="0"/>
    <x v="0"/>
    <n v="3920.09"/>
    <x v="0"/>
    <x v="0"/>
  </r>
  <r>
    <x v="0"/>
    <x v="0"/>
    <x v="0"/>
    <x v="0"/>
    <x v="0"/>
    <n v="2224.06"/>
    <x v="0"/>
    <x v="0"/>
  </r>
  <r>
    <x v="0"/>
    <x v="0"/>
    <x v="0"/>
    <x v="0"/>
    <x v="0"/>
    <n v="5284.22"/>
    <x v="0"/>
    <x v="0"/>
  </r>
  <r>
    <x v="0"/>
    <x v="0"/>
    <x v="0"/>
    <x v="0"/>
    <x v="0"/>
    <n v="1632.21"/>
    <x v="0"/>
    <x v="0"/>
  </r>
  <r>
    <x v="0"/>
    <x v="0"/>
    <x v="0"/>
    <x v="0"/>
    <x v="0"/>
    <n v="5965.13"/>
    <x v="0"/>
    <x v="0"/>
  </r>
  <r>
    <x v="0"/>
    <x v="1"/>
    <x v="2"/>
    <x v="0"/>
    <x v="0"/>
    <n v="56565.27"/>
    <x v="0"/>
    <x v="0"/>
  </r>
  <r>
    <x v="0"/>
    <x v="3"/>
    <x v="0"/>
    <x v="0"/>
    <x v="0"/>
    <n v="5130.16"/>
    <x v="0"/>
    <x v="0"/>
  </r>
  <r>
    <x v="0"/>
    <x v="0"/>
    <x v="2"/>
    <x v="0"/>
    <x v="0"/>
    <n v="10364.62"/>
    <x v="0"/>
    <x v="0"/>
  </r>
  <r>
    <x v="0"/>
    <x v="0"/>
    <x v="1"/>
    <x v="0"/>
    <x v="0"/>
    <n v="577.01"/>
    <x v="0"/>
    <x v="0"/>
  </r>
  <r>
    <x v="0"/>
    <x v="3"/>
    <x v="0"/>
    <x v="0"/>
    <x v="0"/>
    <n v="9420.9"/>
    <x v="0"/>
    <x v="0"/>
  </r>
  <r>
    <x v="0"/>
    <x v="0"/>
    <x v="0"/>
    <x v="0"/>
    <x v="0"/>
    <n v="3735.16"/>
    <x v="0"/>
    <x v="0"/>
  </r>
  <r>
    <x v="0"/>
    <x v="0"/>
    <x v="1"/>
    <x v="0"/>
    <x v="0"/>
    <n v="982.67"/>
    <x v="0"/>
    <x v="0"/>
  </r>
  <r>
    <x v="0"/>
    <x v="0"/>
    <x v="0"/>
    <x v="0"/>
    <x v="0"/>
    <n v="9469.26"/>
    <x v="0"/>
    <x v="0"/>
  </r>
  <r>
    <x v="0"/>
    <x v="2"/>
    <x v="2"/>
    <x v="0"/>
    <x v="0"/>
    <n v="32282.57"/>
    <x v="0"/>
    <x v="0"/>
  </r>
  <r>
    <x v="0"/>
    <x v="0"/>
    <x v="0"/>
    <x v="0"/>
    <x v="0"/>
    <n v="2673.65"/>
    <x v="0"/>
    <x v="0"/>
  </r>
  <r>
    <x v="0"/>
    <x v="0"/>
    <x v="2"/>
    <x v="0"/>
    <x v="0"/>
    <n v="12911.82"/>
    <x v="0"/>
    <x v="0"/>
  </r>
  <r>
    <x v="0"/>
    <x v="0"/>
    <x v="0"/>
    <x v="0"/>
    <x v="0"/>
    <n v="9334.02"/>
    <x v="0"/>
    <x v="0"/>
  </r>
  <r>
    <x v="0"/>
    <x v="0"/>
    <x v="0"/>
    <x v="0"/>
    <x v="0"/>
    <n v="3783.07"/>
    <x v="0"/>
    <x v="0"/>
  </r>
  <r>
    <x v="0"/>
    <x v="0"/>
    <x v="0"/>
    <x v="0"/>
    <x v="0"/>
    <n v="7102.49"/>
    <x v="0"/>
    <x v="0"/>
  </r>
  <r>
    <x v="0"/>
    <x v="0"/>
    <x v="0"/>
    <x v="0"/>
    <x v="0"/>
    <n v="4804.74"/>
    <x v="0"/>
    <x v="0"/>
  </r>
  <r>
    <x v="0"/>
    <x v="2"/>
    <x v="3"/>
    <x v="0"/>
    <x v="0"/>
    <n v="291713.22"/>
    <x v="0"/>
    <x v="0"/>
  </r>
  <r>
    <x v="0"/>
    <x v="0"/>
    <x v="0"/>
    <x v="0"/>
    <x v="0"/>
    <n v="2358.9"/>
    <x v="0"/>
    <x v="0"/>
  </r>
  <r>
    <x v="0"/>
    <x v="0"/>
    <x v="1"/>
    <x v="0"/>
    <x v="0"/>
    <n v="461.65"/>
    <x v="0"/>
    <x v="0"/>
  </r>
  <r>
    <x v="0"/>
    <x v="0"/>
    <x v="0"/>
    <x v="0"/>
    <x v="0"/>
    <n v="4457.72"/>
    <x v="0"/>
    <x v="0"/>
  </r>
  <r>
    <x v="0"/>
    <x v="0"/>
    <x v="1"/>
    <x v="0"/>
    <x v="0"/>
    <n v="633.75"/>
    <x v="0"/>
    <x v="0"/>
  </r>
  <r>
    <x v="0"/>
    <x v="0"/>
    <x v="0"/>
    <x v="0"/>
    <x v="0"/>
    <n v="7891.16"/>
    <x v="0"/>
    <x v="0"/>
  </r>
  <r>
    <x v="0"/>
    <x v="0"/>
    <x v="0"/>
    <x v="0"/>
    <x v="0"/>
    <n v="1522.55"/>
    <x v="0"/>
    <x v="0"/>
  </r>
  <r>
    <x v="0"/>
    <x v="0"/>
    <x v="0"/>
    <x v="0"/>
    <x v="0"/>
    <n v="3660.66"/>
    <x v="0"/>
    <x v="0"/>
  </r>
  <r>
    <x v="0"/>
    <x v="2"/>
    <x v="2"/>
    <x v="0"/>
    <x v="0"/>
    <n v="44670.27"/>
    <x v="0"/>
    <x v="0"/>
  </r>
  <r>
    <x v="0"/>
    <x v="4"/>
    <x v="2"/>
    <x v="0"/>
    <x v="0"/>
    <n v="64945.57"/>
    <x v="0"/>
    <x v="0"/>
  </r>
  <r>
    <x v="0"/>
    <x v="0"/>
    <x v="0"/>
    <x v="0"/>
    <x v="0"/>
    <n v="4461.08"/>
    <x v="0"/>
    <x v="0"/>
  </r>
  <r>
    <x v="0"/>
    <x v="0"/>
    <x v="0"/>
    <x v="0"/>
    <x v="0"/>
    <n v="3223.87"/>
    <x v="0"/>
    <x v="0"/>
  </r>
  <r>
    <x v="0"/>
    <x v="0"/>
    <x v="0"/>
    <x v="0"/>
    <x v="0"/>
    <n v="3224.21"/>
    <x v="0"/>
    <x v="0"/>
  </r>
  <r>
    <x v="0"/>
    <x v="1"/>
    <x v="2"/>
    <x v="0"/>
    <x v="0"/>
    <n v="79386.85"/>
    <x v="0"/>
    <x v="0"/>
  </r>
  <r>
    <x v="0"/>
    <x v="0"/>
    <x v="0"/>
    <x v="0"/>
    <x v="0"/>
    <n v="7415.77"/>
    <x v="0"/>
    <x v="0"/>
  </r>
  <r>
    <x v="0"/>
    <x v="0"/>
    <x v="1"/>
    <x v="0"/>
    <x v="0"/>
    <n v="6.42"/>
    <x v="0"/>
    <x v="0"/>
  </r>
  <r>
    <x v="0"/>
    <x v="0"/>
    <x v="0"/>
    <x v="0"/>
    <x v="0"/>
    <n v="1559.66"/>
    <x v="0"/>
    <x v="0"/>
  </r>
  <r>
    <x v="0"/>
    <x v="0"/>
    <x v="0"/>
    <x v="0"/>
    <x v="0"/>
    <n v="2548.85"/>
    <x v="0"/>
    <x v="0"/>
  </r>
  <r>
    <x v="0"/>
    <x v="0"/>
    <x v="1"/>
    <x v="0"/>
    <x v="0"/>
    <n v="271.32"/>
    <x v="0"/>
    <x v="0"/>
  </r>
  <r>
    <x v="0"/>
    <x v="0"/>
    <x v="0"/>
    <x v="0"/>
    <x v="0"/>
    <n v="1454.92"/>
    <x v="0"/>
    <x v="0"/>
  </r>
  <r>
    <x v="0"/>
    <x v="0"/>
    <x v="0"/>
    <x v="0"/>
    <x v="0"/>
    <n v="2666.96"/>
    <x v="0"/>
    <x v="0"/>
  </r>
  <r>
    <x v="0"/>
    <x v="3"/>
    <x v="0"/>
    <x v="0"/>
    <x v="0"/>
    <n v="3180.02"/>
    <x v="0"/>
    <x v="0"/>
  </r>
  <r>
    <x v="0"/>
    <x v="0"/>
    <x v="0"/>
    <x v="0"/>
    <x v="0"/>
    <n v="2550.35"/>
    <x v="0"/>
    <x v="0"/>
  </r>
  <r>
    <x v="0"/>
    <x v="0"/>
    <x v="1"/>
    <x v="0"/>
    <x v="0"/>
    <n v="842.33"/>
    <x v="0"/>
    <x v="0"/>
  </r>
  <r>
    <x v="0"/>
    <x v="0"/>
    <x v="2"/>
    <x v="0"/>
    <x v="0"/>
    <n v="16085.74"/>
    <x v="0"/>
    <x v="0"/>
  </r>
  <r>
    <x v="0"/>
    <x v="0"/>
    <x v="0"/>
    <x v="0"/>
    <x v="0"/>
    <n v="4223.24"/>
    <x v="0"/>
    <x v="0"/>
  </r>
  <r>
    <x v="0"/>
    <x v="0"/>
    <x v="0"/>
    <x v="0"/>
    <x v="0"/>
    <n v="1993.24"/>
    <x v="0"/>
    <x v="0"/>
  </r>
  <r>
    <x v="0"/>
    <x v="2"/>
    <x v="3"/>
    <x v="0"/>
    <x v="0"/>
    <n v="457552.45"/>
    <x v="0"/>
    <x v="0"/>
  </r>
  <r>
    <x v="0"/>
    <x v="0"/>
    <x v="0"/>
    <x v="0"/>
    <x v="0"/>
    <n v="4894.96"/>
    <x v="0"/>
    <x v="0"/>
  </r>
  <r>
    <x v="0"/>
    <x v="0"/>
    <x v="0"/>
    <x v="0"/>
    <x v="0"/>
    <n v="7331.22"/>
    <x v="0"/>
    <x v="0"/>
  </r>
  <r>
    <x v="0"/>
    <x v="0"/>
    <x v="0"/>
    <x v="0"/>
    <x v="0"/>
    <n v="7286.11"/>
    <x v="0"/>
    <x v="0"/>
  </r>
  <r>
    <x v="0"/>
    <x v="0"/>
    <x v="0"/>
    <x v="0"/>
    <x v="0"/>
    <n v="6258.29"/>
    <x v="0"/>
    <x v="0"/>
  </r>
  <r>
    <x v="0"/>
    <x v="0"/>
    <x v="2"/>
    <x v="0"/>
    <x v="0"/>
    <n v="16859.52"/>
    <x v="0"/>
    <x v="0"/>
  </r>
  <r>
    <x v="0"/>
    <x v="0"/>
    <x v="0"/>
    <x v="0"/>
    <x v="0"/>
    <n v="4416.9"/>
    <x v="0"/>
    <x v="0"/>
  </r>
  <r>
    <x v="0"/>
    <x v="0"/>
    <x v="0"/>
    <x v="0"/>
    <x v="0"/>
    <n v="4139.95"/>
    <x v="0"/>
    <x v="0"/>
  </r>
  <r>
    <x v="0"/>
    <x v="0"/>
    <x v="2"/>
    <x v="0"/>
    <x v="0"/>
    <n v="25642.6"/>
    <x v="0"/>
    <x v="0"/>
  </r>
  <r>
    <x v="0"/>
    <x v="0"/>
    <x v="0"/>
    <x v="0"/>
    <x v="0"/>
    <n v="6394.36"/>
    <x v="0"/>
    <x v="0"/>
  </r>
  <r>
    <x v="0"/>
    <x v="0"/>
    <x v="1"/>
    <x v="0"/>
    <x v="0"/>
    <n v="53.35"/>
    <x v="0"/>
    <x v="0"/>
  </r>
  <r>
    <x v="0"/>
    <x v="0"/>
    <x v="0"/>
    <x v="0"/>
    <x v="0"/>
    <n v="1902.1"/>
    <x v="0"/>
    <x v="0"/>
  </r>
  <r>
    <x v="0"/>
    <x v="0"/>
    <x v="0"/>
    <x v="0"/>
    <x v="0"/>
    <n v="5568.56"/>
    <x v="0"/>
    <x v="0"/>
  </r>
  <r>
    <x v="0"/>
    <x v="0"/>
    <x v="1"/>
    <x v="0"/>
    <x v="0"/>
    <n v="406.11"/>
    <x v="0"/>
    <x v="0"/>
  </r>
  <r>
    <x v="0"/>
    <x v="0"/>
    <x v="2"/>
    <x v="0"/>
    <x v="0"/>
    <n v="15028.75"/>
    <x v="0"/>
    <x v="0"/>
  </r>
  <r>
    <x v="0"/>
    <x v="0"/>
    <x v="2"/>
    <x v="0"/>
    <x v="0"/>
    <n v="32101.86"/>
    <x v="0"/>
    <x v="0"/>
  </r>
  <r>
    <x v="0"/>
    <x v="0"/>
    <x v="0"/>
    <x v="0"/>
    <x v="0"/>
    <n v="6473.96"/>
    <x v="0"/>
    <x v="0"/>
  </r>
  <r>
    <x v="0"/>
    <x v="0"/>
    <x v="0"/>
    <x v="0"/>
    <x v="0"/>
    <n v="7577.43"/>
    <x v="0"/>
    <x v="0"/>
  </r>
  <r>
    <x v="0"/>
    <x v="0"/>
    <x v="2"/>
    <x v="0"/>
    <x v="0"/>
    <n v="20135.64"/>
    <x v="0"/>
    <x v="0"/>
  </r>
  <r>
    <x v="0"/>
    <x v="0"/>
    <x v="2"/>
    <x v="0"/>
    <x v="0"/>
    <n v="18832.61"/>
    <x v="0"/>
    <x v="0"/>
  </r>
  <r>
    <x v="0"/>
    <x v="0"/>
    <x v="2"/>
    <x v="0"/>
    <x v="0"/>
    <n v="11468.9"/>
    <x v="0"/>
    <x v="0"/>
  </r>
  <r>
    <x v="0"/>
    <x v="1"/>
    <x v="3"/>
    <x v="0"/>
    <x v="0"/>
    <n v="138647.54"/>
    <x v="0"/>
    <x v="0"/>
  </r>
  <r>
    <x v="0"/>
    <x v="3"/>
    <x v="0"/>
    <x v="0"/>
    <x v="0"/>
    <n v="3870.28"/>
    <x v="0"/>
    <x v="0"/>
  </r>
  <r>
    <x v="0"/>
    <x v="0"/>
    <x v="0"/>
    <x v="0"/>
    <x v="0"/>
    <n v="4627.42"/>
    <x v="0"/>
    <x v="0"/>
  </r>
  <r>
    <x v="0"/>
    <x v="0"/>
    <x v="0"/>
    <x v="0"/>
    <x v="0"/>
    <n v="2517.79"/>
    <x v="0"/>
    <x v="0"/>
  </r>
  <r>
    <x v="0"/>
    <x v="2"/>
    <x v="3"/>
    <x v="0"/>
    <x v="0"/>
    <n v="100939.43"/>
    <x v="0"/>
    <x v="0"/>
  </r>
  <r>
    <x v="0"/>
    <x v="3"/>
    <x v="0"/>
    <x v="0"/>
    <x v="0"/>
    <n v="3455.98"/>
    <x v="0"/>
    <x v="0"/>
  </r>
  <r>
    <x v="0"/>
    <x v="0"/>
    <x v="0"/>
    <x v="0"/>
    <x v="0"/>
    <n v="1068.45"/>
    <x v="0"/>
    <x v="0"/>
  </r>
  <r>
    <x v="0"/>
    <x v="3"/>
    <x v="1"/>
    <x v="0"/>
    <x v="0"/>
    <n v="454.51"/>
    <x v="0"/>
    <x v="0"/>
  </r>
  <r>
    <x v="0"/>
    <x v="1"/>
    <x v="3"/>
    <x v="0"/>
    <x v="0"/>
    <n v="302665.03"/>
    <x v="0"/>
    <x v="0"/>
  </r>
  <r>
    <x v="0"/>
    <x v="0"/>
    <x v="1"/>
    <x v="0"/>
    <x v="0"/>
    <n v="885.95"/>
    <x v="0"/>
    <x v="0"/>
  </r>
  <r>
    <x v="0"/>
    <x v="0"/>
    <x v="0"/>
    <x v="0"/>
    <x v="0"/>
    <n v="4137.89"/>
    <x v="0"/>
    <x v="0"/>
  </r>
  <r>
    <x v="0"/>
    <x v="0"/>
    <x v="0"/>
    <x v="0"/>
    <x v="0"/>
    <n v="5504.59"/>
    <x v="0"/>
    <x v="0"/>
  </r>
  <r>
    <x v="0"/>
    <x v="0"/>
    <x v="0"/>
    <x v="0"/>
    <x v="0"/>
    <n v="3780.15"/>
    <x v="0"/>
    <x v="0"/>
  </r>
  <r>
    <x v="0"/>
    <x v="0"/>
    <x v="0"/>
    <x v="0"/>
    <x v="0"/>
    <n v="3504.75"/>
    <x v="0"/>
    <x v="0"/>
  </r>
  <r>
    <x v="0"/>
    <x v="0"/>
    <x v="0"/>
    <x v="0"/>
    <x v="0"/>
    <n v="2716.67"/>
    <x v="0"/>
    <x v="0"/>
  </r>
  <r>
    <x v="0"/>
    <x v="0"/>
    <x v="0"/>
    <x v="0"/>
    <x v="0"/>
    <n v="4219.94"/>
    <x v="0"/>
    <x v="0"/>
  </r>
  <r>
    <x v="0"/>
    <x v="0"/>
    <x v="0"/>
    <x v="0"/>
    <x v="0"/>
    <n v="5831.05"/>
    <x v="0"/>
    <x v="0"/>
  </r>
  <r>
    <x v="0"/>
    <x v="0"/>
    <x v="0"/>
    <x v="0"/>
    <x v="0"/>
    <n v="9855.36"/>
    <x v="0"/>
    <x v="0"/>
  </r>
  <r>
    <x v="0"/>
    <x v="0"/>
    <x v="2"/>
    <x v="0"/>
    <x v="0"/>
    <n v="10726.49"/>
    <x v="0"/>
    <x v="0"/>
  </r>
  <r>
    <x v="0"/>
    <x v="0"/>
    <x v="0"/>
    <x v="0"/>
    <x v="0"/>
    <n v="1833.22"/>
    <x v="0"/>
    <x v="0"/>
  </r>
  <r>
    <x v="0"/>
    <x v="1"/>
    <x v="2"/>
    <x v="0"/>
    <x v="0"/>
    <n v="34115.82"/>
    <x v="0"/>
    <x v="0"/>
  </r>
  <r>
    <x v="0"/>
    <x v="0"/>
    <x v="0"/>
    <x v="0"/>
    <x v="0"/>
    <n v="2210.66"/>
    <x v="0"/>
    <x v="0"/>
  </r>
  <r>
    <x v="0"/>
    <x v="1"/>
    <x v="2"/>
    <x v="0"/>
    <x v="0"/>
    <n v="22190.99"/>
    <x v="0"/>
    <x v="0"/>
  </r>
  <r>
    <x v="0"/>
    <x v="4"/>
    <x v="3"/>
    <x v="0"/>
    <x v="0"/>
    <n v="168451.53"/>
    <x v="0"/>
    <x v="0"/>
  </r>
  <r>
    <x v="0"/>
    <x v="4"/>
    <x v="3"/>
    <x v="0"/>
    <x v="0"/>
    <n v="123545.77"/>
    <x v="0"/>
    <x v="0"/>
  </r>
  <r>
    <x v="0"/>
    <x v="4"/>
    <x v="2"/>
    <x v="0"/>
    <x v="0"/>
    <n v="28463.91"/>
    <x v="0"/>
    <x v="0"/>
  </r>
  <r>
    <x v="0"/>
    <x v="4"/>
    <x v="2"/>
    <x v="0"/>
    <x v="0"/>
    <n v="42012.45"/>
    <x v="0"/>
    <x v="0"/>
  </r>
  <r>
    <x v="0"/>
    <x v="4"/>
    <x v="3"/>
    <x v="0"/>
    <x v="0"/>
    <n v="170686.08"/>
    <x v="0"/>
    <x v="0"/>
  </r>
  <r>
    <x v="0"/>
    <x v="4"/>
    <x v="3"/>
    <x v="0"/>
    <x v="0"/>
    <n v="283561.25"/>
    <x v="0"/>
    <x v="0"/>
  </r>
  <r>
    <x v="0"/>
    <x v="4"/>
    <x v="3"/>
    <x v="0"/>
    <x v="0"/>
    <n v="215742.75"/>
    <x v="0"/>
    <x v="0"/>
  </r>
  <r>
    <x v="0"/>
    <x v="4"/>
    <x v="2"/>
    <x v="0"/>
    <x v="0"/>
    <n v="56869.53"/>
    <x v="0"/>
    <x v="0"/>
  </r>
  <r>
    <x v="0"/>
    <x v="4"/>
    <x v="2"/>
    <x v="0"/>
    <x v="0"/>
    <n v="13553.79"/>
    <x v="0"/>
    <x v="0"/>
  </r>
  <r>
    <x v="0"/>
    <x v="4"/>
    <x v="3"/>
    <x v="0"/>
    <x v="0"/>
    <n v="192461.6"/>
    <x v="0"/>
    <x v="0"/>
  </r>
  <r>
    <x v="0"/>
    <x v="4"/>
    <x v="3"/>
    <x v="0"/>
    <x v="0"/>
    <n v="357220.77"/>
    <x v="0"/>
    <x v="0"/>
  </r>
  <r>
    <x v="0"/>
    <x v="4"/>
    <x v="2"/>
    <x v="0"/>
    <x v="0"/>
    <n v="32726.88"/>
    <x v="0"/>
    <x v="0"/>
  </r>
  <r>
    <x v="0"/>
    <x v="4"/>
    <x v="2"/>
    <x v="0"/>
    <x v="0"/>
    <n v="28212.4"/>
    <x v="0"/>
    <x v="0"/>
  </r>
  <r>
    <x v="0"/>
    <x v="4"/>
    <x v="3"/>
    <x v="0"/>
    <x v="0"/>
    <n v="360997.83"/>
    <x v="0"/>
    <x v="0"/>
  </r>
  <r>
    <x v="0"/>
    <x v="4"/>
    <x v="3"/>
    <x v="0"/>
    <x v="0"/>
    <n v="141632.37"/>
    <x v="0"/>
    <x v="0"/>
  </r>
  <r>
    <x v="0"/>
    <x v="4"/>
    <x v="3"/>
    <x v="0"/>
    <x v="0"/>
    <n v="332359.2"/>
    <x v="0"/>
    <x v="0"/>
  </r>
  <r>
    <x v="0"/>
    <x v="4"/>
    <x v="2"/>
    <x v="0"/>
    <x v="0"/>
    <n v="78423.86"/>
    <x v="0"/>
    <x v="0"/>
  </r>
  <r>
    <x v="0"/>
    <x v="4"/>
    <x v="3"/>
    <x v="0"/>
    <x v="0"/>
    <n v="131011.3"/>
    <x v="0"/>
    <x v="0"/>
  </r>
  <r>
    <x v="0"/>
    <x v="4"/>
    <x v="3"/>
    <x v="0"/>
    <x v="0"/>
    <n v="215798"/>
    <x v="0"/>
    <x v="0"/>
  </r>
  <r>
    <x v="0"/>
    <x v="4"/>
    <x v="2"/>
    <x v="0"/>
    <x v="0"/>
    <n v="65236.81"/>
    <x v="0"/>
    <x v="0"/>
  </r>
  <r>
    <x v="0"/>
    <x v="4"/>
    <x v="2"/>
    <x v="0"/>
    <x v="0"/>
    <n v="65934.11"/>
    <x v="0"/>
    <x v="0"/>
  </r>
  <r>
    <x v="0"/>
    <x v="4"/>
    <x v="3"/>
    <x v="0"/>
    <x v="0"/>
    <n v="336237.38"/>
    <x v="0"/>
    <x v="0"/>
  </r>
  <r>
    <x v="0"/>
    <x v="4"/>
    <x v="3"/>
    <x v="0"/>
    <x v="0"/>
    <n v="293530.31"/>
    <x v="0"/>
    <x v="0"/>
  </r>
  <r>
    <x v="0"/>
    <x v="4"/>
    <x v="3"/>
    <x v="0"/>
    <x v="0"/>
    <n v="551607.7"/>
    <x v="0"/>
    <x v="0"/>
  </r>
  <r>
    <x v="0"/>
    <x v="4"/>
    <x v="2"/>
    <x v="0"/>
    <x v="0"/>
    <n v="80448.13"/>
    <x v="0"/>
    <x v="0"/>
  </r>
  <r>
    <x v="0"/>
    <x v="4"/>
    <x v="2"/>
    <x v="0"/>
    <x v="0"/>
    <n v="58447.8"/>
    <x v="0"/>
    <x v="0"/>
  </r>
  <r>
    <x v="0"/>
    <x v="4"/>
    <x v="2"/>
    <x v="0"/>
    <x v="0"/>
    <n v="36860.96"/>
    <x v="0"/>
    <x v="0"/>
  </r>
  <r>
    <x v="0"/>
    <x v="4"/>
    <x v="2"/>
    <x v="0"/>
    <x v="0"/>
    <n v="99295.78"/>
    <x v="0"/>
    <x v="0"/>
  </r>
  <r>
    <x v="0"/>
    <x v="4"/>
    <x v="2"/>
    <x v="0"/>
    <x v="0"/>
    <n v="49031.62"/>
    <x v="0"/>
    <x v="0"/>
  </r>
  <r>
    <x v="0"/>
    <x v="4"/>
    <x v="3"/>
    <x v="0"/>
    <x v="0"/>
    <n v="134469.08"/>
    <x v="0"/>
    <x v="0"/>
  </r>
  <r>
    <x v="0"/>
    <x v="4"/>
    <x v="3"/>
    <x v="0"/>
    <x v="0"/>
    <n v="265098.67"/>
    <x v="0"/>
    <x v="0"/>
  </r>
  <r>
    <x v="0"/>
    <x v="4"/>
    <x v="2"/>
    <x v="0"/>
    <x v="0"/>
    <n v="65591.87"/>
    <x v="0"/>
    <x v="0"/>
  </r>
  <r>
    <x v="0"/>
    <x v="4"/>
    <x v="3"/>
    <x v="0"/>
    <x v="0"/>
    <n v="266803.57"/>
    <x v="0"/>
    <x v="0"/>
  </r>
  <r>
    <x v="0"/>
    <x v="4"/>
    <x v="3"/>
    <x v="0"/>
    <x v="0"/>
    <n v="616461.19"/>
    <x v="0"/>
    <x v="0"/>
  </r>
  <r>
    <x v="0"/>
    <x v="4"/>
    <x v="2"/>
    <x v="0"/>
    <x v="0"/>
    <n v="80487.01"/>
    <x v="0"/>
    <x v="0"/>
  </r>
  <r>
    <x v="0"/>
    <x v="4"/>
    <x v="2"/>
    <x v="0"/>
    <x v="0"/>
    <n v="46442.24"/>
    <x v="0"/>
    <x v="0"/>
  </r>
  <r>
    <x v="0"/>
    <x v="4"/>
    <x v="2"/>
    <x v="0"/>
    <x v="0"/>
    <n v="50137.65"/>
    <x v="0"/>
    <x v="0"/>
  </r>
  <r>
    <x v="0"/>
    <x v="4"/>
    <x v="3"/>
    <x v="0"/>
    <x v="0"/>
    <n v="474447.95"/>
    <x v="0"/>
    <x v="0"/>
  </r>
  <r>
    <x v="0"/>
    <x v="4"/>
    <x v="2"/>
    <x v="0"/>
    <x v="0"/>
    <n v="70139.43"/>
    <x v="0"/>
    <x v="0"/>
  </r>
  <r>
    <x v="0"/>
    <x v="4"/>
    <x v="3"/>
    <x v="0"/>
    <x v="0"/>
    <n v="201342.13"/>
    <x v="0"/>
    <x v="0"/>
  </r>
  <r>
    <x v="0"/>
    <x v="4"/>
    <x v="2"/>
    <x v="0"/>
    <x v="0"/>
    <n v="28625.92"/>
    <x v="0"/>
    <x v="0"/>
  </r>
  <r>
    <x v="0"/>
    <x v="4"/>
    <x v="3"/>
    <x v="0"/>
    <x v="0"/>
    <n v="125492.59"/>
    <x v="0"/>
    <x v="0"/>
  </r>
  <r>
    <x v="0"/>
    <x v="4"/>
    <x v="2"/>
    <x v="0"/>
    <x v="0"/>
    <n v="82550.39"/>
    <x v="0"/>
    <x v="0"/>
  </r>
  <r>
    <x v="0"/>
    <x v="4"/>
    <x v="3"/>
    <x v="0"/>
    <x v="0"/>
    <n v="114275.55"/>
    <x v="0"/>
    <x v="0"/>
  </r>
  <r>
    <x v="0"/>
    <x v="4"/>
    <x v="2"/>
    <x v="0"/>
    <x v="0"/>
    <n v="43906.79"/>
    <x v="0"/>
    <x v="0"/>
  </r>
  <r>
    <x v="0"/>
    <x v="4"/>
    <x v="3"/>
    <x v="0"/>
    <x v="0"/>
    <n v="131250.53"/>
    <x v="0"/>
    <x v="0"/>
  </r>
  <r>
    <x v="0"/>
    <x v="4"/>
    <x v="0"/>
    <x v="0"/>
    <x v="0"/>
    <n v="4865.48"/>
    <x v="0"/>
    <x v="0"/>
  </r>
  <r>
    <x v="0"/>
    <x v="4"/>
    <x v="3"/>
    <x v="0"/>
    <x v="0"/>
    <n v="283711.39"/>
    <x v="0"/>
    <x v="0"/>
  </r>
  <r>
    <x v="0"/>
    <x v="4"/>
    <x v="0"/>
    <x v="0"/>
    <x v="0"/>
    <n v="8921.26"/>
    <x v="0"/>
    <x v="0"/>
  </r>
  <r>
    <x v="0"/>
    <x v="4"/>
    <x v="2"/>
    <x v="0"/>
    <x v="0"/>
    <n v="91721.95"/>
    <x v="0"/>
    <x v="0"/>
  </r>
  <r>
    <x v="0"/>
    <x v="4"/>
    <x v="2"/>
    <x v="0"/>
    <x v="0"/>
    <n v="94096.34"/>
    <x v="0"/>
    <x v="0"/>
  </r>
  <r>
    <x v="0"/>
    <x v="4"/>
    <x v="3"/>
    <x v="0"/>
    <x v="0"/>
    <n v="157964.89"/>
    <x v="0"/>
    <x v="0"/>
  </r>
  <r>
    <x v="0"/>
    <x v="4"/>
    <x v="2"/>
    <x v="0"/>
    <x v="0"/>
    <n v="51311.41"/>
    <x v="0"/>
    <x v="0"/>
  </r>
  <r>
    <x v="0"/>
    <x v="4"/>
    <x v="2"/>
    <x v="0"/>
    <x v="0"/>
    <n v="46757.44"/>
    <x v="0"/>
    <x v="0"/>
  </r>
  <r>
    <x v="0"/>
    <x v="4"/>
    <x v="2"/>
    <x v="0"/>
    <x v="0"/>
    <n v="15069.79"/>
    <x v="0"/>
    <x v="0"/>
  </r>
  <r>
    <x v="0"/>
    <x v="4"/>
    <x v="1"/>
    <x v="0"/>
    <x v="0"/>
    <n v="783.31"/>
    <x v="0"/>
    <x v="0"/>
  </r>
  <r>
    <x v="0"/>
    <x v="4"/>
    <x v="2"/>
    <x v="0"/>
    <x v="0"/>
    <n v="25927.54"/>
    <x v="0"/>
    <x v="0"/>
  </r>
  <r>
    <x v="0"/>
    <x v="4"/>
    <x v="2"/>
    <x v="0"/>
    <x v="0"/>
    <n v="42672.03"/>
    <x v="0"/>
    <x v="0"/>
  </r>
  <r>
    <x v="0"/>
    <x v="4"/>
    <x v="2"/>
    <x v="0"/>
    <x v="0"/>
    <n v="49236.53"/>
    <x v="0"/>
    <x v="0"/>
  </r>
  <r>
    <x v="0"/>
    <x v="4"/>
    <x v="2"/>
    <x v="0"/>
    <x v="0"/>
    <n v="16236.25"/>
    <x v="0"/>
    <x v="0"/>
  </r>
  <r>
    <x v="0"/>
    <x v="4"/>
    <x v="3"/>
    <x v="0"/>
    <x v="0"/>
    <n v="276772.02"/>
    <x v="0"/>
    <x v="0"/>
  </r>
  <r>
    <x v="0"/>
    <x v="4"/>
    <x v="2"/>
    <x v="0"/>
    <x v="0"/>
    <n v="95956.43"/>
    <x v="0"/>
    <x v="0"/>
  </r>
  <r>
    <x v="0"/>
    <x v="4"/>
    <x v="3"/>
    <x v="0"/>
    <x v="0"/>
    <n v="632840.5"/>
    <x v="0"/>
    <x v="0"/>
  </r>
  <r>
    <x v="0"/>
    <x v="4"/>
    <x v="1"/>
    <x v="0"/>
    <x v="0"/>
    <n v="863.08"/>
    <x v="0"/>
    <x v="0"/>
  </r>
  <r>
    <x v="0"/>
    <x v="0"/>
    <x v="0"/>
    <x v="0"/>
    <x v="0"/>
    <n v="4058.66"/>
    <x v="0"/>
    <x v="0"/>
  </r>
  <r>
    <x v="0"/>
    <x v="0"/>
    <x v="2"/>
    <x v="0"/>
    <x v="0"/>
    <n v="12040.95"/>
    <x v="0"/>
    <x v="0"/>
  </r>
  <r>
    <x v="0"/>
    <x v="0"/>
    <x v="0"/>
    <x v="0"/>
    <x v="0"/>
    <n v="4685.16"/>
    <x v="0"/>
    <x v="0"/>
  </r>
  <r>
    <x v="0"/>
    <x v="2"/>
    <x v="3"/>
    <x v="0"/>
    <x v="0"/>
    <n v="218499.73"/>
    <x v="0"/>
    <x v="0"/>
  </r>
  <r>
    <x v="0"/>
    <x v="2"/>
    <x v="3"/>
    <x v="0"/>
    <x v="0"/>
    <n v="107440.87"/>
    <x v="0"/>
    <x v="0"/>
  </r>
  <r>
    <x v="0"/>
    <x v="0"/>
    <x v="0"/>
    <x v="0"/>
    <x v="0"/>
    <n v="5055.39"/>
    <x v="0"/>
    <x v="0"/>
  </r>
  <r>
    <x v="0"/>
    <x v="0"/>
    <x v="0"/>
    <x v="0"/>
    <x v="0"/>
    <n v="7846.95"/>
    <x v="0"/>
    <x v="0"/>
  </r>
  <r>
    <x v="0"/>
    <x v="0"/>
    <x v="0"/>
    <x v="0"/>
    <x v="0"/>
    <n v="4412.45"/>
    <x v="0"/>
    <x v="0"/>
  </r>
  <r>
    <x v="0"/>
    <x v="0"/>
    <x v="2"/>
    <x v="0"/>
    <x v="0"/>
    <n v="14736.92"/>
    <x v="0"/>
    <x v="0"/>
  </r>
  <r>
    <x v="0"/>
    <x v="1"/>
    <x v="2"/>
    <x v="0"/>
    <x v="0"/>
    <n v="17488.56"/>
    <x v="0"/>
    <x v="0"/>
  </r>
  <r>
    <x v="0"/>
    <x v="0"/>
    <x v="1"/>
    <x v="0"/>
    <x v="0"/>
    <n v="264.93"/>
    <x v="0"/>
    <x v="0"/>
  </r>
  <r>
    <x v="0"/>
    <x v="2"/>
    <x v="3"/>
    <x v="0"/>
    <x v="0"/>
    <n v="222321.36"/>
    <x v="0"/>
    <x v="0"/>
  </r>
  <r>
    <x v="0"/>
    <x v="3"/>
    <x v="0"/>
    <x v="0"/>
    <x v="0"/>
    <n v="8972.41"/>
    <x v="0"/>
    <x v="0"/>
  </r>
  <r>
    <x v="0"/>
    <x v="0"/>
    <x v="0"/>
    <x v="0"/>
    <x v="0"/>
    <n v="4079.37"/>
    <x v="0"/>
    <x v="0"/>
  </r>
  <r>
    <x v="0"/>
    <x v="0"/>
    <x v="0"/>
    <x v="0"/>
    <x v="0"/>
    <n v="6226.79"/>
    <x v="0"/>
    <x v="0"/>
  </r>
  <r>
    <x v="0"/>
    <x v="0"/>
    <x v="0"/>
    <x v="0"/>
    <x v="0"/>
    <n v="6490.69"/>
    <x v="0"/>
    <x v="0"/>
  </r>
  <r>
    <x v="0"/>
    <x v="0"/>
    <x v="0"/>
    <x v="0"/>
    <x v="0"/>
    <n v="7837.56"/>
    <x v="0"/>
    <x v="0"/>
  </r>
  <r>
    <x v="0"/>
    <x v="0"/>
    <x v="0"/>
    <x v="0"/>
    <x v="0"/>
    <n v="4348.75"/>
    <x v="0"/>
    <x v="0"/>
  </r>
  <r>
    <x v="0"/>
    <x v="1"/>
    <x v="2"/>
    <x v="0"/>
    <x v="0"/>
    <n v="46961.7"/>
    <x v="0"/>
    <x v="0"/>
  </r>
  <r>
    <x v="0"/>
    <x v="1"/>
    <x v="3"/>
    <x v="0"/>
    <x v="0"/>
    <n v="373610.77"/>
    <x v="0"/>
    <x v="0"/>
  </r>
  <r>
    <x v="0"/>
    <x v="1"/>
    <x v="2"/>
    <x v="0"/>
    <x v="0"/>
    <n v="90667.11"/>
    <x v="0"/>
    <x v="0"/>
  </r>
  <r>
    <x v="0"/>
    <x v="1"/>
    <x v="3"/>
    <x v="0"/>
    <x v="0"/>
    <n v="114580.22"/>
    <x v="0"/>
    <x v="0"/>
  </r>
  <r>
    <x v="0"/>
    <x v="3"/>
    <x v="0"/>
    <x v="0"/>
    <x v="0"/>
    <n v="4448.09"/>
    <x v="0"/>
    <x v="0"/>
  </r>
  <r>
    <x v="0"/>
    <x v="2"/>
    <x v="3"/>
    <x v="0"/>
    <x v="0"/>
    <n v="549884.88"/>
    <x v="0"/>
    <x v="0"/>
  </r>
  <r>
    <x v="0"/>
    <x v="0"/>
    <x v="0"/>
    <x v="0"/>
    <x v="0"/>
    <n v="3697.53"/>
    <x v="0"/>
    <x v="0"/>
  </r>
  <r>
    <x v="0"/>
    <x v="0"/>
    <x v="0"/>
    <x v="0"/>
    <x v="0"/>
    <n v="6350.75"/>
    <x v="0"/>
    <x v="0"/>
  </r>
  <r>
    <x v="0"/>
    <x v="0"/>
    <x v="0"/>
    <x v="0"/>
    <x v="0"/>
    <n v="3154.47"/>
    <x v="0"/>
    <x v="0"/>
  </r>
  <r>
    <x v="0"/>
    <x v="0"/>
    <x v="2"/>
    <x v="0"/>
    <x v="0"/>
    <n v="23430.56"/>
    <x v="0"/>
    <x v="0"/>
  </r>
  <r>
    <x v="0"/>
    <x v="0"/>
    <x v="0"/>
    <x v="0"/>
    <x v="0"/>
    <n v="5875.05"/>
    <x v="0"/>
    <x v="0"/>
  </r>
  <r>
    <x v="0"/>
    <x v="0"/>
    <x v="0"/>
    <x v="0"/>
    <x v="0"/>
    <n v="2261.94"/>
    <x v="0"/>
    <x v="0"/>
  </r>
  <r>
    <x v="0"/>
    <x v="2"/>
    <x v="3"/>
    <x v="0"/>
    <x v="0"/>
    <n v="219630.79"/>
    <x v="0"/>
    <x v="0"/>
  </r>
  <r>
    <x v="0"/>
    <x v="0"/>
    <x v="2"/>
    <x v="0"/>
    <x v="0"/>
    <n v="10021.49"/>
    <x v="0"/>
    <x v="0"/>
  </r>
  <r>
    <x v="0"/>
    <x v="0"/>
    <x v="0"/>
    <x v="0"/>
    <x v="0"/>
    <n v="2349.71"/>
    <x v="0"/>
    <x v="0"/>
  </r>
  <r>
    <x v="0"/>
    <x v="2"/>
    <x v="3"/>
    <x v="0"/>
    <x v="0"/>
    <n v="512866.85"/>
    <x v="0"/>
    <x v="0"/>
  </r>
  <r>
    <x v="0"/>
    <x v="0"/>
    <x v="0"/>
    <x v="0"/>
    <x v="0"/>
    <n v="4280.41"/>
    <x v="0"/>
    <x v="0"/>
  </r>
  <r>
    <x v="0"/>
    <x v="0"/>
    <x v="1"/>
    <x v="0"/>
    <x v="0"/>
    <n v="471.01"/>
    <x v="0"/>
    <x v="0"/>
  </r>
  <r>
    <x v="0"/>
    <x v="3"/>
    <x v="0"/>
    <x v="0"/>
    <x v="0"/>
    <n v="1939.39"/>
    <x v="0"/>
    <x v="0"/>
  </r>
  <r>
    <x v="0"/>
    <x v="0"/>
    <x v="0"/>
    <x v="0"/>
    <x v="0"/>
    <n v="2399.75"/>
    <x v="0"/>
    <x v="0"/>
  </r>
  <r>
    <x v="0"/>
    <x v="1"/>
    <x v="3"/>
    <x v="0"/>
    <x v="0"/>
    <n v="156232.74"/>
    <x v="0"/>
    <x v="0"/>
  </r>
  <r>
    <x v="0"/>
    <x v="3"/>
    <x v="1"/>
    <x v="0"/>
    <x v="0"/>
    <n v="930.99"/>
    <x v="0"/>
    <x v="0"/>
  </r>
  <r>
    <x v="0"/>
    <x v="0"/>
    <x v="1"/>
    <x v="0"/>
    <x v="0"/>
    <n v="331.4"/>
    <x v="0"/>
    <x v="0"/>
  </r>
  <r>
    <x v="0"/>
    <x v="0"/>
    <x v="2"/>
    <x v="0"/>
    <x v="0"/>
    <n v="11607.88"/>
    <x v="0"/>
    <x v="0"/>
  </r>
  <r>
    <x v="0"/>
    <x v="0"/>
    <x v="0"/>
    <x v="0"/>
    <x v="0"/>
    <n v="3603.99"/>
    <x v="0"/>
    <x v="0"/>
  </r>
  <r>
    <x v="0"/>
    <x v="2"/>
    <x v="3"/>
    <x v="0"/>
    <x v="0"/>
    <n v="159657.1"/>
    <x v="0"/>
    <x v="0"/>
  </r>
  <r>
    <x v="0"/>
    <x v="2"/>
    <x v="2"/>
    <x v="0"/>
    <x v="0"/>
    <n v="68051.17"/>
    <x v="0"/>
    <x v="0"/>
  </r>
  <r>
    <x v="0"/>
    <x v="3"/>
    <x v="0"/>
    <x v="0"/>
    <x v="0"/>
    <n v="2607.6"/>
    <x v="0"/>
    <x v="0"/>
  </r>
  <r>
    <x v="0"/>
    <x v="1"/>
    <x v="3"/>
    <x v="0"/>
    <x v="0"/>
    <n v="345858.07"/>
    <x v="0"/>
    <x v="0"/>
  </r>
  <r>
    <x v="0"/>
    <x v="0"/>
    <x v="0"/>
    <x v="0"/>
    <x v="0"/>
    <n v="6990.18"/>
    <x v="0"/>
    <x v="0"/>
  </r>
  <r>
    <x v="0"/>
    <x v="0"/>
    <x v="2"/>
    <x v="0"/>
    <x v="0"/>
    <n v="11020.46"/>
    <x v="0"/>
    <x v="0"/>
  </r>
  <r>
    <x v="0"/>
    <x v="1"/>
    <x v="3"/>
    <x v="0"/>
    <x v="0"/>
    <n v="194415.49"/>
    <x v="0"/>
    <x v="0"/>
  </r>
  <r>
    <x v="0"/>
    <x v="3"/>
    <x v="0"/>
    <x v="0"/>
    <x v="0"/>
    <n v="7434.58"/>
    <x v="0"/>
    <x v="0"/>
  </r>
  <r>
    <x v="0"/>
    <x v="0"/>
    <x v="0"/>
    <x v="0"/>
    <x v="0"/>
    <n v="6111.1"/>
    <x v="0"/>
    <x v="0"/>
  </r>
  <r>
    <x v="0"/>
    <x v="0"/>
    <x v="0"/>
    <x v="0"/>
    <x v="0"/>
    <n v="7991.07"/>
    <x v="0"/>
    <x v="0"/>
  </r>
  <r>
    <x v="0"/>
    <x v="4"/>
    <x v="3"/>
    <x v="0"/>
    <x v="0"/>
    <n v="299976.78"/>
    <x v="0"/>
    <x v="0"/>
  </r>
  <r>
    <x v="0"/>
    <x v="4"/>
    <x v="2"/>
    <x v="0"/>
    <x v="0"/>
    <n v="78772.04"/>
    <x v="0"/>
    <x v="0"/>
  </r>
  <r>
    <x v="0"/>
    <x v="4"/>
    <x v="2"/>
    <x v="0"/>
    <x v="0"/>
    <n v="85584.66"/>
    <x v="0"/>
    <x v="0"/>
  </r>
  <r>
    <x v="0"/>
    <x v="4"/>
    <x v="3"/>
    <x v="0"/>
    <x v="0"/>
    <n v="187256.62"/>
    <x v="0"/>
    <x v="0"/>
  </r>
  <r>
    <x v="0"/>
    <x v="4"/>
    <x v="3"/>
    <x v="0"/>
    <x v="0"/>
    <n v="629989.76"/>
    <x v="0"/>
    <x v="0"/>
  </r>
  <r>
    <x v="0"/>
    <x v="4"/>
    <x v="2"/>
    <x v="0"/>
    <x v="0"/>
    <n v="29025.9"/>
    <x v="0"/>
    <x v="0"/>
  </r>
  <r>
    <x v="0"/>
    <x v="4"/>
    <x v="2"/>
    <x v="0"/>
    <x v="0"/>
    <n v="27948.65"/>
    <x v="0"/>
    <x v="0"/>
  </r>
  <r>
    <x v="0"/>
    <x v="4"/>
    <x v="2"/>
    <x v="0"/>
    <x v="0"/>
    <n v="91223.06"/>
    <x v="0"/>
    <x v="0"/>
  </r>
  <r>
    <x v="0"/>
    <x v="4"/>
    <x v="2"/>
    <x v="0"/>
    <x v="0"/>
    <n v="62684.91"/>
    <x v="0"/>
    <x v="0"/>
  </r>
  <r>
    <x v="0"/>
    <x v="4"/>
    <x v="3"/>
    <x v="0"/>
    <x v="0"/>
    <n v="355252.74"/>
    <x v="0"/>
    <x v="0"/>
  </r>
  <r>
    <x v="0"/>
    <x v="4"/>
    <x v="3"/>
    <x v="0"/>
    <x v="0"/>
    <n v="374419.58"/>
    <x v="0"/>
    <x v="0"/>
  </r>
  <r>
    <x v="0"/>
    <x v="4"/>
    <x v="2"/>
    <x v="0"/>
    <x v="0"/>
    <n v="71151.31"/>
    <x v="0"/>
    <x v="0"/>
  </r>
  <r>
    <x v="0"/>
    <x v="4"/>
    <x v="2"/>
    <x v="0"/>
    <x v="0"/>
    <n v="66358.89"/>
    <x v="0"/>
    <x v="0"/>
  </r>
  <r>
    <x v="0"/>
    <x v="4"/>
    <x v="3"/>
    <x v="0"/>
    <x v="0"/>
    <n v="346761.87"/>
    <x v="0"/>
    <x v="0"/>
  </r>
  <r>
    <x v="0"/>
    <x v="4"/>
    <x v="3"/>
    <x v="0"/>
    <x v="0"/>
    <n v="291839.31"/>
    <x v="0"/>
    <x v="0"/>
  </r>
  <r>
    <x v="0"/>
    <x v="4"/>
    <x v="3"/>
    <x v="0"/>
    <x v="0"/>
    <n v="285578.26"/>
    <x v="0"/>
    <x v="0"/>
  </r>
  <r>
    <x v="0"/>
    <x v="4"/>
    <x v="3"/>
    <x v="0"/>
    <x v="0"/>
    <n v="398354.37"/>
    <x v="0"/>
    <x v="0"/>
  </r>
  <r>
    <x v="0"/>
    <x v="4"/>
    <x v="3"/>
    <x v="0"/>
    <x v="0"/>
    <n v="112637.63"/>
    <x v="0"/>
    <x v="0"/>
  </r>
  <r>
    <x v="0"/>
    <x v="4"/>
    <x v="3"/>
    <x v="0"/>
    <x v="0"/>
    <n v="162591.2"/>
    <x v="0"/>
    <x v="0"/>
  </r>
  <r>
    <x v="0"/>
    <x v="4"/>
    <x v="3"/>
    <x v="0"/>
    <x v="0"/>
    <n v="193448.55"/>
    <x v="0"/>
    <x v="0"/>
  </r>
  <r>
    <x v="0"/>
    <x v="4"/>
    <x v="3"/>
    <x v="0"/>
    <x v="0"/>
    <n v="334092.55"/>
    <x v="0"/>
    <x v="0"/>
  </r>
  <r>
    <x v="0"/>
    <x v="4"/>
    <x v="2"/>
    <x v="0"/>
    <x v="0"/>
    <n v="90380.34"/>
    <x v="0"/>
    <x v="0"/>
  </r>
  <r>
    <x v="0"/>
    <x v="4"/>
    <x v="3"/>
    <x v="0"/>
    <x v="0"/>
    <n v="160053.19"/>
    <x v="0"/>
    <x v="0"/>
  </r>
  <r>
    <x v="0"/>
    <x v="4"/>
    <x v="3"/>
    <x v="0"/>
    <x v="0"/>
    <n v="286279.93"/>
    <x v="0"/>
    <x v="0"/>
  </r>
  <r>
    <x v="0"/>
    <x v="0"/>
    <x v="0"/>
    <x v="0"/>
    <x v="0"/>
    <n v="3879.16"/>
    <x v="0"/>
    <x v="0"/>
  </r>
  <r>
    <x v="0"/>
    <x v="4"/>
    <x v="3"/>
    <x v="0"/>
    <x v="0"/>
    <n v="158483.1"/>
    <x v="0"/>
    <x v="0"/>
  </r>
  <r>
    <x v="0"/>
    <x v="4"/>
    <x v="3"/>
    <x v="0"/>
    <x v="0"/>
    <n v="240680.1"/>
    <x v="0"/>
    <x v="0"/>
  </r>
  <r>
    <x v="0"/>
    <x v="4"/>
    <x v="2"/>
    <x v="0"/>
    <x v="0"/>
    <n v="42198.41"/>
    <x v="0"/>
    <x v="0"/>
  </r>
  <r>
    <x v="0"/>
    <x v="4"/>
    <x v="3"/>
    <x v="0"/>
    <x v="0"/>
    <n v="280403.82"/>
    <x v="0"/>
    <x v="0"/>
  </r>
  <r>
    <x v="0"/>
    <x v="4"/>
    <x v="3"/>
    <x v="0"/>
    <x v="0"/>
    <n v="421555.71"/>
    <x v="0"/>
    <x v="0"/>
  </r>
  <r>
    <x v="0"/>
    <x v="4"/>
    <x v="3"/>
    <x v="0"/>
    <x v="0"/>
    <n v="150550.59"/>
    <x v="0"/>
    <x v="0"/>
  </r>
  <r>
    <x v="0"/>
    <x v="4"/>
    <x v="2"/>
    <x v="0"/>
    <x v="0"/>
    <n v="83153.23"/>
    <x v="0"/>
    <x v="0"/>
  </r>
  <r>
    <x v="0"/>
    <x v="4"/>
    <x v="3"/>
    <x v="0"/>
    <x v="0"/>
    <n v="269603.45"/>
    <x v="0"/>
    <x v="0"/>
  </r>
  <r>
    <x v="0"/>
    <x v="4"/>
    <x v="3"/>
    <x v="0"/>
    <x v="0"/>
    <n v="188071.25"/>
    <x v="0"/>
    <x v="0"/>
  </r>
  <r>
    <x v="0"/>
    <x v="4"/>
    <x v="3"/>
    <x v="0"/>
    <x v="0"/>
    <n v="263590.95"/>
    <x v="0"/>
    <x v="0"/>
  </r>
  <r>
    <x v="0"/>
    <x v="4"/>
    <x v="3"/>
    <x v="0"/>
    <x v="0"/>
    <n v="373152.4"/>
    <x v="0"/>
    <x v="0"/>
  </r>
  <r>
    <x v="0"/>
    <x v="4"/>
    <x v="3"/>
    <x v="0"/>
    <x v="0"/>
    <n v="121854.66"/>
    <x v="0"/>
    <x v="0"/>
  </r>
  <r>
    <x v="0"/>
    <x v="4"/>
    <x v="2"/>
    <x v="0"/>
    <x v="0"/>
    <n v="31657.28"/>
    <x v="0"/>
    <x v="0"/>
  </r>
  <r>
    <x v="0"/>
    <x v="4"/>
    <x v="3"/>
    <x v="0"/>
    <x v="0"/>
    <n v="428248.35"/>
    <x v="0"/>
    <x v="0"/>
  </r>
  <r>
    <x v="0"/>
    <x v="4"/>
    <x v="3"/>
    <x v="0"/>
    <x v="0"/>
    <n v="323406.83"/>
    <x v="0"/>
    <x v="0"/>
  </r>
  <r>
    <x v="0"/>
    <x v="4"/>
    <x v="3"/>
    <x v="0"/>
    <x v="0"/>
    <n v="258938.11"/>
    <x v="0"/>
    <x v="0"/>
  </r>
  <r>
    <x v="0"/>
    <x v="4"/>
    <x v="3"/>
    <x v="0"/>
    <x v="0"/>
    <n v="226945.73"/>
    <x v="0"/>
    <x v="0"/>
  </r>
  <r>
    <x v="0"/>
    <x v="4"/>
    <x v="3"/>
    <x v="0"/>
    <x v="0"/>
    <n v="171505.17"/>
    <x v="0"/>
    <x v="0"/>
  </r>
  <r>
    <x v="0"/>
    <x v="4"/>
    <x v="3"/>
    <x v="0"/>
    <x v="0"/>
    <n v="184547.7"/>
    <x v="0"/>
    <x v="0"/>
  </r>
  <r>
    <x v="0"/>
    <x v="4"/>
    <x v="3"/>
    <x v="0"/>
    <x v="0"/>
    <n v="155608.53"/>
    <x v="0"/>
    <x v="0"/>
  </r>
  <r>
    <x v="0"/>
    <x v="4"/>
    <x v="2"/>
    <x v="0"/>
    <x v="0"/>
    <n v="69865.39"/>
    <x v="0"/>
    <x v="0"/>
  </r>
  <r>
    <x v="0"/>
    <x v="4"/>
    <x v="2"/>
    <x v="0"/>
    <x v="0"/>
    <n v="44655.46"/>
    <x v="0"/>
    <x v="0"/>
  </r>
  <r>
    <x v="0"/>
    <x v="4"/>
    <x v="3"/>
    <x v="0"/>
    <x v="0"/>
    <n v="411935.8"/>
    <x v="0"/>
    <x v="0"/>
  </r>
  <r>
    <x v="0"/>
    <x v="4"/>
    <x v="3"/>
    <x v="0"/>
    <x v="0"/>
    <n v="552812.46"/>
    <x v="0"/>
    <x v="0"/>
  </r>
  <r>
    <x v="0"/>
    <x v="4"/>
    <x v="2"/>
    <x v="0"/>
    <x v="0"/>
    <n v="84022.18"/>
    <x v="0"/>
    <x v="0"/>
  </r>
  <r>
    <x v="0"/>
    <x v="4"/>
    <x v="2"/>
    <x v="0"/>
    <x v="0"/>
    <n v="57357.33"/>
    <x v="0"/>
    <x v="0"/>
  </r>
  <r>
    <x v="0"/>
    <x v="3"/>
    <x v="1"/>
    <x v="0"/>
    <x v="0"/>
    <n v="286.87"/>
    <x v="0"/>
    <x v="0"/>
  </r>
  <r>
    <x v="0"/>
    <x v="0"/>
    <x v="2"/>
    <x v="0"/>
    <x v="0"/>
    <n v="11068.42"/>
    <x v="0"/>
    <x v="0"/>
  </r>
  <r>
    <x v="0"/>
    <x v="0"/>
    <x v="0"/>
    <x v="0"/>
    <x v="0"/>
    <n v="3524.08"/>
    <x v="0"/>
    <x v="0"/>
  </r>
  <r>
    <x v="0"/>
    <x v="0"/>
    <x v="2"/>
    <x v="0"/>
    <x v="0"/>
    <n v="11430.86"/>
    <x v="0"/>
    <x v="0"/>
  </r>
  <r>
    <x v="0"/>
    <x v="0"/>
    <x v="0"/>
    <x v="0"/>
    <x v="0"/>
    <n v="6769.91"/>
    <x v="0"/>
    <x v="0"/>
  </r>
  <r>
    <x v="0"/>
    <x v="0"/>
    <x v="0"/>
    <x v="0"/>
    <x v="0"/>
    <n v="8271.42"/>
    <x v="0"/>
    <x v="0"/>
  </r>
  <r>
    <x v="0"/>
    <x v="3"/>
    <x v="1"/>
    <x v="0"/>
    <x v="0"/>
    <n v="452.57"/>
    <x v="0"/>
    <x v="0"/>
  </r>
  <r>
    <x v="0"/>
    <x v="1"/>
    <x v="3"/>
    <x v="1"/>
    <x v="0"/>
    <n v="235238.66"/>
    <x v="1"/>
    <x v="9"/>
  </r>
  <r>
    <x v="0"/>
    <x v="2"/>
    <x v="3"/>
    <x v="1"/>
    <x v="0"/>
    <n v="235238.66"/>
    <x v="1"/>
    <x v="9"/>
  </r>
  <r>
    <x v="0"/>
    <x v="0"/>
    <x v="0"/>
    <x v="0"/>
    <x v="0"/>
    <n v="2707.76"/>
    <x v="0"/>
    <x v="0"/>
  </r>
  <r>
    <x v="0"/>
    <x v="1"/>
    <x v="3"/>
    <x v="0"/>
    <x v="0"/>
    <n v="200612.49"/>
    <x v="0"/>
    <x v="0"/>
  </r>
  <r>
    <x v="0"/>
    <x v="0"/>
    <x v="0"/>
    <x v="0"/>
    <x v="0"/>
    <n v="4253.87"/>
    <x v="0"/>
    <x v="0"/>
  </r>
  <r>
    <x v="0"/>
    <x v="0"/>
    <x v="0"/>
    <x v="0"/>
    <x v="0"/>
    <n v="3619.35"/>
    <x v="0"/>
    <x v="0"/>
  </r>
  <r>
    <x v="0"/>
    <x v="0"/>
    <x v="2"/>
    <x v="0"/>
    <x v="0"/>
    <n v="22940.17"/>
    <x v="0"/>
    <x v="0"/>
  </r>
  <r>
    <x v="0"/>
    <x v="0"/>
    <x v="0"/>
    <x v="0"/>
    <x v="0"/>
    <n v="5376.67"/>
    <x v="0"/>
    <x v="0"/>
  </r>
  <r>
    <x v="0"/>
    <x v="0"/>
    <x v="0"/>
    <x v="0"/>
    <x v="0"/>
    <n v="6822.41"/>
    <x v="0"/>
    <x v="0"/>
  </r>
  <r>
    <x v="0"/>
    <x v="0"/>
    <x v="0"/>
    <x v="0"/>
    <x v="0"/>
    <n v="9855.76"/>
    <x v="0"/>
    <x v="0"/>
  </r>
  <r>
    <x v="0"/>
    <x v="0"/>
    <x v="1"/>
    <x v="0"/>
    <x v="0"/>
    <n v="186.22"/>
    <x v="0"/>
    <x v="0"/>
  </r>
  <r>
    <x v="0"/>
    <x v="0"/>
    <x v="0"/>
    <x v="0"/>
    <x v="0"/>
    <n v="4189.31"/>
    <x v="0"/>
    <x v="0"/>
  </r>
  <r>
    <x v="0"/>
    <x v="0"/>
    <x v="2"/>
    <x v="0"/>
    <x v="0"/>
    <n v="26784.93"/>
    <x v="0"/>
    <x v="0"/>
  </r>
  <r>
    <x v="0"/>
    <x v="0"/>
    <x v="0"/>
    <x v="0"/>
    <x v="0"/>
    <n v="4623.81"/>
    <x v="0"/>
    <x v="0"/>
  </r>
  <r>
    <x v="0"/>
    <x v="0"/>
    <x v="0"/>
    <x v="0"/>
    <x v="0"/>
    <n v="2765.61"/>
    <x v="0"/>
    <x v="0"/>
  </r>
  <r>
    <x v="0"/>
    <x v="0"/>
    <x v="0"/>
    <x v="0"/>
    <x v="0"/>
    <n v="1637.53"/>
    <x v="0"/>
    <x v="0"/>
  </r>
  <r>
    <x v="0"/>
    <x v="0"/>
    <x v="0"/>
    <x v="0"/>
    <x v="0"/>
    <n v="2893.12"/>
    <x v="0"/>
    <x v="0"/>
  </r>
  <r>
    <x v="0"/>
    <x v="0"/>
    <x v="0"/>
    <x v="0"/>
    <x v="0"/>
    <n v="8246.79"/>
    <x v="0"/>
    <x v="0"/>
  </r>
  <r>
    <x v="0"/>
    <x v="0"/>
    <x v="2"/>
    <x v="0"/>
    <x v="0"/>
    <n v="24174.02"/>
    <x v="0"/>
    <x v="0"/>
  </r>
  <r>
    <x v="0"/>
    <x v="0"/>
    <x v="0"/>
    <x v="0"/>
    <x v="0"/>
    <n v="5340.28"/>
    <x v="0"/>
    <x v="0"/>
  </r>
  <r>
    <x v="0"/>
    <x v="0"/>
    <x v="0"/>
    <x v="0"/>
    <x v="0"/>
    <n v="2369.48"/>
    <x v="0"/>
    <x v="0"/>
  </r>
  <r>
    <x v="0"/>
    <x v="0"/>
    <x v="0"/>
    <x v="0"/>
    <x v="0"/>
    <n v="3009.63"/>
    <x v="0"/>
    <x v="0"/>
  </r>
  <r>
    <x v="0"/>
    <x v="0"/>
    <x v="2"/>
    <x v="0"/>
    <x v="0"/>
    <n v="32535.91"/>
    <x v="0"/>
    <x v="0"/>
  </r>
  <r>
    <x v="0"/>
    <x v="0"/>
    <x v="0"/>
    <x v="0"/>
    <x v="0"/>
    <n v="5230.88"/>
    <x v="0"/>
    <x v="0"/>
  </r>
  <r>
    <x v="0"/>
    <x v="0"/>
    <x v="1"/>
    <x v="0"/>
    <x v="0"/>
    <n v="163.72"/>
    <x v="0"/>
    <x v="0"/>
  </r>
  <r>
    <x v="0"/>
    <x v="0"/>
    <x v="0"/>
    <x v="0"/>
    <x v="0"/>
    <n v="2388.85"/>
    <x v="0"/>
    <x v="0"/>
  </r>
  <r>
    <x v="0"/>
    <x v="0"/>
    <x v="0"/>
    <x v="0"/>
    <x v="0"/>
    <n v="6980.56"/>
    <x v="0"/>
    <x v="0"/>
  </r>
  <r>
    <x v="0"/>
    <x v="2"/>
    <x v="3"/>
    <x v="0"/>
    <x v="0"/>
    <n v="153596.45"/>
    <x v="0"/>
    <x v="0"/>
  </r>
  <r>
    <x v="0"/>
    <x v="0"/>
    <x v="1"/>
    <x v="0"/>
    <x v="0"/>
    <n v="436.15"/>
    <x v="0"/>
    <x v="0"/>
  </r>
  <r>
    <x v="0"/>
    <x v="0"/>
    <x v="0"/>
    <x v="0"/>
    <x v="0"/>
    <n v="1928.87"/>
    <x v="0"/>
    <x v="0"/>
  </r>
  <r>
    <x v="0"/>
    <x v="0"/>
    <x v="1"/>
    <x v="0"/>
    <x v="0"/>
    <n v="884.42"/>
    <x v="0"/>
    <x v="0"/>
  </r>
  <r>
    <x v="0"/>
    <x v="3"/>
    <x v="0"/>
    <x v="0"/>
    <x v="0"/>
    <n v="2655.04"/>
    <x v="0"/>
    <x v="0"/>
  </r>
  <r>
    <x v="0"/>
    <x v="0"/>
    <x v="0"/>
    <x v="0"/>
    <x v="0"/>
    <n v="4528.17"/>
    <x v="0"/>
    <x v="0"/>
  </r>
  <r>
    <x v="0"/>
    <x v="1"/>
    <x v="2"/>
    <x v="0"/>
    <x v="0"/>
    <n v="36010.9"/>
    <x v="0"/>
    <x v="0"/>
  </r>
  <r>
    <x v="0"/>
    <x v="1"/>
    <x v="3"/>
    <x v="0"/>
    <x v="0"/>
    <n v="183465.11"/>
    <x v="0"/>
    <x v="0"/>
  </r>
  <r>
    <x v="0"/>
    <x v="1"/>
    <x v="2"/>
    <x v="0"/>
    <x v="0"/>
    <n v="57716.15"/>
    <x v="0"/>
    <x v="0"/>
  </r>
  <r>
    <x v="0"/>
    <x v="0"/>
    <x v="0"/>
    <x v="0"/>
    <x v="0"/>
    <n v="4074.2"/>
    <x v="0"/>
    <x v="0"/>
  </r>
  <r>
    <x v="0"/>
    <x v="1"/>
    <x v="3"/>
    <x v="0"/>
    <x v="0"/>
    <n v="601898.44"/>
    <x v="0"/>
    <x v="0"/>
  </r>
  <r>
    <x v="0"/>
    <x v="0"/>
    <x v="0"/>
    <x v="0"/>
    <x v="0"/>
    <n v="4601.56"/>
    <x v="0"/>
    <x v="0"/>
  </r>
  <r>
    <x v="0"/>
    <x v="0"/>
    <x v="0"/>
    <x v="0"/>
    <x v="0"/>
    <n v="2286.28"/>
    <x v="0"/>
    <x v="0"/>
  </r>
  <r>
    <x v="0"/>
    <x v="0"/>
    <x v="2"/>
    <x v="0"/>
    <x v="0"/>
    <n v="10855.04"/>
    <x v="0"/>
    <x v="0"/>
  </r>
  <r>
    <x v="0"/>
    <x v="0"/>
    <x v="0"/>
    <x v="0"/>
    <x v="0"/>
    <n v="7590.6"/>
    <x v="0"/>
    <x v="0"/>
  </r>
  <r>
    <x v="0"/>
    <x v="0"/>
    <x v="0"/>
    <x v="0"/>
    <x v="0"/>
    <n v="4887.09"/>
    <x v="0"/>
    <x v="0"/>
  </r>
  <r>
    <x v="0"/>
    <x v="0"/>
    <x v="1"/>
    <x v="0"/>
    <x v="0"/>
    <n v="637.26"/>
    <x v="0"/>
    <x v="0"/>
  </r>
  <r>
    <x v="0"/>
    <x v="1"/>
    <x v="3"/>
    <x v="0"/>
    <x v="0"/>
    <n v="149617.83"/>
    <x v="0"/>
    <x v="0"/>
  </r>
  <r>
    <x v="0"/>
    <x v="1"/>
    <x v="3"/>
    <x v="0"/>
    <x v="0"/>
    <n v="108019.99"/>
    <x v="0"/>
    <x v="0"/>
  </r>
  <r>
    <x v="0"/>
    <x v="0"/>
    <x v="0"/>
    <x v="0"/>
    <x v="0"/>
    <n v="5509.5"/>
    <x v="0"/>
    <x v="0"/>
  </r>
  <r>
    <x v="0"/>
    <x v="1"/>
    <x v="2"/>
    <x v="0"/>
    <x v="0"/>
    <n v="83845.22"/>
    <x v="0"/>
    <x v="0"/>
  </r>
  <r>
    <x v="0"/>
    <x v="0"/>
    <x v="0"/>
    <x v="0"/>
    <x v="0"/>
    <n v="7059.05"/>
    <x v="0"/>
    <x v="0"/>
  </r>
  <r>
    <x v="0"/>
    <x v="2"/>
    <x v="3"/>
    <x v="0"/>
    <x v="0"/>
    <n v="462688.96"/>
    <x v="0"/>
    <x v="0"/>
  </r>
  <r>
    <x v="0"/>
    <x v="2"/>
    <x v="2"/>
    <x v="0"/>
    <x v="0"/>
    <n v="75915.44"/>
    <x v="0"/>
    <x v="0"/>
  </r>
  <r>
    <x v="0"/>
    <x v="1"/>
    <x v="3"/>
    <x v="0"/>
    <x v="0"/>
    <n v="383533.35"/>
    <x v="0"/>
    <x v="0"/>
  </r>
  <r>
    <x v="0"/>
    <x v="0"/>
    <x v="0"/>
    <x v="0"/>
    <x v="0"/>
    <n v="2270.53"/>
    <x v="0"/>
    <x v="0"/>
  </r>
  <r>
    <x v="0"/>
    <x v="0"/>
    <x v="1"/>
    <x v="0"/>
    <x v="0"/>
    <n v="952.08"/>
    <x v="0"/>
    <x v="0"/>
  </r>
  <r>
    <x v="0"/>
    <x v="0"/>
    <x v="0"/>
    <x v="0"/>
    <x v="0"/>
    <n v="7855.62"/>
    <x v="0"/>
    <x v="0"/>
  </r>
  <r>
    <x v="0"/>
    <x v="1"/>
    <x v="3"/>
    <x v="0"/>
    <x v="0"/>
    <n v="347391.16"/>
    <x v="0"/>
    <x v="0"/>
  </r>
  <r>
    <x v="0"/>
    <x v="0"/>
    <x v="2"/>
    <x v="0"/>
    <x v="0"/>
    <n v="10255.93"/>
    <x v="0"/>
    <x v="0"/>
  </r>
  <r>
    <x v="0"/>
    <x v="0"/>
    <x v="2"/>
    <x v="0"/>
    <x v="0"/>
    <n v="10729.47"/>
    <x v="0"/>
    <x v="0"/>
  </r>
  <r>
    <x v="0"/>
    <x v="0"/>
    <x v="0"/>
    <x v="0"/>
    <x v="0"/>
    <n v="2288.61"/>
    <x v="0"/>
    <x v="0"/>
  </r>
  <r>
    <x v="0"/>
    <x v="0"/>
    <x v="0"/>
    <x v="0"/>
    <x v="0"/>
    <n v="5674.62"/>
    <x v="0"/>
    <x v="0"/>
  </r>
  <r>
    <x v="0"/>
    <x v="0"/>
    <x v="0"/>
    <x v="0"/>
    <x v="0"/>
    <n v="4546.83"/>
    <x v="0"/>
    <x v="0"/>
  </r>
  <r>
    <x v="0"/>
    <x v="0"/>
    <x v="2"/>
    <x v="0"/>
    <x v="0"/>
    <n v="23235.78"/>
    <x v="0"/>
    <x v="0"/>
  </r>
  <r>
    <x v="0"/>
    <x v="0"/>
    <x v="0"/>
    <x v="0"/>
    <x v="0"/>
    <n v="3697.26"/>
    <x v="0"/>
    <x v="0"/>
  </r>
  <r>
    <x v="0"/>
    <x v="0"/>
    <x v="0"/>
    <x v="0"/>
    <x v="0"/>
    <n v="1215.86"/>
    <x v="0"/>
    <x v="0"/>
  </r>
  <r>
    <x v="0"/>
    <x v="0"/>
    <x v="0"/>
    <x v="0"/>
    <x v="0"/>
    <n v="4377.04"/>
    <x v="0"/>
    <x v="0"/>
  </r>
  <r>
    <x v="0"/>
    <x v="0"/>
    <x v="0"/>
    <x v="0"/>
    <x v="0"/>
    <n v="5899.63"/>
    <x v="0"/>
    <x v="0"/>
  </r>
  <r>
    <x v="0"/>
    <x v="0"/>
    <x v="2"/>
    <x v="0"/>
    <x v="0"/>
    <n v="12128.78"/>
    <x v="0"/>
    <x v="0"/>
  </r>
  <r>
    <x v="0"/>
    <x v="0"/>
    <x v="2"/>
    <x v="0"/>
    <x v="0"/>
    <n v="10972.97"/>
    <x v="0"/>
    <x v="0"/>
  </r>
  <r>
    <x v="0"/>
    <x v="0"/>
    <x v="2"/>
    <x v="0"/>
    <x v="0"/>
    <n v="14157.15"/>
    <x v="0"/>
    <x v="0"/>
  </r>
  <r>
    <x v="0"/>
    <x v="0"/>
    <x v="2"/>
    <x v="0"/>
    <x v="0"/>
    <n v="22941.92"/>
    <x v="0"/>
    <x v="0"/>
  </r>
  <r>
    <x v="0"/>
    <x v="0"/>
    <x v="2"/>
    <x v="0"/>
    <x v="0"/>
    <n v="14223.81"/>
    <x v="0"/>
    <x v="0"/>
  </r>
  <r>
    <x v="0"/>
    <x v="0"/>
    <x v="2"/>
    <x v="0"/>
    <x v="0"/>
    <n v="62820.46"/>
    <x v="0"/>
    <x v="0"/>
  </r>
  <r>
    <x v="0"/>
    <x v="0"/>
    <x v="0"/>
    <x v="0"/>
    <x v="0"/>
    <n v="6001.21"/>
    <x v="0"/>
    <x v="0"/>
  </r>
  <r>
    <x v="0"/>
    <x v="0"/>
    <x v="2"/>
    <x v="0"/>
    <x v="0"/>
    <n v="12273.24"/>
    <x v="0"/>
    <x v="0"/>
  </r>
  <r>
    <x v="0"/>
    <x v="0"/>
    <x v="1"/>
    <x v="0"/>
    <x v="0"/>
    <n v="594.09"/>
    <x v="0"/>
    <x v="0"/>
  </r>
  <r>
    <x v="0"/>
    <x v="1"/>
    <x v="3"/>
    <x v="0"/>
    <x v="0"/>
    <n v="145515.24"/>
    <x v="0"/>
    <x v="0"/>
  </r>
  <r>
    <x v="0"/>
    <x v="0"/>
    <x v="0"/>
    <x v="0"/>
    <x v="0"/>
    <n v="6598.82"/>
    <x v="0"/>
    <x v="0"/>
  </r>
  <r>
    <x v="0"/>
    <x v="1"/>
    <x v="2"/>
    <x v="0"/>
    <x v="0"/>
    <n v="15326.3"/>
    <x v="0"/>
    <x v="0"/>
  </r>
  <r>
    <x v="0"/>
    <x v="0"/>
    <x v="0"/>
    <x v="0"/>
    <x v="0"/>
    <n v="6705.75"/>
    <x v="0"/>
    <x v="0"/>
  </r>
  <r>
    <x v="0"/>
    <x v="0"/>
    <x v="2"/>
    <x v="0"/>
    <x v="0"/>
    <n v="11608.18"/>
    <x v="0"/>
    <x v="0"/>
  </r>
  <r>
    <x v="0"/>
    <x v="0"/>
    <x v="0"/>
    <x v="0"/>
    <x v="0"/>
    <n v="6848.97"/>
    <x v="0"/>
    <x v="0"/>
  </r>
  <r>
    <x v="0"/>
    <x v="0"/>
    <x v="0"/>
    <x v="0"/>
    <x v="0"/>
    <n v="1130.44"/>
    <x v="0"/>
    <x v="0"/>
  </r>
  <r>
    <x v="0"/>
    <x v="0"/>
    <x v="0"/>
    <x v="0"/>
    <x v="0"/>
    <n v="2279.92"/>
    <x v="0"/>
    <x v="0"/>
  </r>
  <r>
    <x v="0"/>
    <x v="0"/>
    <x v="0"/>
    <x v="0"/>
    <x v="0"/>
    <n v="6913.46"/>
    <x v="0"/>
    <x v="0"/>
  </r>
  <r>
    <x v="0"/>
    <x v="3"/>
    <x v="0"/>
    <x v="0"/>
    <x v="0"/>
    <n v="3837.3"/>
    <x v="0"/>
    <x v="0"/>
  </r>
  <r>
    <x v="0"/>
    <x v="3"/>
    <x v="0"/>
    <x v="0"/>
    <x v="0"/>
    <n v="2589.19"/>
    <x v="0"/>
    <x v="0"/>
  </r>
  <r>
    <x v="0"/>
    <x v="0"/>
    <x v="0"/>
    <x v="0"/>
    <x v="0"/>
    <n v="2388.2"/>
    <x v="0"/>
    <x v="0"/>
  </r>
  <r>
    <x v="0"/>
    <x v="0"/>
    <x v="0"/>
    <x v="0"/>
    <x v="0"/>
    <n v="2232.83"/>
    <x v="0"/>
    <x v="0"/>
  </r>
  <r>
    <x v="0"/>
    <x v="4"/>
    <x v="2"/>
    <x v="0"/>
    <x v="0"/>
    <n v="93413.63"/>
    <x v="0"/>
    <x v="0"/>
  </r>
  <r>
    <x v="0"/>
    <x v="0"/>
    <x v="0"/>
    <x v="0"/>
    <x v="0"/>
    <n v="2221.22"/>
    <x v="0"/>
    <x v="0"/>
  </r>
  <r>
    <x v="0"/>
    <x v="2"/>
    <x v="3"/>
    <x v="0"/>
    <x v="0"/>
    <n v="214202.66"/>
    <x v="0"/>
    <x v="0"/>
  </r>
  <r>
    <x v="0"/>
    <x v="0"/>
    <x v="0"/>
    <x v="0"/>
    <x v="0"/>
    <n v="2387.09"/>
    <x v="0"/>
    <x v="0"/>
  </r>
  <r>
    <x v="0"/>
    <x v="0"/>
    <x v="2"/>
    <x v="0"/>
    <x v="0"/>
    <n v="10493.4"/>
    <x v="0"/>
    <x v="0"/>
  </r>
  <r>
    <x v="0"/>
    <x v="0"/>
    <x v="0"/>
    <x v="0"/>
    <x v="0"/>
    <n v="6433.58"/>
    <x v="0"/>
    <x v="0"/>
  </r>
  <r>
    <x v="0"/>
    <x v="2"/>
    <x v="3"/>
    <x v="0"/>
    <x v="0"/>
    <n v="136564.27"/>
    <x v="0"/>
    <x v="0"/>
  </r>
  <r>
    <x v="0"/>
    <x v="0"/>
    <x v="0"/>
    <x v="0"/>
    <x v="0"/>
    <n v="9800.44"/>
    <x v="0"/>
    <x v="0"/>
  </r>
  <r>
    <x v="0"/>
    <x v="3"/>
    <x v="0"/>
    <x v="0"/>
    <x v="0"/>
    <n v="6983.76"/>
    <x v="0"/>
    <x v="0"/>
  </r>
  <r>
    <x v="0"/>
    <x v="0"/>
    <x v="0"/>
    <x v="0"/>
    <x v="0"/>
    <n v="1994.48"/>
    <x v="0"/>
    <x v="0"/>
  </r>
  <r>
    <x v="0"/>
    <x v="0"/>
    <x v="0"/>
    <x v="0"/>
    <x v="0"/>
    <n v="2064.34"/>
    <x v="0"/>
    <x v="0"/>
  </r>
  <r>
    <x v="0"/>
    <x v="0"/>
    <x v="2"/>
    <x v="0"/>
    <x v="0"/>
    <n v="10808.31"/>
    <x v="0"/>
    <x v="0"/>
  </r>
  <r>
    <x v="0"/>
    <x v="0"/>
    <x v="2"/>
    <x v="0"/>
    <x v="0"/>
    <n v="10019.06"/>
    <x v="0"/>
    <x v="0"/>
  </r>
  <r>
    <x v="0"/>
    <x v="0"/>
    <x v="0"/>
    <x v="0"/>
    <x v="0"/>
    <n v="6650"/>
    <x v="0"/>
    <x v="0"/>
  </r>
  <r>
    <x v="0"/>
    <x v="0"/>
    <x v="0"/>
    <x v="0"/>
    <x v="0"/>
    <n v="9591.5"/>
    <x v="0"/>
    <x v="0"/>
  </r>
  <r>
    <x v="0"/>
    <x v="3"/>
    <x v="0"/>
    <x v="0"/>
    <x v="0"/>
    <n v="9769.9"/>
    <x v="0"/>
    <x v="0"/>
  </r>
  <r>
    <x v="0"/>
    <x v="0"/>
    <x v="1"/>
    <x v="0"/>
    <x v="0"/>
    <n v="727.25"/>
    <x v="0"/>
    <x v="0"/>
  </r>
  <r>
    <x v="0"/>
    <x v="0"/>
    <x v="0"/>
    <x v="0"/>
    <x v="0"/>
    <n v="6221.43"/>
    <x v="0"/>
    <x v="0"/>
  </r>
  <r>
    <x v="0"/>
    <x v="1"/>
    <x v="0"/>
    <x v="0"/>
    <x v="0"/>
    <n v="1361.29"/>
    <x v="0"/>
    <x v="0"/>
  </r>
  <r>
    <x v="0"/>
    <x v="0"/>
    <x v="0"/>
    <x v="0"/>
    <x v="0"/>
    <n v="4594.28"/>
    <x v="0"/>
    <x v="0"/>
  </r>
  <r>
    <x v="0"/>
    <x v="0"/>
    <x v="2"/>
    <x v="0"/>
    <x v="0"/>
    <n v="12122.55"/>
    <x v="0"/>
    <x v="0"/>
  </r>
  <r>
    <x v="0"/>
    <x v="2"/>
    <x v="2"/>
    <x v="0"/>
    <x v="0"/>
    <n v="93459.27"/>
    <x v="0"/>
    <x v="0"/>
  </r>
  <r>
    <x v="0"/>
    <x v="0"/>
    <x v="0"/>
    <x v="0"/>
    <x v="0"/>
    <n v="1937.5"/>
    <x v="0"/>
    <x v="0"/>
  </r>
  <r>
    <x v="0"/>
    <x v="0"/>
    <x v="0"/>
    <x v="0"/>
    <x v="0"/>
    <n v="2421.15"/>
    <x v="0"/>
    <x v="0"/>
  </r>
  <r>
    <x v="0"/>
    <x v="3"/>
    <x v="0"/>
    <x v="0"/>
    <x v="0"/>
    <n v="2840.25"/>
    <x v="0"/>
    <x v="0"/>
  </r>
  <r>
    <x v="0"/>
    <x v="1"/>
    <x v="3"/>
    <x v="0"/>
    <x v="0"/>
    <n v="279422.78"/>
    <x v="0"/>
    <x v="0"/>
  </r>
  <r>
    <x v="0"/>
    <x v="0"/>
    <x v="0"/>
    <x v="0"/>
    <x v="0"/>
    <n v="3215.74"/>
    <x v="0"/>
    <x v="0"/>
  </r>
  <r>
    <x v="0"/>
    <x v="0"/>
    <x v="2"/>
    <x v="0"/>
    <x v="0"/>
    <n v="13890.24"/>
    <x v="0"/>
    <x v="0"/>
  </r>
  <r>
    <x v="0"/>
    <x v="3"/>
    <x v="0"/>
    <x v="0"/>
    <x v="0"/>
    <n v="8371.5"/>
    <x v="0"/>
    <x v="0"/>
  </r>
  <r>
    <x v="0"/>
    <x v="0"/>
    <x v="0"/>
    <x v="0"/>
    <x v="0"/>
    <n v="5954.9"/>
    <x v="0"/>
    <x v="0"/>
  </r>
  <r>
    <x v="0"/>
    <x v="0"/>
    <x v="0"/>
    <x v="0"/>
    <x v="0"/>
    <n v="9370.51"/>
    <x v="0"/>
    <x v="0"/>
  </r>
  <r>
    <x v="0"/>
    <x v="0"/>
    <x v="0"/>
    <x v="0"/>
    <x v="0"/>
    <n v="9496.55"/>
    <x v="0"/>
    <x v="0"/>
  </r>
  <r>
    <x v="0"/>
    <x v="0"/>
    <x v="0"/>
    <x v="0"/>
    <x v="0"/>
    <n v="3004.57"/>
    <x v="0"/>
    <x v="0"/>
  </r>
  <r>
    <x v="0"/>
    <x v="0"/>
    <x v="0"/>
    <x v="0"/>
    <x v="0"/>
    <n v="4351.58"/>
    <x v="0"/>
    <x v="0"/>
  </r>
  <r>
    <x v="0"/>
    <x v="0"/>
    <x v="0"/>
    <x v="0"/>
    <x v="0"/>
    <n v="4674"/>
    <x v="0"/>
    <x v="0"/>
  </r>
  <r>
    <x v="0"/>
    <x v="0"/>
    <x v="0"/>
    <x v="0"/>
    <x v="0"/>
    <n v="2518.13"/>
    <x v="0"/>
    <x v="0"/>
  </r>
  <r>
    <x v="0"/>
    <x v="0"/>
    <x v="0"/>
    <x v="0"/>
    <x v="0"/>
    <n v="6365"/>
    <x v="0"/>
    <x v="0"/>
  </r>
  <r>
    <x v="0"/>
    <x v="0"/>
    <x v="2"/>
    <x v="0"/>
    <x v="0"/>
    <n v="26035.82"/>
    <x v="0"/>
    <x v="0"/>
  </r>
  <r>
    <x v="0"/>
    <x v="0"/>
    <x v="2"/>
    <x v="0"/>
    <x v="0"/>
    <n v="12000.58"/>
    <x v="0"/>
    <x v="0"/>
  </r>
  <r>
    <x v="0"/>
    <x v="0"/>
    <x v="0"/>
    <x v="0"/>
    <x v="0"/>
    <n v="5717.58"/>
    <x v="0"/>
    <x v="0"/>
  </r>
  <r>
    <x v="0"/>
    <x v="0"/>
    <x v="2"/>
    <x v="0"/>
    <x v="0"/>
    <n v="15646.06"/>
    <x v="0"/>
    <x v="0"/>
  </r>
  <r>
    <x v="0"/>
    <x v="0"/>
    <x v="0"/>
    <x v="0"/>
    <x v="0"/>
    <n v="4905.54"/>
    <x v="0"/>
    <x v="0"/>
  </r>
  <r>
    <x v="0"/>
    <x v="0"/>
    <x v="0"/>
    <x v="0"/>
    <x v="0"/>
    <n v="7029.12"/>
    <x v="0"/>
    <x v="0"/>
  </r>
  <r>
    <x v="0"/>
    <x v="0"/>
    <x v="0"/>
    <x v="0"/>
    <x v="0"/>
    <n v="2374.49"/>
    <x v="0"/>
    <x v="0"/>
  </r>
  <r>
    <x v="0"/>
    <x v="0"/>
    <x v="0"/>
    <x v="0"/>
    <x v="0"/>
    <n v="6579.9"/>
    <x v="0"/>
    <x v="0"/>
  </r>
  <r>
    <x v="0"/>
    <x v="0"/>
    <x v="0"/>
    <x v="0"/>
    <x v="0"/>
    <n v="2481.59"/>
    <x v="0"/>
    <x v="0"/>
  </r>
  <r>
    <x v="0"/>
    <x v="0"/>
    <x v="0"/>
    <x v="0"/>
    <x v="0"/>
    <n v="6720.15"/>
    <x v="0"/>
    <x v="0"/>
  </r>
  <r>
    <x v="0"/>
    <x v="0"/>
    <x v="0"/>
    <x v="0"/>
    <x v="0"/>
    <n v="6426.8"/>
    <x v="0"/>
    <x v="0"/>
  </r>
  <r>
    <x v="0"/>
    <x v="0"/>
    <x v="0"/>
    <x v="0"/>
    <x v="0"/>
    <n v="5274.17"/>
    <x v="0"/>
    <x v="0"/>
  </r>
  <r>
    <x v="0"/>
    <x v="0"/>
    <x v="0"/>
    <x v="0"/>
    <x v="0"/>
    <n v="2475.77"/>
    <x v="0"/>
    <x v="0"/>
  </r>
  <r>
    <x v="0"/>
    <x v="0"/>
    <x v="0"/>
    <x v="0"/>
    <x v="0"/>
    <n v="4149.27"/>
    <x v="0"/>
    <x v="0"/>
  </r>
  <r>
    <x v="0"/>
    <x v="0"/>
    <x v="2"/>
    <x v="0"/>
    <x v="0"/>
    <n v="11380.13"/>
    <x v="0"/>
    <x v="0"/>
  </r>
  <r>
    <x v="0"/>
    <x v="2"/>
    <x v="3"/>
    <x v="0"/>
    <x v="0"/>
    <n v="119542.86"/>
    <x v="0"/>
    <x v="0"/>
  </r>
  <r>
    <x v="0"/>
    <x v="0"/>
    <x v="2"/>
    <x v="0"/>
    <x v="0"/>
    <n v="25424.36"/>
    <x v="0"/>
    <x v="0"/>
  </r>
  <r>
    <x v="0"/>
    <x v="2"/>
    <x v="3"/>
    <x v="0"/>
    <x v="0"/>
    <n v="289715.28"/>
    <x v="0"/>
    <x v="0"/>
  </r>
  <r>
    <x v="0"/>
    <x v="0"/>
    <x v="0"/>
    <x v="0"/>
    <x v="0"/>
    <n v="3149.19"/>
    <x v="0"/>
    <x v="0"/>
  </r>
  <r>
    <x v="0"/>
    <x v="0"/>
    <x v="2"/>
    <x v="0"/>
    <x v="0"/>
    <n v="18952.73"/>
    <x v="0"/>
    <x v="0"/>
  </r>
  <r>
    <x v="0"/>
    <x v="3"/>
    <x v="0"/>
    <x v="0"/>
    <x v="0"/>
    <n v="2983.5"/>
    <x v="0"/>
    <x v="0"/>
  </r>
  <r>
    <x v="0"/>
    <x v="0"/>
    <x v="1"/>
    <x v="0"/>
    <x v="0"/>
    <n v="13.54"/>
    <x v="0"/>
    <x v="0"/>
  </r>
  <r>
    <x v="0"/>
    <x v="0"/>
    <x v="0"/>
    <x v="0"/>
    <x v="0"/>
    <n v="6159.35"/>
    <x v="0"/>
    <x v="0"/>
  </r>
  <r>
    <x v="0"/>
    <x v="0"/>
    <x v="0"/>
    <x v="0"/>
    <x v="0"/>
    <n v="4209.57"/>
    <x v="0"/>
    <x v="0"/>
  </r>
  <r>
    <x v="0"/>
    <x v="0"/>
    <x v="1"/>
    <x v="0"/>
    <x v="0"/>
    <n v="6.93"/>
    <x v="0"/>
    <x v="0"/>
  </r>
  <r>
    <x v="0"/>
    <x v="0"/>
    <x v="0"/>
    <x v="0"/>
    <x v="0"/>
    <n v="7055.84"/>
    <x v="0"/>
    <x v="0"/>
  </r>
  <r>
    <x v="0"/>
    <x v="0"/>
    <x v="0"/>
    <x v="0"/>
    <x v="0"/>
    <n v="1058.63"/>
    <x v="0"/>
    <x v="0"/>
  </r>
  <r>
    <x v="0"/>
    <x v="4"/>
    <x v="2"/>
    <x v="0"/>
    <x v="0"/>
    <n v="95983.62"/>
    <x v="0"/>
    <x v="0"/>
  </r>
  <r>
    <x v="0"/>
    <x v="0"/>
    <x v="0"/>
    <x v="0"/>
    <x v="0"/>
    <n v="5973.9"/>
    <x v="0"/>
    <x v="0"/>
  </r>
  <r>
    <x v="0"/>
    <x v="0"/>
    <x v="0"/>
    <x v="0"/>
    <x v="0"/>
    <n v="6397.18"/>
    <x v="0"/>
    <x v="0"/>
  </r>
  <r>
    <x v="0"/>
    <x v="0"/>
    <x v="0"/>
    <x v="0"/>
    <x v="0"/>
    <n v="3076.45"/>
    <x v="0"/>
    <x v="0"/>
  </r>
  <r>
    <x v="0"/>
    <x v="2"/>
    <x v="3"/>
    <x v="0"/>
    <x v="0"/>
    <n v="197761.38"/>
    <x v="0"/>
    <x v="0"/>
  </r>
  <r>
    <x v="0"/>
    <x v="2"/>
    <x v="3"/>
    <x v="0"/>
    <x v="0"/>
    <n v="100740.53"/>
    <x v="0"/>
    <x v="0"/>
  </r>
  <r>
    <x v="0"/>
    <x v="2"/>
    <x v="2"/>
    <x v="0"/>
    <x v="0"/>
    <n v="14166.38"/>
    <x v="0"/>
    <x v="0"/>
  </r>
  <r>
    <x v="0"/>
    <x v="2"/>
    <x v="3"/>
    <x v="0"/>
    <x v="0"/>
    <n v="134543.6"/>
    <x v="0"/>
    <x v="0"/>
  </r>
  <r>
    <x v="0"/>
    <x v="2"/>
    <x v="2"/>
    <x v="0"/>
    <x v="0"/>
    <n v="48206.82"/>
    <x v="0"/>
    <x v="0"/>
  </r>
  <r>
    <x v="0"/>
    <x v="2"/>
    <x v="3"/>
    <x v="0"/>
    <x v="0"/>
    <n v="282944.06"/>
    <x v="0"/>
    <x v="0"/>
  </r>
  <r>
    <x v="0"/>
    <x v="2"/>
    <x v="2"/>
    <x v="0"/>
    <x v="0"/>
    <n v="19270.14"/>
    <x v="0"/>
    <x v="0"/>
  </r>
  <r>
    <x v="0"/>
    <x v="2"/>
    <x v="0"/>
    <x v="0"/>
    <x v="0"/>
    <n v="5493.19"/>
    <x v="0"/>
    <x v="0"/>
  </r>
  <r>
    <x v="0"/>
    <x v="0"/>
    <x v="0"/>
    <x v="0"/>
    <x v="0"/>
    <n v="5983.51"/>
    <x v="0"/>
    <x v="0"/>
  </r>
  <r>
    <x v="0"/>
    <x v="0"/>
    <x v="0"/>
    <x v="0"/>
    <x v="0"/>
    <n v="2388.24"/>
    <x v="0"/>
    <x v="0"/>
  </r>
  <r>
    <x v="0"/>
    <x v="0"/>
    <x v="0"/>
    <x v="0"/>
    <x v="0"/>
    <n v="6381.32"/>
    <x v="0"/>
    <x v="0"/>
  </r>
  <r>
    <x v="0"/>
    <x v="0"/>
    <x v="0"/>
    <x v="0"/>
    <x v="0"/>
    <n v="9899.52"/>
    <x v="0"/>
    <x v="0"/>
  </r>
  <r>
    <x v="0"/>
    <x v="0"/>
    <x v="0"/>
    <x v="0"/>
    <x v="0"/>
    <n v="2368.4"/>
    <x v="0"/>
    <x v="0"/>
  </r>
  <r>
    <x v="0"/>
    <x v="0"/>
    <x v="0"/>
    <x v="0"/>
    <x v="0"/>
    <n v="5764.6"/>
    <x v="0"/>
    <x v="0"/>
  </r>
  <r>
    <x v="0"/>
    <x v="0"/>
    <x v="0"/>
    <x v="0"/>
    <x v="0"/>
    <n v="3236.86"/>
    <x v="0"/>
    <x v="0"/>
  </r>
  <r>
    <x v="0"/>
    <x v="0"/>
    <x v="0"/>
    <x v="0"/>
    <x v="0"/>
    <n v="4209.87"/>
    <x v="0"/>
    <x v="0"/>
  </r>
  <r>
    <x v="0"/>
    <x v="3"/>
    <x v="2"/>
    <x v="0"/>
    <x v="0"/>
    <n v="11388.1"/>
    <x v="0"/>
    <x v="0"/>
  </r>
  <r>
    <x v="0"/>
    <x v="1"/>
    <x v="3"/>
    <x v="0"/>
    <x v="0"/>
    <n v="124041.53"/>
    <x v="0"/>
    <x v="0"/>
  </r>
  <r>
    <x v="0"/>
    <x v="0"/>
    <x v="2"/>
    <x v="0"/>
    <x v="0"/>
    <n v="12061.28"/>
    <x v="0"/>
    <x v="0"/>
  </r>
  <r>
    <x v="0"/>
    <x v="3"/>
    <x v="0"/>
    <x v="0"/>
    <x v="0"/>
    <n v="1072.36"/>
    <x v="0"/>
    <x v="0"/>
  </r>
  <r>
    <x v="0"/>
    <x v="2"/>
    <x v="3"/>
    <x v="0"/>
    <x v="0"/>
    <n v="189476.67"/>
    <x v="0"/>
    <x v="0"/>
  </r>
  <r>
    <x v="0"/>
    <x v="0"/>
    <x v="0"/>
    <x v="0"/>
    <x v="0"/>
    <n v="8054.62"/>
    <x v="0"/>
    <x v="0"/>
  </r>
  <r>
    <x v="0"/>
    <x v="2"/>
    <x v="3"/>
    <x v="0"/>
    <x v="0"/>
    <n v="457194.09"/>
    <x v="0"/>
    <x v="0"/>
  </r>
  <r>
    <x v="0"/>
    <x v="1"/>
    <x v="3"/>
    <x v="0"/>
    <x v="0"/>
    <n v="219583.95"/>
    <x v="0"/>
    <x v="0"/>
  </r>
  <r>
    <x v="0"/>
    <x v="0"/>
    <x v="0"/>
    <x v="0"/>
    <x v="0"/>
    <n v="6015.17"/>
    <x v="0"/>
    <x v="0"/>
  </r>
  <r>
    <x v="0"/>
    <x v="0"/>
    <x v="0"/>
    <x v="0"/>
    <x v="0"/>
    <n v="6748.38"/>
    <x v="0"/>
    <x v="0"/>
  </r>
  <r>
    <x v="0"/>
    <x v="4"/>
    <x v="3"/>
    <x v="0"/>
    <x v="0"/>
    <n v="271566.78"/>
    <x v="0"/>
    <x v="0"/>
  </r>
  <r>
    <x v="0"/>
    <x v="4"/>
    <x v="3"/>
    <x v="0"/>
    <x v="0"/>
    <n v="190398.63"/>
    <x v="0"/>
    <x v="0"/>
  </r>
  <r>
    <x v="0"/>
    <x v="4"/>
    <x v="3"/>
    <x v="0"/>
    <x v="0"/>
    <n v="149651.68"/>
    <x v="0"/>
    <x v="0"/>
  </r>
  <r>
    <x v="0"/>
    <x v="4"/>
    <x v="2"/>
    <x v="0"/>
    <x v="0"/>
    <n v="84527.66"/>
    <x v="0"/>
    <x v="0"/>
  </r>
  <r>
    <x v="0"/>
    <x v="4"/>
    <x v="4"/>
    <x v="0"/>
    <x v="0"/>
    <n v="1030100.15"/>
    <x v="0"/>
    <x v="0"/>
  </r>
  <r>
    <x v="0"/>
    <x v="4"/>
    <x v="2"/>
    <x v="0"/>
    <x v="0"/>
    <n v="55091.05"/>
    <x v="0"/>
    <x v="0"/>
  </r>
  <r>
    <x v="0"/>
    <x v="4"/>
    <x v="3"/>
    <x v="0"/>
    <x v="0"/>
    <n v="318209.62"/>
    <x v="0"/>
    <x v="0"/>
  </r>
  <r>
    <x v="0"/>
    <x v="4"/>
    <x v="3"/>
    <x v="0"/>
    <x v="0"/>
    <n v="294676.6"/>
    <x v="0"/>
    <x v="0"/>
  </r>
  <r>
    <x v="0"/>
    <x v="4"/>
    <x v="3"/>
    <x v="0"/>
    <x v="0"/>
    <n v="294304.91"/>
    <x v="0"/>
    <x v="0"/>
  </r>
  <r>
    <x v="0"/>
    <x v="4"/>
    <x v="3"/>
    <x v="0"/>
    <x v="0"/>
    <n v="168276.37"/>
    <x v="0"/>
    <x v="0"/>
  </r>
  <r>
    <x v="0"/>
    <x v="4"/>
    <x v="2"/>
    <x v="0"/>
    <x v="0"/>
    <n v="38583.71"/>
    <x v="0"/>
    <x v="0"/>
  </r>
  <r>
    <x v="0"/>
    <x v="0"/>
    <x v="0"/>
    <x v="0"/>
    <x v="0"/>
    <n v="2338.05"/>
    <x v="0"/>
    <x v="0"/>
  </r>
  <r>
    <x v="0"/>
    <x v="4"/>
    <x v="3"/>
    <x v="0"/>
    <x v="0"/>
    <n v="276273.67"/>
    <x v="0"/>
    <x v="0"/>
  </r>
  <r>
    <x v="0"/>
    <x v="0"/>
    <x v="2"/>
    <x v="0"/>
    <x v="0"/>
    <n v="10928.31"/>
    <x v="0"/>
    <x v="0"/>
  </r>
  <r>
    <x v="0"/>
    <x v="0"/>
    <x v="2"/>
    <x v="0"/>
    <x v="0"/>
    <n v="11335.23"/>
    <x v="0"/>
    <x v="0"/>
  </r>
  <r>
    <x v="0"/>
    <x v="3"/>
    <x v="1"/>
    <x v="0"/>
    <x v="0"/>
    <n v="924.07"/>
    <x v="0"/>
    <x v="0"/>
  </r>
  <r>
    <x v="0"/>
    <x v="0"/>
    <x v="0"/>
    <x v="0"/>
    <x v="0"/>
    <n v="7677.95"/>
    <x v="0"/>
    <x v="0"/>
  </r>
  <r>
    <x v="0"/>
    <x v="4"/>
    <x v="3"/>
    <x v="0"/>
    <x v="0"/>
    <n v="132540.87"/>
    <x v="0"/>
    <x v="0"/>
  </r>
  <r>
    <x v="0"/>
    <x v="4"/>
    <x v="3"/>
    <x v="0"/>
    <x v="0"/>
    <n v="170914.25"/>
    <x v="0"/>
    <x v="0"/>
  </r>
  <r>
    <x v="0"/>
    <x v="4"/>
    <x v="2"/>
    <x v="0"/>
    <x v="0"/>
    <n v="17487.62"/>
    <x v="0"/>
    <x v="0"/>
  </r>
  <r>
    <x v="0"/>
    <x v="4"/>
    <x v="3"/>
    <x v="0"/>
    <x v="0"/>
    <n v="230892.79"/>
    <x v="0"/>
    <x v="0"/>
  </r>
  <r>
    <x v="0"/>
    <x v="4"/>
    <x v="3"/>
    <x v="0"/>
    <x v="0"/>
    <n v="734657.1"/>
    <x v="0"/>
    <x v="0"/>
  </r>
  <r>
    <x v="0"/>
    <x v="4"/>
    <x v="3"/>
    <x v="0"/>
    <x v="0"/>
    <n v="452932.69"/>
    <x v="0"/>
    <x v="0"/>
  </r>
  <r>
    <x v="0"/>
    <x v="4"/>
    <x v="2"/>
    <x v="0"/>
    <x v="0"/>
    <n v="70299.66"/>
    <x v="0"/>
    <x v="0"/>
  </r>
  <r>
    <x v="0"/>
    <x v="4"/>
    <x v="3"/>
    <x v="0"/>
    <x v="0"/>
    <n v="245679.75"/>
    <x v="0"/>
    <x v="0"/>
  </r>
  <r>
    <x v="0"/>
    <x v="4"/>
    <x v="3"/>
    <x v="0"/>
    <x v="0"/>
    <n v="300768.79"/>
    <x v="0"/>
    <x v="0"/>
  </r>
  <r>
    <x v="0"/>
    <x v="4"/>
    <x v="2"/>
    <x v="0"/>
    <x v="0"/>
    <n v="90697.75"/>
    <x v="0"/>
    <x v="0"/>
  </r>
  <r>
    <x v="0"/>
    <x v="4"/>
    <x v="3"/>
    <x v="0"/>
    <x v="0"/>
    <n v="130280.74"/>
    <x v="0"/>
    <x v="0"/>
  </r>
  <r>
    <x v="0"/>
    <x v="4"/>
    <x v="2"/>
    <x v="0"/>
    <x v="0"/>
    <n v="72984.81"/>
    <x v="0"/>
    <x v="0"/>
  </r>
  <r>
    <x v="0"/>
    <x v="4"/>
    <x v="3"/>
    <x v="0"/>
    <x v="0"/>
    <n v="336230.03"/>
    <x v="0"/>
    <x v="0"/>
  </r>
  <r>
    <x v="0"/>
    <x v="4"/>
    <x v="2"/>
    <x v="0"/>
    <x v="0"/>
    <n v="75162.99"/>
    <x v="0"/>
    <x v="0"/>
  </r>
  <r>
    <x v="0"/>
    <x v="4"/>
    <x v="3"/>
    <x v="0"/>
    <x v="0"/>
    <n v="147987.48"/>
    <x v="0"/>
    <x v="0"/>
  </r>
  <r>
    <x v="0"/>
    <x v="4"/>
    <x v="2"/>
    <x v="0"/>
    <x v="0"/>
    <n v="76305.39"/>
    <x v="0"/>
    <x v="0"/>
  </r>
  <r>
    <x v="0"/>
    <x v="4"/>
    <x v="2"/>
    <x v="0"/>
    <x v="0"/>
    <n v="18194.34"/>
    <x v="0"/>
    <x v="0"/>
  </r>
  <r>
    <x v="0"/>
    <x v="4"/>
    <x v="2"/>
    <x v="0"/>
    <x v="0"/>
    <n v="68931.2"/>
    <x v="0"/>
    <x v="0"/>
  </r>
  <r>
    <x v="0"/>
    <x v="4"/>
    <x v="3"/>
    <x v="0"/>
    <x v="0"/>
    <n v="231460.09"/>
    <x v="0"/>
    <x v="0"/>
  </r>
  <r>
    <x v="0"/>
    <x v="4"/>
    <x v="3"/>
    <x v="0"/>
    <x v="0"/>
    <n v="156316.71"/>
    <x v="0"/>
    <x v="0"/>
  </r>
  <r>
    <x v="0"/>
    <x v="4"/>
    <x v="3"/>
    <x v="0"/>
    <x v="0"/>
    <n v="232720.95"/>
    <x v="0"/>
    <x v="0"/>
  </r>
  <r>
    <x v="0"/>
    <x v="4"/>
    <x v="2"/>
    <x v="0"/>
    <x v="0"/>
    <n v="18536.86"/>
    <x v="0"/>
    <x v="0"/>
  </r>
  <r>
    <x v="0"/>
    <x v="4"/>
    <x v="2"/>
    <x v="0"/>
    <x v="0"/>
    <n v="89380.43"/>
    <x v="0"/>
    <x v="0"/>
  </r>
  <r>
    <x v="0"/>
    <x v="4"/>
    <x v="3"/>
    <x v="0"/>
    <x v="0"/>
    <n v="568912.68"/>
    <x v="0"/>
    <x v="0"/>
  </r>
  <r>
    <x v="0"/>
    <x v="0"/>
    <x v="0"/>
    <x v="0"/>
    <x v="0"/>
    <n v="3351.14"/>
    <x v="0"/>
    <x v="0"/>
  </r>
  <r>
    <x v="0"/>
    <x v="0"/>
    <x v="0"/>
    <x v="0"/>
    <x v="0"/>
    <n v="4564.51"/>
    <x v="0"/>
    <x v="0"/>
  </r>
  <r>
    <x v="0"/>
    <x v="0"/>
    <x v="0"/>
    <x v="0"/>
    <x v="0"/>
    <n v="3050.39"/>
    <x v="0"/>
    <x v="0"/>
  </r>
  <r>
    <x v="0"/>
    <x v="0"/>
    <x v="1"/>
    <x v="0"/>
    <x v="0"/>
    <n v="942.95"/>
    <x v="0"/>
    <x v="0"/>
  </r>
  <r>
    <x v="0"/>
    <x v="0"/>
    <x v="1"/>
    <x v="0"/>
    <x v="0"/>
    <n v="121.27"/>
    <x v="0"/>
    <x v="0"/>
  </r>
  <r>
    <x v="0"/>
    <x v="0"/>
    <x v="0"/>
    <x v="0"/>
    <x v="0"/>
    <n v="3798.36"/>
    <x v="0"/>
    <x v="0"/>
  </r>
  <r>
    <x v="0"/>
    <x v="0"/>
    <x v="0"/>
    <x v="0"/>
    <x v="0"/>
    <n v="2246.11"/>
    <x v="0"/>
    <x v="0"/>
  </r>
  <r>
    <x v="0"/>
    <x v="0"/>
    <x v="0"/>
    <x v="0"/>
    <x v="0"/>
    <n v="1217.83"/>
    <x v="0"/>
    <x v="0"/>
  </r>
  <r>
    <x v="0"/>
    <x v="0"/>
    <x v="0"/>
    <x v="0"/>
    <x v="0"/>
    <n v="1285.77"/>
    <x v="0"/>
    <x v="0"/>
  </r>
  <r>
    <x v="0"/>
    <x v="0"/>
    <x v="2"/>
    <x v="0"/>
    <x v="0"/>
    <n v="25767.46"/>
    <x v="0"/>
    <x v="0"/>
  </r>
  <r>
    <x v="0"/>
    <x v="0"/>
    <x v="0"/>
    <x v="0"/>
    <x v="0"/>
    <n v="6054.6"/>
    <x v="0"/>
    <x v="0"/>
  </r>
  <r>
    <x v="0"/>
    <x v="0"/>
    <x v="0"/>
    <x v="0"/>
    <x v="0"/>
    <n v="1816.52"/>
    <x v="0"/>
    <x v="0"/>
  </r>
  <r>
    <x v="0"/>
    <x v="0"/>
    <x v="0"/>
    <x v="0"/>
    <x v="0"/>
    <n v="5171.22"/>
    <x v="0"/>
    <x v="0"/>
  </r>
  <r>
    <x v="0"/>
    <x v="0"/>
    <x v="0"/>
    <x v="0"/>
    <x v="0"/>
    <n v="1566.11"/>
    <x v="0"/>
    <x v="0"/>
  </r>
  <r>
    <x v="0"/>
    <x v="0"/>
    <x v="0"/>
    <x v="0"/>
    <x v="0"/>
    <n v="7014.89"/>
    <x v="0"/>
    <x v="0"/>
  </r>
  <r>
    <x v="0"/>
    <x v="0"/>
    <x v="0"/>
    <x v="0"/>
    <x v="0"/>
    <n v="3858.3"/>
    <x v="0"/>
    <x v="0"/>
  </r>
  <r>
    <x v="0"/>
    <x v="0"/>
    <x v="2"/>
    <x v="0"/>
    <x v="0"/>
    <n v="27018.5"/>
    <x v="0"/>
    <x v="0"/>
  </r>
  <r>
    <x v="0"/>
    <x v="0"/>
    <x v="0"/>
    <x v="0"/>
    <x v="0"/>
    <n v="2879.51"/>
    <x v="0"/>
    <x v="0"/>
  </r>
  <r>
    <x v="0"/>
    <x v="0"/>
    <x v="2"/>
    <x v="0"/>
    <x v="0"/>
    <n v="18975.26"/>
    <x v="0"/>
    <x v="0"/>
  </r>
  <r>
    <x v="0"/>
    <x v="0"/>
    <x v="0"/>
    <x v="0"/>
    <x v="0"/>
    <n v="3056.61"/>
    <x v="0"/>
    <x v="0"/>
  </r>
  <r>
    <x v="0"/>
    <x v="0"/>
    <x v="1"/>
    <x v="0"/>
    <x v="0"/>
    <n v="798.26"/>
    <x v="0"/>
    <x v="0"/>
  </r>
  <r>
    <x v="0"/>
    <x v="0"/>
    <x v="0"/>
    <x v="0"/>
    <x v="0"/>
    <n v="2807.18"/>
    <x v="0"/>
    <x v="0"/>
  </r>
  <r>
    <x v="0"/>
    <x v="0"/>
    <x v="0"/>
    <x v="0"/>
    <x v="0"/>
    <n v="2746.12"/>
    <x v="0"/>
    <x v="0"/>
  </r>
  <r>
    <x v="0"/>
    <x v="0"/>
    <x v="0"/>
    <x v="0"/>
    <x v="0"/>
    <n v="5256.18"/>
    <x v="0"/>
    <x v="0"/>
  </r>
  <r>
    <x v="0"/>
    <x v="0"/>
    <x v="0"/>
    <x v="0"/>
    <x v="0"/>
    <n v="2153.73"/>
    <x v="0"/>
    <x v="0"/>
  </r>
  <r>
    <x v="0"/>
    <x v="0"/>
    <x v="0"/>
    <x v="0"/>
    <x v="0"/>
    <n v="4378.75"/>
    <x v="0"/>
    <x v="0"/>
  </r>
  <r>
    <x v="0"/>
    <x v="0"/>
    <x v="2"/>
    <x v="0"/>
    <x v="0"/>
    <n v="16910.42"/>
    <x v="0"/>
    <x v="0"/>
  </r>
  <r>
    <x v="0"/>
    <x v="0"/>
    <x v="0"/>
    <x v="0"/>
    <x v="0"/>
    <n v="4195.41"/>
    <x v="0"/>
    <x v="0"/>
  </r>
  <r>
    <x v="0"/>
    <x v="2"/>
    <x v="3"/>
    <x v="0"/>
    <x v="0"/>
    <n v="247199.96"/>
    <x v="0"/>
    <x v="0"/>
  </r>
  <r>
    <x v="0"/>
    <x v="0"/>
    <x v="0"/>
    <x v="0"/>
    <x v="0"/>
    <n v="2505.99"/>
    <x v="0"/>
    <x v="0"/>
  </r>
  <r>
    <x v="0"/>
    <x v="0"/>
    <x v="0"/>
    <x v="0"/>
    <x v="0"/>
    <n v="5986.18"/>
    <x v="0"/>
    <x v="0"/>
  </r>
  <r>
    <x v="0"/>
    <x v="0"/>
    <x v="0"/>
    <x v="0"/>
    <x v="0"/>
    <n v="6794.37"/>
    <x v="0"/>
    <x v="0"/>
  </r>
  <r>
    <x v="0"/>
    <x v="0"/>
    <x v="0"/>
    <x v="0"/>
    <x v="0"/>
    <n v="5029.67"/>
    <x v="0"/>
    <x v="0"/>
  </r>
  <r>
    <x v="0"/>
    <x v="0"/>
    <x v="0"/>
    <x v="0"/>
    <x v="0"/>
    <n v="4489.66"/>
    <x v="0"/>
    <x v="0"/>
  </r>
  <r>
    <x v="0"/>
    <x v="0"/>
    <x v="0"/>
    <x v="0"/>
    <x v="0"/>
    <n v="5193.39"/>
    <x v="0"/>
    <x v="0"/>
  </r>
  <r>
    <x v="0"/>
    <x v="3"/>
    <x v="0"/>
    <x v="0"/>
    <x v="0"/>
    <n v="4188.03"/>
    <x v="0"/>
    <x v="0"/>
  </r>
  <r>
    <x v="0"/>
    <x v="0"/>
    <x v="0"/>
    <x v="0"/>
    <x v="0"/>
    <n v="4975.75"/>
    <x v="0"/>
    <x v="0"/>
  </r>
  <r>
    <x v="0"/>
    <x v="1"/>
    <x v="2"/>
    <x v="0"/>
    <x v="0"/>
    <n v="91424.21"/>
    <x v="0"/>
    <x v="0"/>
  </r>
  <r>
    <x v="0"/>
    <x v="0"/>
    <x v="0"/>
    <x v="0"/>
    <x v="0"/>
    <n v="1780.48"/>
    <x v="0"/>
    <x v="0"/>
  </r>
  <r>
    <x v="0"/>
    <x v="0"/>
    <x v="0"/>
    <x v="0"/>
    <x v="0"/>
    <n v="2211.92"/>
    <x v="0"/>
    <x v="0"/>
  </r>
  <r>
    <x v="0"/>
    <x v="0"/>
    <x v="0"/>
    <x v="0"/>
    <x v="0"/>
    <n v="9245.27"/>
    <x v="0"/>
    <x v="0"/>
  </r>
  <r>
    <x v="0"/>
    <x v="4"/>
    <x v="0"/>
    <x v="0"/>
    <x v="0"/>
    <n v="9467.87"/>
    <x v="0"/>
    <x v="0"/>
  </r>
  <r>
    <x v="0"/>
    <x v="2"/>
    <x v="3"/>
    <x v="0"/>
    <x v="0"/>
    <n v="519973.96"/>
    <x v="0"/>
    <x v="0"/>
  </r>
  <r>
    <x v="0"/>
    <x v="0"/>
    <x v="0"/>
    <x v="0"/>
    <x v="0"/>
    <n v="7071.42"/>
    <x v="0"/>
    <x v="0"/>
  </r>
  <r>
    <x v="0"/>
    <x v="2"/>
    <x v="3"/>
    <x v="0"/>
    <x v="0"/>
    <n v="166808.69"/>
    <x v="0"/>
    <x v="0"/>
  </r>
  <r>
    <x v="0"/>
    <x v="0"/>
    <x v="0"/>
    <x v="0"/>
    <x v="0"/>
    <n v="7852.4"/>
    <x v="0"/>
    <x v="0"/>
  </r>
  <r>
    <x v="0"/>
    <x v="0"/>
    <x v="0"/>
    <x v="0"/>
    <x v="0"/>
    <n v="4453.49"/>
    <x v="0"/>
    <x v="0"/>
  </r>
  <r>
    <x v="0"/>
    <x v="0"/>
    <x v="0"/>
    <x v="0"/>
    <x v="0"/>
    <n v="1880.05"/>
    <x v="0"/>
    <x v="0"/>
  </r>
  <r>
    <x v="0"/>
    <x v="3"/>
    <x v="0"/>
    <x v="0"/>
    <x v="0"/>
    <n v="8607.73"/>
    <x v="0"/>
    <x v="0"/>
  </r>
  <r>
    <x v="0"/>
    <x v="0"/>
    <x v="0"/>
    <x v="0"/>
    <x v="0"/>
    <n v="5111.72"/>
    <x v="0"/>
    <x v="0"/>
  </r>
  <r>
    <x v="0"/>
    <x v="0"/>
    <x v="1"/>
    <x v="0"/>
    <x v="0"/>
    <n v="232.74"/>
    <x v="0"/>
    <x v="0"/>
  </r>
  <r>
    <x v="0"/>
    <x v="3"/>
    <x v="0"/>
    <x v="0"/>
    <x v="0"/>
    <n v="8326.13"/>
    <x v="0"/>
    <x v="0"/>
  </r>
  <r>
    <x v="0"/>
    <x v="0"/>
    <x v="2"/>
    <x v="0"/>
    <x v="0"/>
    <n v="10169.55"/>
    <x v="0"/>
    <x v="0"/>
  </r>
  <r>
    <x v="0"/>
    <x v="0"/>
    <x v="0"/>
    <x v="0"/>
    <x v="0"/>
    <n v="4655.03"/>
    <x v="0"/>
    <x v="0"/>
  </r>
  <r>
    <x v="0"/>
    <x v="0"/>
    <x v="0"/>
    <x v="0"/>
    <x v="0"/>
    <n v="2732.73"/>
    <x v="0"/>
    <x v="0"/>
  </r>
  <r>
    <x v="0"/>
    <x v="0"/>
    <x v="0"/>
    <x v="0"/>
    <x v="0"/>
    <n v="6948.21"/>
    <x v="0"/>
    <x v="0"/>
  </r>
  <r>
    <x v="0"/>
    <x v="1"/>
    <x v="2"/>
    <x v="0"/>
    <x v="0"/>
    <n v="92236.11"/>
    <x v="0"/>
    <x v="0"/>
  </r>
  <r>
    <x v="0"/>
    <x v="1"/>
    <x v="3"/>
    <x v="0"/>
    <x v="0"/>
    <n v="104267.94"/>
    <x v="0"/>
    <x v="0"/>
  </r>
  <r>
    <x v="0"/>
    <x v="1"/>
    <x v="3"/>
    <x v="0"/>
    <x v="0"/>
    <n v="176127.45"/>
    <x v="0"/>
    <x v="0"/>
  </r>
  <r>
    <x v="0"/>
    <x v="1"/>
    <x v="2"/>
    <x v="0"/>
    <x v="0"/>
    <n v="94087.34"/>
    <x v="0"/>
    <x v="0"/>
  </r>
  <r>
    <x v="0"/>
    <x v="1"/>
    <x v="3"/>
    <x v="0"/>
    <x v="0"/>
    <n v="172867.65"/>
    <x v="0"/>
    <x v="0"/>
  </r>
  <r>
    <x v="0"/>
    <x v="1"/>
    <x v="3"/>
    <x v="0"/>
    <x v="0"/>
    <n v="277611.59"/>
    <x v="0"/>
    <x v="0"/>
  </r>
  <r>
    <x v="0"/>
    <x v="1"/>
    <x v="4"/>
    <x v="0"/>
    <x v="0"/>
    <n v="1755646.72"/>
    <x v="0"/>
    <x v="0"/>
  </r>
  <r>
    <x v="0"/>
    <x v="1"/>
    <x v="4"/>
    <x v="0"/>
    <x v="0"/>
    <n v="2441078.3"/>
    <x v="0"/>
    <x v="0"/>
  </r>
  <r>
    <x v="0"/>
    <x v="1"/>
    <x v="4"/>
    <x v="0"/>
    <x v="0"/>
    <n v="1147953.82"/>
    <x v="0"/>
    <x v="0"/>
  </r>
  <r>
    <x v="0"/>
    <x v="1"/>
    <x v="3"/>
    <x v="0"/>
    <x v="0"/>
    <n v="395709.23"/>
    <x v="0"/>
    <x v="0"/>
  </r>
  <r>
    <x v="0"/>
    <x v="1"/>
    <x v="3"/>
    <x v="0"/>
    <x v="0"/>
    <n v="168001.93"/>
    <x v="0"/>
    <x v="0"/>
  </r>
  <r>
    <x v="0"/>
    <x v="1"/>
    <x v="4"/>
    <x v="0"/>
    <x v="0"/>
    <n v="2032275.62"/>
    <x v="0"/>
    <x v="0"/>
  </r>
  <r>
    <x v="0"/>
    <x v="1"/>
    <x v="2"/>
    <x v="0"/>
    <x v="0"/>
    <n v="44944.32"/>
    <x v="0"/>
    <x v="0"/>
  </r>
  <r>
    <x v="0"/>
    <x v="1"/>
    <x v="3"/>
    <x v="0"/>
    <x v="0"/>
    <n v="957339.52"/>
    <x v="0"/>
    <x v="0"/>
  </r>
  <r>
    <x v="0"/>
    <x v="1"/>
    <x v="3"/>
    <x v="0"/>
    <x v="0"/>
    <n v="459709.79"/>
    <x v="0"/>
    <x v="0"/>
  </r>
  <r>
    <x v="0"/>
    <x v="1"/>
    <x v="3"/>
    <x v="0"/>
    <x v="0"/>
    <n v="637758.38"/>
    <x v="0"/>
    <x v="0"/>
  </r>
  <r>
    <x v="0"/>
    <x v="3"/>
    <x v="1"/>
    <x v="0"/>
    <x v="0"/>
    <n v="525.22"/>
    <x v="0"/>
    <x v="0"/>
  </r>
  <r>
    <x v="0"/>
    <x v="0"/>
    <x v="0"/>
    <x v="0"/>
    <x v="0"/>
    <n v="3847.27"/>
    <x v="0"/>
    <x v="0"/>
  </r>
  <r>
    <x v="0"/>
    <x v="0"/>
    <x v="2"/>
    <x v="0"/>
    <x v="0"/>
    <n v="14126.82"/>
    <x v="0"/>
    <x v="0"/>
  </r>
  <r>
    <x v="0"/>
    <x v="0"/>
    <x v="0"/>
    <x v="0"/>
    <x v="0"/>
    <n v="5478.51"/>
    <x v="0"/>
    <x v="0"/>
  </r>
  <r>
    <x v="0"/>
    <x v="1"/>
    <x v="3"/>
    <x v="0"/>
    <x v="0"/>
    <n v="194351.55"/>
    <x v="0"/>
    <x v="0"/>
  </r>
  <r>
    <x v="0"/>
    <x v="0"/>
    <x v="0"/>
    <x v="0"/>
    <x v="0"/>
    <n v="1039.62"/>
    <x v="0"/>
    <x v="0"/>
  </r>
  <r>
    <x v="0"/>
    <x v="2"/>
    <x v="3"/>
    <x v="0"/>
    <x v="0"/>
    <n v="230943.69"/>
    <x v="0"/>
    <x v="0"/>
  </r>
  <r>
    <x v="0"/>
    <x v="0"/>
    <x v="0"/>
    <x v="0"/>
    <x v="0"/>
    <n v="6904.63"/>
    <x v="0"/>
    <x v="0"/>
  </r>
  <r>
    <x v="0"/>
    <x v="0"/>
    <x v="0"/>
    <x v="0"/>
    <x v="0"/>
    <n v="3065.84"/>
    <x v="0"/>
    <x v="0"/>
  </r>
  <r>
    <x v="0"/>
    <x v="0"/>
    <x v="0"/>
    <x v="0"/>
    <x v="0"/>
    <n v="5641.56"/>
    <x v="0"/>
    <x v="0"/>
  </r>
  <r>
    <x v="0"/>
    <x v="0"/>
    <x v="0"/>
    <x v="0"/>
    <x v="0"/>
    <n v="3422.04"/>
    <x v="0"/>
    <x v="0"/>
  </r>
  <r>
    <x v="0"/>
    <x v="0"/>
    <x v="0"/>
    <x v="0"/>
    <x v="0"/>
    <n v="1380.16"/>
    <x v="0"/>
    <x v="0"/>
  </r>
  <r>
    <x v="0"/>
    <x v="0"/>
    <x v="1"/>
    <x v="0"/>
    <x v="0"/>
    <n v="681.05"/>
    <x v="0"/>
    <x v="0"/>
  </r>
  <r>
    <x v="0"/>
    <x v="0"/>
    <x v="0"/>
    <x v="0"/>
    <x v="0"/>
    <n v="2064.02"/>
    <x v="0"/>
    <x v="0"/>
  </r>
  <r>
    <x v="0"/>
    <x v="0"/>
    <x v="2"/>
    <x v="0"/>
    <x v="0"/>
    <n v="12605.06"/>
    <x v="0"/>
    <x v="0"/>
  </r>
  <r>
    <x v="0"/>
    <x v="0"/>
    <x v="0"/>
    <x v="0"/>
    <x v="0"/>
    <n v="8923.42"/>
    <x v="0"/>
    <x v="0"/>
  </r>
  <r>
    <x v="0"/>
    <x v="0"/>
    <x v="0"/>
    <x v="0"/>
    <x v="0"/>
    <n v="7761.72"/>
    <x v="0"/>
    <x v="0"/>
  </r>
  <r>
    <x v="0"/>
    <x v="0"/>
    <x v="0"/>
    <x v="0"/>
    <x v="0"/>
    <n v="2274.37"/>
    <x v="0"/>
    <x v="0"/>
  </r>
  <r>
    <x v="0"/>
    <x v="0"/>
    <x v="2"/>
    <x v="0"/>
    <x v="0"/>
    <n v="10273.19"/>
    <x v="0"/>
    <x v="0"/>
  </r>
  <r>
    <x v="0"/>
    <x v="0"/>
    <x v="0"/>
    <x v="0"/>
    <x v="0"/>
    <n v="2673.52"/>
    <x v="0"/>
    <x v="0"/>
  </r>
  <r>
    <x v="0"/>
    <x v="0"/>
    <x v="0"/>
    <x v="0"/>
    <x v="0"/>
    <n v="6022.64"/>
    <x v="0"/>
    <x v="0"/>
  </r>
  <r>
    <x v="0"/>
    <x v="3"/>
    <x v="1"/>
    <x v="0"/>
    <x v="0"/>
    <n v="891.93"/>
    <x v="0"/>
    <x v="0"/>
  </r>
  <r>
    <x v="0"/>
    <x v="0"/>
    <x v="0"/>
    <x v="0"/>
    <x v="0"/>
    <n v="5055.22"/>
    <x v="0"/>
    <x v="0"/>
  </r>
  <r>
    <x v="0"/>
    <x v="0"/>
    <x v="0"/>
    <x v="0"/>
    <x v="0"/>
    <n v="5726.49"/>
    <x v="0"/>
    <x v="0"/>
  </r>
  <r>
    <x v="0"/>
    <x v="0"/>
    <x v="0"/>
    <x v="0"/>
    <x v="0"/>
    <n v="3738.25"/>
    <x v="0"/>
    <x v="0"/>
  </r>
  <r>
    <x v="0"/>
    <x v="0"/>
    <x v="0"/>
    <x v="0"/>
    <x v="0"/>
    <n v="3608.34"/>
    <x v="0"/>
    <x v="0"/>
  </r>
  <r>
    <x v="0"/>
    <x v="0"/>
    <x v="0"/>
    <x v="0"/>
    <x v="0"/>
    <n v="4050.19"/>
    <x v="0"/>
    <x v="0"/>
  </r>
  <r>
    <x v="0"/>
    <x v="0"/>
    <x v="0"/>
    <x v="0"/>
    <x v="0"/>
    <n v="8146.24"/>
    <x v="0"/>
    <x v="0"/>
  </r>
  <r>
    <x v="0"/>
    <x v="0"/>
    <x v="1"/>
    <x v="0"/>
    <x v="0"/>
    <n v="830.96"/>
    <x v="0"/>
    <x v="0"/>
  </r>
  <r>
    <x v="0"/>
    <x v="0"/>
    <x v="0"/>
    <x v="0"/>
    <x v="0"/>
    <n v="6292.23"/>
    <x v="0"/>
    <x v="0"/>
  </r>
  <r>
    <x v="0"/>
    <x v="0"/>
    <x v="1"/>
    <x v="0"/>
    <x v="0"/>
    <n v="969.76"/>
    <x v="0"/>
    <x v="0"/>
  </r>
  <r>
    <x v="0"/>
    <x v="0"/>
    <x v="0"/>
    <x v="0"/>
    <x v="0"/>
    <n v="9492.53"/>
    <x v="0"/>
    <x v="0"/>
  </r>
  <r>
    <x v="0"/>
    <x v="0"/>
    <x v="0"/>
    <x v="0"/>
    <x v="0"/>
    <n v="2565.39"/>
    <x v="0"/>
    <x v="0"/>
  </r>
  <r>
    <x v="0"/>
    <x v="3"/>
    <x v="0"/>
    <x v="0"/>
    <x v="0"/>
    <n v="2050.83"/>
    <x v="0"/>
    <x v="0"/>
  </r>
  <r>
    <x v="0"/>
    <x v="0"/>
    <x v="0"/>
    <x v="0"/>
    <x v="0"/>
    <n v="7199.26"/>
    <x v="0"/>
    <x v="0"/>
  </r>
  <r>
    <x v="0"/>
    <x v="0"/>
    <x v="0"/>
    <x v="0"/>
    <x v="0"/>
    <n v="5843.74"/>
    <x v="0"/>
    <x v="0"/>
  </r>
  <r>
    <x v="0"/>
    <x v="2"/>
    <x v="3"/>
    <x v="0"/>
    <x v="0"/>
    <n v="127143.23"/>
    <x v="0"/>
    <x v="0"/>
  </r>
  <r>
    <x v="0"/>
    <x v="2"/>
    <x v="3"/>
    <x v="0"/>
    <x v="0"/>
    <n v="276138.13"/>
    <x v="0"/>
    <x v="0"/>
  </r>
  <r>
    <x v="0"/>
    <x v="0"/>
    <x v="1"/>
    <x v="0"/>
    <x v="0"/>
    <n v="265.8"/>
    <x v="0"/>
    <x v="0"/>
  </r>
  <r>
    <x v="0"/>
    <x v="0"/>
    <x v="0"/>
    <x v="0"/>
    <x v="0"/>
    <n v="2211.53"/>
    <x v="0"/>
    <x v="0"/>
  </r>
  <r>
    <x v="0"/>
    <x v="0"/>
    <x v="0"/>
    <x v="0"/>
    <x v="0"/>
    <n v="5298.21"/>
    <x v="0"/>
    <x v="0"/>
  </r>
  <r>
    <x v="0"/>
    <x v="0"/>
    <x v="0"/>
    <x v="0"/>
    <x v="0"/>
    <n v="3904.44"/>
    <x v="0"/>
    <x v="0"/>
  </r>
  <r>
    <x v="0"/>
    <x v="0"/>
    <x v="0"/>
    <x v="0"/>
    <x v="0"/>
    <n v="3679.37"/>
    <x v="0"/>
    <x v="0"/>
  </r>
  <r>
    <x v="0"/>
    <x v="2"/>
    <x v="3"/>
    <x v="0"/>
    <x v="0"/>
    <n v="432168.02"/>
    <x v="0"/>
    <x v="0"/>
  </r>
  <r>
    <x v="0"/>
    <x v="0"/>
    <x v="0"/>
    <x v="0"/>
    <x v="0"/>
    <n v="8001.69"/>
    <x v="0"/>
    <x v="0"/>
  </r>
  <r>
    <x v="0"/>
    <x v="0"/>
    <x v="0"/>
    <x v="0"/>
    <x v="0"/>
    <n v="1361.26"/>
    <x v="0"/>
    <x v="0"/>
  </r>
  <r>
    <x v="0"/>
    <x v="0"/>
    <x v="0"/>
    <x v="0"/>
    <x v="0"/>
    <n v="3638.87"/>
    <x v="0"/>
    <x v="0"/>
  </r>
  <r>
    <x v="0"/>
    <x v="4"/>
    <x v="2"/>
    <x v="0"/>
    <x v="0"/>
    <n v="54152.03"/>
    <x v="0"/>
    <x v="0"/>
  </r>
  <r>
    <x v="0"/>
    <x v="4"/>
    <x v="2"/>
    <x v="0"/>
    <x v="0"/>
    <n v="22765.47"/>
    <x v="0"/>
    <x v="0"/>
  </r>
  <r>
    <x v="0"/>
    <x v="4"/>
    <x v="3"/>
    <x v="0"/>
    <x v="0"/>
    <n v="133621.41"/>
    <x v="0"/>
    <x v="0"/>
  </r>
  <r>
    <x v="0"/>
    <x v="4"/>
    <x v="3"/>
    <x v="0"/>
    <x v="0"/>
    <n v="215511.92"/>
    <x v="0"/>
    <x v="0"/>
  </r>
  <r>
    <x v="0"/>
    <x v="4"/>
    <x v="3"/>
    <x v="0"/>
    <x v="0"/>
    <n v="205612.49"/>
    <x v="0"/>
    <x v="0"/>
  </r>
  <r>
    <x v="0"/>
    <x v="4"/>
    <x v="3"/>
    <x v="0"/>
    <x v="0"/>
    <n v="113486.72"/>
    <x v="0"/>
    <x v="0"/>
  </r>
  <r>
    <x v="0"/>
    <x v="4"/>
    <x v="2"/>
    <x v="0"/>
    <x v="0"/>
    <n v="38883.63"/>
    <x v="0"/>
    <x v="0"/>
  </r>
  <r>
    <x v="0"/>
    <x v="4"/>
    <x v="3"/>
    <x v="0"/>
    <x v="0"/>
    <n v="242679.64"/>
    <x v="0"/>
    <x v="0"/>
  </r>
  <r>
    <x v="0"/>
    <x v="4"/>
    <x v="2"/>
    <x v="0"/>
    <x v="0"/>
    <n v="17791.71"/>
    <x v="0"/>
    <x v="0"/>
  </r>
  <r>
    <x v="0"/>
    <x v="4"/>
    <x v="3"/>
    <x v="0"/>
    <x v="0"/>
    <n v="248307.1"/>
    <x v="0"/>
    <x v="0"/>
  </r>
  <r>
    <x v="0"/>
    <x v="4"/>
    <x v="1"/>
    <x v="0"/>
    <x v="0"/>
    <n v="911.76"/>
    <x v="0"/>
    <x v="0"/>
  </r>
  <r>
    <x v="0"/>
    <x v="4"/>
    <x v="3"/>
    <x v="0"/>
    <x v="0"/>
    <n v="203301.58"/>
    <x v="0"/>
    <x v="0"/>
  </r>
  <r>
    <x v="0"/>
    <x v="4"/>
    <x v="3"/>
    <x v="0"/>
    <x v="0"/>
    <n v="457363.51"/>
    <x v="0"/>
    <x v="0"/>
  </r>
  <r>
    <x v="0"/>
    <x v="4"/>
    <x v="3"/>
    <x v="0"/>
    <x v="0"/>
    <n v="126950.91"/>
    <x v="0"/>
    <x v="0"/>
  </r>
  <r>
    <x v="0"/>
    <x v="4"/>
    <x v="2"/>
    <x v="0"/>
    <x v="0"/>
    <n v="34638.53"/>
    <x v="0"/>
    <x v="0"/>
  </r>
  <r>
    <x v="0"/>
    <x v="4"/>
    <x v="3"/>
    <x v="0"/>
    <x v="0"/>
    <n v="152873.19"/>
    <x v="0"/>
    <x v="0"/>
  </r>
  <r>
    <x v="0"/>
    <x v="4"/>
    <x v="2"/>
    <x v="0"/>
    <x v="0"/>
    <n v="27363.26"/>
    <x v="0"/>
    <x v="0"/>
  </r>
  <r>
    <x v="0"/>
    <x v="4"/>
    <x v="3"/>
    <x v="0"/>
    <x v="0"/>
    <n v="184263.87"/>
    <x v="0"/>
    <x v="0"/>
  </r>
  <r>
    <x v="0"/>
    <x v="4"/>
    <x v="3"/>
    <x v="0"/>
    <x v="0"/>
    <n v="178912.5"/>
    <x v="0"/>
    <x v="0"/>
  </r>
  <r>
    <x v="0"/>
    <x v="4"/>
    <x v="2"/>
    <x v="0"/>
    <x v="0"/>
    <n v="37590.03"/>
    <x v="0"/>
    <x v="0"/>
  </r>
  <r>
    <x v="0"/>
    <x v="4"/>
    <x v="3"/>
    <x v="0"/>
    <x v="0"/>
    <n v="172844.87"/>
    <x v="0"/>
    <x v="0"/>
  </r>
  <r>
    <x v="0"/>
    <x v="4"/>
    <x v="3"/>
    <x v="0"/>
    <x v="0"/>
    <n v="131027.05"/>
    <x v="0"/>
    <x v="0"/>
  </r>
  <r>
    <x v="0"/>
    <x v="4"/>
    <x v="2"/>
    <x v="0"/>
    <x v="0"/>
    <n v="44873.56"/>
    <x v="0"/>
    <x v="0"/>
  </r>
  <r>
    <x v="0"/>
    <x v="4"/>
    <x v="3"/>
    <x v="0"/>
    <x v="0"/>
    <n v="405429.47"/>
    <x v="0"/>
    <x v="0"/>
  </r>
  <r>
    <x v="0"/>
    <x v="4"/>
    <x v="2"/>
    <x v="0"/>
    <x v="0"/>
    <n v="44809.72"/>
    <x v="0"/>
    <x v="0"/>
  </r>
  <r>
    <x v="0"/>
    <x v="4"/>
    <x v="0"/>
    <x v="0"/>
    <x v="0"/>
    <n v="1076.27"/>
    <x v="0"/>
    <x v="0"/>
  </r>
  <r>
    <x v="0"/>
    <x v="4"/>
    <x v="2"/>
    <x v="0"/>
    <x v="0"/>
    <n v="61546.97"/>
    <x v="0"/>
    <x v="0"/>
  </r>
  <r>
    <x v="0"/>
    <x v="4"/>
    <x v="3"/>
    <x v="0"/>
    <x v="0"/>
    <n v="135665.1"/>
    <x v="0"/>
    <x v="0"/>
  </r>
  <r>
    <x v="0"/>
    <x v="4"/>
    <x v="2"/>
    <x v="0"/>
    <x v="0"/>
    <n v="36040.39"/>
    <x v="0"/>
    <x v="0"/>
  </r>
  <r>
    <x v="0"/>
    <x v="4"/>
    <x v="2"/>
    <x v="0"/>
    <x v="0"/>
    <n v="33692.43"/>
    <x v="0"/>
    <x v="0"/>
  </r>
  <r>
    <x v="0"/>
    <x v="4"/>
    <x v="3"/>
    <x v="0"/>
    <x v="0"/>
    <n v="312061.25"/>
    <x v="0"/>
    <x v="0"/>
  </r>
  <r>
    <x v="0"/>
    <x v="4"/>
    <x v="3"/>
    <x v="0"/>
    <x v="0"/>
    <n v="160565"/>
    <x v="0"/>
    <x v="0"/>
  </r>
  <r>
    <x v="0"/>
    <x v="4"/>
    <x v="3"/>
    <x v="0"/>
    <x v="0"/>
    <n v="226580.84"/>
    <x v="0"/>
    <x v="0"/>
  </r>
  <r>
    <x v="0"/>
    <x v="4"/>
    <x v="2"/>
    <x v="0"/>
    <x v="0"/>
    <n v="71176.26"/>
    <x v="0"/>
    <x v="0"/>
  </r>
  <r>
    <x v="0"/>
    <x v="4"/>
    <x v="3"/>
    <x v="0"/>
    <x v="0"/>
    <n v="223565.38"/>
    <x v="0"/>
    <x v="0"/>
  </r>
  <r>
    <x v="0"/>
    <x v="4"/>
    <x v="3"/>
    <x v="0"/>
    <x v="0"/>
    <n v="208664.25"/>
    <x v="0"/>
    <x v="0"/>
  </r>
  <r>
    <x v="0"/>
    <x v="4"/>
    <x v="3"/>
    <x v="0"/>
    <x v="0"/>
    <n v="425986.84"/>
    <x v="0"/>
    <x v="0"/>
  </r>
  <r>
    <x v="0"/>
    <x v="4"/>
    <x v="3"/>
    <x v="0"/>
    <x v="0"/>
    <n v="100127.4"/>
    <x v="0"/>
    <x v="0"/>
  </r>
  <r>
    <x v="0"/>
    <x v="4"/>
    <x v="2"/>
    <x v="0"/>
    <x v="0"/>
    <n v="95564.34"/>
    <x v="0"/>
    <x v="0"/>
  </r>
  <r>
    <x v="0"/>
    <x v="4"/>
    <x v="1"/>
    <x v="0"/>
    <x v="0"/>
    <n v="484.57"/>
    <x v="0"/>
    <x v="0"/>
  </r>
  <r>
    <x v="0"/>
    <x v="4"/>
    <x v="3"/>
    <x v="0"/>
    <x v="0"/>
    <n v="113287.66"/>
    <x v="0"/>
    <x v="0"/>
  </r>
  <r>
    <x v="0"/>
    <x v="4"/>
    <x v="2"/>
    <x v="0"/>
    <x v="0"/>
    <n v="92398.49"/>
    <x v="0"/>
    <x v="0"/>
  </r>
  <r>
    <x v="0"/>
    <x v="4"/>
    <x v="3"/>
    <x v="0"/>
    <x v="0"/>
    <n v="198303.64"/>
    <x v="0"/>
    <x v="0"/>
  </r>
  <r>
    <x v="0"/>
    <x v="4"/>
    <x v="3"/>
    <x v="0"/>
    <x v="0"/>
    <n v="126873.28"/>
    <x v="0"/>
    <x v="0"/>
  </r>
  <r>
    <x v="0"/>
    <x v="4"/>
    <x v="2"/>
    <x v="0"/>
    <x v="0"/>
    <n v="12229.75"/>
    <x v="0"/>
    <x v="0"/>
  </r>
  <r>
    <x v="0"/>
    <x v="4"/>
    <x v="2"/>
    <x v="0"/>
    <x v="0"/>
    <n v="20490.81"/>
    <x v="0"/>
    <x v="0"/>
  </r>
  <r>
    <x v="0"/>
    <x v="4"/>
    <x v="2"/>
    <x v="0"/>
    <x v="0"/>
    <n v="86419.78"/>
    <x v="0"/>
    <x v="0"/>
  </r>
  <r>
    <x v="0"/>
    <x v="4"/>
    <x v="3"/>
    <x v="0"/>
    <x v="0"/>
    <n v="122464.68"/>
    <x v="0"/>
    <x v="0"/>
  </r>
  <r>
    <x v="0"/>
    <x v="4"/>
    <x v="2"/>
    <x v="0"/>
    <x v="0"/>
    <n v="18598.96"/>
    <x v="0"/>
    <x v="0"/>
  </r>
  <r>
    <x v="0"/>
    <x v="4"/>
    <x v="3"/>
    <x v="0"/>
    <x v="0"/>
    <n v="287126.8"/>
    <x v="0"/>
    <x v="0"/>
  </r>
  <r>
    <x v="0"/>
    <x v="4"/>
    <x v="0"/>
    <x v="0"/>
    <x v="0"/>
    <n v="8261.33"/>
    <x v="0"/>
    <x v="0"/>
  </r>
  <r>
    <x v="0"/>
    <x v="4"/>
    <x v="3"/>
    <x v="0"/>
    <x v="0"/>
    <n v="301755.98"/>
    <x v="0"/>
    <x v="0"/>
  </r>
  <r>
    <x v="0"/>
    <x v="4"/>
    <x v="3"/>
    <x v="0"/>
    <x v="0"/>
    <n v="121723"/>
    <x v="0"/>
    <x v="0"/>
  </r>
  <r>
    <x v="0"/>
    <x v="4"/>
    <x v="3"/>
    <x v="0"/>
    <x v="0"/>
    <n v="110654.09"/>
    <x v="0"/>
    <x v="0"/>
  </r>
  <r>
    <x v="0"/>
    <x v="4"/>
    <x v="2"/>
    <x v="0"/>
    <x v="0"/>
    <n v="23795.08"/>
    <x v="0"/>
    <x v="0"/>
  </r>
  <r>
    <x v="0"/>
    <x v="4"/>
    <x v="3"/>
    <x v="0"/>
    <x v="0"/>
    <n v="130638.93"/>
    <x v="0"/>
    <x v="0"/>
  </r>
  <r>
    <x v="0"/>
    <x v="4"/>
    <x v="3"/>
    <x v="0"/>
    <x v="0"/>
    <n v="314025.37"/>
    <x v="0"/>
    <x v="0"/>
  </r>
  <r>
    <x v="0"/>
    <x v="4"/>
    <x v="2"/>
    <x v="0"/>
    <x v="0"/>
    <n v="90540.93"/>
    <x v="0"/>
    <x v="0"/>
  </r>
  <r>
    <x v="0"/>
    <x v="4"/>
    <x v="3"/>
    <x v="0"/>
    <x v="0"/>
    <n v="109718.72"/>
    <x v="0"/>
    <x v="0"/>
  </r>
  <r>
    <x v="0"/>
    <x v="4"/>
    <x v="2"/>
    <x v="0"/>
    <x v="0"/>
    <n v="61515.99"/>
    <x v="0"/>
    <x v="0"/>
  </r>
  <r>
    <x v="0"/>
    <x v="4"/>
    <x v="2"/>
    <x v="0"/>
    <x v="0"/>
    <n v="43478.09"/>
    <x v="0"/>
    <x v="0"/>
  </r>
  <r>
    <x v="0"/>
    <x v="0"/>
    <x v="0"/>
    <x v="0"/>
    <x v="0"/>
    <n v="4541.85"/>
    <x v="0"/>
    <x v="0"/>
  </r>
  <r>
    <x v="0"/>
    <x v="0"/>
    <x v="1"/>
    <x v="0"/>
    <x v="0"/>
    <n v="525.89"/>
    <x v="0"/>
    <x v="0"/>
  </r>
  <r>
    <x v="0"/>
    <x v="0"/>
    <x v="1"/>
    <x v="0"/>
    <x v="0"/>
    <n v="353.62"/>
    <x v="0"/>
    <x v="0"/>
  </r>
  <r>
    <x v="0"/>
    <x v="0"/>
    <x v="0"/>
    <x v="0"/>
    <x v="0"/>
    <n v="6257.76"/>
    <x v="0"/>
    <x v="0"/>
  </r>
  <r>
    <x v="1"/>
    <x v="0"/>
    <x v="0"/>
    <x v="0"/>
    <x v="0"/>
    <n v="1826.81"/>
    <x v="0"/>
    <x v="0"/>
  </r>
  <r>
    <x v="1"/>
    <x v="0"/>
    <x v="0"/>
    <x v="0"/>
    <x v="0"/>
    <n v="7709.2"/>
    <x v="0"/>
    <x v="0"/>
  </r>
  <r>
    <x v="1"/>
    <x v="0"/>
    <x v="0"/>
    <x v="0"/>
    <x v="0"/>
    <n v="3023.16"/>
    <x v="0"/>
    <x v="0"/>
  </r>
  <r>
    <x v="1"/>
    <x v="0"/>
    <x v="0"/>
    <x v="0"/>
    <x v="0"/>
    <n v="3708.43"/>
    <x v="0"/>
    <x v="0"/>
  </r>
  <r>
    <x v="1"/>
    <x v="0"/>
    <x v="0"/>
    <x v="0"/>
    <x v="0"/>
    <n v="8702.16"/>
    <x v="0"/>
    <x v="0"/>
  </r>
  <r>
    <x v="1"/>
    <x v="0"/>
    <x v="0"/>
    <x v="0"/>
    <x v="0"/>
    <n v="1552.48"/>
    <x v="0"/>
    <x v="0"/>
  </r>
  <r>
    <x v="1"/>
    <x v="0"/>
    <x v="0"/>
    <x v="0"/>
    <x v="0"/>
    <n v="5427.59"/>
    <x v="0"/>
    <x v="0"/>
  </r>
  <r>
    <x v="1"/>
    <x v="0"/>
    <x v="0"/>
    <x v="0"/>
    <x v="0"/>
    <n v="5179.7"/>
    <x v="0"/>
    <x v="0"/>
  </r>
  <r>
    <x v="1"/>
    <x v="0"/>
    <x v="1"/>
    <x v="0"/>
    <x v="0"/>
    <n v="292.45"/>
    <x v="0"/>
    <x v="0"/>
  </r>
  <r>
    <x v="1"/>
    <x v="0"/>
    <x v="0"/>
    <x v="0"/>
    <x v="0"/>
    <n v="4424.09"/>
    <x v="0"/>
    <x v="0"/>
  </r>
  <r>
    <x v="1"/>
    <x v="0"/>
    <x v="2"/>
    <x v="0"/>
    <x v="0"/>
    <n v="13400.4"/>
    <x v="0"/>
    <x v="0"/>
  </r>
  <r>
    <x v="1"/>
    <x v="0"/>
    <x v="2"/>
    <x v="0"/>
    <x v="0"/>
    <n v="10967.1"/>
    <x v="0"/>
    <x v="0"/>
  </r>
  <r>
    <x v="1"/>
    <x v="0"/>
    <x v="2"/>
    <x v="0"/>
    <x v="0"/>
    <n v="16171.2"/>
    <x v="0"/>
    <x v="0"/>
  </r>
  <r>
    <x v="1"/>
    <x v="4"/>
    <x v="3"/>
    <x v="0"/>
    <x v="0"/>
    <n v="171039.04"/>
    <x v="0"/>
    <x v="0"/>
  </r>
  <r>
    <x v="1"/>
    <x v="0"/>
    <x v="0"/>
    <x v="0"/>
    <x v="0"/>
    <n v="1876.99"/>
    <x v="0"/>
    <x v="0"/>
  </r>
  <r>
    <x v="1"/>
    <x v="0"/>
    <x v="0"/>
    <x v="0"/>
    <x v="0"/>
    <n v="8053.59"/>
    <x v="0"/>
    <x v="0"/>
  </r>
  <r>
    <x v="1"/>
    <x v="0"/>
    <x v="1"/>
    <x v="0"/>
    <x v="0"/>
    <n v="458.45"/>
    <x v="0"/>
    <x v="0"/>
  </r>
  <r>
    <x v="1"/>
    <x v="3"/>
    <x v="0"/>
    <x v="0"/>
    <x v="0"/>
    <n v="3167.07"/>
    <x v="0"/>
    <x v="0"/>
  </r>
  <r>
    <x v="1"/>
    <x v="0"/>
    <x v="0"/>
    <x v="0"/>
    <x v="0"/>
    <n v="6550.89"/>
    <x v="0"/>
    <x v="0"/>
  </r>
  <r>
    <x v="1"/>
    <x v="0"/>
    <x v="1"/>
    <x v="0"/>
    <x v="0"/>
    <n v="191.73"/>
    <x v="0"/>
    <x v="0"/>
  </r>
  <r>
    <x v="1"/>
    <x v="0"/>
    <x v="2"/>
    <x v="0"/>
    <x v="0"/>
    <n v="14287.64"/>
    <x v="0"/>
    <x v="0"/>
  </r>
  <r>
    <x v="1"/>
    <x v="0"/>
    <x v="0"/>
    <x v="0"/>
    <x v="0"/>
    <n v="3849.14"/>
    <x v="0"/>
    <x v="0"/>
  </r>
  <r>
    <x v="1"/>
    <x v="0"/>
    <x v="0"/>
    <x v="0"/>
    <x v="0"/>
    <n v="9006.17"/>
    <x v="0"/>
    <x v="0"/>
  </r>
  <r>
    <x v="1"/>
    <x v="0"/>
    <x v="0"/>
    <x v="0"/>
    <x v="0"/>
    <n v="2876.88"/>
    <x v="0"/>
    <x v="0"/>
  </r>
  <r>
    <x v="1"/>
    <x v="0"/>
    <x v="0"/>
    <x v="0"/>
    <x v="0"/>
    <n v="1128.88"/>
    <x v="0"/>
    <x v="0"/>
  </r>
  <r>
    <x v="1"/>
    <x v="0"/>
    <x v="0"/>
    <x v="0"/>
    <x v="0"/>
    <n v="4089.67"/>
    <x v="0"/>
    <x v="0"/>
  </r>
  <r>
    <x v="1"/>
    <x v="0"/>
    <x v="0"/>
    <x v="0"/>
    <x v="0"/>
    <n v="3021.67"/>
    <x v="0"/>
    <x v="0"/>
  </r>
  <r>
    <x v="1"/>
    <x v="0"/>
    <x v="0"/>
    <x v="0"/>
    <x v="0"/>
    <n v="5061.75"/>
    <x v="0"/>
    <x v="0"/>
  </r>
  <r>
    <x v="1"/>
    <x v="0"/>
    <x v="0"/>
    <x v="0"/>
    <x v="0"/>
    <n v="7807.42"/>
    <x v="0"/>
    <x v="0"/>
  </r>
  <r>
    <x v="1"/>
    <x v="0"/>
    <x v="2"/>
    <x v="0"/>
    <x v="0"/>
    <n v="10684.01"/>
    <x v="0"/>
    <x v="0"/>
  </r>
  <r>
    <x v="1"/>
    <x v="0"/>
    <x v="0"/>
    <x v="0"/>
    <x v="0"/>
    <n v="6328.21"/>
    <x v="0"/>
    <x v="0"/>
  </r>
  <r>
    <x v="1"/>
    <x v="0"/>
    <x v="0"/>
    <x v="0"/>
    <x v="0"/>
    <n v="6125.72"/>
    <x v="0"/>
    <x v="0"/>
  </r>
  <r>
    <x v="1"/>
    <x v="4"/>
    <x v="3"/>
    <x v="0"/>
    <x v="0"/>
    <n v="186660.82"/>
    <x v="0"/>
    <x v="0"/>
  </r>
  <r>
    <x v="1"/>
    <x v="4"/>
    <x v="3"/>
    <x v="0"/>
    <x v="0"/>
    <n v="168258.14"/>
    <x v="0"/>
    <x v="0"/>
  </r>
  <r>
    <x v="1"/>
    <x v="4"/>
    <x v="3"/>
    <x v="0"/>
    <x v="0"/>
    <n v="142236.29"/>
    <x v="0"/>
    <x v="0"/>
  </r>
  <r>
    <x v="1"/>
    <x v="4"/>
    <x v="2"/>
    <x v="0"/>
    <x v="0"/>
    <n v="29488.46"/>
    <x v="0"/>
    <x v="0"/>
  </r>
  <r>
    <x v="1"/>
    <x v="4"/>
    <x v="3"/>
    <x v="0"/>
    <x v="0"/>
    <n v="452478.54"/>
    <x v="0"/>
    <x v="0"/>
  </r>
  <r>
    <x v="1"/>
    <x v="4"/>
    <x v="3"/>
    <x v="0"/>
    <x v="0"/>
    <n v="206432.17"/>
    <x v="0"/>
    <x v="0"/>
  </r>
  <r>
    <x v="1"/>
    <x v="4"/>
    <x v="2"/>
    <x v="0"/>
    <x v="0"/>
    <n v="88447.92"/>
    <x v="0"/>
    <x v="0"/>
  </r>
  <r>
    <x v="1"/>
    <x v="4"/>
    <x v="2"/>
    <x v="0"/>
    <x v="0"/>
    <n v="68513.25"/>
    <x v="0"/>
    <x v="0"/>
  </r>
  <r>
    <x v="1"/>
    <x v="4"/>
    <x v="3"/>
    <x v="0"/>
    <x v="0"/>
    <n v="147141.81"/>
    <x v="0"/>
    <x v="0"/>
  </r>
  <r>
    <x v="1"/>
    <x v="4"/>
    <x v="3"/>
    <x v="0"/>
    <x v="0"/>
    <n v="208973.73"/>
    <x v="0"/>
    <x v="0"/>
  </r>
  <r>
    <x v="1"/>
    <x v="4"/>
    <x v="3"/>
    <x v="0"/>
    <x v="0"/>
    <n v="202758.62"/>
    <x v="0"/>
    <x v="0"/>
  </r>
  <r>
    <x v="1"/>
    <x v="4"/>
    <x v="3"/>
    <x v="0"/>
    <x v="0"/>
    <n v="305762.25"/>
    <x v="0"/>
    <x v="0"/>
  </r>
  <r>
    <x v="1"/>
    <x v="4"/>
    <x v="3"/>
    <x v="0"/>
    <x v="0"/>
    <n v="238861.93"/>
    <x v="0"/>
    <x v="0"/>
  </r>
  <r>
    <x v="1"/>
    <x v="4"/>
    <x v="3"/>
    <x v="0"/>
    <x v="0"/>
    <n v="156534.89"/>
    <x v="0"/>
    <x v="0"/>
  </r>
  <r>
    <x v="1"/>
    <x v="4"/>
    <x v="3"/>
    <x v="0"/>
    <x v="0"/>
    <n v="255232.66"/>
    <x v="0"/>
    <x v="0"/>
  </r>
  <r>
    <x v="1"/>
    <x v="4"/>
    <x v="3"/>
    <x v="0"/>
    <x v="0"/>
    <n v="564827.72"/>
    <x v="0"/>
    <x v="0"/>
  </r>
  <r>
    <x v="1"/>
    <x v="4"/>
    <x v="3"/>
    <x v="0"/>
    <x v="0"/>
    <n v="297037.63"/>
    <x v="0"/>
    <x v="0"/>
  </r>
  <r>
    <x v="1"/>
    <x v="4"/>
    <x v="3"/>
    <x v="0"/>
    <x v="0"/>
    <n v="129909.22"/>
    <x v="0"/>
    <x v="0"/>
  </r>
  <r>
    <x v="1"/>
    <x v="4"/>
    <x v="3"/>
    <x v="0"/>
    <x v="0"/>
    <n v="209929.52"/>
    <x v="0"/>
    <x v="0"/>
  </r>
  <r>
    <x v="1"/>
    <x v="4"/>
    <x v="0"/>
    <x v="0"/>
    <x v="0"/>
    <n v="9023.2"/>
    <x v="0"/>
    <x v="0"/>
  </r>
  <r>
    <x v="1"/>
    <x v="4"/>
    <x v="2"/>
    <x v="0"/>
    <x v="0"/>
    <n v="20000.32"/>
    <x v="0"/>
    <x v="0"/>
  </r>
  <r>
    <x v="1"/>
    <x v="4"/>
    <x v="3"/>
    <x v="0"/>
    <x v="0"/>
    <n v="172485.68"/>
    <x v="0"/>
    <x v="0"/>
  </r>
  <r>
    <x v="1"/>
    <x v="4"/>
    <x v="3"/>
    <x v="0"/>
    <x v="0"/>
    <n v="260880.32"/>
    <x v="0"/>
    <x v="0"/>
  </r>
  <r>
    <x v="1"/>
    <x v="4"/>
    <x v="3"/>
    <x v="0"/>
    <x v="0"/>
    <n v="398355.98"/>
    <x v="0"/>
    <x v="0"/>
  </r>
  <r>
    <x v="1"/>
    <x v="4"/>
    <x v="3"/>
    <x v="0"/>
    <x v="0"/>
    <n v="131637.92"/>
    <x v="0"/>
    <x v="0"/>
  </r>
  <r>
    <x v="1"/>
    <x v="4"/>
    <x v="2"/>
    <x v="0"/>
    <x v="0"/>
    <n v="52309.48"/>
    <x v="0"/>
    <x v="0"/>
  </r>
  <r>
    <x v="1"/>
    <x v="4"/>
    <x v="2"/>
    <x v="0"/>
    <x v="0"/>
    <n v="46615.49"/>
    <x v="0"/>
    <x v="0"/>
  </r>
  <r>
    <x v="1"/>
    <x v="4"/>
    <x v="3"/>
    <x v="0"/>
    <x v="0"/>
    <n v="174213.34"/>
    <x v="0"/>
    <x v="0"/>
  </r>
  <r>
    <x v="1"/>
    <x v="4"/>
    <x v="2"/>
    <x v="0"/>
    <x v="0"/>
    <n v="98104.83"/>
    <x v="0"/>
    <x v="0"/>
  </r>
  <r>
    <x v="1"/>
    <x v="4"/>
    <x v="2"/>
    <x v="0"/>
    <x v="0"/>
    <n v="67666.92"/>
    <x v="0"/>
    <x v="0"/>
  </r>
  <r>
    <x v="1"/>
    <x v="4"/>
    <x v="3"/>
    <x v="0"/>
    <x v="0"/>
    <n v="177577.58"/>
    <x v="0"/>
    <x v="0"/>
  </r>
  <r>
    <x v="1"/>
    <x v="4"/>
    <x v="3"/>
    <x v="0"/>
    <x v="0"/>
    <n v="308322"/>
    <x v="0"/>
    <x v="0"/>
  </r>
  <r>
    <x v="1"/>
    <x v="4"/>
    <x v="3"/>
    <x v="0"/>
    <x v="0"/>
    <n v="121479.85"/>
    <x v="0"/>
    <x v="0"/>
  </r>
  <r>
    <x v="1"/>
    <x v="4"/>
    <x v="3"/>
    <x v="0"/>
    <x v="0"/>
    <n v="320217.01"/>
    <x v="0"/>
    <x v="0"/>
  </r>
  <r>
    <x v="1"/>
    <x v="4"/>
    <x v="2"/>
    <x v="0"/>
    <x v="0"/>
    <n v="28247.25"/>
    <x v="0"/>
    <x v="0"/>
  </r>
  <r>
    <x v="1"/>
    <x v="4"/>
    <x v="2"/>
    <x v="0"/>
    <x v="0"/>
    <n v="83247.74"/>
    <x v="0"/>
    <x v="0"/>
  </r>
  <r>
    <x v="1"/>
    <x v="4"/>
    <x v="2"/>
    <x v="0"/>
    <x v="0"/>
    <n v="64978.38"/>
    <x v="0"/>
    <x v="0"/>
  </r>
  <r>
    <x v="1"/>
    <x v="4"/>
    <x v="3"/>
    <x v="0"/>
    <x v="0"/>
    <n v="278703.6"/>
    <x v="0"/>
    <x v="0"/>
  </r>
  <r>
    <x v="1"/>
    <x v="4"/>
    <x v="3"/>
    <x v="0"/>
    <x v="0"/>
    <n v="158226.9"/>
    <x v="0"/>
    <x v="0"/>
  </r>
  <r>
    <x v="1"/>
    <x v="4"/>
    <x v="3"/>
    <x v="0"/>
    <x v="0"/>
    <n v="284839.92"/>
    <x v="0"/>
    <x v="0"/>
  </r>
  <r>
    <x v="1"/>
    <x v="4"/>
    <x v="3"/>
    <x v="0"/>
    <x v="0"/>
    <n v="137964.43"/>
    <x v="0"/>
    <x v="0"/>
  </r>
  <r>
    <x v="1"/>
    <x v="4"/>
    <x v="3"/>
    <x v="0"/>
    <x v="0"/>
    <n v="160690.6"/>
    <x v="0"/>
    <x v="0"/>
  </r>
  <r>
    <x v="1"/>
    <x v="4"/>
    <x v="2"/>
    <x v="0"/>
    <x v="0"/>
    <n v="72644.99"/>
    <x v="0"/>
    <x v="0"/>
  </r>
  <r>
    <x v="1"/>
    <x v="4"/>
    <x v="3"/>
    <x v="0"/>
    <x v="0"/>
    <n v="151228.18"/>
    <x v="0"/>
    <x v="0"/>
  </r>
  <r>
    <x v="1"/>
    <x v="4"/>
    <x v="2"/>
    <x v="0"/>
    <x v="0"/>
    <n v="29929.77"/>
    <x v="0"/>
    <x v="0"/>
  </r>
  <r>
    <x v="1"/>
    <x v="4"/>
    <x v="2"/>
    <x v="0"/>
    <x v="0"/>
    <n v="30070.91"/>
    <x v="0"/>
    <x v="0"/>
  </r>
  <r>
    <x v="1"/>
    <x v="4"/>
    <x v="3"/>
    <x v="0"/>
    <x v="0"/>
    <n v="209159.54"/>
    <x v="0"/>
    <x v="0"/>
  </r>
  <r>
    <x v="1"/>
    <x v="4"/>
    <x v="3"/>
    <x v="0"/>
    <x v="0"/>
    <n v="109768.65"/>
    <x v="0"/>
    <x v="0"/>
  </r>
  <r>
    <x v="1"/>
    <x v="4"/>
    <x v="3"/>
    <x v="0"/>
    <x v="0"/>
    <n v="216556.93"/>
    <x v="0"/>
    <x v="0"/>
  </r>
  <r>
    <x v="1"/>
    <x v="4"/>
    <x v="2"/>
    <x v="0"/>
    <x v="0"/>
    <n v="85917.73"/>
    <x v="0"/>
    <x v="0"/>
  </r>
  <r>
    <x v="1"/>
    <x v="4"/>
    <x v="3"/>
    <x v="0"/>
    <x v="0"/>
    <n v="208366.03"/>
    <x v="0"/>
    <x v="0"/>
  </r>
  <r>
    <x v="1"/>
    <x v="4"/>
    <x v="2"/>
    <x v="0"/>
    <x v="0"/>
    <n v="36251.27"/>
    <x v="0"/>
    <x v="0"/>
  </r>
  <r>
    <x v="1"/>
    <x v="4"/>
    <x v="3"/>
    <x v="0"/>
    <x v="0"/>
    <n v="149683.03"/>
    <x v="0"/>
    <x v="0"/>
  </r>
  <r>
    <x v="1"/>
    <x v="4"/>
    <x v="2"/>
    <x v="0"/>
    <x v="0"/>
    <n v="56238.58"/>
    <x v="0"/>
    <x v="0"/>
  </r>
  <r>
    <x v="1"/>
    <x v="4"/>
    <x v="3"/>
    <x v="0"/>
    <x v="0"/>
    <n v="105173.53"/>
    <x v="0"/>
    <x v="0"/>
  </r>
  <r>
    <x v="1"/>
    <x v="4"/>
    <x v="2"/>
    <x v="0"/>
    <x v="0"/>
    <n v="32852.19"/>
    <x v="0"/>
    <x v="0"/>
  </r>
  <r>
    <x v="1"/>
    <x v="4"/>
    <x v="2"/>
    <x v="0"/>
    <x v="0"/>
    <n v="22096.38"/>
    <x v="0"/>
    <x v="0"/>
  </r>
  <r>
    <x v="1"/>
    <x v="0"/>
    <x v="0"/>
    <x v="0"/>
    <x v="0"/>
    <n v="3840.87"/>
    <x v="0"/>
    <x v="0"/>
  </r>
  <r>
    <x v="1"/>
    <x v="1"/>
    <x v="2"/>
    <x v="0"/>
    <x v="0"/>
    <n v="53763.65"/>
    <x v="0"/>
    <x v="0"/>
  </r>
  <r>
    <x v="1"/>
    <x v="0"/>
    <x v="0"/>
    <x v="0"/>
    <x v="0"/>
    <n v="3604.2"/>
    <x v="0"/>
    <x v="0"/>
  </r>
  <r>
    <x v="1"/>
    <x v="1"/>
    <x v="3"/>
    <x v="0"/>
    <x v="0"/>
    <n v="106141.92"/>
    <x v="0"/>
    <x v="0"/>
  </r>
  <r>
    <x v="1"/>
    <x v="1"/>
    <x v="2"/>
    <x v="0"/>
    <x v="0"/>
    <n v="82616.3"/>
    <x v="0"/>
    <x v="0"/>
  </r>
  <r>
    <x v="1"/>
    <x v="1"/>
    <x v="3"/>
    <x v="0"/>
    <x v="0"/>
    <n v="149935.68"/>
    <x v="0"/>
    <x v="0"/>
  </r>
  <r>
    <x v="1"/>
    <x v="1"/>
    <x v="2"/>
    <x v="0"/>
    <x v="0"/>
    <n v="13126.23"/>
    <x v="0"/>
    <x v="0"/>
  </r>
  <r>
    <x v="1"/>
    <x v="0"/>
    <x v="0"/>
    <x v="0"/>
    <x v="0"/>
    <n v="2507.52"/>
    <x v="0"/>
    <x v="0"/>
  </r>
  <r>
    <x v="1"/>
    <x v="3"/>
    <x v="0"/>
    <x v="0"/>
    <x v="0"/>
    <n v="3718.7"/>
    <x v="0"/>
    <x v="0"/>
  </r>
  <r>
    <x v="1"/>
    <x v="0"/>
    <x v="0"/>
    <x v="0"/>
    <x v="0"/>
    <n v="4343.55"/>
    <x v="0"/>
    <x v="0"/>
  </r>
  <r>
    <x v="1"/>
    <x v="0"/>
    <x v="1"/>
    <x v="0"/>
    <x v="0"/>
    <n v="157.91"/>
    <x v="0"/>
    <x v="0"/>
  </r>
  <r>
    <x v="1"/>
    <x v="2"/>
    <x v="2"/>
    <x v="0"/>
    <x v="0"/>
    <n v="55898.94"/>
    <x v="0"/>
    <x v="0"/>
  </r>
  <r>
    <x v="1"/>
    <x v="0"/>
    <x v="0"/>
    <x v="0"/>
    <x v="0"/>
    <n v="3838"/>
    <x v="0"/>
    <x v="0"/>
  </r>
  <r>
    <x v="1"/>
    <x v="0"/>
    <x v="0"/>
    <x v="0"/>
    <x v="0"/>
    <n v="2038.61"/>
    <x v="0"/>
    <x v="0"/>
  </r>
  <r>
    <x v="1"/>
    <x v="2"/>
    <x v="2"/>
    <x v="0"/>
    <x v="0"/>
    <n v="52054.69"/>
    <x v="0"/>
    <x v="0"/>
  </r>
  <r>
    <x v="1"/>
    <x v="0"/>
    <x v="1"/>
    <x v="0"/>
    <x v="0"/>
    <n v="61.68"/>
    <x v="0"/>
    <x v="0"/>
  </r>
  <r>
    <x v="1"/>
    <x v="0"/>
    <x v="2"/>
    <x v="0"/>
    <x v="0"/>
    <n v="10553.58"/>
    <x v="0"/>
    <x v="0"/>
  </r>
  <r>
    <x v="1"/>
    <x v="0"/>
    <x v="0"/>
    <x v="0"/>
    <x v="0"/>
    <n v="9034.36"/>
    <x v="0"/>
    <x v="0"/>
  </r>
  <r>
    <x v="1"/>
    <x v="3"/>
    <x v="0"/>
    <x v="0"/>
    <x v="0"/>
    <n v="1332.91"/>
    <x v="0"/>
    <x v="0"/>
  </r>
  <r>
    <x v="1"/>
    <x v="0"/>
    <x v="2"/>
    <x v="0"/>
    <x v="0"/>
    <n v="13832.09"/>
    <x v="0"/>
    <x v="0"/>
  </r>
  <r>
    <x v="1"/>
    <x v="0"/>
    <x v="1"/>
    <x v="0"/>
    <x v="0"/>
    <n v="29.26"/>
    <x v="0"/>
    <x v="0"/>
  </r>
  <r>
    <x v="1"/>
    <x v="2"/>
    <x v="2"/>
    <x v="0"/>
    <x v="0"/>
    <n v="26596.11"/>
    <x v="0"/>
    <x v="0"/>
  </r>
  <r>
    <x v="1"/>
    <x v="0"/>
    <x v="0"/>
    <x v="0"/>
    <x v="0"/>
    <n v="5179.74"/>
    <x v="0"/>
    <x v="0"/>
  </r>
  <r>
    <x v="1"/>
    <x v="0"/>
    <x v="0"/>
    <x v="0"/>
    <x v="0"/>
    <n v="1470.16"/>
    <x v="0"/>
    <x v="0"/>
  </r>
  <r>
    <x v="1"/>
    <x v="0"/>
    <x v="2"/>
    <x v="0"/>
    <x v="0"/>
    <n v="11760.28"/>
    <x v="0"/>
    <x v="0"/>
  </r>
  <r>
    <x v="1"/>
    <x v="0"/>
    <x v="0"/>
    <x v="0"/>
    <x v="0"/>
    <n v="4733.94"/>
    <x v="0"/>
    <x v="0"/>
  </r>
  <r>
    <x v="1"/>
    <x v="0"/>
    <x v="0"/>
    <x v="0"/>
    <x v="0"/>
    <n v="6466.5"/>
    <x v="0"/>
    <x v="0"/>
  </r>
  <r>
    <x v="1"/>
    <x v="3"/>
    <x v="0"/>
    <x v="0"/>
    <x v="0"/>
    <n v="7677.73"/>
    <x v="0"/>
    <x v="0"/>
  </r>
  <r>
    <x v="1"/>
    <x v="1"/>
    <x v="3"/>
    <x v="0"/>
    <x v="0"/>
    <n v="147176.03"/>
    <x v="0"/>
    <x v="0"/>
  </r>
  <r>
    <x v="1"/>
    <x v="3"/>
    <x v="1"/>
    <x v="0"/>
    <x v="0"/>
    <n v="309.33"/>
    <x v="0"/>
    <x v="0"/>
  </r>
  <r>
    <x v="1"/>
    <x v="0"/>
    <x v="1"/>
    <x v="0"/>
    <x v="0"/>
    <n v="819.45"/>
    <x v="0"/>
    <x v="0"/>
  </r>
  <r>
    <x v="1"/>
    <x v="0"/>
    <x v="0"/>
    <x v="0"/>
    <x v="0"/>
    <n v="8892.44"/>
    <x v="0"/>
    <x v="0"/>
  </r>
  <r>
    <x v="1"/>
    <x v="0"/>
    <x v="1"/>
    <x v="0"/>
    <x v="0"/>
    <n v="311.38"/>
    <x v="0"/>
    <x v="0"/>
  </r>
  <r>
    <x v="1"/>
    <x v="2"/>
    <x v="3"/>
    <x v="0"/>
    <x v="0"/>
    <n v="222108.22"/>
    <x v="0"/>
    <x v="0"/>
  </r>
  <r>
    <x v="1"/>
    <x v="0"/>
    <x v="0"/>
    <x v="0"/>
    <x v="0"/>
    <n v="4485.32"/>
    <x v="0"/>
    <x v="0"/>
  </r>
  <r>
    <x v="1"/>
    <x v="3"/>
    <x v="0"/>
    <x v="0"/>
    <x v="0"/>
    <n v="4241.78"/>
    <x v="0"/>
    <x v="0"/>
  </r>
  <r>
    <x v="1"/>
    <x v="0"/>
    <x v="0"/>
    <x v="0"/>
    <x v="0"/>
    <n v="9723.57"/>
    <x v="0"/>
    <x v="0"/>
  </r>
  <r>
    <x v="1"/>
    <x v="1"/>
    <x v="2"/>
    <x v="0"/>
    <x v="0"/>
    <n v="38473.99"/>
    <x v="0"/>
    <x v="0"/>
  </r>
  <r>
    <x v="1"/>
    <x v="0"/>
    <x v="2"/>
    <x v="0"/>
    <x v="0"/>
    <n v="24445.19"/>
    <x v="0"/>
    <x v="0"/>
  </r>
  <r>
    <x v="1"/>
    <x v="0"/>
    <x v="0"/>
    <x v="0"/>
    <x v="0"/>
    <n v="2976.86"/>
    <x v="0"/>
    <x v="0"/>
  </r>
  <r>
    <x v="1"/>
    <x v="0"/>
    <x v="2"/>
    <x v="0"/>
    <x v="0"/>
    <n v="15774.38"/>
    <x v="0"/>
    <x v="0"/>
  </r>
  <r>
    <x v="1"/>
    <x v="0"/>
    <x v="0"/>
    <x v="0"/>
    <x v="0"/>
    <n v="4723.65"/>
    <x v="0"/>
    <x v="0"/>
  </r>
  <r>
    <x v="1"/>
    <x v="0"/>
    <x v="0"/>
    <x v="0"/>
    <x v="0"/>
    <n v="3452.17"/>
    <x v="0"/>
    <x v="0"/>
  </r>
  <r>
    <x v="1"/>
    <x v="0"/>
    <x v="2"/>
    <x v="0"/>
    <x v="0"/>
    <n v="21501.47"/>
    <x v="0"/>
    <x v="0"/>
  </r>
  <r>
    <x v="1"/>
    <x v="0"/>
    <x v="0"/>
    <x v="0"/>
    <x v="0"/>
    <n v="3562.21"/>
    <x v="0"/>
    <x v="0"/>
  </r>
  <r>
    <x v="1"/>
    <x v="0"/>
    <x v="1"/>
    <x v="0"/>
    <x v="0"/>
    <n v="311.28"/>
    <x v="0"/>
    <x v="0"/>
  </r>
  <r>
    <x v="1"/>
    <x v="0"/>
    <x v="0"/>
    <x v="0"/>
    <x v="0"/>
    <n v="6190.73"/>
    <x v="0"/>
    <x v="0"/>
  </r>
  <r>
    <x v="1"/>
    <x v="0"/>
    <x v="1"/>
    <x v="0"/>
    <x v="0"/>
    <n v="380.02"/>
    <x v="0"/>
    <x v="0"/>
  </r>
  <r>
    <x v="1"/>
    <x v="2"/>
    <x v="2"/>
    <x v="0"/>
    <x v="0"/>
    <n v="65971.82"/>
    <x v="0"/>
    <x v="0"/>
  </r>
  <r>
    <x v="1"/>
    <x v="0"/>
    <x v="0"/>
    <x v="0"/>
    <x v="0"/>
    <n v="9971.14"/>
    <x v="0"/>
    <x v="0"/>
  </r>
  <r>
    <x v="1"/>
    <x v="0"/>
    <x v="0"/>
    <x v="0"/>
    <x v="0"/>
    <n v="4700.07"/>
    <x v="0"/>
    <x v="0"/>
  </r>
  <r>
    <x v="1"/>
    <x v="0"/>
    <x v="1"/>
    <x v="0"/>
    <x v="0"/>
    <n v="349.63"/>
    <x v="0"/>
    <x v="0"/>
  </r>
  <r>
    <x v="1"/>
    <x v="0"/>
    <x v="0"/>
    <x v="0"/>
    <x v="0"/>
    <n v="5581.28"/>
    <x v="0"/>
    <x v="0"/>
  </r>
  <r>
    <x v="1"/>
    <x v="3"/>
    <x v="0"/>
    <x v="0"/>
    <x v="0"/>
    <n v="2290.11"/>
    <x v="0"/>
    <x v="0"/>
  </r>
  <r>
    <x v="1"/>
    <x v="0"/>
    <x v="2"/>
    <x v="0"/>
    <x v="0"/>
    <n v="12165.21"/>
    <x v="0"/>
    <x v="0"/>
  </r>
  <r>
    <x v="1"/>
    <x v="0"/>
    <x v="0"/>
    <x v="0"/>
    <x v="0"/>
    <n v="1383.91"/>
    <x v="0"/>
    <x v="0"/>
  </r>
  <r>
    <x v="1"/>
    <x v="1"/>
    <x v="3"/>
    <x v="0"/>
    <x v="0"/>
    <n v="106622.7"/>
    <x v="0"/>
    <x v="0"/>
  </r>
  <r>
    <x v="1"/>
    <x v="3"/>
    <x v="1"/>
    <x v="0"/>
    <x v="0"/>
    <n v="634.95"/>
    <x v="0"/>
    <x v="0"/>
  </r>
  <r>
    <x v="1"/>
    <x v="0"/>
    <x v="0"/>
    <x v="0"/>
    <x v="0"/>
    <n v="6013.05"/>
    <x v="0"/>
    <x v="0"/>
  </r>
  <r>
    <x v="1"/>
    <x v="0"/>
    <x v="2"/>
    <x v="0"/>
    <x v="0"/>
    <n v="15186.43"/>
    <x v="0"/>
    <x v="0"/>
  </r>
  <r>
    <x v="1"/>
    <x v="3"/>
    <x v="0"/>
    <x v="0"/>
    <x v="0"/>
    <n v="2307.17"/>
    <x v="0"/>
    <x v="0"/>
  </r>
  <r>
    <x v="1"/>
    <x v="0"/>
    <x v="0"/>
    <x v="0"/>
    <x v="0"/>
    <n v="9541.85"/>
    <x v="0"/>
    <x v="0"/>
  </r>
  <r>
    <x v="1"/>
    <x v="0"/>
    <x v="0"/>
    <x v="0"/>
    <x v="0"/>
    <n v="5206.23"/>
    <x v="0"/>
    <x v="0"/>
  </r>
  <r>
    <x v="1"/>
    <x v="0"/>
    <x v="0"/>
    <x v="0"/>
    <x v="0"/>
    <n v="5260.41"/>
    <x v="0"/>
    <x v="0"/>
  </r>
  <r>
    <x v="1"/>
    <x v="0"/>
    <x v="0"/>
    <x v="0"/>
    <x v="0"/>
    <n v="9105.32"/>
    <x v="0"/>
    <x v="0"/>
  </r>
  <r>
    <x v="1"/>
    <x v="0"/>
    <x v="0"/>
    <x v="0"/>
    <x v="0"/>
    <n v="4918.9"/>
    <x v="0"/>
    <x v="0"/>
  </r>
  <r>
    <x v="1"/>
    <x v="0"/>
    <x v="2"/>
    <x v="0"/>
    <x v="0"/>
    <n v="14349.18"/>
    <x v="0"/>
    <x v="0"/>
  </r>
  <r>
    <x v="1"/>
    <x v="0"/>
    <x v="2"/>
    <x v="0"/>
    <x v="0"/>
    <n v="16947.34"/>
    <x v="0"/>
    <x v="0"/>
  </r>
  <r>
    <x v="1"/>
    <x v="0"/>
    <x v="2"/>
    <x v="0"/>
    <x v="0"/>
    <n v="10211.96"/>
    <x v="0"/>
    <x v="0"/>
  </r>
  <r>
    <x v="1"/>
    <x v="0"/>
    <x v="0"/>
    <x v="0"/>
    <x v="0"/>
    <n v="3073.34"/>
    <x v="0"/>
    <x v="0"/>
  </r>
  <r>
    <x v="1"/>
    <x v="0"/>
    <x v="2"/>
    <x v="0"/>
    <x v="0"/>
    <n v="17453.51"/>
    <x v="0"/>
    <x v="0"/>
  </r>
  <r>
    <x v="1"/>
    <x v="0"/>
    <x v="1"/>
    <x v="0"/>
    <x v="0"/>
    <n v="514.74"/>
    <x v="0"/>
    <x v="0"/>
  </r>
  <r>
    <x v="1"/>
    <x v="0"/>
    <x v="2"/>
    <x v="0"/>
    <x v="0"/>
    <n v="12039.23"/>
    <x v="0"/>
    <x v="0"/>
  </r>
  <r>
    <x v="1"/>
    <x v="0"/>
    <x v="0"/>
    <x v="0"/>
    <x v="0"/>
    <n v="6019.63"/>
    <x v="0"/>
    <x v="0"/>
  </r>
  <r>
    <x v="1"/>
    <x v="0"/>
    <x v="0"/>
    <x v="0"/>
    <x v="0"/>
    <n v="4478.67"/>
    <x v="0"/>
    <x v="0"/>
  </r>
  <r>
    <x v="1"/>
    <x v="0"/>
    <x v="0"/>
    <x v="0"/>
    <x v="0"/>
    <n v="6614.92"/>
    <x v="0"/>
    <x v="0"/>
  </r>
  <r>
    <x v="1"/>
    <x v="0"/>
    <x v="0"/>
    <x v="0"/>
    <x v="0"/>
    <n v="8181.09"/>
    <x v="0"/>
    <x v="0"/>
  </r>
  <r>
    <x v="1"/>
    <x v="2"/>
    <x v="3"/>
    <x v="0"/>
    <x v="0"/>
    <n v="140396.66"/>
    <x v="0"/>
    <x v="0"/>
  </r>
  <r>
    <x v="1"/>
    <x v="0"/>
    <x v="1"/>
    <x v="0"/>
    <x v="0"/>
    <n v="425.31"/>
    <x v="0"/>
    <x v="0"/>
  </r>
  <r>
    <x v="1"/>
    <x v="0"/>
    <x v="0"/>
    <x v="0"/>
    <x v="0"/>
    <n v="2830.73"/>
    <x v="0"/>
    <x v="0"/>
  </r>
  <r>
    <x v="1"/>
    <x v="0"/>
    <x v="0"/>
    <x v="0"/>
    <x v="0"/>
    <n v="7449.2"/>
    <x v="0"/>
    <x v="0"/>
  </r>
  <r>
    <x v="1"/>
    <x v="0"/>
    <x v="2"/>
    <x v="0"/>
    <x v="0"/>
    <n v="11528.22"/>
    <x v="0"/>
    <x v="0"/>
  </r>
  <r>
    <x v="1"/>
    <x v="0"/>
    <x v="1"/>
    <x v="0"/>
    <x v="0"/>
    <n v="162.17"/>
    <x v="0"/>
    <x v="0"/>
  </r>
  <r>
    <x v="1"/>
    <x v="3"/>
    <x v="0"/>
    <x v="0"/>
    <x v="0"/>
    <n v="1019.87"/>
    <x v="0"/>
    <x v="0"/>
  </r>
  <r>
    <x v="1"/>
    <x v="0"/>
    <x v="0"/>
    <x v="0"/>
    <x v="0"/>
    <n v="7832.2"/>
    <x v="0"/>
    <x v="0"/>
  </r>
  <r>
    <x v="1"/>
    <x v="0"/>
    <x v="0"/>
    <x v="0"/>
    <x v="0"/>
    <n v="4151.85"/>
    <x v="0"/>
    <x v="0"/>
  </r>
  <r>
    <x v="1"/>
    <x v="0"/>
    <x v="2"/>
    <x v="0"/>
    <x v="0"/>
    <n v="18763.84"/>
    <x v="0"/>
    <x v="0"/>
  </r>
  <r>
    <x v="1"/>
    <x v="0"/>
    <x v="0"/>
    <x v="0"/>
    <x v="0"/>
    <n v="4691.54"/>
    <x v="0"/>
    <x v="0"/>
  </r>
  <r>
    <x v="1"/>
    <x v="0"/>
    <x v="2"/>
    <x v="0"/>
    <x v="0"/>
    <n v="18062.09"/>
    <x v="0"/>
    <x v="0"/>
  </r>
  <r>
    <x v="1"/>
    <x v="2"/>
    <x v="2"/>
    <x v="0"/>
    <x v="0"/>
    <n v="48899.07"/>
    <x v="0"/>
    <x v="0"/>
  </r>
  <r>
    <x v="1"/>
    <x v="0"/>
    <x v="0"/>
    <x v="0"/>
    <x v="0"/>
    <n v="9371.85"/>
    <x v="0"/>
    <x v="0"/>
  </r>
  <r>
    <x v="1"/>
    <x v="2"/>
    <x v="2"/>
    <x v="0"/>
    <x v="0"/>
    <n v="56432.77"/>
    <x v="0"/>
    <x v="0"/>
  </r>
  <r>
    <x v="1"/>
    <x v="0"/>
    <x v="0"/>
    <x v="0"/>
    <x v="0"/>
    <n v="7303.17"/>
    <x v="0"/>
    <x v="0"/>
  </r>
  <r>
    <x v="1"/>
    <x v="3"/>
    <x v="1"/>
    <x v="0"/>
    <x v="0"/>
    <n v="677.53"/>
    <x v="0"/>
    <x v="0"/>
  </r>
  <r>
    <x v="1"/>
    <x v="0"/>
    <x v="0"/>
    <x v="0"/>
    <x v="0"/>
    <n v="5560.25"/>
    <x v="0"/>
    <x v="0"/>
  </r>
  <r>
    <x v="1"/>
    <x v="4"/>
    <x v="3"/>
    <x v="0"/>
    <x v="0"/>
    <n v="216179.58"/>
    <x v="0"/>
    <x v="0"/>
  </r>
  <r>
    <x v="1"/>
    <x v="4"/>
    <x v="2"/>
    <x v="0"/>
    <x v="0"/>
    <n v="62802.61"/>
    <x v="0"/>
    <x v="0"/>
  </r>
  <r>
    <x v="1"/>
    <x v="4"/>
    <x v="3"/>
    <x v="0"/>
    <x v="0"/>
    <n v="351633.67"/>
    <x v="0"/>
    <x v="0"/>
  </r>
  <r>
    <x v="1"/>
    <x v="4"/>
    <x v="3"/>
    <x v="0"/>
    <x v="0"/>
    <n v="696979.11"/>
    <x v="0"/>
    <x v="0"/>
  </r>
  <r>
    <x v="1"/>
    <x v="4"/>
    <x v="2"/>
    <x v="0"/>
    <x v="0"/>
    <n v="44137.21"/>
    <x v="0"/>
    <x v="0"/>
  </r>
  <r>
    <x v="1"/>
    <x v="4"/>
    <x v="2"/>
    <x v="0"/>
    <x v="0"/>
    <n v="31898.13"/>
    <x v="0"/>
    <x v="0"/>
  </r>
  <r>
    <x v="1"/>
    <x v="4"/>
    <x v="3"/>
    <x v="0"/>
    <x v="0"/>
    <n v="139524.98"/>
    <x v="0"/>
    <x v="0"/>
  </r>
  <r>
    <x v="1"/>
    <x v="4"/>
    <x v="2"/>
    <x v="0"/>
    <x v="0"/>
    <n v="23895.37"/>
    <x v="0"/>
    <x v="0"/>
  </r>
  <r>
    <x v="1"/>
    <x v="4"/>
    <x v="3"/>
    <x v="0"/>
    <x v="0"/>
    <n v="107547.52"/>
    <x v="0"/>
    <x v="0"/>
  </r>
  <r>
    <x v="1"/>
    <x v="4"/>
    <x v="2"/>
    <x v="0"/>
    <x v="0"/>
    <n v="24889.66"/>
    <x v="0"/>
    <x v="0"/>
  </r>
  <r>
    <x v="1"/>
    <x v="4"/>
    <x v="3"/>
    <x v="0"/>
    <x v="0"/>
    <n v="262535.15"/>
    <x v="0"/>
    <x v="0"/>
  </r>
  <r>
    <x v="1"/>
    <x v="4"/>
    <x v="3"/>
    <x v="0"/>
    <x v="0"/>
    <n v="286710.32"/>
    <x v="0"/>
    <x v="0"/>
  </r>
  <r>
    <x v="1"/>
    <x v="4"/>
    <x v="3"/>
    <x v="0"/>
    <x v="0"/>
    <n v="241906.13"/>
    <x v="0"/>
    <x v="0"/>
  </r>
  <r>
    <x v="1"/>
    <x v="4"/>
    <x v="3"/>
    <x v="0"/>
    <x v="0"/>
    <n v="227500.21"/>
    <x v="0"/>
    <x v="0"/>
  </r>
  <r>
    <x v="1"/>
    <x v="4"/>
    <x v="3"/>
    <x v="0"/>
    <x v="0"/>
    <n v="353902.72"/>
    <x v="0"/>
    <x v="0"/>
  </r>
  <r>
    <x v="1"/>
    <x v="4"/>
    <x v="3"/>
    <x v="0"/>
    <x v="0"/>
    <n v="138805.3"/>
    <x v="0"/>
    <x v="0"/>
  </r>
  <r>
    <x v="1"/>
    <x v="4"/>
    <x v="3"/>
    <x v="0"/>
    <x v="0"/>
    <n v="126516.27"/>
    <x v="0"/>
    <x v="0"/>
  </r>
  <r>
    <x v="1"/>
    <x v="4"/>
    <x v="3"/>
    <x v="0"/>
    <x v="0"/>
    <n v="121752.39"/>
    <x v="0"/>
    <x v="0"/>
  </r>
  <r>
    <x v="1"/>
    <x v="4"/>
    <x v="3"/>
    <x v="0"/>
    <x v="0"/>
    <n v="214226.11"/>
    <x v="0"/>
    <x v="0"/>
  </r>
  <r>
    <x v="1"/>
    <x v="4"/>
    <x v="3"/>
    <x v="0"/>
    <x v="0"/>
    <n v="140691.04"/>
    <x v="0"/>
    <x v="0"/>
  </r>
  <r>
    <x v="1"/>
    <x v="4"/>
    <x v="2"/>
    <x v="0"/>
    <x v="0"/>
    <n v="42646.67"/>
    <x v="0"/>
    <x v="0"/>
  </r>
  <r>
    <x v="1"/>
    <x v="4"/>
    <x v="3"/>
    <x v="0"/>
    <x v="0"/>
    <n v="218881.33"/>
    <x v="0"/>
    <x v="0"/>
  </r>
  <r>
    <x v="1"/>
    <x v="4"/>
    <x v="3"/>
    <x v="0"/>
    <x v="0"/>
    <n v="200373.08"/>
    <x v="0"/>
    <x v="0"/>
  </r>
  <r>
    <x v="1"/>
    <x v="4"/>
    <x v="2"/>
    <x v="0"/>
    <x v="0"/>
    <n v="79079.01"/>
    <x v="0"/>
    <x v="0"/>
  </r>
  <r>
    <x v="1"/>
    <x v="4"/>
    <x v="2"/>
    <x v="0"/>
    <x v="0"/>
    <n v="36775.45"/>
    <x v="0"/>
    <x v="0"/>
  </r>
  <r>
    <x v="1"/>
    <x v="4"/>
    <x v="2"/>
    <x v="0"/>
    <x v="0"/>
    <n v="49512.11"/>
    <x v="0"/>
    <x v="0"/>
  </r>
  <r>
    <x v="1"/>
    <x v="4"/>
    <x v="3"/>
    <x v="0"/>
    <x v="0"/>
    <n v="170063.55"/>
    <x v="0"/>
    <x v="0"/>
  </r>
  <r>
    <x v="1"/>
    <x v="4"/>
    <x v="2"/>
    <x v="0"/>
    <x v="0"/>
    <n v="88510.71"/>
    <x v="0"/>
    <x v="0"/>
  </r>
  <r>
    <x v="1"/>
    <x v="4"/>
    <x v="3"/>
    <x v="0"/>
    <x v="0"/>
    <n v="116197.94"/>
    <x v="0"/>
    <x v="0"/>
  </r>
  <r>
    <x v="1"/>
    <x v="4"/>
    <x v="3"/>
    <x v="0"/>
    <x v="0"/>
    <n v="193954.94"/>
    <x v="0"/>
    <x v="0"/>
  </r>
  <r>
    <x v="1"/>
    <x v="4"/>
    <x v="2"/>
    <x v="0"/>
    <x v="0"/>
    <n v="94841.38"/>
    <x v="0"/>
    <x v="0"/>
  </r>
  <r>
    <x v="1"/>
    <x v="4"/>
    <x v="3"/>
    <x v="0"/>
    <x v="0"/>
    <n v="275712.54"/>
    <x v="0"/>
    <x v="0"/>
  </r>
  <r>
    <x v="1"/>
    <x v="4"/>
    <x v="2"/>
    <x v="0"/>
    <x v="0"/>
    <n v="38978.32"/>
    <x v="0"/>
    <x v="0"/>
  </r>
  <r>
    <x v="1"/>
    <x v="4"/>
    <x v="2"/>
    <x v="0"/>
    <x v="0"/>
    <n v="63116.69"/>
    <x v="0"/>
    <x v="0"/>
  </r>
  <r>
    <x v="1"/>
    <x v="4"/>
    <x v="2"/>
    <x v="0"/>
    <x v="0"/>
    <n v="28652.4"/>
    <x v="0"/>
    <x v="0"/>
  </r>
  <r>
    <x v="1"/>
    <x v="4"/>
    <x v="3"/>
    <x v="0"/>
    <x v="0"/>
    <n v="391970.1"/>
    <x v="0"/>
    <x v="0"/>
  </r>
  <r>
    <x v="1"/>
    <x v="4"/>
    <x v="3"/>
    <x v="0"/>
    <x v="0"/>
    <n v="157570.4"/>
    <x v="0"/>
    <x v="0"/>
  </r>
  <r>
    <x v="1"/>
    <x v="4"/>
    <x v="3"/>
    <x v="0"/>
    <x v="0"/>
    <n v="152991.7"/>
    <x v="0"/>
    <x v="0"/>
  </r>
  <r>
    <x v="1"/>
    <x v="4"/>
    <x v="3"/>
    <x v="0"/>
    <x v="0"/>
    <n v="252555.37"/>
    <x v="0"/>
    <x v="0"/>
  </r>
  <r>
    <x v="1"/>
    <x v="4"/>
    <x v="3"/>
    <x v="0"/>
    <x v="0"/>
    <n v="143669.66"/>
    <x v="0"/>
    <x v="0"/>
  </r>
  <r>
    <x v="1"/>
    <x v="4"/>
    <x v="2"/>
    <x v="0"/>
    <x v="0"/>
    <n v="77711.94"/>
    <x v="0"/>
    <x v="0"/>
  </r>
  <r>
    <x v="1"/>
    <x v="4"/>
    <x v="2"/>
    <x v="0"/>
    <x v="0"/>
    <n v="81687.69"/>
    <x v="0"/>
    <x v="0"/>
  </r>
  <r>
    <x v="1"/>
    <x v="4"/>
    <x v="3"/>
    <x v="0"/>
    <x v="0"/>
    <n v="211454.31"/>
    <x v="0"/>
    <x v="0"/>
  </r>
  <r>
    <x v="1"/>
    <x v="4"/>
    <x v="2"/>
    <x v="0"/>
    <x v="0"/>
    <n v="70396.7"/>
    <x v="0"/>
    <x v="0"/>
  </r>
  <r>
    <x v="1"/>
    <x v="4"/>
    <x v="2"/>
    <x v="0"/>
    <x v="0"/>
    <n v="87551.31"/>
    <x v="0"/>
    <x v="0"/>
  </r>
  <r>
    <x v="1"/>
    <x v="4"/>
    <x v="2"/>
    <x v="0"/>
    <x v="0"/>
    <n v="70060.61"/>
    <x v="0"/>
    <x v="0"/>
  </r>
  <r>
    <x v="1"/>
    <x v="4"/>
    <x v="3"/>
    <x v="0"/>
    <x v="0"/>
    <n v="119084.3"/>
    <x v="0"/>
    <x v="0"/>
  </r>
  <r>
    <x v="1"/>
    <x v="4"/>
    <x v="2"/>
    <x v="0"/>
    <x v="0"/>
    <n v="63590.82"/>
    <x v="0"/>
    <x v="0"/>
  </r>
  <r>
    <x v="1"/>
    <x v="4"/>
    <x v="3"/>
    <x v="0"/>
    <x v="0"/>
    <n v="124919.54"/>
    <x v="0"/>
    <x v="0"/>
  </r>
  <r>
    <x v="1"/>
    <x v="4"/>
    <x v="3"/>
    <x v="0"/>
    <x v="0"/>
    <n v="481106.85"/>
    <x v="0"/>
    <x v="0"/>
  </r>
  <r>
    <x v="1"/>
    <x v="4"/>
    <x v="2"/>
    <x v="0"/>
    <x v="0"/>
    <n v="54664.96"/>
    <x v="0"/>
    <x v="0"/>
  </r>
  <r>
    <x v="1"/>
    <x v="4"/>
    <x v="2"/>
    <x v="0"/>
    <x v="0"/>
    <n v="56316.65"/>
    <x v="0"/>
    <x v="0"/>
  </r>
  <r>
    <x v="1"/>
    <x v="4"/>
    <x v="0"/>
    <x v="0"/>
    <x v="0"/>
    <n v="9638.88"/>
    <x v="0"/>
    <x v="0"/>
  </r>
  <r>
    <x v="1"/>
    <x v="4"/>
    <x v="2"/>
    <x v="0"/>
    <x v="0"/>
    <n v="79346.19"/>
    <x v="0"/>
    <x v="0"/>
  </r>
  <r>
    <x v="1"/>
    <x v="4"/>
    <x v="2"/>
    <x v="0"/>
    <x v="0"/>
    <n v="54168.83"/>
    <x v="0"/>
    <x v="0"/>
  </r>
  <r>
    <x v="1"/>
    <x v="4"/>
    <x v="2"/>
    <x v="0"/>
    <x v="0"/>
    <n v="93187.96"/>
    <x v="0"/>
    <x v="0"/>
  </r>
  <r>
    <x v="1"/>
    <x v="4"/>
    <x v="3"/>
    <x v="0"/>
    <x v="0"/>
    <n v="139740.04"/>
    <x v="0"/>
    <x v="0"/>
  </r>
  <r>
    <x v="1"/>
    <x v="4"/>
    <x v="3"/>
    <x v="0"/>
    <x v="0"/>
    <n v="132890.64"/>
    <x v="0"/>
    <x v="0"/>
  </r>
  <r>
    <x v="1"/>
    <x v="4"/>
    <x v="2"/>
    <x v="0"/>
    <x v="0"/>
    <n v="31876.77"/>
    <x v="0"/>
    <x v="0"/>
  </r>
  <r>
    <x v="1"/>
    <x v="4"/>
    <x v="3"/>
    <x v="0"/>
    <x v="0"/>
    <n v="212291.34"/>
    <x v="0"/>
    <x v="0"/>
  </r>
  <r>
    <x v="1"/>
    <x v="4"/>
    <x v="3"/>
    <x v="0"/>
    <x v="0"/>
    <n v="103835.15"/>
    <x v="0"/>
    <x v="0"/>
  </r>
  <r>
    <x v="1"/>
    <x v="4"/>
    <x v="2"/>
    <x v="0"/>
    <x v="0"/>
    <n v="67997.07"/>
    <x v="0"/>
    <x v="0"/>
  </r>
  <r>
    <x v="1"/>
    <x v="4"/>
    <x v="3"/>
    <x v="0"/>
    <x v="0"/>
    <n v="123950.2"/>
    <x v="0"/>
    <x v="0"/>
  </r>
  <r>
    <x v="1"/>
    <x v="4"/>
    <x v="3"/>
    <x v="0"/>
    <x v="0"/>
    <n v="313452.48"/>
    <x v="0"/>
    <x v="0"/>
  </r>
  <r>
    <x v="1"/>
    <x v="4"/>
    <x v="3"/>
    <x v="0"/>
    <x v="0"/>
    <n v="168681.06"/>
    <x v="0"/>
    <x v="0"/>
  </r>
  <r>
    <x v="1"/>
    <x v="4"/>
    <x v="3"/>
    <x v="0"/>
    <x v="0"/>
    <n v="160370.33"/>
    <x v="0"/>
    <x v="0"/>
  </r>
  <r>
    <x v="1"/>
    <x v="0"/>
    <x v="2"/>
    <x v="0"/>
    <x v="0"/>
    <n v="10324.3"/>
    <x v="0"/>
    <x v="0"/>
  </r>
  <r>
    <x v="1"/>
    <x v="0"/>
    <x v="2"/>
    <x v="0"/>
    <x v="0"/>
    <n v="24953.83"/>
    <x v="0"/>
    <x v="0"/>
  </r>
  <r>
    <x v="1"/>
    <x v="3"/>
    <x v="0"/>
    <x v="0"/>
    <x v="0"/>
    <n v="7257.37"/>
    <x v="0"/>
    <x v="0"/>
  </r>
  <r>
    <x v="1"/>
    <x v="2"/>
    <x v="3"/>
    <x v="0"/>
    <x v="0"/>
    <n v="101226.51"/>
    <x v="0"/>
    <x v="0"/>
  </r>
  <r>
    <x v="1"/>
    <x v="0"/>
    <x v="0"/>
    <x v="0"/>
    <x v="0"/>
    <n v="3382.36"/>
    <x v="0"/>
    <x v="0"/>
  </r>
  <r>
    <x v="1"/>
    <x v="3"/>
    <x v="0"/>
    <x v="0"/>
    <x v="0"/>
    <n v="6459.82"/>
    <x v="0"/>
    <x v="0"/>
  </r>
  <r>
    <x v="1"/>
    <x v="0"/>
    <x v="0"/>
    <x v="0"/>
    <x v="0"/>
    <n v="2678.1"/>
    <x v="0"/>
    <x v="0"/>
  </r>
  <r>
    <x v="1"/>
    <x v="1"/>
    <x v="3"/>
    <x v="0"/>
    <x v="0"/>
    <n v="365254.36"/>
    <x v="0"/>
    <x v="0"/>
  </r>
  <r>
    <x v="1"/>
    <x v="0"/>
    <x v="2"/>
    <x v="0"/>
    <x v="0"/>
    <n v="10625.49"/>
    <x v="0"/>
    <x v="0"/>
  </r>
  <r>
    <x v="1"/>
    <x v="3"/>
    <x v="0"/>
    <x v="0"/>
    <x v="0"/>
    <n v="5230.89"/>
    <x v="0"/>
    <x v="0"/>
  </r>
  <r>
    <x v="1"/>
    <x v="0"/>
    <x v="2"/>
    <x v="0"/>
    <x v="0"/>
    <n v="31958.09"/>
    <x v="0"/>
    <x v="0"/>
  </r>
  <r>
    <x v="1"/>
    <x v="0"/>
    <x v="0"/>
    <x v="0"/>
    <x v="0"/>
    <n v="2449.65"/>
    <x v="0"/>
    <x v="0"/>
  </r>
  <r>
    <x v="1"/>
    <x v="0"/>
    <x v="0"/>
    <x v="0"/>
    <x v="0"/>
    <n v="6723.8"/>
    <x v="0"/>
    <x v="0"/>
  </r>
  <r>
    <x v="1"/>
    <x v="0"/>
    <x v="0"/>
    <x v="0"/>
    <x v="0"/>
    <n v="1327.37"/>
    <x v="0"/>
    <x v="0"/>
  </r>
  <r>
    <x v="1"/>
    <x v="0"/>
    <x v="2"/>
    <x v="0"/>
    <x v="0"/>
    <n v="11000.73"/>
    <x v="0"/>
    <x v="0"/>
  </r>
  <r>
    <x v="1"/>
    <x v="0"/>
    <x v="0"/>
    <x v="0"/>
    <x v="0"/>
    <n v="1576.82"/>
    <x v="0"/>
    <x v="0"/>
  </r>
  <r>
    <x v="1"/>
    <x v="0"/>
    <x v="2"/>
    <x v="0"/>
    <x v="0"/>
    <n v="14229.35"/>
    <x v="0"/>
    <x v="0"/>
  </r>
  <r>
    <x v="1"/>
    <x v="0"/>
    <x v="0"/>
    <x v="0"/>
    <x v="0"/>
    <n v="2280.09"/>
    <x v="0"/>
    <x v="0"/>
  </r>
  <r>
    <x v="1"/>
    <x v="1"/>
    <x v="3"/>
    <x v="0"/>
    <x v="0"/>
    <n v="108157.51"/>
    <x v="0"/>
    <x v="0"/>
  </r>
  <r>
    <x v="1"/>
    <x v="0"/>
    <x v="2"/>
    <x v="0"/>
    <x v="0"/>
    <n v="10909.31"/>
    <x v="0"/>
    <x v="0"/>
  </r>
  <r>
    <x v="1"/>
    <x v="0"/>
    <x v="0"/>
    <x v="0"/>
    <x v="0"/>
    <n v="3236.42"/>
    <x v="0"/>
    <x v="0"/>
  </r>
  <r>
    <x v="1"/>
    <x v="0"/>
    <x v="0"/>
    <x v="0"/>
    <x v="0"/>
    <n v="2153.63"/>
    <x v="0"/>
    <x v="0"/>
  </r>
  <r>
    <x v="1"/>
    <x v="0"/>
    <x v="2"/>
    <x v="0"/>
    <x v="0"/>
    <n v="15803.6"/>
    <x v="0"/>
    <x v="0"/>
  </r>
  <r>
    <x v="1"/>
    <x v="0"/>
    <x v="0"/>
    <x v="0"/>
    <x v="0"/>
    <n v="2040.71"/>
    <x v="0"/>
    <x v="0"/>
  </r>
  <r>
    <x v="1"/>
    <x v="0"/>
    <x v="2"/>
    <x v="0"/>
    <x v="0"/>
    <n v="10693.28"/>
    <x v="0"/>
    <x v="0"/>
  </r>
  <r>
    <x v="1"/>
    <x v="0"/>
    <x v="2"/>
    <x v="0"/>
    <x v="0"/>
    <n v="13651.49"/>
    <x v="0"/>
    <x v="0"/>
  </r>
  <r>
    <x v="1"/>
    <x v="0"/>
    <x v="0"/>
    <x v="0"/>
    <x v="0"/>
    <n v="5954.41"/>
    <x v="0"/>
    <x v="0"/>
  </r>
  <r>
    <x v="1"/>
    <x v="0"/>
    <x v="0"/>
    <x v="0"/>
    <x v="0"/>
    <n v="3493.65"/>
    <x v="0"/>
    <x v="0"/>
  </r>
  <r>
    <x v="1"/>
    <x v="0"/>
    <x v="0"/>
    <x v="0"/>
    <x v="0"/>
    <n v="7699.52"/>
    <x v="0"/>
    <x v="0"/>
  </r>
  <r>
    <x v="1"/>
    <x v="0"/>
    <x v="0"/>
    <x v="0"/>
    <x v="0"/>
    <n v="1612.26"/>
    <x v="0"/>
    <x v="0"/>
  </r>
  <r>
    <x v="1"/>
    <x v="0"/>
    <x v="0"/>
    <x v="0"/>
    <x v="0"/>
    <n v="3000.33"/>
    <x v="0"/>
    <x v="0"/>
  </r>
  <r>
    <x v="1"/>
    <x v="0"/>
    <x v="0"/>
    <x v="0"/>
    <x v="0"/>
    <n v="5898.58"/>
    <x v="0"/>
    <x v="0"/>
  </r>
  <r>
    <x v="1"/>
    <x v="0"/>
    <x v="0"/>
    <x v="0"/>
    <x v="0"/>
    <n v="6490.35"/>
    <x v="0"/>
    <x v="0"/>
  </r>
  <r>
    <x v="1"/>
    <x v="0"/>
    <x v="0"/>
    <x v="0"/>
    <x v="0"/>
    <n v="2388.04"/>
    <x v="0"/>
    <x v="0"/>
  </r>
  <r>
    <x v="1"/>
    <x v="0"/>
    <x v="0"/>
    <x v="0"/>
    <x v="0"/>
    <n v="5398.19"/>
    <x v="0"/>
    <x v="0"/>
  </r>
  <r>
    <x v="1"/>
    <x v="0"/>
    <x v="0"/>
    <x v="0"/>
    <x v="0"/>
    <n v="7201.74"/>
    <x v="0"/>
    <x v="0"/>
  </r>
  <r>
    <x v="1"/>
    <x v="0"/>
    <x v="2"/>
    <x v="0"/>
    <x v="0"/>
    <n v="12882.91"/>
    <x v="0"/>
    <x v="0"/>
  </r>
  <r>
    <x v="1"/>
    <x v="4"/>
    <x v="2"/>
    <x v="0"/>
    <x v="0"/>
    <n v="71045.05"/>
    <x v="0"/>
    <x v="0"/>
  </r>
  <r>
    <x v="1"/>
    <x v="0"/>
    <x v="0"/>
    <x v="0"/>
    <x v="0"/>
    <n v="5769.55"/>
    <x v="0"/>
    <x v="0"/>
  </r>
  <r>
    <x v="1"/>
    <x v="0"/>
    <x v="0"/>
    <x v="0"/>
    <x v="0"/>
    <n v="9633.82"/>
    <x v="0"/>
    <x v="0"/>
  </r>
  <r>
    <x v="1"/>
    <x v="0"/>
    <x v="0"/>
    <x v="0"/>
    <x v="0"/>
    <n v="7094.53"/>
    <x v="0"/>
    <x v="0"/>
  </r>
  <r>
    <x v="1"/>
    <x v="0"/>
    <x v="2"/>
    <x v="0"/>
    <x v="0"/>
    <n v="12710.27"/>
    <x v="0"/>
    <x v="0"/>
  </r>
  <r>
    <x v="1"/>
    <x v="0"/>
    <x v="2"/>
    <x v="0"/>
    <x v="0"/>
    <n v="15630"/>
    <x v="0"/>
    <x v="0"/>
  </r>
  <r>
    <x v="1"/>
    <x v="0"/>
    <x v="1"/>
    <x v="0"/>
    <x v="0"/>
    <n v="906.96"/>
    <x v="0"/>
    <x v="0"/>
  </r>
  <r>
    <x v="1"/>
    <x v="0"/>
    <x v="1"/>
    <x v="0"/>
    <x v="0"/>
    <n v="626.6"/>
    <x v="0"/>
    <x v="0"/>
  </r>
  <r>
    <x v="1"/>
    <x v="0"/>
    <x v="1"/>
    <x v="0"/>
    <x v="0"/>
    <n v="150.35"/>
    <x v="0"/>
    <x v="0"/>
  </r>
  <r>
    <x v="1"/>
    <x v="0"/>
    <x v="2"/>
    <x v="0"/>
    <x v="0"/>
    <n v="16811.1"/>
    <x v="0"/>
    <x v="0"/>
  </r>
  <r>
    <x v="1"/>
    <x v="0"/>
    <x v="0"/>
    <x v="0"/>
    <x v="0"/>
    <n v="9707.6"/>
    <x v="0"/>
    <x v="0"/>
  </r>
  <r>
    <x v="1"/>
    <x v="3"/>
    <x v="0"/>
    <x v="0"/>
    <x v="0"/>
    <n v="3882.8"/>
    <x v="0"/>
    <x v="0"/>
  </r>
  <r>
    <x v="1"/>
    <x v="0"/>
    <x v="0"/>
    <x v="0"/>
    <x v="0"/>
    <n v="8545.5"/>
    <x v="0"/>
    <x v="0"/>
  </r>
  <r>
    <x v="1"/>
    <x v="0"/>
    <x v="0"/>
    <x v="0"/>
    <x v="0"/>
    <n v="6373.61"/>
    <x v="0"/>
    <x v="0"/>
  </r>
  <r>
    <x v="1"/>
    <x v="2"/>
    <x v="0"/>
    <x v="0"/>
    <x v="0"/>
    <n v="9255.25"/>
    <x v="0"/>
    <x v="0"/>
  </r>
  <r>
    <x v="1"/>
    <x v="2"/>
    <x v="2"/>
    <x v="0"/>
    <x v="0"/>
    <n v="36361.34"/>
    <x v="0"/>
    <x v="0"/>
  </r>
  <r>
    <x v="1"/>
    <x v="2"/>
    <x v="2"/>
    <x v="0"/>
    <x v="0"/>
    <n v="68968.25"/>
    <x v="0"/>
    <x v="0"/>
  </r>
  <r>
    <x v="1"/>
    <x v="2"/>
    <x v="0"/>
    <x v="0"/>
    <x v="0"/>
    <n v="8760.71"/>
    <x v="0"/>
    <x v="0"/>
  </r>
  <r>
    <x v="1"/>
    <x v="2"/>
    <x v="2"/>
    <x v="0"/>
    <x v="0"/>
    <n v="18672.02"/>
    <x v="0"/>
    <x v="0"/>
  </r>
  <r>
    <x v="1"/>
    <x v="2"/>
    <x v="2"/>
    <x v="0"/>
    <x v="0"/>
    <n v="93793.88"/>
    <x v="0"/>
    <x v="0"/>
  </r>
  <r>
    <x v="1"/>
    <x v="2"/>
    <x v="2"/>
    <x v="0"/>
    <x v="0"/>
    <n v="51630.01"/>
    <x v="0"/>
    <x v="0"/>
  </r>
  <r>
    <x v="1"/>
    <x v="2"/>
    <x v="2"/>
    <x v="0"/>
    <x v="0"/>
    <n v="30095.32"/>
    <x v="0"/>
    <x v="0"/>
  </r>
  <r>
    <x v="1"/>
    <x v="2"/>
    <x v="3"/>
    <x v="0"/>
    <x v="0"/>
    <n v="214983.83"/>
    <x v="0"/>
    <x v="0"/>
  </r>
  <r>
    <x v="1"/>
    <x v="2"/>
    <x v="3"/>
    <x v="0"/>
    <x v="0"/>
    <n v="295143.53"/>
    <x v="0"/>
    <x v="0"/>
  </r>
  <r>
    <x v="1"/>
    <x v="2"/>
    <x v="3"/>
    <x v="0"/>
    <x v="0"/>
    <n v="454775.22"/>
    <x v="0"/>
    <x v="0"/>
  </r>
  <r>
    <x v="1"/>
    <x v="2"/>
    <x v="3"/>
    <x v="0"/>
    <x v="0"/>
    <n v="341122.21"/>
    <x v="0"/>
    <x v="0"/>
  </r>
  <r>
    <x v="1"/>
    <x v="0"/>
    <x v="0"/>
    <x v="0"/>
    <x v="0"/>
    <n v="5352.59"/>
    <x v="0"/>
    <x v="0"/>
  </r>
  <r>
    <x v="1"/>
    <x v="0"/>
    <x v="0"/>
    <x v="0"/>
    <x v="0"/>
    <n v="3847.78"/>
    <x v="0"/>
    <x v="0"/>
  </r>
  <r>
    <x v="1"/>
    <x v="0"/>
    <x v="1"/>
    <x v="0"/>
    <x v="0"/>
    <n v="925.63"/>
    <x v="0"/>
    <x v="0"/>
  </r>
  <r>
    <x v="1"/>
    <x v="0"/>
    <x v="0"/>
    <x v="0"/>
    <x v="0"/>
    <n v="8024.95"/>
    <x v="0"/>
    <x v="0"/>
  </r>
  <r>
    <x v="1"/>
    <x v="0"/>
    <x v="2"/>
    <x v="0"/>
    <x v="0"/>
    <n v="11378.85"/>
    <x v="0"/>
    <x v="0"/>
  </r>
  <r>
    <x v="1"/>
    <x v="0"/>
    <x v="2"/>
    <x v="0"/>
    <x v="0"/>
    <n v="10994.82"/>
    <x v="0"/>
    <x v="0"/>
  </r>
  <r>
    <x v="1"/>
    <x v="0"/>
    <x v="0"/>
    <x v="0"/>
    <x v="0"/>
    <n v="3414.39"/>
    <x v="0"/>
    <x v="0"/>
  </r>
  <r>
    <x v="1"/>
    <x v="0"/>
    <x v="0"/>
    <x v="0"/>
    <x v="0"/>
    <n v="1958.03"/>
    <x v="0"/>
    <x v="0"/>
  </r>
  <r>
    <x v="1"/>
    <x v="2"/>
    <x v="3"/>
    <x v="0"/>
    <x v="0"/>
    <n v="312856"/>
    <x v="0"/>
    <x v="0"/>
  </r>
  <r>
    <x v="1"/>
    <x v="0"/>
    <x v="0"/>
    <x v="0"/>
    <x v="0"/>
    <n v="1563.69"/>
    <x v="0"/>
    <x v="0"/>
  </r>
  <r>
    <x v="1"/>
    <x v="0"/>
    <x v="1"/>
    <x v="0"/>
    <x v="0"/>
    <n v="580.51"/>
    <x v="0"/>
    <x v="0"/>
  </r>
  <r>
    <x v="1"/>
    <x v="0"/>
    <x v="0"/>
    <x v="0"/>
    <x v="0"/>
    <n v="1156.11"/>
    <x v="0"/>
    <x v="0"/>
  </r>
  <r>
    <x v="1"/>
    <x v="3"/>
    <x v="0"/>
    <x v="0"/>
    <x v="0"/>
    <n v="3462.64"/>
    <x v="0"/>
    <x v="0"/>
  </r>
  <r>
    <x v="1"/>
    <x v="0"/>
    <x v="0"/>
    <x v="0"/>
    <x v="0"/>
    <n v="1666.17"/>
    <x v="0"/>
    <x v="0"/>
  </r>
  <r>
    <x v="1"/>
    <x v="2"/>
    <x v="2"/>
    <x v="0"/>
    <x v="0"/>
    <n v="94658.15"/>
    <x v="0"/>
    <x v="0"/>
  </r>
  <r>
    <x v="1"/>
    <x v="2"/>
    <x v="2"/>
    <x v="0"/>
    <x v="0"/>
    <n v="68588.88"/>
    <x v="0"/>
    <x v="0"/>
  </r>
  <r>
    <x v="1"/>
    <x v="2"/>
    <x v="3"/>
    <x v="0"/>
    <x v="0"/>
    <n v="132382.57"/>
    <x v="0"/>
    <x v="0"/>
  </r>
  <r>
    <x v="1"/>
    <x v="1"/>
    <x v="3"/>
    <x v="0"/>
    <x v="0"/>
    <n v="148688.71"/>
    <x v="0"/>
    <x v="0"/>
  </r>
  <r>
    <x v="1"/>
    <x v="0"/>
    <x v="0"/>
    <x v="0"/>
    <x v="0"/>
    <n v="1860.2"/>
    <x v="0"/>
    <x v="0"/>
  </r>
  <r>
    <x v="1"/>
    <x v="0"/>
    <x v="2"/>
    <x v="0"/>
    <x v="0"/>
    <n v="10819.89"/>
    <x v="0"/>
    <x v="0"/>
  </r>
  <r>
    <x v="1"/>
    <x v="0"/>
    <x v="0"/>
    <x v="0"/>
    <x v="0"/>
    <n v="3535.73"/>
    <x v="0"/>
    <x v="0"/>
  </r>
  <r>
    <x v="1"/>
    <x v="0"/>
    <x v="0"/>
    <x v="0"/>
    <x v="0"/>
    <n v="2739.8"/>
    <x v="0"/>
    <x v="0"/>
  </r>
  <r>
    <x v="1"/>
    <x v="0"/>
    <x v="0"/>
    <x v="0"/>
    <x v="0"/>
    <n v="7611.48"/>
    <x v="0"/>
    <x v="0"/>
  </r>
  <r>
    <x v="1"/>
    <x v="0"/>
    <x v="0"/>
    <x v="0"/>
    <x v="0"/>
    <n v="5567.54"/>
    <x v="0"/>
    <x v="0"/>
  </r>
  <r>
    <x v="1"/>
    <x v="0"/>
    <x v="0"/>
    <x v="0"/>
    <x v="0"/>
    <n v="1946.14"/>
    <x v="0"/>
    <x v="0"/>
  </r>
  <r>
    <x v="1"/>
    <x v="0"/>
    <x v="0"/>
    <x v="0"/>
    <x v="0"/>
    <n v="1413.15"/>
    <x v="0"/>
    <x v="0"/>
  </r>
  <r>
    <x v="1"/>
    <x v="0"/>
    <x v="2"/>
    <x v="0"/>
    <x v="0"/>
    <n v="36622.73"/>
    <x v="0"/>
    <x v="0"/>
  </r>
  <r>
    <x v="1"/>
    <x v="0"/>
    <x v="0"/>
    <x v="0"/>
    <x v="0"/>
    <n v="5222.53"/>
    <x v="0"/>
    <x v="0"/>
  </r>
  <r>
    <x v="1"/>
    <x v="0"/>
    <x v="0"/>
    <x v="0"/>
    <x v="0"/>
    <n v="4153.3"/>
    <x v="0"/>
    <x v="0"/>
  </r>
  <r>
    <x v="1"/>
    <x v="0"/>
    <x v="2"/>
    <x v="0"/>
    <x v="0"/>
    <n v="16473.03"/>
    <x v="0"/>
    <x v="0"/>
  </r>
  <r>
    <x v="1"/>
    <x v="0"/>
    <x v="0"/>
    <x v="0"/>
    <x v="0"/>
    <n v="1863.03"/>
    <x v="0"/>
    <x v="0"/>
  </r>
  <r>
    <x v="1"/>
    <x v="0"/>
    <x v="2"/>
    <x v="0"/>
    <x v="0"/>
    <n v="20461.89"/>
    <x v="0"/>
    <x v="0"/>
  </r>
  <r>
    <x v="1"/>
    <x v="0"/>
    <x v="0"/>
    <x v="0"/>
    <x v="0"/>
    <n v="7676.41"/>
    <x v="0"/>
    <x v="0"/>
  </r>
  <r>
    <x v="1"/>
    <x v="0"/>
    <x v="0"/>
    <x v="0"/>
    <x v="0"/>
    <n v="2531.09"/>
    <x v="0"/>
    <x v="0"/>
  </r>
  <r>
    <x v="1"/>
    <x v="0"/>
    <x v="0"/>
    <x v="0"/>
    <x v="0"/>
    <n v="6183.46"/>
    <x v="0"/>
    <x v="0"/>
  </r>
  <r>
    <x v="1"/>
    <x v="0"/>
    <x v="2"/>
    <x v="0"/>
    <x v="0"/>
    <n v="20442.39"/>
    <x v="0"/>
    <x v="0"/>
  </r>
  <r>
    <x v="1"/>
    <x v="0"/>
    <x v="0"/>
    <x v="0"/>
    <x v="0"/>
    <n v="8596.25"/>
    <x v="0"/>
    <x v="0"/>
  </r>
  <r>
    <x v="1"/>
    <x v="0"/>
    <x v="0"/>
    <x v="0"/>
    <x v="0"/>
    <n v="9657.66"/>
    <x v="0"/>
    <x v="0"/>
  </r>
  <r>
    <x v="1"/>
    <x v="1"/>
    <x v="4"/>
    <x v="1"/>
    <x v="0"/>
    <n v="1096187.24"/>
    <x v="1"/>
    <x v="10"/>
  </r>
  <r>
    <x v="1"/>
    <x v="2"/>
    <x v="4"/>
    <x v="1"/>
    <x v="0"/>
    <n v="1096187.24"/>
    <x v="1"/>
    <x v="10"/>
  </r>
  <r>
    <x v="1"/>
    <x v="0"/>
    <x v="0"/>
    <x v="0"/>
    <x v="0"/>
    <n v="9914.5"/>
    <x v="0"/>
    <x v="0"/>
  </r>
  <r>
    <x v="1"/>
    <x v="0"/>
    <x v="0"/>
    <x v="0"/>
    <x v="0"/>
    <n v="7182"/>
    <x v="0"/>
    <x v="0"/>
  </r>
  <r>
    <x v="1"/>
    <x v="0"/>
    <x v="2"/>
    <x v="0"/>
    <x v="0"/>
    <n v="22228.5"/>
    <x v="0"/>
    <x v="0"/>
  </r>
  <r>
    <x v="1"/>
    <x v="0"/>
    <x v="1"/>
    <x v="0"/>
    <x v="0"/>
    <n v="117.32"/>
    <x v="0"/>
    <x v="0"/>
  </r>
  <r>
    <x v="1"/>
    <x v="3"/>
    <x v="0"/>
    <x v="0"/>
    <x v="0"/>
    <n v="1225.92"/>
    <x v="0"/>
    <x v="0"/>
  </r>
  <r>
    <x v="1"/>
    <x v="0"/>
    <x v="0"/>
    <x v="0"/>
    <x v="0"/>
    <n v="2986.97"/>
    <x v="0"/>
    <x v="0"/>
  </r>
  <r>
    <x v="1"/>
    <x v="3"/>
    <x v="0"/>
    <x v="0"/>
    <x v="0"/>
    <n v="1890.03"/>
    <x v="0"/>
    <x v="0"/>
  </r>
  <r>
    <x v="1"/>
    <x v="2"/>
    <x v="3"/>
    <x v="0"/>
    <x v="0"/>
    <n v="108659.34"/>
    <x v="0"/>
    <x v="0"/>
  </r>
  <r>
    <x v="1"/>
    <x v="0"/>
    <x v="0"/>
    <x v="0"/>
    <x v="0"/>
    <n v="5966.29"/>
    <x v="0"/>
    <x v="0"/>
  </r>
  <r>
    <x v="1"/>
    <x v="0"/>
    <x v="0"/>
    <x v="0"/>
    <x v="0"/>
    <n v="7810.47"/>
    <x v="0"/>
    <x v="0"/>
  </r>
  <r>
    <x v="1"/>
    <x v="3"/>
    <x v="0"/>
    <x v="0"/>
    <x v="0"/>
    <n v="2307.78"/>
    <x v="0"/>
    <x v="0"/>
  </r>
  <r>
    <x v="1"/>
    <x v="2"/>
    <x v="2"/>
    <x v="0"/>
    <x v="0"/>
    <n v="97601.12"/>
    <x v="0"/>
    <x v="0"/>
  </r>
  <r>
    <x v="1"/>
    <x v="2"/>
    <x v="2"/>
    <x v="0"/>
    <x v="0"/>
    <n v="48183.1"/>
    <x v="0"/>
    <x v="0"/>
  </r>
  <r>
    <x v="1"/>
    <x v="2"/>
    <x v="2"/>
    <x v="0"/>
    <x v="0"/>
    <n v="96785.24"/>
    <x v="0"/>
    <x v="0"/>
  </r>
  <r>
    <x v="1"/>
    <x v="2"/>
    <x v="3"/>
    <x v="0"/>
    <x v="0"/>
    <n v="256481.7"/>
    <x v="0"/>
    <x v="0"/>
  </r>
  <r>
    <x v="1"/>
    <x v="2"/>
    <x v="2"/>
    <x v="0"/>
    <x v="0"/>
    <n v="37493.87"/>
    <x v="0"/>
    <x v="0"/>
  </r>
  <r>
    <x v="1"/>
    <x v="2"/>
    <x v="2"/>
    <x v="0"/>
    <x v="0"/>
    <n v="58981.28"/>
    <x v="0"/>
    <x v="0"/>
  </r>
  <r>
    <x v="1"/>
    <x v="2"/>
    <x v="3"/>
    <x v="0"/>
    <x v="0"/>
    <n v="293358.03"/>
    <x v="0"/>
    <x v="0"/>
  </r>
  <r>
    <x v="1"/>
    <x v="2"/>
    <x v="3"/>
    <x v="0"/>
    <x v="0"/>
    <n v="108702.86"/>
    <x v="0"/>
    <x v="0"/>
  </r>
  <r>
    <x v="1"/>
    <x v="2"/>
    <x v="3"/>
    <x v="0"/>
    <x v="0"/>
    <n v="210833.38"/>
    <x v="0"/>
    <x v="0"/>
  </r>
  <r>
    <x v="1"/>
    <x v="2"/>
    <x v="3"/>
    <x v="0"/>
    <x v="0"/>
    <n v="106336.36"/>
    <x v="0"/>
    <x v="0"/>
  </r>
  <r>
    <x v="1"/>
    <x v="2"/>
    <x v="3"/>
    <x v="0"/>
    <x v="0"/>
    <n v="163717.43"/>
    <x v="0"/>
    <x v="0"/>
  </r>
  <r>
    <x v="1"/>
    <x v="2"/>
    <x v="3"/>
    <x v="0"/>
    <x v="0"/>
    <n v="280267.65"/>
    <x v="0"/>
    <x v="0"/>
  </r>
  <r>
    <x v="1"/>
    <x v="2"/>
    <x v="3"/>
    <x v="0"/>
    <x v="0"/>
    <n v="381479.99"/>
    <x v="0"/>
    <x v="0"/>
  </r>
  <r>
    <x v="1"/>
    <x v="2"/>
    <x v="3"/>
    <x v="0"/>
    <x v="0"/>
    <n v="194008.39"/>
    <x v="0"/>
    <x v="0"/>
  </r>
  <r>
    <x v="1"/>
    <x v="2"/>
    <x v="3"/>
    <x v="0"/>
    <x v="0"/>
    <n v="178805.23"/>
    <x v="0"/>
    <x v="0"/>
  </r>
  <r>
    <x v="1"/>
    <x v="0"/>
    <x v="1"/>
    <x v="0"/>
    <x v="0"/>
    <n v="385.23"/>
    <x v="0"/>
    <x v="0"/>
  </r>
  <r>
    <x v="1"/>
    <x v="0"/>
    <x v="2"/>
    <x v="0"/>
    <x v="0"/>
    <n v="14925.71"/>
    <x v="0"/>
    <x v="0"/>
  </r>
  <r>
    <x v="1"/>
    <x v="0"/>
    <x v="0"/>
    <x v="0"/>
    <x v="0"/>
    <n v="5919.22"/>
    <x v="0"/>
    <x v="0"/>
  </r>
  <r>
    <x v="1"/>
    <x v="0"/>
    <x v="2"/>
    <x v="0"/>
    <x v="0"/>
    <n v="11689.02"/>
    <x v="0"/>
    <x v="0"/>
  </r>
  <r>
    <x v="1"/>
    <x v="0"/>
    <x v="0"/>
    <x v="0"/>
    <x v="0"/>
    <n v="6330.85"/>
    <x v="0"/>
    <x v="0"/>
  </r>
  <r>
    <x v="1"/>
    <x v="0"/>
    <x v="0"/>
    <x v="0"/>
    <x v="0"/>
    <n v="6604.34"/>
    <x v="0"/>
    <x v="0"/>
  </r>
  <r>
    <x v="1"/>
    <x v="0"/>
    <x v="2"/>
    <x v="0"/>
    <x v="0"/>
    <n v="10625.75"/>
    <x v="0"/>
    <x v="0"/>
  </r>
  <r>
    <x v="1"/>
    <x v="2"/>
    <x v="2"/>
    <x v="0"/>
    <x v="0"/>
    <n v="74935.58"/>
    <x v="0"/>
    <x v="0"/>
  </r>
  <r>
    <x v="1"/>
    <x v="3"/>
    <x v="0"/>
    <x v="0"/>
    <x v="0"/>
    <n v="3817.82"/>
    <x v="0"/>
    <x v="0"/>
  </r>
  <r>
    <x v="1"/>
    <x v="2"/>
    <x v="2"/>
    <x v="0"/>
    <x v="0"/>
    <n v="69734.12"/>
    <x v="0"/>
    <x v="0"/>
  </r>
  <r>
    <x v="1"/>
    <x v="0"/>
    <x v="2"/>
    <x v="0"/>
    <x v="0"/>
    <n v="10534.49"/>
    <x v="0"/>
    <x v="0"/>
  </r>
  <r>
    <x v="1"/>
    <x v="0"/>
    <x v="0"/>
    <x v="0"/>
    <x v="0"/>
    <n v="4486.69"/>
    <x v="0"/>
    <x v="0"/>
  </r>
  <r>
    <x v="1"/>
    <x v="0"/>
    <x v="0"/>
    <x v="0"/>
    <x v="0"/>
    <n v="8757.09"/>
    <x v="0"/>
    <x v="0"/>
  </r>
  <r>
    <x v="1"/>
    <x v="3"/>
    <x v="0"/>
    <x v="0"/>
    <x v="0"/>
    <n v="1654.94"/>
    <x v="0"/>
    <x v="0"/>
  </r>
  <r>
    <x v="1"/>
    <x v="0"/>
    <x v="0"/>
    <x v="0"/>
    <x v="0"/>
    <n v="1330.7"/>
    <x v="0"/>
    <x v="0"/>
  </r>
  <r>
    <x v="1"/>
    <x v="0"/>
    <x v="1"/>
    <x v="0"/>
    <x v="0"/>
    <n v="778.6"/>
    <x v="0"/>
    <x v="0"/>
  </r>
  <r>
    <x v="1"/>
    <x v="0"/>
    <x v="1"/>
    <x v="0"/>
    <x v="0"/>
    <n v="278.57"/>
    <x v="0"/>
    <x v="0"/>
  </r>
  <r>
    <x v="1"/>
    <x v="0"/>
    <x v="0"/>
    <x v="0"/>
    <x v="0"/>
    <n v="3239.79"/>
    <x v="0"/>
    <x v="0"/>
  </r>
  <r>
    <x v="1"/>
    <x v="0"/>
    <x v="0"/>
    <x v="0"/>
    <x v="0"/>
    <n v="2065.59"/>
    <x v="0"/>
    <x v="0"/>
  </r>
  <r>
    <x v="1"/>
    <x v="0"/>
    <x v="0"/>
    <x v="0"/>
    <x v="0"/>
    <n v="1885.53"/>
    <x v="0"/>
    <x v="0"/>
  </r>
  <r>
    <x v="1"/>
    <x v="2"/>
    <x v="3"/>
    <x v="0"/>
    <x v="0"/>
    <n v="235419.91"/>
    <x v="0"/>
    <x v="0"/>
  </r>
  <r>
    <x v="1"/>
    <x v="4"/>
    <x v="3"/>
    <x v="0"/>
    <x v="0"/>
    <n v="141982.52"/>
    <x v="0"/>
    <x v="0"/>
  </r>
  <r>
    <x v="1"/>
    <x v="0"/>
    <x v="0"/>
    <x v="0"/>
    <x v="0"/>
    <n v="3427.04"/>
    <x v="0"/>
    <x v="0"/>
  </r>
  <r>
    <x v="1"/>
    <x v="0"/>
    <x v="0"/>
    <x v="0"/>
    <x v="0"/>
    <n v="9687.92"/>
    <x v="0"/>
    <x v="0"/>
  </r>
  <r>
    <x v="1"/>
    <x v="0"/>
    <x v="1"/>
    <x v="0"/>
    <x v="0"/>
    <n v="772.01"/>
    <x v="0"/>
    <x v="0"/>
  </r>
  <r>
    <x v="1"/>
    <x v="0"/>
    <x v="1"/>
    <x v="0"/>
    <x v="0"/>
    <n v="898"/>
    <x v="0"/>
    <x v="0"/>
  </r>
  <r>
    <x v="1"/>
    <x v="0"/>
    <x v="0"/>
    <x v="0"/>
    <x v="0"/>
    <n v="4090.83"/>
    <x v="0"/>
    <x v="0"/>
  </r>
  <r>
    <x v="1"/>
    <x v="0"/>
    <x v="0"/>
    <x v="0"/>
    <x v="0"/>
    <n v="3319.89"/>
    <x v="0"/>
    <x v="0"/>
  </r>
  <r>
    <x v="1"/>
    <x v="0"/>
    <x v="2"/>
    <x v="0"/>
    <x v="0"/>
    <n v="16734.5"/>
    <x v="0"/>
    <x v="0"/>
  </r>
  <r>
    <x v="1"/>
    <x v="0"/>
    <x v="2"/>
    <x v="0"/>
    <x v="0"/>
    <n v="10720.07"/>
    <x v="0"/>
    <x v="0"/>
  </r>
  <r>
    <x v="1"/>
    <x v="0"/>
    <x v="2"/>
    <x v="0"/>
    <x v="0"/>
    <n v="12786.76"/>
    <x v="0"/>
    <x v="0"/>
  </r>
  <r>
    <x v="1"/>
    <x v="2"/>
    <x v="2"/>
    <x v="0"/>
    <x v="0"/>
    <n v="71579.52"/>
    <x v="0"/>
    <x v="0"/>
  </r>
  <r>
    <x v="1"/>
    <x v="1"/>
    <x v="3"/>
    <x v="0"/>
    <x v="0"/>
    <n v="203330.05"/>
    <x v="0"/>
    <x v="0"/>
  </r>
  <r>
    <x v="1"/>
    <x v="0"/>
    <x v="1"/>
    <x v="0"/>
    <x v="0"/>
    <n v="486.97"/>
    <x v="0"/>
    <x v="0"/>
  </r>
  <r>
    <x v="1"/>
    <x v="2"/>
    <x v="3"/>
    <x v="0"/>
    <x v="0"/>
    <n v="101485.5"/>
    <x v="0"/>
    <x v="0"/>
  </r>
  <r>
    <x v="1"/>
    <x v="2"/>
    <x v="2"/>
    <x v="0"/>
    <x v="0"/>
    <n v="57908.35"/>
    <x v="0"/>
    <x v="0"/>
  </r>
  <r>
    <x v="1"/>
    <x v="2"/>
    <x v="2"/>
    <x v="0"/>
    <x v="0"/>
    <n v="87732.74"/>
    <x v="0"/>
    <x v="0"/>
  </r>
  <r>
    <x v="1"/>
    <x v="2"/>
    <x v="3"/>
    <x v="0"/>
    <x v="0"/>
    <n v="185611.95"/>
    <x v="0"/>
    <x v="0"/>
  </r>
  <r>
    <x v="1"/>
    <x v="2"/>
    <x v="2"/>
    <x v="0"/>
    <x v="0"/>
    <n v="89412.56"/>
    <x v="0"/>
    <x v="0"/>
  </r>
  <r>
    <x v="1"/>
    <x v="2"/>
    <x v="3"/>
    <x v="0"/>
    <x v="0"/>
    <n v="158406.66"/>
    <x v="0"/>
    <x v="0"/>
  </r>
  <r>
    <x v="1"/>
    <x v="2"/>
    <x v="3"/>
    <x v="0"/>
    <x v="0"/>
    <n v="358456.99"/>
    <x v="0"/>
    <x v="0"/>
  </r>
  <r>
    <x v="1"/>
    <x v="2"/>
    <x v="3"/>
    <x v="0"/>
    <x v="0"/>
    <n v="245091.49"/>
    <x v="0"/>
    <x v="0"/>
  </r>
  <r>
    <x v="1"/>
    <x v="2"/>
    <x v="3"/>
    <x v="0"/>
    <x v="0"/>
    <n v="115800.39"/>
    <x v="0"/>
    <x v="0"/>
  </r>
  <r>
    <x v="1"/>
    <x v="2"/>
    <x v="3"/>
    <x v="0"/>
    <x v="0"/>
    <n v="128357.05"/>
    <x v="0"/>
    <x v="0"/>
  </r>
  <r>
    <x v="1"/>
    <x v="2"/>
    <x v="3"/>
    <x v="0"/>
    <x v="0"/>
    <n v="256624.13"/>
    <x v="0"/>
    <x v="0"/>
  </r>
  <r>
    <x v="1"/>
    <x v="2"/>
    <x v="2"/>
    <x v="0"/>
    <x v="0"/>
    <n v="63057.49"/>
    <x v="0"/>
    <x v="0"/>
  </r>
  <r>
    <x v="1"/>
    <x v="2"/>
    <x v="3"/>
    <x v="0"/>
    <x v="0"/>
    <n v="330334.44"/>
    <x v="0"/>
    <x v="0"/>
  </r>
  <r>
    <x v="1"/>
    <x v="2"/>
    <x v="3"/>
    <x v="0"/>
    <x v="0"/>
    <n v="279843.2"/>
    <x v="0"/>
    <x v="0"/>
  </r>
  <r>
    <x v="1"/>
    <x v="0"/>
    <x v="0"/>
    <x v="0"/>
    <x v="0"/>
    <n v="6473.31"/>
    <x v="0"/>
    <x v="0"/>
  </r>
  <r>
    <x v="1"/>
    <x v="0"/>
    <x v="2"/>
    <x v="0"/>
    <x v="0"/>
    <n v="10399.14"/>
    <x v="0"/>
    <x v="0"/>
  </r>
  <r>
    <x v="1"/>
    <x v="0"/>
    <x v="0"/>
    <x v="0"/>
    <x v="0"/>
    <n v="3580.23"/>
    <x v="0"/>
    <x v="0"/>
  </r>
  <r>
    <x v="1"/>
    <x v="0"/>
    <x v="0"/>
    <x v="0"/>
    <x v="0"/>
    <n v="6531.24"/>
    <x v="0"/>
    <x v="0"/>
  </r>
  <r>
    <x v="1"/>
    <x v="0"/>
    <x v="2"/>
    <x v="0"/>
    <x v="0"/>
    <n v="14462.98"/>
    <x v="0"/>
    <x v="0"/>
  </r>
  <r>
    <x v="1"/>
    <x v="0"/>
    <x v="0"/>
    <x v="0"/>
    <x v="0"/>
    <n v="3489.41"/>
    <x v="0"/>
    <x v="0"/>
  </r>
  <r>
    <x v="1"/>
    <x v="0"/>
    <x v="0"/>
    <x v="0"/>
    <x v="0"/>
    <n v="5822.2"/>
    <x v="0"/>
    <x v="0"/>
  </r>
  <r>
    <x v="1"/>
    <x v="0"/>
    <x v="0"/>
    <x v="0"/>
    <x v="0"/>
    <n v="2768.58"/>
    <x v="0"/>
    <x v="0"/>
  </r>
  <r>
    <x v="1"/>
    <x v="0"/>
    <x v="2"/>
    <x v="0"/>
    <x v="0"/>
    <n v="11559.81"/>
    <x v="0"/>
    <x v="0"/>
  </r>
  <r>
    <x v="1"/>
    <x v="0"/>
    <x v="0"/>
    <x v="0"/>
    <x v="0"/>
    <n v="4706.29"/>
    <x v="0"/>
    <x v="0"/>
  </r>
  <r>
    <x v="1"/>
    <x v="0"/>
    <x v="0"/>
    <x v="0"/>
    <x v="0"/>
    <n v="8216.87"/>
    <x v="0"/>
    <x v="0"/>
  </r>
  <r>
    <x v="1"/>
    <x v="0"/>
    <x v="0"/>
    <x v="0"/>
    <x v="0"/>
    <n v="5122.98"/>
    <x v="0"/>
    <x v="0"/>
  </r>
  <r>
    <x v="1"/>
    <x v="3"/>
    <x v="0"/>
    <x v="0"/>
    <x v="0"/>
    <n v="2744.65"/>
    <x v="0"/>
    <x v="0"/>
  </r>
  <r>
    <x v="1"/>
    <x v="1"/>
    <x v="3"/>
    <x v="0"/>
    <x v="0"/>
    <n v="336413.4"/>
    <x v="0"/>
    <x v="0"/>
  </r>
  <r>
    <x v="1"/>
    <x v="3"/>
    <x v="0"/>
    <x v="0"/>
    <x v="0"/>
    <n v="1053.29"/>
    <x v="0"/>
    <x v="0"/>
  </r>
  <r>
    <x v="1"/>
    <x v="0"/>
    <x v="0"/>
    <x v="0"/>
    <x v="0"/>
    <n v="8886.96"/>
    <x v="0"/>
    <x v="0"/>
  </r>
  <r>
    <x v="1"/>
    <x v="0"/>
    <x v="0"/>
    <x v="0"/>
    <x v="0"/>
    <n v="8543.51"/>
    <x v="0"/>
    <x v="0"/>
  </r>
  <r>
    <x v="1"/>
    <x v="3"/>
    <x v="0"/>
    <x v="0"/>
    <x v="0"/>
    <n v="7481.76"/>
    <x v="0"/>
    <x v="0"/>
  </r>
  <r>
    <x v="1"/>
    <x v="3"/>
    <x v="0"/>
    <x v="0"/>
    <x v="0"/>
    <n v="4198.49"/>
    <x v="0"/>
    <x v="0"/>
  </r>
  <r>
    <x v="1"/>
    <x v="0"/>
    <x v="1"/>
    <x v="0"/>
    <x v="0"/>
    <n v="473.51"/>
    <x v="0"/>
    <x v="0"/>
  </r>
  <r>
    <x v="1"/>
    <x v="0"/>
    <x v="0"/>
    <x v="0"/>
    <x v="0"/>
    <n v="4481.54"/>
    <x v="0"/>
    <x v="0"/>
  </r>
  <r>
    <x v="1"/>
    <x v="1"/>
    <x v="3"/>
    <x v="0"/>
    <x v="0"/>
    <n v="132513.7"/>
    <x v="0"/>
    <x v="0"/>
  </r>
  <r>
    <x v="1"/>
    <x v="3"/>
    <x v="0"/>
    <x v="0"/>
    <x v="0"/>
    <n v="6408.6"/>
    <x v="0"/>
    <x v="0"/>
  </r>
  <r>
    <x v="1"/>
    <x v="0"/>
    <x v="0"/>
    <x v="0"/>
    <x v="0"/>
    <n v="5398.15"/>
    <x v="0"/>
    <x v="0"/>
  </r>
  <r>
    <x v="1"/>
    <x v="0"/>
    <x v="1"/>
    <x v="0"/>
    <x v="0"/>
    <n v="722.75"/>
    <x v="0"/>
    <x v="0"/>
  </r>
  <r>
    <x v="1"/>
    <x v="0"/>
    <x v="2"/>
    <x v="0"/>
    <x v="0"/>
    <n v="11101.89"/>
    <x v="0"/>
    <x v="0"/>
  </r>
  <r>
    <x v="1"/>
    <x v="0"/>
    <x v="1"/>
    <x v="0"/>
    <x v="0"/>
    <n v="964.93"/>
    <x v="0"/>
    <x v="0"/>
  </r>
  <r>
    <x v="1"/>
    <x v="1"/>
    <x v="3"/>
    <x v="1"/>
    <x v="0"/>
    <n v="963532.14"/>
    <x v="1"/>
    <x v="11"/>
  </r>
  <r>
    <x v="1"/>
    <x v="2"/>
    <x v="3"/>
    <x v="1"/>
    <x v="0"/>
    <n v="963532.14"/>
    <x v="1"/>
    <x v="11"/>
  </r>
  <r>
    <x v="1"/>
    <x v="0"/>
    <x v="0"/>
    <x v="0"/>
    <x v="0"/>
    <n v="2358.86"/>
    <x v="0"/>
    <x v="0"/>
  </r>
  <r>
    <x v="1"/>
    <x v="0"/>
    <x v="0"/>
    <x v="0"/>
    <x v="0"/>
    <n v="9714.23"/>
    <x v="0"/>
    <x v="0"/>
  </r>
  <r>
    <x v="1"/>
    <x v="0"/>
    <x v="0"/>
    <x v="0"/>
    <x v="0"/>
    <n v="5184.26"/>
    <x v="0"/>
    <x v="0"/>
  </r>
  <r>
    <x v="1"/>
    <x v="2"/>
    <x v="2"/>
    <x v="0"/>
    <x v="0"/>
    <n v="60214.51"/>
    <x v="0"/>
    <x v="0"/>
  </r>
  <r>
    <x v="1"/>
    <x v="3"/>
    <x v="1"/>
    <x v="0"/>
    <x v="0"/>
    <n v="633.34"/>
    <x v="0"/>
    <x v="0"/>
  </r>
  <r>
    <x v="1"/>
    <x v="0"/>
    <x v="1"/>
    <x v="0"/>
    <x v="0"/>
    <n v="499.09"/>
    <x v="0"/>
    <x v="0"/>
  </r>
  <r>
    <x v="1"/>
    <x v="0"/>
    <x v="0"/>
    <x v="0"/>
    <x v="0"/>
    <n v="1150.36"/>
    <x v="0"/>
    <x v="0"/>
  </r>
  <r>
    <x v="1"/>
    <x v="0"/>
    <x v="1"/>
    <x v="0"/>
    <x v="0"/>
    <n v="581.37"/>
    <x v="0"/>
    <x v="0"/>
  </r>
  <r>
    <x v="1"/>
    <x v="3"/>
    <x v="0"/>
    <x v="0"/>
    <x v="0"/>
    <n v="1131.72"/>
    <x v="0"/>
    <x v="0"/>
  </r>
  <r>
    <x v="1"/>
    <x v="0"/>
    <x v="0"/>
    <x v="0"/>
    <x v="0"/>
    <n v="6069.06"/>
    <x v="0"/>
    <x v="0"/>
  </r>
  <r>
    <x v="1"/>
    <x v="1"/>
    <x v="0"/>
    <x v="0"/>
    <x v="0"/>
    <n v="7081.22"/>
    <x v="0"/>
    <x v="0"/>
  </r>
  <r>
    <x v="1"/>
    <x v="0"/>
    <x v="0"/>
    <x v="0"/>
    <x v="0"/>
    <n v="4373.69"/>
    <x v="0"/>
    <x v="0"/>
  </r>
  <r>
    <x v="1"/>
    <x v="3"/>
    <x v="0"/>
    <x v="0"/>
    <x v="0"/>
    <n v="4369.05"/>
    <x v="0"/>
    <x v="0"/>
  </r>
  <r>
    <x v="1"/>
    <x v="0"/>
    <x v="0"/>
    <x v="0"/>
    <x v="0"/>
    <n v="2767.59"/>
    <x v="0"/>
    <x v="0"/>
  </r>
  <r>
    <x v="1"/>
    <x v="0"/>
    <x v="0"/>
    <x v="0"/>
    <x v="0"/>
    <n v="4821.26"/>
    <x v="0"/>
    <x v="0"/>
  </r>
  <r>
    <x v="1"/>
    <x v="0"/>
    <x v="0"/>
    <x v="0"/>
    <x v="0"/>
    <n v="2471.19"/>
    <x v="0"/>
    <x v="0"/>
  </r>
  <r>
    <x v="1"/>
    <x v="1"/>
    <x v="2"/>
    <x v="0"/>
    <x v="0"/>
    <n v="41446.48"/>
    <x v="0"/>
    <x v="0"/>
  </r>
  <r>
    <x v="1"/>
    <x v="0"/>
    <x v="2"/>
    <x v="0"/>
    <x v="0"/>
    <n v="10006.72"/>
    <x v="0"/>
    <x v="0"/>
  </r>
  <r>
    <x v="1"/>
    <x v="0"/>
    <x v="0"/>
    <x v="0"/>
    <x v="0"/>
    <n v="6108.27"/>
    <x v="0"/>
    <x v="0"/>
  </r>
  <r>
    <x v="1"/>
    <x v="2"/>
    <x v="3"/>
    <x v="0"/>
    <x v="0"/>
    <n v="122810.19"/>
    <x v="0"/>
    <x v="0"/>
  </r>
  <r>
    <x v="1"/>
    <x v="0"/>
    <x v="2"/>
    <x v="0"/>
    <x v="0"/>
    <n v="10738.05"/>
    <x v="0"/>
    <x v="0"/>
  </r>
  <r>
    <x v="1"/>
    <x v="3"/>
    <x v="0"/>
    <x v="0"/>
    <x v="0"/>
    <n v="4674.03"/>
    <x v="0"/>
    <x v="0"/>
  </r>
  <r>
    <x v="1"/>
    <x v="0"/>
    <x v="0"/>
    <x v="0"/>
    <x v="0"/>
    <n v="4570.29"/>
    <x v="0"/>
    <x v="0"/>
  </r>
  <r>
    <x v="1"/>
    <x v="3"/>
    <x v="0"/>
    <x v="0"/>
    <x v="0"/>
    <n v="3995.57"/>
    <x v="0"/>
    <x v="0"/>
  </r>
  <r>
    <x v="1"/>
    <x v="3"/>
    <x v="1"/>
    <x v="0"/>
    <x v="0"/>
    <n v="702.32"/>
    <x v="0"/>
    <x v="0"/>
  </r>
  <r>
    <x v="1"/>
    <x v="0"/>
    <x v="0"/>
    <x v="0"/>
    <x v="0"/>
    <n v="7312.49"/>
    <x v="0"/>
    <x v="0"/>
  </r>
  <r>
    <x v="1"/>
    <x v="0"/>
    <x v="0"/>
    <x v="0"/>
    <x v="0"/>
    <n v="3567.5"/>
    <x v="0"/>
    <x v="0"/>
  </r>
  <r>
    <x v="1"/>
    <x v="0"/>
    <x v="0"/>
    <x v="0"/>
    <x v="0"/>
    <n v="1994.71"/>
    <x v="0"/>
    <x v="0"/>
  </r>
  <r>
    <x v="1"/>
    <x v="0"/>
    <x v="0"/>
    <x v="0"/>
    <x v="0"/>
    <n v="1657.09"/>
    <x v="0"/>
    <x v="0"/>
  </r>
  <r>
    <x v="1"/>
    <x v="1"/>
    <x v="2"/>
    <x v="0"/>
    <x v="0"/>
    <n v="68630.15"/>
    <x v="0"/>
    <x v="0"/>
  </r>
  <r>
    <x v="1"/>
    <x v="0"/>
    <x v="0"/>
    <x v="0"/>
    <x v="0"/>
    <n v="3095.41"/>
    <x v="0"/>
    <x v="0"/>
  </r>
  <r>
    <x v="1"/>
    <x v="0"/>
    <x v="0"/>
    <x v="0"/>
    <x v="0"/>
    <n v="1971.81"/>
    <x v="0"/>
    <x v="0"/>
  </r>
  <r>
    <x v="1"/>
    <x v="0"/>
    <x v="0"/>
    <x v="0"/>
    <x v="0"/>
    <n v="3121.81"/>
    <x v="0"/>
    <x v="0"/>
  </r>
  <r>
    <x v="1"/>
    <x v="0"/>
    <x v="0"/>
    <x v="0"/>
    <x v="0"/>
    <n v="4987.75"/>
    <x v="0"/>
    <x v="0"/>
  </r>
  <r>
    <x v="1"/>
    <x v="0"/>
    <x v="0"/>
    <x v="0"/>
    <x v="0"/>
    <n v="5143.81"/>
    <x v="0"/>
    <x v="0"/>
  </r>
  <r>
    <x v="1"/>
    <x v="2"/>
    <x v="2"/>
    <x v="0"/>
    <x v="0"/>
    <n v="45458.81"/>
    <x v="0"/>
    <x v="0"/>
  </r>
  <r>
    <x v="1"/>
    <x v="0"/>
    <x v="0"/>
    <x v="0"/>
    <x v="0"/>
    <n v="8723.42"/>
    <x v="0"/>
    <x v="0"/>
  </r>
  <r>
    <x v="1"/>
    <x v="0"/>
    <x v="2"/>
    <x v="0"/>
    <x v="0"/>
    <n v="10805.83"/>
    <x v="0"/>
    <x v="0"/>
  </r>
  <r>
    <x v="1"/>
    <x v="0"/>
    <x v="0"/>
    <x v="0"/>
    <x v="0"/>
    <n v="9446.02"/>
    <x v="0"/>
    <x v="0"/>
  </r>
  <r>
    <x v="1"/>
    <x v="0"/>
    <x v="0"/>
    <x v="0"/>
    <x v="0"/>
    <n v="9145.05"/>
    <x v="0"/>
    <x v="0"/>
  </r>
  <r>
    <x v="1"/>
    <x v="2"/>
    <x v="2"/>
    <x v="0"/>
    <x v="0"/>
    <n v="55940.69"/>
    <x v="0"/>
    <x v="0"/>
  </r>
  <r>
    <x v="1"/>
    <x v="0"/>
    <x v="0"/>
    <x v="0"/>
    <x v="0"/>
    <n v="5745.53"/>
    <x v="0"/>
    <x v="0"/>
  </r>
  <r>
    <x v="1"/>
    <x v="0"/>
    <x v="0"/>
    <x v="0"/>
    <x v="0"/>
    <n v="4249.18"/>
    <x v="0"/>
    <x v="0"/>
  </r>
  <r>
    <x v="1"/>
    <x v="0"/>
    <x v="0"/>
    <x v="0"/>
    <x v="0"/>
    <n v="7667.38"/>
    <x v="0"/>
    <x v="0"/>
  </r>
  <r>
    <x v="1"/>
    <x v="2"/>
    <x v="2"/>
    <x v="0"/>
    <x v="0"/>
    <n v="30017.69"/>
    <x v="0"/>
    <x v="0"/>
  </r>
  <r>
    <x v="1"/>
    <x v="0"/>
    <x v="0"/>
    <x v="0"/>
    <x v="0"/>
    <n v="5812.29"/>
    <x v="0"/>
    <x v="0"/>
  </r>
  <r>
    <x v="1"/>
    <x v="0"/>
    <x v="0"/>
    <x v="0"/>
    <x v="0"/>
    <n v="2292.68"/>
    <x v="0"/>
    <x v="0"/>
  </r>
  <r>
    <x v="1"/>
    <x v="0"/>
    <x v="0"/>
    <x v="0"/>
    <x v="0"/>
    <n v="2959.21"/>
    <x v="0"/>
    <x v="0"/>
  </r>
  <r>
    <x v="1"/>
    <x v="0"/>
    <x v="1"/>
    <x v="0"/>
    <x v="0"/>
    <n v="881.53"/>
    <x v="0"/>
    <x v="0"/>
  </r>
  <r>
    <x v="1"/>
    <x v="0"/>
    <x v="2"/>
    <x v="0"/>
    <x v="0"/>
    <n v="15245.32"/>
    <x v="0"/>
    <x v="0"/>
  </r>
  <r>
    <x v="1"/>
    <x v="0"/>
    <x v="0"/>
    <x v="0"/>
    <x v="0"/>
    <n v="4468.28"/>
    <x v="0"/>
    <x v="0"/>
  </r>
  <r>
    <x v="1"/>
    <x v="0"/>
    <x v="0"/>
    <x v="0"/>
    <x v="0"/>
    <n v="7803.48"/>
    <x v="0"/>
    <x v="0"/>
  </r>
  <r>
    <x v="1"/>
    <x v="0"/>
    <x v="0"/>
    <x v="0"/>
    <x v="0"/>
    <n v="3293.28"/>
    <x v="0"/>
    <x v="0"/>
  </r>
  <r>
    <x v="1"/>
    <x v="0"/>
    <x v="2"/>
    <x v="0"/>
    <x v="0"/>
    <n v="18483.96"/>
    <x v="0"/>
    <x v="0"/>
  </r>
  <r>
    <x v="1"/>
    <x v="2"/>
    <x v="3"/>
    <x v="0"/>
    <x v="0"/>
    <n v="131087.07"/>
    <x v="0"/>
    <x v="0"/>
  </r>
  <r>
    <x v="1"/>
    <x v="3"/>
    <x v="0"/>
    <x v="0"/>
    <x v="0"/>
    <n v="1160.21"/>
    <x v="0"/>
    <x v="0"/>
  </r>
  <r>
    <x v="1"/>
    <x v="0"/>
    <x v="2"/>
    <x v="0"/>
    <x v="0"/>
    <n v="21394.15"/>
    <x v="0"/>
    <x v="0"/>
  </r>
  <r>
    <x v="1"/>
    <x v="1"/>
    <x v="2"/>
    <x v="0"/>
    <x v="0"/>
    <n v="84911.32"/>
    <x v="0"/>
    <x v="0"/>
  </r>
  <r>
    <x v="1"/>
    <x v="2"/>
    <x v="2"/>
    <x v="0"/>
    <x v="0"/>
    <n v="32733.62"/>
    <x v="0"/>
    <x v="0"/>
  </r>
  <r>
    <x v="1"/>
    <x v="0"/>
    <x v="0"/>
    <x v="0"/>
    <x v="0"/>
    <n v="2740.48"/>
    <x v="0"/>
    <x v="0"/>
  </r>
  <r>
    <x v="1"/>
    <x v="0"/>
    <x v="0"/>
    <x v="0"/>
    <x v="0"/>
    <n v="5556.1"/>
    <x v="0"/>
    <x v="0"/>
  </r>
  <r>
    <x v="1"/>
    <x v="0"/>
    <x v="1"/>
    <x v="0"/>
    <x v="0"/>
    <n v="826.36"/>
    <x v="0"/>
    <x v="0"/>
  </r>
  <r>
    <x v="1"/>
    <x v="0"/>
    <x v="0"/>
    <x v="0"/>
    <x v="0"/>
    <n v="3308.25"/>
    <x v="0"/>
    <x v="0"/>
  </r>
  <r>
    <x v="1"/>
    <x v="0"/>
    <x v="2"/>
    <x v="0"/>
    <x v="0"/>
    <n v="28714.16"/>
    <x v="0"/>
    <x v="0"/>
  </r>
  <r>
    <x v="1"/>
    <x v="0"/>
    <x v="2"/>
    <x v="0"/>
    <x v="0"/>
    <n v="12691.84"/>
    <x v="0"/>
    <x v="0"/>
  </r>
  <r>
    <x v="1"/>
    <x v="0"/>
    <x v="2"/>
    <x v="0"/>
    <x v="0"/>
    <n v="14841.59"/>
    <x v="0"/>
    <x v="0"/>
  </r>
  <r>
    <x v="1"/>
    <x v="0"/>
    <x v="2"/>
    <x v="0"/>
    <x v="0"/>
    <n v="25162.93"/>
    <x v="0"/>
    <x v="0"/>
  </r>
  <r>
    <x v="1"/>
    <x v="0"/>
    <x v="0"/>
    <x v="0"/>
    <x v="0"/>
    <n v="2713.13"/>
    <x v="0"/>
    <x v="0"/>
  </r>
  <r>
    <x v="1"/>
    <x v="0"/>
    <x v="2"/>
    <x v="0"/>
    <x v="0"/>
    <n v="12129.31"/>
    <x v="0"/>
    <x v="0"/>
  </r>
  <r>
    <x v="1"/>
    <x v="0"/>
    <x v="2"/>
    <x v="0"/>
    <x v="0"/>
    <n v="28118.46"/>
    <x v="0"/>
    <x v="0"/>
  </r>
  <r>
    <x v="1"/>
    <x v="0"/>
    <x v="0"/>
    <x v="0"/>
    <x v="0"/>
    <n v="9157.3"/>
    <x v="0"/>
    <x v="0"/>
  </r>
  <r>
    <x v="1"/>
    <x v="0"/>
    <x v="2"/>
    <x v="0"/>
    <x v="0"/>
    <n v="22012.11"/>
    <x v="0"/>
    <x v="0"/>
  </r>
  <r>
    <x v="1"/>
    <x v="3"/>
    <x v="1"/>
    <x v="0"/>
    <x v="0"/>
    <n v="981.57"/>
    <x v="0"/>
    <x v="0"/>
  </r>
  <r>
    <x v="1"/>
    <x v="3"/>
    <x v="0"/>
    <x v="0"/>
    <x v="0"/>
    <n v="2293.28"/>
    <x v="0"/>
    <x v="0"/>
  </r>
  <r>
    <x v="1"/>
    <x v="0"/>
    <x v="2"/>
    <x v="0"/>
    <x v="0"/>
    <n v="21069.51"/>
    <x v="0"/>
    <x v="0"/>
  </r>
  <r>
    <x v="1"/>
    <x v="0"/>
    <x v="0"/>
    <x v="0"/>
    <x v="0"/>
    <n v="4865.12"/>
    <x v="0"/>
    <x v="0"/>
  </r>
  <r>
    <x v="1"/>
    <x v="0"/>
    <x v="0"/>
    <x v="0"/>
    <x v="0"/>
    <n v="2409.12"/>
    <x v="0"/>
    <x v="0"/>
  </r>
  <r>
    <x v="1"/>
    <x v="0"/>
    <x v="0"/>
    <x v="0"/>
    <x v="0"/>
    <n v="6605.53"/>
    <x v="0"/>
    <x v="0"/>
  </r>
  <r>
    <x v="1"/>
    <x v="1"/>
    <x v="3"/>
    <x v="0"/>
    <x v="0"/>
    <n v="203471.91"/>
    <x v="0"/>
    <x v="0"/>
  </r>
  <r>
    <x v="1"/>
    <x v="4"/>
    <x v="3"/>
    <x v="0"/>
    <x v="0"/>
    <n v="254199.52"/>
    <x v="0"/>
    <x v="0"/>
  </r>
  <r>
    <x v="1"/>
    <x v="0"/>
    <x v="0"/>
    <x v="0"/>
    <x v="0"/>
    <n v="8834.5"/>
    <x v="0"/>
    <x v="0"/>
  </r>
  <r>
    <x v="1"/>
    <x v="0"/>
    <x v="0"/>
    <x v="0"/>
    <x v="0"/>
    <n v="2290"/>
    <x v="0"/>
    <x v="0"/>
  </r>
  <r>
    <x v="1"/>
    <x v="0"/>
    <x v="0"/>
    <x v="0"/>
    <x v="0"/>
    <n v="6002.42"/>
    <x v="0"/>
    <x v="0"/>
  </r>
  <r>
    <x v="1"/>
    <x v="0"/>
    <x v="0"/>
    <x v="0"/>
    <x v="0"/>
    <n v="1102.38"/>
    <x v="0"/>
    <x v="0"/>
  </r>
  <r>
    <x v="1"/>
    <x v="0"/>
    <x v="2"/>
    <x v="0"/>
    <x v="0"/>
    <n v="17827.48"/>
    <x v="0"/>
    <x v="0"/>
  </r>
  <r>
    <x v="1"/>
    <x v="0"/>
    <x v="0"/>
    <x v="0"/>
    <x v="0"/>
    <n v="1702.16"/>
    <x v="0"/>
    <x v="0"/>
  </r>
  <r>
    <x v="1"/>
    <x v="1"/>
    <x v="3"/>
    <x v="0"/>
    <x v="0"/>
    <n v="183763.58"/>
    <x v="0"/>
    <x v="0"/>
  </r>
  <r>
    <x v="1"/>
    <x v="1"/>
    <x v="3"/>
    <x v="0"/>
    <x v="0"/>
    <n v="308871.37"/>
    <x v="0"/>
    <x v="0"/>
  </r>
  <r>
    <x v="1"/>
    <x v="0"/>
    <x v="2"/>
    <x v="0"/>
    <x v="0"/>
    <n v="11357.4"/>
    <x v="0"/>
    <x v="0"/>
  </r>
  <r>
    <x v="1"/>
    <x v="0"/>
    <x v="2"/>
    <x v="0"/>
    <x v="0"/>
    <n v="14775.56"/>
    <x v="0"/>
    <x v="0"/>
  </r>
  <r>
    <x v="1"/>
    <x v="0"/>
    <x v="0"/>
    <x v="0"/>
    <x v="0"/>
    <n v="2234.3"/>
    <x v="0"/>
    <x v="0"/>
  </r>
  <r>
    <x v="1"/>
    <x v="3"/>
    <x v="0"/>
    <x v="0"/>
    <x v="0"/>
    <n v="3017.34"/>
    <x v="0"/>
    <x v="0"/>
  </r>
  <r>
    <x v="1"/>
    <x v="3"/>
    <x v="0"/>
    <x v="0"/>
    <x v="0"/>
    <n v="3627.48"/>
    <x v="0"/>
    <x v="0"/>
  </r>
  <r>
    <x v="1"/>
    <x v="0"/>
    <x v="0"/>
    <x v="0"/>
    <x v="0"/>
    <n v="2997.75"/>
    <x v="0"/>
    <x v="0"/>
  </r>
  <r>
    <x v="1"/>
    <x v="1"/>
    <x v="3"/>
    <x v="0"/>
    <x v="0"/>
    <n v="448593.63"/>
    <x v="0"/>
    <x v="0"/>
  </r>
  <r>
    <x v="1"/>
    <x v="0"/>
    <x v="1"/>
    <x v="0"/>
    <x v="0"/>
    <n v="265.2"/>
    <x v="0"/>
    <x v="0"/>
  </r>
  <r>
    <x v="1"/>
    <x v="0"/>
    <x v="0"/>
    <x v="0"/>
    <x v="0"/>
    <n v="7766.84"/>
    <x v="0"/>
    <x v="0"/>
  </r>
  <r>
    <x v="1"/>
    <x v="0"/>
    <x v="1"/>
    <x v="0"/>
    <x v="0"/>
    <n v="149.66"/>
    <x v="0"/>
    <x v="0"/>
  </r>
  <r>
    <x v="1"/>
    <x v="0"/>
    <x v="0"/>
    <x v="0"/>
    <x v="0"/>
    <n v="7853.17"/>
    <x v="0"/>
    <x v="0"/>
  </r>
  <r>
    <x v="1"/>
    <x v="0"/>
    <x v="2"/>
    <x v="0"/>
    <x v="0"/>
    <n v="15498.52"/>
    <x v="0"/>
    <x v="0"/>
  </r>
  <r>
    <x v="1"/>
    <x v="0"/>
    <x v="0"/>
    <x v="0"/>
    <x v="0"/>
    <n v="2619.18"/>
    <x v="0"/>
    <x v="0"/>
  </r>
  <r>
    <x v="1"/>
    <x v="0"/>
    <x v="0"/>
    <x v="0"/>
    <x v="0"/>
    <n v="2272.46"/>
    <x v="0"/>
    <x v="0"/>
  </r>
  <r>
    <x v="1"/>
    <x v="0"/>
    <x v="0"/>
    <x v="0"/>
    <x v="0"/>
    <n v="1395.69"/>
    <x v="0"/>
    <x v="0"/>
  </r>
  <r>
    <x v="1"/>
    <x v="0"/>
    <x v="2"/>
    <x v="0"/>
    <x v="0"/>
    <n v="18658.63"/>
    <x v="0"/>
    <x v="0"/>
  </r>
  <r>
    <x v="1"/>
    <x v="0"/>
    <x v="2"/>
    <x v="0"/>
    <x v="0"/>
    <n v="20051.7"/>
    <x v="0"/>
    <x v="0"/>
  </r>
  <r>
    <x v="1"/>
    <x v="0"/>
    <x v="0"/>
    <x v="0"/>
    <x v="0"/>
    <n v="1644.19"/>
    <x v="0"/>
    <x v="0"/>
  </r>
  <r>
    <x v="1"/>
    <x v="0"/>
    <x v="0"/>
    <x v="0"/>
    <x v="0"/>
    <n v="1445.37"/>
    <x v="0"/>
    <x v="0"/>
  </r>
  <r>
    <x v="1"/>
    <x v="1"/>
    <x v="2"/>
    <x v="1"/>
    <x v="0"/>
    <n v="14949.84"/>
    <x v="1"/>
    <x v="12"/>
  </r>
  <r>
    <x v="1"/>
    <x v="2"/>
    <x v="2"/>
    <x v="1"/>
    <x v="0"/>
    <n v="14949.84"/>
    <x v="1"/>
    <x v="12"/>
  </r>
  <r>
    <x v="1"/>
    <x v="0"/>
    <x v="0"/>
    <x v="0"/>
    <x v="0"/>
    <n v="5647.66"/>
    <x v="0"/>
    <x v="0"/>
  </r>
  <r>
    <x v="1"/>
    <x v="0"/>
    <x v="0"/>
    <x v="0"/>
    <x v="0"/>
    <n v="5183.53"/>
    <x v="0"/>
    <x v="0"/>
  </r>
  <r>
    <x v="1"/>
    <x v="2"/>
    <x v="3"/>
    <x v="0"/>
    <x v="0"/>
    <n v="189592.17"/>
    <x v="0"/>
    <x v="0"/>
  </r>
  <r>
    <x v="1"/>
    <x v="3"/>
    <x v="0"/>
    <x v="0"/>
    <x v="0"/>
    <n v="1841.58"/>
    <x v="0"/>
    <x v="0"/>
  </r>
  <r>
    <x v="1"/>
    <x v="1"/>
    <x v="2"/>
    <x v="0"/>
    <x v="0"/>
    <n v="23377.76"/>
    <x v="0"/>
    <x v="0"/>
  </r>
  <r>
    <x v="1"/>
    <x v="0"/>
    <x v="2"/>
    <x v="0"/>
    <x v="0"/>
    <n v="10788.66"/>
    <x v="0"/>
    <x v="0"/>
  </r>
  <r>
    <x v="1"/>
    <x v="0"/>
    <x v="0"/>
    <x v="0"/>
    <x v="0"/>
    <n v="2636.86"/>
    <x v="0"/>
    <x v="0"/>
  </r>
  <r>
    <x v="1"/>
    <x v="0"/>
    <x v="2"/>
    <x v="0"/>
    <x v="0"/>
    <n v="12787.03"/>
    <x v="0"/>
    <x v="0"/>
  </r>
  <r>
    <x v="1"/>
    <x v="0"/>
    <x v="2"/>
    <x v="0"/>
    <x v="0"/>
    <n v="13285.98"/>
    <x v="0"/>
    <x v="0"/>
  </r>
  <r>
    <x v="1"/>
    <x v="2"/>
    <x v="2"/>
    <x v="0"/>
    <x v="0"/>
    <n v="69038.41"/>
    <x v="0"/>
    <x v="0"/>
  </r>
  <r>
    <x v="1"/>
    <x v="0"/>
    <x v="0"/>
    <x v="0"/>
    <x v="0"/>
    <n v="5750.69"/>
    <x v="0"/>
    <x v="0"/>
  </r>
  <r>
    <x v="1"/>
    <x v="3"/>
    <x v="0"/>
    <x v="0"/>
    <x v="0"/>
    <n v="1726.62"/>
    <x v="0"/>
    <x v="0"/>
  </r>
  <r>
    <x v="1"/>
    <x v="0"/>
    <x v="0"/>
    <x v="0"/>
    <x v="0"/>
    <n v="5908.57"/>
    <x v="0"/>
    <x v="0"/>
  </r>
  <r>
    <x v="1"/>
    <x v="0"/>
    <x v="0"/>
    <x v="0"/>
    <x v="0"/>
    <n v="9611.47"/>
    <x v="0"/>
    <x v="0"/>
  </r>
  <r>
    <x v="1"/>
    <x v="0"/>
    <x v="2"/>
    <x v="0"/>
    <x v="0"/>
    <n v="11816.56"/>
    <x v="0"/>
    <x v="0"/>
  </r>
  <r>
    <x v="1"/>
    <x v="0"/>
    <x v="1"/>
    <x v="0"/>
    <x v="0"/>
    <n v="439.66"/>
    <x v="0"/>
    <x v="0"/>
  </r>
  <r>
    <x v="1"/>
    <x v="0"/>
    <x v="0"/>
    <x v="0"/>
    <x v="0"/>
    <n v="3470.6"/>
    <x v="0"/>
    <x v="0"/>
  </r>
  <r>
    <x v="1"/>
    <x v="0"/>
    <x v="2"/>
    <x v="0"/>
    <x v="0"/>
    <n v="13802.16"/>
    <x v="0"/>
    <x v="0"/>
  </r>
  <r>
    <x v="1"/>
    <x v="0"/>
    <x v="0"/>
    <x v="0"/>
    <x v="0"/>
    <n v="2391.38"/>
    <x v="0"/>
    <x v="0"/>
  </r>
  <r>
    <x v="1"/>
    <x v="0"/>
    <x v="0"/>
    <x v="0"/>
    <x v="0"/>
    <n v="4738.43"/>
    <x v="0"/>
    <x v="0"/>
  </r>
  <r>
    <x v="1"/>
    <x v="0"/>
    <x v="2"/>
    <x v="0"/>
    <x v="0"/>
    <n v="12099.05"/>
    <x v="0"/>
    <x v="0"/>
  </r>
  <r>
    <x v="1"/>
    <x v="0"/>
    <x v="2"/>
    <x v="0"/>
    <x v="0"/>
    <n v="13550.62"/>
    <x v="0"/>
    <x v="0"/>
  </r>
  <r>
    <x v="1"/>
    <x v="0"/>
    <x v="0"/>
    <x v="0"/>
    <x v="0"/>
    <n v="4539.49"/>
    <x v="0"/>
    <x v="0"/>
  </r>
  <r>
    <x v="1"/>
    <x v="4"/>
    <x v="3"/>
    <x v="0"/>
    <x v="0"/>
    <n v="233432.28"/>
    <x v="0"/>
    <x v="0"/>
  </r>
  <r>
    <x v="1"/>
    <x v="0"/>
    <x v="2"/>
    <x v="0"/>
    <x v="0"/>
    <n v="17549.8"/>
    <x v="0"/>
    <x v="0"/>
  </r>
  <r>
    <x v="1"/>
    <x v="0"/>
    <x v="0"/>
    <x v="0"/>
    <x v="0"/>
    <n v="6416.72"/>
    <x v="0"/>
    <x v="0"/>
  </r>
  <r>
    <x v="1"/>
    <x v="2"/>
    <x v="3"/>
    <x v="0"/>
    <x v="0"/>
    <n v="232486.18"/>
    <x v="0"/>
    <x v="0"/>
  </r>
  <r>
    <x v="1"/>
    <x v="2"/>
    <x v="2"/>
    <x v="0"/>
    <x v="0"/>
    <n v="53083.59"/>
    <x v="0"/>
    <x v="0"/>
  </r>
  <r>
    <x v="1"/>
    <x v="2"/>
    <x v="3"/>
    <x v="0"/>
    <x v="0"/>
    <n v="110520.75"/>
    <x v="0"/>
    <x v="0"/>
  </r>
  <r>
    <x v="1"/>
    <x v="2"/>
    <x v="3"/>
    <x v="0"/>
    <x v="0"/>
    <n v="104222.89"/>
    <x v="0"/>
    <x v="0"/>
  </r>
  <r>
    <x v="1"/>
    <x v="2"/>
    <x v="3"/>
    <x v="0"/>
    <x v="0"/>
    <n v="107963.88"/>
    <x v="0"/>
    <x v="0"/>
  </r>
  <r>
    <x v="1"/>
    <x v="2"/>
    <x v="3"/>
    <x v="0"/>
    <x v="0"/>
    <n v="332574.96"/>
    <x v="0"/>
    <x v="0"/>
  </r>
  <r>
    <x v="1"/>
    <x v="2"/>
    <x v="3"/>
    <x v="0"/>
    <x v="0"/>
    <n v="234198.21"/>
    <x v="0"/>
    <x v="0"/>
  </r>
  <r>
    <x v="1"/>
    <x v="2"/>
    <x v="3"/>
    <x v="0"/>
    <x v="0"/>
    <n v="188890.52"/>
    <x v="0"/>
    <x v="0"/>
  </r>
  <r>
    <x v="1"/>
    <x v="2"/>
    <x v="3"/>
    <x v="0"/>
    <x v="0"/>
    <n v="299336.05"/>
    <x v="0"/>
    <x v="0"/>
  </r>
  <r>
    <x v="1"/>
    <x v="2"/>
    <x v="0"/>
    <x v="0"/>
    <x v="0"/>
    <n v="6016.03"/>
    <x v="0"/>
    <x v="0"/>
  </r>
  <r>
    <x v="1"/>
    <x v="2"/>
    <x v="3"/>
    <x v="0"/>
    <x v="0"/>
    <n v="259448.64"/>
    <x v="0"/>
    <x v="0"/>
  </r>
  <r>
    <x v="1"/>
    <x v="2"/>
    <x v="2"/>
    <x v="0"/>
    <x v="0"/>
    <n v="22948.44"/>
    <x v="0"/>
    <x v="0"/>
  </r>
  <r>
    <x v="1"/>
    <x v="2"/>
    <x v="3"/>
    <x v="0"/>
    <x v="0"/>
    <n v="142442.16"/>
    <x v="0"/>
    <x v="0"/>
  </r>
  <r>
    <x v="1"/>
    <x v="2"/>
    <x v="2"/>
    <x v="0"/>
    <x v="0"/>
    <n v="49267.14"/>
    <x v="0"/>
    <x v="0"/>
  </r>
  <r>
    <x v="1"/>
    <x v="2"/>
    <x v="3"/>
    <x v="0"/>
    <x v="0"/>
    <n v="692460.02"/>
    <x v="0"/>
    <x v="0"/>
  </r>
  <r>
    <x v="1"/>
    <x v="2"/>
    <x v="3"/>
    <x v="0"/>
    <x v="0"/>
    <n v="211131.43"/>
    <x v="0"/>
    <x v="0"/>
  </r>
  <r>
    <x v="1"/>
    <x v="2"/>
    <x v="3"/>
    <x v="0"/>
    <x v="0"/>
    <n v="150366.56"/>
    <x v="0"/>
    <x v="0"/>
  </r>
  <r>
    <x v="1"/>
    <x v="2"/>
    <x v="2"/>
    <x v="0"/>
    <x v="0"/>
    <n v="10511.06"/>
    <x v="0"/>
    <x v="0"/>
  </r>
  <r>
    <x v="1"/>
    <x v="2"/>
    <x v="2"/>
    <x v="0"/>
    <x v="0"/>
    <n v="44145.7"/>
    <x v="0"/>
    <x v="0"/>
  </r>
  <r>
    <x v="1"/>
    <x v="0"/>
    <x v="1"/>
    <x v="0"/>
    <x v="0"/>
    <n v="733.57"/>
    <x v="0"/>
    <x v="0"/>
  </r>
  <r>
    <x v="1"/>
    <x v="3"/>
    <x v="0"/>
    <x v="0"/>
    <x v="0"/>
    <n v="3035.96"/>
    <x v="0"/>
    <x v="0"/>
  </r>
  <r>
    <x v="1"/>
    <x v="0"/>
    <x v="0"/>
    <x v="0"/>
    <x v="0"/>
    <n v="1330.82"/>
    <x v="0"/>
    <x v="0"/>
  </r>
  <r>
    <x v="1"/>
    <x v="0"/>
    <x v="1"/>
    <x v="0"/>
    <x v="0"/>
    <n v="478.1"/>
    <x v="0"/>
    <x v="0"/>
  </r>
  <r>
    <x v="1"/>
    <x v="0"/>
    <x v="0"/>
    <x v="0"/>
    <x v="0"/>
    <n v="1500.44"/>
    <x v="0"/>
    <x v="0"/>
  </r>
  <r>
    <x v="1"/>
    <x v="0"/>
    <x v="0"/>
    <x v="0"/>
    <x v="0"/>
    <n v="4794.98"/>
    <x v="0"/>
    <x v="0"/>
  </r>
  <r>
    <x v="1"/>
    <x v="3"/>
    <x v="0"/>
    <x v="0"/>
    <x v="0"/>
    <n v="1777.63"/>
    <x v="0"/>
    <x v="0"/>
  </r>
  <r>
    <x v="1"/>
    <x v="0"/>
    <x v="2"/>
    <x v="0"/>
    <x v="0"/>
    <n v="12475.89"/>
    <x v="0"/>
    <x v="0"/>
  </r>
  <r>
    <x v="1"/>
    <x v="1"/>
    <x v="3"/>
    <x v="0"/>
    <x v="0"/>
    <n v="129484.36"/>
    <x v="0"/>
    <x v="0"/>
  </r>
  <r>
    <x v="1"/>
    <x v="0"/>
    <x v="0"/>
    <x v="0"/>
    <x v="0"/>
    <n v="3887.42"/>
    <x v="0"/>
    <x v="0"/>
  </r>
  <r>
    <x v="1"/>
    <x v="0"/>
    <x v="0"/>
    <x v="0"/>
    <x v="0"/>
    <n v="8416.21"/>
    <x v="0"/>
    <x v="0"/>
  </r>
  <r>
    <x v="1"/>
    <x v="0"/>
    <x v="0"/>
    <x v="0"/>
    <x v="0"/>
    <n v="2801.67"/>
    <x v="0"/>
    <x v="0"/>
  </r>
  <r>
    <x v="1"/>
    <x v="0"/>
    <x v="0"/>
    <x v="0"/>
    <x v="0"/>
    <n v="3065.51"/>
    <x v="0"/>
    <x v="0"/>
  </r>
  <r>
    <x v="1"/>
    <x v="0"/>
    <x v="0"/>
    <x v="0"/>
    <x v="0"/>
    <n v="3814.9"/>
    <x v="0"/>
    <x v="0"/>
  </r>
  <r>
    <x v="1"/>
    <x v="1"/>
    <x v="3"/>
    <x v="0"/>
    <x v="0"/>
    <n v="235882.32"/>
    <x v="0"/>
    <x v="0"/>
  </r>
  <r>
    <x v="1"/>
    <x v="4"/>
    <x v="2"/>
    <x v="0"/>
    <x v="0"/>
    <n v="79037.41"/>
    <x v="0"/>
    <x v="0"/>
  </r>
  <r>
    <x v="1"/>
    <x v="0"/>
    <x v="0"/>
    <x v="0"/>
    <x v="0"/>
    <n v="4189.91"/>
    <x v="0"/>
    <x v="0"/>
  </r>
  <r>
    <x v="1"/>
    <x v="0"/>
    <x v="0"/>
    <x v="0"/>
    <x v="0"/>
    <n v="6621.75"/>
    <x v="0"/>
    <x v="0"/>
  </r>
  <r>
    <x v="1"/>
    <x v="1"/>
    <x v="2"/>
    <x v="0"/>
    <x v="0"/>
    <n v="49367.62"/>
    <x v="0"/>
    <x v="0"/>
  </r>
  <r>
    <x v="1"/>
    <x v="1"/>
    <x v="3"/>
    <x v="0"/>
    <x v="0"/>
    <n v="162724.99"/>
    <x v="0"/>
    <x v="0"/>
  </r>
  <r>
    <x v="1"/>
    <x v="1"/>
    <x v="3"/>
    <x v="0"/>
    <x v="0"/>
    <n v="217743.76"/>
    <x v="0"/>
    <x v="0"/>
  </r>
  <r>
    <x v="1"/>
    <x v="1"/>
    <x v="3"/>
    <x v="0"/>
    <x v="0"/>
    <n v="189352.83"/>
    <x v="0"/>
    <x v="0"/>
  </r>
  <r>
    <x v="1"/>
    <x v="1"/>
    <x v="3"/>
    <x v="0"/>
    <x v="0"/>
    <n v="191616.27"/>
    <x v="0"/>
    <x v="0"/>
  </r>
  <r>
    <x v="1"/>
    <x v="1"/>
    <x v="4"/>
    <x v="0"/>
    <x v="0"/>
    <n v="1773020.91"/>
    <x v="0"/>
    <x v="0"/>
  </r>
  <r>
    <x v="1"/>
    <x v="1"/>
    <x v="4"/>
    <x v="0"/>
    <x v="0"/>
    <n v="1869161.56"/>
    <x v="0"/>
    <x v="0"/>
  </r>
  <r>
    <x v="1"/>
    <x v="1"/>
    <x v="3"/>
    <x v="0"/>
    <x v="0"/>
    <n v="170610.11"/>
    <x v="0"/>
    <x v="0"/>
  </r>
  <r>
    <x v="1"/>
    <x v="1"/>
    <x v="3"/>
    <x v="0"/>
    <x v="0"/>
    <n v="939018.7"/>
    <x v="0"/>
    <x v="0"/>
  </r>
  <r>
    <x v="1"/>
    <x v="1"/>
    <x v="3"/>
    <x v="0"/>
    <x v="0"/>
    <n v="721458.64"/>
    <x v="0"/>
    <x v="0"/>
  </r>
  <r>
    <x v="1"/>
    <x v="1"/>
    <x v="4"/>
    <x v="0"/>
    <x v="0"/>
    <n v="1487557.25"/>
    <x v="0"/>
    <x v="0"/>
  </r>
  <r>
    <x v="1"/>
    <x v="1"/>
    <x v="3"/>
    <x v="0"/>
    <x v="0"/>
    <n v="418492.9"/>
    <x v="0"/>
    <x v="0"/>
  </r>
  <r>
    <x v="1"/>
    <x v="1"/>
    <x v="3"/>
    <x v="0"/>
    <x v="0"/>
    <n v="490747.67"/>
    <x v="0"/>
    <x v="0"/>
  </r>
  <r>
    <x v="1"/>
    <x v="1"/>
    <x v="3"/>
    <x v="0"/>
    <x v="0"/>
    <n v="257641.56"/>
    <x v="0"/>
    <x v="0"/>
  </r>
  <r>
    <x v="1"/>
    <x v="1"/>
    <x v="3"/>
    <x v="0"/>
    <x v="0"/>
    <n v="984994.76"/>
    <x v="0"/>
    <x v="0"/>
  </r>
  <r>
    <x v="1"/>
    <x v="1"/>
    <x v="3"/>
    <x v="0"/>
    <x v="0"/>
    <n v="884591.4"/>
    <x v="0"/>
    <x v="0"/>
  </r>
  <r>
    <x v="1"/>
    <x v="1"/>
    <x v="3"/>
    <x v="0"/>
    <x v="0"/>
    <n v="376507.72"/>
    <x v="0"/>
    <x v="0"/>
  </r>
  <r>
    <x v="1"/>
    <x v="1"/>
    <x v="3"/>
    <x v="0"/>
    <x v="0"/>
    <n v="507138.3"/>
    <x v="0"/>
    <x v="0"/>
  </r>
  <r>
    <x v="1"/>
    <x v="1"/>
    <x v="3"/>
    <x v="0"/>
    <x v="0"/>
    <n v="603258.56"/>
    <x v="0"/>
    <x v="0"/>
  </r>
  <r>
    <x v="1"/>
    <x v="1"/>
    <x v="3"/>
    <x v="0"/>
    <x v="0"/>
    <n v="129735.3"/>
    <x v="0"/>
    <x v="0"/>
  </r>
  <r>
    <x v="1"/>
    <x v="1"/>
    <x v="3"/>
    <x v="0"/>
    <x v="0"/>
    <n v="152649.37"/>
    <x v="0"/>
    <x v="0"/>
  </r>
  <r>
    <x v="1"/>
    <x v="0"/>
    <x v="0"/>
    <x v="0"/>
    <x v="0"/>
    <n v="3714.42"/>
    <x v="0"/>
    <x v="0"/>
  </r>
  <r>
    <x v="1"/>
    <x v="1"/>
    <x v="3"/>
    <x v="0"/>
    <x v="0"/>
    <n v="135348.62"/>
    <x v="0"/>
    <x v="0"/>
  </r>
  <r>
    <x v="1"/>
    <x v="0"/>
    <x v="0"/>
    <x v="0"/>
    <x v="0"/>
    <n v="8068.5"/>
    <x v="0"/>
    <x v="0"/>
  </r>
  <r>
    <x v="1"/>
    <x v="0"/>
    <x v="0"/>
    <x v="0"/>
    <x v="0"/>
    <n v="4890.32"/>
    <x v="0"/>
    <x v="0"/>
  </r>
  <r>
    <x v="1"/>
    <x v="0"/>
    <x v="2"/>
    <x v="0"/>
    <x v="0"/>
    <n v="27037.66"/>
    <x v="0"/>
    <x v="0"/>
  </r>
  <r>
    <x v="1"/>
    <x v="0"/>
    <x v="0"/>
    <x v="0"/>
    <x v="0"/>
    <n v="7360.48"/>
    <x v="0"/>
    <x v="0"/>
  </r>
  <r>
    <x v="1"/>
    <x v="0"/>
    <x v="1"/>
    <x v="0"/>
    <x v="0"/>
    <n v="850.65"/>
    <x v="0"/>
    <x v="0"/>
  </r>
  <r>
    <x v="1"/>
    <x v="0"/>
    <x v="0"/>
    <x v="0"/>
    <x v="0"/>
    <n v="2276.89"/>
    <x v="0"/>
    <x v="0"/>
  </r>
  <r>
    <x v="1"/>
    <x v="0"/>
    <x v="2"/>
    <x v="0"/>
    <x v="0"/>
    <n v="30858.63"/>
    <x v="0"/>
    <x v="0"/>
  </r>
  <r>
    <x v="1"/>
    <x v="0"/>
    <x v="0"/>
    <x v="0"/>
    <x v="0"/>
    <n v="8386.17"/>
    <x v="0"/>
    <x v="0"/>
  </r>
  <r>
    <x v="1"/>
    <x v="0"/>
    <x v="2"/>
    <x v="0"/>
    <x v="0"/>
    <n v="12029.55"/>
    <x v="0"/>
    <x v="0"/>
  </r>
  <r>
    <x v="1"/>
    <x v="0"/>
    <x v="2"/>
    <x v="0"/>
    <x v="0"/>
    <n v="10597.26"/>
    <x v="0"/>
    <x v="0"/>
  </r>
  <r>
    <x v="1"/>
    <x v="0"/>
    <x v="0"/>
    <x v="0"/>
    <x v="0"/>
    <n v="9213.89"/>
    <x v="0"/>
    <x v="0"/>
  </r>
  <r>
    <x v="1"/>
    <x v="0"/>
    <x v="1"/>
    <x v="0"/>
    <x v="0"/>
    <n v="526.83"/>
    <x v="0"/>
    <x v="0"/>
  </r>
  <r>
    <x v="1"/>
    <x v="0"/>
    <x v="0"/>
    <x v="0"/>
    <x v="0"/>
    <n v="2837.62"/>
    <x v="0"/>
    <x v="0"/>
  </r>
  <r>
    <x v="1"/>
    <x v="0"/>
    <x v="2"/>
    <x v="0"/>
    <x v="0"/>
    <n v="12894.97"/>
    <x v="0"/>
    <x v="0"/>
  </r>
  <r>
    <x v="1"/>
    <x v="1"/>
    <x v="3"/>
    <x v="0"/>
    <x v="0"/>
    <n v="256227.34"/>
    <x v="0"/>
    <x v="0"/>
  </r>
  <r>
    <x v="1"/>
    <x v="0"/>
    <x v="0"/>
    <x v="0"/>
    <x v="0"/>
    <n v="8348.86"/>
    <x v="0"/>
    <x v="0"/>
  </r>
  <r>
    <x v="1"/>
    <x v="0"/>
    <x v="0"/>
    <x v="0"/>
    <x v="0"/>
    <n v="5825.97"/>
    <x v="0"/>
    <x v="0"/>
  </r>
  <r>
    <x v="1"/>
    <x v="0"/>
    <x v="1"/>
    <x v="0"/>
    <x v="0"/>
    <n v="202.28"/>
    <x v="0"/>
    <x v="0"/>
  </r>
  <r>
    <x v="1"/>
    <x v="3"/>
    <x v="0"/>
    <x v="0"/>
    <x v="0"/>
    <n v="4924.01"/>
    <x v="0"/>
    <x v="0"/>
  </r>
  <r>
    <x v="1"/>
    <x v="2"/>
    <x v="3"/>
    <x v="0"/>
    <x v="0"/>
    <n v="170099.02"/>
    <x v="0"/>
    <x v="0"/>
  </r>
  <r>
    <x v="1"/>
    <x v="0"/>
    <x v="0"/>
    <x v="0"/>
    <x v="0"/>
    <n v="2346.51"/>
    <x v="0"/>
    <x v="0"/>
  </r>
  <r>
    <x v="1"/>
    <x v="0"/>
    <x v="0"/>
    <x v="0"/>
    <x v="0"/>
    <n v="3252.29"/>
    <x v="0"/>
    <x v="0"/>
  </r>
  <r>
    <x v="1"/>
    <x v="0"/>
    <x v="0"/>
    <x v="0"/>
    <x v="0"/>
    <n v="4147.62"/>
    <x v="0"/>
    <x v="0"/>
  </r>
  <r>
    <x v="1"/>
    <x v="0"/>
    <x v="0"/>
    <x v="0"/>
    <x v="0"/>
    <n v="3597.85"/>
    <x v="0"/>
    <x v="0"/>
  </r>
  <r>
    <x v="1"/>
    <x v="0"/>
    <x v="0"/>
    <x v="0"/>
    <x v="0"/>
    <n v="6574.63"/>
    <x v="0"/>
    <x v="0"/>
  </r>
  <r>
    <x v="1"/>
    <x v="0"/>
    <x v="0"/>
    <x v="0"/>
    <x v="0"/>
    <n v="1895.47"/>
    <x v="0"/>
    <x v="0"/>
  </r>
  <r>
    <x v="1"/>
    <x v="0"/>
    <x v="0"/>
    <x v="0"/>
    <x v="0"/>
    <n v="5832.27"/>
    <x v="0"/>
    <x v="0"/>
  </r>
  <r>
    <x v="1"/>
    <x v="0"/>
    <x v="0"/>
    <x v="0"/>
    <x v="0"/>
    <n v="8417.96"/>
    <x v="0"/>
    <x v="0"/>
  </r>
  <r>
    <x v="1"/>
    <x v="0"/>
    <x v="0"/>
    <x v="0"/>
    <x v="0"/>
    <n v="5127.21"/>
    <x v="0"/>
    <x v="0"/>
  </r>
  <r>
    <x v="1"/>
    <x v="3"/>
    <x v="0"/>
    <x v="0"/>
    <x v="0"/>
    <n v="3476.19"/>
    <x v="0"/>
    <x v="0"/>
  </r>
  <r>
    <x v="1"/>
    <x v="0"/>
    <x v="2"/>
    <x v="0"/>
    <x v="0"/>
    <n v="11493.01"/>
    <x v="0"/>
    <x v="0"/>
  </r>
  <r>
    <x v="1"/>
    <x v="0"/>
    <x v="2"/>
    <x v="0"/>
    <x v="0"/>
    <n v="15470.9"/>
    <x v="0"/>
    <x v="0"/>
  </r>
  <r>
    <x v="1"/>
    <x v="3"/>
    <x v="1"/>
    <x v="0"/>
    <x v="0"/>
    <n v="394.34"/>
    <x v="0"/>
    <x v="0"/>
  </r>
  <r>
    <x v="1"/>
    <x v="4"/>
    <x v="2"/>
    <x v="0"/>
    <x v="0"/>
    <n v="60223.17"/>
    <x v="0"/>
    <x v="0"/>
  </r>
  <r>
    <x v="1"/>
    <x v="2"/>
    <x v="2"/>
    <x v="0"/>
    <x v="0"/>
    <n v="32969.34"/>
    <x v="0"/>
    <x v="0"/>
  </r>
  <r>
    <x v="1"/>
    <x v="0"/>
    <x v="0"/>
    <x v="0"/>
    <x v="0"/>
    <n v="1266.42"/>
    <x v="0"/>
    <x v="0"/>
  </r>
  <r>
    <x v="1"/>
    <x v="0"/>
    <x v="1"/>
    <x v="0"/>
    <x v="0"/>
    <n v="694.12"/>
    <x v="0"/>
    <x v="0"/>
  </r>
  <r>
    <x v="1"/>
    <x v="0"/>
    <x v="0"/>
    <x v="0"/>
    <x v="0"/>
    <n v="1605.63"/>
    <x v="0"/>
    <x v="0"/>
  </r>
  <r>
    <x v="1"/>
    <x v="0"/>
    <x v="2"/>
    <x v="0"/>
    <x v="0"/>
    <n v="14079.08"/>
    <x v="0"/>
    <x v="0"/>
  </r>
  <r>
    <x v="1"/>
    <x v="0"/>
    <x v="2"/>
    <x v="0"/>
    <x v="0"/>
    <n v="10967.47"/>
    <x v="0"/>
    <x v="0"/>
  </r>
  <r>
    <x v="1"/>
    <x v="3"/>
    <x v="0"/>
    <x v="0"/>
    <x v="0"/>
    <n v="4143.87"/>
    <x v="0"/>
    <x v="0"/>
  </r>
  <r>
    <x v="1"/>
    <x v="0"/>
    <x v="0"/>
    <x v="0"/>
    <x v="0"/>
    <n v="7738.69"/>
    <x v="0"/>
    <x v="0"/>
  </r>
  <r>
    <x v="1"/>
    <x v="0"/>
    <x v="0"/>
    <x v="0"/>
    <x v="0"/>
    <n v="3783.72"/>
    <x v="0"/>
    <x v="0"/>
  </r>
  <r>
    <x v="1"/>
    <x v="0"/>
    <x v="2"/>
    <x v="0"/>
    <x v="0"/>
    <n v="23147.49"/>
    <x v="0"/>
    <x v="0"/>
  </r>
  <r>
    <x v="1"/>
    <x v="0"/>
    <x v="1"/>
    <x v="0"/>
    <x v="0"/>
    <n v="141.03"/>
    <x v="0"/>
    <x v="0"/>
  </r>
  <r>
    <x v="1"/>
    <x v="1"/>
    <x v="3"/>
    <x v="0"/>
    <x v="0"/>
    <n v="303473.14"/>
    <x v="0"/>
    <x v="0"/>
  </r>
  <r>
    <x v="1"/>
    <x v="0"/>
    <x v="0"/>
    <x v="0"/>
    <x v="0"/>
    <n v="1196.61"/>
    <x v="0"/>
    <x v="0"/>
  </r>
  <r>
    <x v="1"/>
    <x v="0"/>
    <x v="2"/>
    <x v="0"/>
    <x v="0"/>
    <n v="19288.9"/>
    <x v="0"/>
    <x v="0"/>
  </r>
  <r>
    <x v="1"/>
    <x v="0"/>
    <x v="0"/>
    <x v="0"/>
    <x v="0"/>
    <n v="2217.41"/>
    <x v="0"/>
    <x v="0"/>
  </r>
  <r>
    <x v="1"/>
    <x v="0"/>
    <x v="2"/>
    <x v="0"/>
    <x v="0"/>
    <n v="11391.64"/>
    <x v="0"/>
    <x v="0"/>
  </r>
  <r>
    <x v="1"/>
    <x v="0"/>
    <x v="0"/>
    <x v="0"/>
    <x v="0"/>
    <n v="2897.59"/>
    <x v="0"/>
    <x v="0"/>
  </r>
  <r>
    <x v="1"/>
    <x v="0"/>
    <x v="0"/>
    <x v="0"/>
    <x v="0"/>
    <n v="4886.95"/>
    <x v="0"/>
    <x v="0"/>
  </r>
  <r>
    <x v="1"/>
    <x v="0"/>
    <x v="0"/>
    <x v="0"/>
    <x v="0"/>
    <n v="2556.31"/>
    <x v="0"/>
    <x v="0"/>
  </r>
  <r>
    <x v="1"/>
    <x v="0"/>
    <x v="0"/>
    <x v="0"/>
    <x v="0"/>
    <n v="1212.07"/>
    <x v="0"/>
    <x v="0"/>
  </r>
  <r>
    <x v="1"/>
    <x v="0"/>
    <x v="0"/>
    <x v="0"/>
    <x v="0"/>
    <n v="4072.66"/>
    <x v="0"/>
    <x v="0"/>
  </r>
  <r>
    <x v="1"/>
    <x v="0"/>
    <x v="0"/>
    <x v="0"/>
    <x v="0"/>
    <n v="2441.09"/>
    <x v="0"/>
    <x v="0"/>
  </r>
  <r>
    <x v="1"/>
    <x v="0"/>
    <x v="0"/>
    <x v="0"/>
    <x v="0"/>
    <n v="7074.35"/>
    <x v="0"/>
    <x v="0"/>
  </r>
  <r>
    <x v="1"/>
    <x v="0"/>
    <x v="0"/>
    <x v="0"/>
    <x v="0"/>
    <n v="5045.77"/>
    <x v="0"/>
    <x v="0"/>
  </r>
  <r>
    <x v="1"/>
    <x v="0"/>
    <x v="2"/>
    <x v="0"/>
    <x v="0"/>
    <n v="12542.66"/>
    <x v="0"/>
    <x v="0"/>
  </r>
  <r>
    <x v="1"/>
    <x v="0"/>
    <x v="1"/>
    <x v="0"/>
    <x v="0"/>
    <n v="34.22"/>
    <x v="0"/>
    <x v="0"/>
  </r>
  <r>
    <x v="1"/>
    <x v="0"/>
    <x v="0"/>
    <x v="0"/>
    <x v="0"/>
    <n v="8087.5"/>
    <x v="0"/>
    <x v="0"/>
  </r>
  <r>
    <x v="1"/>
    <x v="0"/>
    <x v="2"/>
    <x v="0"/>
    <x v="0"/>
    <n v="18714.87"/>
    <x v="0"/>
    <x v="0"/>
  </r>
  <r>
    <x v="1"/>
    <x v="0"/>
    <x v="2"/>
    <x v="0"/>
    <x v="0"/>
    <n v="10965.89"/>
    <x v="0"/>
    <x v="0"/>
  </r>
  <r>
    <x v="1"/>
    <x v="0"/>
    <x v="0"/>
    <x v="0"/>
    <x v="0"/>
    <n v="7707.04"/>
    <x v="0"/>
    <x v="0"/>
  </r>
  <r>
    <x v="1"/>
    <x v="0"/>
    <x v="0"/>
    <x v="0"/>
    <x v="0"/>
    <n v="2980.24"/>
    <x v="0"/>
    <x v="0"/>
  </r>
  <r>
    <x v="1"/>
    <x v="0"/>
    <x v="2"/>
    <x v="0"/>
    <x v="0"/>
    <n v="20603.4"/>
    <x v="0"/>
    <x v="0"/>
  </r>
  <r>
    <x v="1"/>
    <x v="0"/>
    <x v="2"/>
    <x v="0"/>
    <x v="0"/>
    <n v="14514.14"/>
    <x v="0"/>
    <x v="0"/>
  </r>
  <r>
    <x v="1"/>
    <x v="0"/>
    <x v="2"/>
    <x v="0"/>
    <x v="0"/>
    <n v="18782.2"/>
    <x v="0"/>
    <x v="0"/>
  </r>
  <r>
    <x v="1"/>
    <x v="0"/>
    <x v="2"/>
    <x v="0"/>
    <x v="0"/>
    <n v="19332.44"/>
    <x v="0"/>
    <x v="0"/>
  </r>
  <r>
    <x v="1"/>
    <x v="0"/>
    <x v="0"/>
    <x v="0"/>
    <x v="0"/>
    <n v="3286.78"/>
    <x v="0"/>
    <x v="0"/>
  </r>
  <r>
    <x v="1"/>
    <x v="0"/>
    <x v="2"/>
    <x v="0"/>
    <x v="0"/>
    <n v="21987.06"/>
    <x v="0"/>
    <x v="0"/>
  </r>
  <r>
    <x v="1"/>
    <x v="0"/>
    <x v="2"/>
    <x v="0"/>
    <x v="0"/>
    <n v="13839.11"/>
    <x v="0"/>
    <x v="0"/>
  </r>
  <r>
    <x v="1"/>
    <x v="0"/>
    <x v="0"/>
    <x v="0"/>
    <x v="0"/>
    <n v="3879.64"/>
    <x v="0"/>
    <x v="0"/>
  </r>
  <r>
    <x v="1"/>
    <x v="0"/>
    <x v="1"/>
    <x v="0"/>
    <x v="0"/>
    <n v="38.88"/>
    <x v="0"/>
    <x v="0"/>
  </r>
  <r>
    <x v="1"/>
    <x v="0"/>
    <x v="0"/>
    <x v="0"/>
    <x v="0"/>
    <n v="2942.66"/>
    <x v="0"/>
    <x v="0"/>
  </r>
  <r>
    <x v="1"/>
    <x v="0"/>
    <x v="2"/>
    <x v="0"/>
    <x v="0"/>
    <n v="10024.14"/>
    <x v="0"/>
    <x v="0"/>
  </r>
  <r>
    <x v="1"/>
    <x v="3"/>
    <x v="0"/>
    <x v="0"/>
    <x v="0"/>
    <n v="3949.99"/>
    <x v="0"/>
    <x v="0"/>
  </r>
  <r>
    <x v="1"/>
    <x v="3"/>
    <x v="0"/>
    <x v="0"/>
    <x v="0"/>
    <n v="7888.3"/>
    <x v="0"/>
    <x v="0"/>
  </r>
  <r>
    <x v="1"/>
    <x v="0"/>
    <x v="0"/>
    <x v="0"/>
    <x v="0"/>
    <n v="4994.3"/>
    <x v="0"/>
    <x v="0"/>
  </r>
  <r>
    <x v="1"/>
    <x v="0"/>
    <x v="2"/>
    <x v="0"/>
    <x v="0"/>
    <n v="14213.84"/>
    <x v="0"/>
    <x v="0"/>
  </r>
  <r>
    <x v="1"/>
    <x v="3"/>
    <x v="0"/>
    <x v="0"/>
    <x v="0"/>
    <n v="3868.15"/>
    <x v="0"/>
    <x v="0"/>
  </r>
  <r>
    <x v="1"/>
    <x v="3"/>
    <x v="0"/>
    <x v="0"/>
    <x v="0"/>
    <n v="8723.05"/>
    <x v="0"/>
    <x v="0"/>
  </r>
  <r>
    <x v="1"/>
    <x v="0"/>
    <x v="0"/>
    <x v="0"/>
    <x v="0"/>
    <n v="7204.66"/>
    <x v="0"/>
    <x v="0"/>
  </r>
  <r>
    <x v="1"/>
    <x v="0"/>
    <x v="1"/>
    <x v="0"/>
    <x v="0"/>
    <n v="764.8"/>
    <x v="0"/>
    <x v="0"/>
  </r>
  <r>
    <x v="1"/>
    <x v="0"/>
    <x v="0"/>
    <x v="0"/>
    <x v="0"/>
    <n v="5910.1"/>
    <x v="0"/>
    <x v="0"/>
  </r>
  <r>
    <x v="1"/>
    <x v="0"/>
    <x v="0"/>
    <x v="0"/>
    <x v="0"/>
    <n v="9877.48"/>
    <x v="0"/>
    <x v="0"/>
  </r>
  <r>
    <x v="1"/>
    <x v="0"/>
    <x v="0"/>
    <x v="0"/>
    <x v="0"/>
    <n v="8194.49"/>
    <x v="0"/>
    <x v="0"/>
  </r>
  <r>
    <x v="1"/>
    <x v="0"/>
    <x v="0"/>
    <x v="0"/>
    <x v="0"/>
    <n v="1477.91"/>
    <x v="0"/>
    <x v="0"/>
  </r>
  <r>
    <x v="1"/>
    <x v="0"/>
    <x v="0"/>
    <x v="0"/>
    <x v="0"/>
    <n v="4004.23"/>
    <x v="0"/>
    <x v="0"/>
  </r>
  <r>
    <x v="1"/>
    <x v="0"/>
    <x v="1"/>
    <x v="0"/>
    <x v="0"/>
    <n v="423.81"/>
    <x v="0"/>
    <x v="0"/>
  </r>
  <r>
    <x v="1"/>
    <x v="3"/>
    <x v="0"/>
    <x v="0"/>
    <x v="0"/>
    <n v="6012.68"/>
    <x v="0"/>
    <x v="0"/>
  </r>
  <r>
    <x v="1"/>
    <x v="0"/>
    <x v="0"/>
    <x v="0"/>
    <x v="0"/>
    <n v="2478.71"/>
    <x v="0"/>
    <x v="0"/>
  </r>
  <r>
    <x v="1"/>
    <x v="0"/>
    <x v="2"/>
    <x v="0"/>
    <x v="0"/>
    <n v="10592.75"/>
    <x v="0"/>
    <x v="0"/>
  </r>
  <r>
    <x v="1"/>
    <x v="0"/>
    <x v="0"/>
    <x v="0"/>
    <x v="0"/>
    <n v="6382.51"/>
    <x v="0"/>
    <x v="0"/>
  </r>
  <r>
    <x v="1"/>
    <x v="0"/>
    <x v="0"/>
    <x v="0"/>
    <x v="0"/>
    <n v="5840.15"/>
    <x v="0"/>
    <x v="0"/>
  </r>
  <r>
    <x v="1"/>
    <x v="0"/>
    <x v="0"/>
    <x v="0"/>
    <x v="0"/>
    <n v="7767.92"/>
    <x v="0"/>
    <x v="0"/>
  </r>
  <r>
    <x v="1"/>
    <x v="0"/>
    <x v="1"/>
    <x v="0"/>
    <x v="0"/>
    <n v="740.95"/>
    <x v="0"/>
    <x v="0"/>
  </r>
  <r>
    <x v="1"/>
    <x v="1"/>
    <x v="2"/>
    <x v="0"/>
    <x v="0"/>
    <n v="67234.96"/>
    <x v="0"/>
    <x v="0"/>
  </r>
  <r>
    <x v="1"/>
    <x v="0"/>
    <x v="0"/>
    <x v="0"/>
    <x v="0"/>
    <n v="3088.09"/>
    <x v="0"/>
    <x v="0"/>
  </r>
  <r>
    <x v="1"/>
    <x v="0"/>
    <x v="2"/>
    <x v="0"/>
    <x v="0"/>
    <n v="14198.34"/>
    <x v="0"/>
    <x v="0"/>
  </r>
  <r>
    <x v="1"/>
    <x v="0"/>
    <x v="2"/>
    <x v="0"/>
    <x v="0"/>
    <n v="29414.89"/>
    <x v="0"/>
    <x v="0"/>
  </r>
  <r>
    <x v="1"/>
    <x v="0"/>
    <x v="1"/>
    <x v="0"/>
    <x v="0"/>
    <n v="402.22"/>
    <x v="0"/>
    <x v="0"/>
  </r>
  <r>
    <x v="1"/>
    <x v="0"/>
    <x v="0"/>
    <x v="0"/>
    <x v="0"/>
    <n v="6934.8"/>
    <x v="0"/>
    <x v="0"/>
  </r>
  <r>
    <x v="1"/>
    <x v="0"/>
    <x v="0"/>
    <x v="0"/>
    <x v="0"/>
    <n v="9614.45"/>
    <x v="0"/>
    <x v="0"/>
  </r>
  <r>
    <x v="1"/>
    <x v="0"/>
    <x v="0"/>
    <x v="0"/>
    <x v="0"/>
    <n v="7856.39"/>
    <x v="0"/>
    <x v="0"/>
  </r>
  <r>
    <x v="1"/>
    <x v="0"/>
    <x v="0"/>
    <x v="0"/>
    <x v="0"/>
    <n v="1125.82"/>
    <x v="0"/>
    <x v="0"/>
  </r>
  <r>
    <x v="1"/>
    <x v="0"/>
    <x v="1"/>
    <x v="0"/>
    <x v="0"/>
    <n v="208.35"/>
    <x v="0"/>
    <x v="0"/>
  </r>
  <r>
    <x v="1"/>
    <x v="0"/>
    <x v="0"/>
    <x v="0"/>
    <x v="0"/>
    <n v="3719.89"/>
    <x v="0"/>
    <x v="0"/>
  </r>
  <r>
    <x v="1"/>
    <x v="0"/>
    <x v="2"/>
    <x v="0"/>
    <x v="0"/>
    <n v="10967.31"/>
    <x v="0"/>
    <x v="0"/>
  </r>
  <r>
    <x v="1"/>
    <x v="3"/>
    <x v="1"/>
    <x v="0"/>
    <x v="0"/>
    <n v="923.14"/>
    <x v="0"/>
    <x v="0"/>
  </r>
  <r>
    <x v="1"/>
    <x v="0"/>
    <x v="0"/>
    <x v="0"/>
    <x v="0"/>
    <n v="5975.88"/>
    <x v="0"/>
    <x v="0"/>
  </r>
  <r>
    <x v="1"/>
    <x v="0"/>
    <x v="0"/>
    <x v="0"/>
    <x v="0"/>
    <n v="3703.76"/>
    <x v="0"/>
    <x v="0"/>
  </r>
  <r>
    <x v="1"/>
    <x v="0"/>
    <x v="0"/>
    <x v="0"/>
    <x v="0"/>
    <n v="4356.91"/>
    <x v="0"/>
    <x v="0"/>
  </r>
  <r>
    <x v="1"/>
    <x v="0"/>
    <x v="0"/>
    <x v="0"/>
    <x v="0"/>
    <n v="2396.83"/>
    <x v="0"/>
    <x v="0"/>
  </r>
  <r>
    <x v="1"/>
    <x v="2"/>
    <x v="3"/>
    <x v="0"/>
    <x v="0"/>
    <n v="205054.97"/>
    <x v="0"/>
    <x v="0"/>
  </r>
  <r>
    <x v="1"/>
    <x v="0"/>
    <x v="1"/>
    <x v="0"/>
    <x v="0"/>
    <n v="647.06"/>
    <x v="0"/>
    <x v="0"/>
  </r>
  <r>
    <x v="1"/>
    <x v="0"/>
    <x v="0"/>
    <x v="0"/>
    <x v="0"/>
    <n v="5514.73"/>
    <x v="0"/>
    <x v="0"/>
  </r>
  <r>
    <x v="1"/>
    <x v="0"/>
    <x v="0"/>
    <x v="0"/>
    <x v="0"/>
    <n v="7734.86"/>
    <x v="0"/>
    <x v="0"/>
  </r>
  <r>
    <x v="1"/>
    <x v="0"/>
    <x v="0"/>
    <x v="0"/>
    <x v="0"/>
    <n v="2676.46"/>
    <x v="0"/>
    <x v="0"/>
  </r>
  <r>
    <x v="1"/>
    <x v="0"/>
    <x v="0"/>
    <x v="0"/>
    <x v="0"/>
    <n v="1602.18"/>
    <x v="0"/>
    <x v="0"/>
  </r>
  <r>
    <x v="1"/>
    <x v="0"/>
    <x v="2"/>
    <x v="0"/>
    <x v="0"/>
    <n v="23938.64"/>
    <x v="0"/>
    <x v="0"/>
  </r>
  <r>
    <x v="1"/>
    <x v="0"/>
    <x v="0"/>
    <x v="0"/>
    <x v="0"/>
    <n v="9418.88"/>
    <x v="0"/>
    <x v="0"/>
  </r>
  <r>
    <x v="1"/>
    <x v="0"/>
    <x v="2"/>
    <x v="0"/>
    <x v="0"/>
    <n v="11265.41"/>
    <x v="0"/>
    <x v="0"/>
  </r>
  <r>
    <x v="1"/>
    <x v="0"/>
    <x v="0"/>
    <x v="0"/>
    <x v="0"/>
    <n v="1044.89"/>
    <x v="0"/>
    <x v="0"/>
  </r>
  <r>
    <x v="1"/>
    <x v="0"/>
    <x v="0"/>
    <x v="0"/>
    <x v="0"/>
    <n v="4944.69"/>
    <x v="0"/>
    <x v="0"/>
  </r>
  <r>
    <x v="1"/>
    <x v="0"/>
    <x v="0"/>
    <x v="0"/>
    <x v="0"/>
    <n v="2185.46"/>
    <x v="0"/>
    <x v="0"/>
  </r>
  <r>
    <x v="1"/>
    <x v="0"/>
    <x v="0"/>
    <x v="0"/>
    <x v="0"/>
    <n v="9222.29"/>
    <x v="0"/>
    <x v="0"/>
  </r>
  <r>
    <x v="1"/>
    <x v="0"/>
    <x v="2"/>
    <x v="0"/>
    <x v="0"/>
    <n v="46256.91"/>
    <x v="0"/>
    <x v="0"/>
  </r>
  <r>
    <x v="1"/>
    <x v="0"/>
    <x v="0"/>
    <x v="0"/>
    <x v="0"/>
    <n v="3220.95"/>
    <x v="0"/>
    <x v="0"/>
  </r>
  <r>
    <x v="1"/>
    <x v="0"/>
    <x v="2"/>
    <x v="0"/>
    <x v="0"/>
    <n v="15730.19"/>
    <x v="0"/>
    <x v="0"/>
  </r>
  <r>
    <x v="1"/>
    <x v="0"/>
    <x v="0"/>
    <x v="0"/>
    <x v="0"/>
    <n v="9877.72"/>
    <x v="0"/>
    <x v="0"/>
  </r>
  <r>
    <x v="1"/>
    <x v="0"/>
    <x v="1"/>
    <x v="0"/>
    <x v="0"/>
    <n v="979.03"/>
    <x v="0"/>
    <x v="0"/>
  </r>
  <r>
    <x v="1"/>
    <x v="0"/>
    <x v="0"/>
    <x v="0"/>
    <x v="0"/>
    <n v="4497.18"/>
    <x v="0"/>
    <x v="0"/>
  </r>
  <r>
    <x v="1"/>
    <x v="0"/>
    <x v="0"/>
    <x v="0"/>
    <x v="0"/>
    <n v="7891.04"/>
    <x v="0"/>
    <x v="0"/>
  </r>
  <r>
    <x v="1"/>
    <x v="0"/>
    <x v="0"/>
    <x v="0"/>
    <x v="0"/>
    <n v="2707.95"/>
    <x v="0"/>
    <x v="0"/>
  </r>
  <r>
    <x v="1"/>
    <x v="0"/>
    <x v="2"/>
    <x v="0"/>
    <x v="0"/>
    <n v="11762.79"/>
    <x v="0"/>
    <x v="0"/>
  </r>
  <r>
    <x v="1"/>
    <x v="0"/>
    <x v="2"/>
    <x v="0"/>
    <x v="0"/>
    <n v="11163.43"/>
    <x v="0"/>
    <x v="0"/>
  </r>
  <r>
    <x v="1"/>
    <x v="0"/>
    <x v="0"/>
    <x v="0"/>
    <x v="0"/>
    <n v="4538.3"/>
    <x v="0"/>
    <x v="0"/>
  </r>
  <r>
    <x v="1"/>
    <x v="0"/>
    <x v="0"/>
    <x v="0"/>
    <x v="0"/>
    <n v="1130.94"/>
    <x v="0"/>
    <x v="0"/>
  </r>
  <r>
    <x v="1"/>
    <x v="0"/>
    <x v="0"/>
    <x v="0"/>
    <x v="0"/>
    <n v="4235.51"/>
    <x v="0"/>
    <x v="0"/>
  </r>
  <r>
    <x v="1"/>
    <x v="0"/>
    <x v="0"/>
    <x v="0"/>
    <x v="0"/>
    <n v="5374.49"/>
    <x v="0"/>
    <x v="0"/>
  </r>
  <r>
    <x v="1"/>
    <x v="0"/>
    <x v="0"/>
    <x v="0"/>
    <x v="0"/>
    <n v="3186.6"/>
    <x v="0"/>
    <x v="0"/>
  </r>
  <r>
    <x v="1"/>
    <x v="0"/>
    <x v="0"/>
    <x v="0"/>
    <x v="0"/>
    <n v="2390.56"/>
    <x v="0"/>
    <x v="0"/>
  </r>
  <r>
    <x v="1"/>
    <x v="0"/>
    <x v="2"/>
    <x v="0"/>
    <x v="0"/>
    <n v="20144.74"/>
    <x v="0"/>
    <x v="0"/>
  </r>
  <r>
    <x v="1"/>
    <x v="0"/>
    <x v="2"/>
    <x v="0"/>
    <x v="0"/>
    <n v="16165.8"/>
    <x v="0"/>
    <x v="0"/>
  </r>
  <r>
    <x v="1"/>
    <x v="0"/>
    <x v="0"/>
    <x v="0"/>
    <x v="0"/>
    <n v="9191.09"/>
    <x v="0"/>
    <x v="0"/>
  </r>
  <r>
    <x v="1"/>
    <x v="0"/>
    <x v="0"/>
    <x v="0"/>
    <x v="0"/>
    <n v="1338.19"/>
    <x v="0"/>
    <x v="0"/>
  </r>
  <r>
    <x v="1"/>
    <x v="0"/>
    <x v="0"/>
    <x v="0"/>
    <x v="0"/>
    <n v="5203.95"/>
    <x v="0"/>
    <x v="0"/>
  </r>
  <r>
    <x v="1"/>
    <x v="0"/>
    <x v="0"/>
    <x v="0"/>
    <x v="0"/>
    <n v="1360.43"/>
    <x v="0"/>
    <x v="0"/>
  </r>
  <r>
    <x v="1"/>
    <x v="0"/>
    <x v="0"/>
    <x v="0"/>
    <x v="0"/>
    <n v="3042.92"/>
    <x v="0"/>
    <x v="0"/>
  </r>
  <r>
    <x v="1"/>
    <x v="0"/>
    <x v="0"/>
    <x v="0"/>
    <x v="0"/>
    <n v="7890.99"/>
    <x v="0"/>
    <x v="0"/>
  </r>
  <r>
    <x v="1"/>
    <x v="1"/>
    <x v="3"/>
    <x v="0"/>
    <x v="0"/>
    <n v="150142.45"/>
    <x v="0"/>
    <x v="0"/>
  </r>
  <r>
    <x v="1"/>
    <x v="0"/>
    <x v="0"/>
    <x v="0"/>
    <x v="0"/>
    <n v="4957.02"/>
    <x v="0"/>
    <x v="0"/>
  </r>
  <r>
    <x v="1"/>
    <x v="0"/>
    <x v="2"/>
    <x v="0"/>
    <x v="0"/>
    <n v="20603.53"/>
    <x v="0"/>
    <x v="0"/>
  </r>
  <r>
    <x v="1"/>
    <x v="0"/>
    <x v="0"/>
    <x v="0"/>
    <x v="0"/>
    <n v="7402.3"/>
    <x v="0"/>
    <x v="0"/>
  </r>
  <r>
    <x v="1"/>
    <x v="0"/>
    <x v="0"/>
    <x v="0"/>
    <x v="0"/>
    <n v="1216.72"/>
    <x v="0"/>
    <x v="0"/>
  </r>
  <r>
    <x v="1"/>
    <x v="2"/>
    <x v="2"/>
    <x v="0"/>
    <x v="0"/>
    <n v="13939.21"/>
    <x v="0"/>
    <x v="0"/>
  </r>
  <r>
    <x v="1"/>
    <x v="1"/>
    <x v="3"/>
    <x v="0"/>
    <x v="0"/>
    <n v="156474.87"/>
    <x v="0"/>
    <x v="0"/>
  </r>
  <r>
    <x v="1"/>
    <x v="3"/>
    <x v="0"/>
    <x v="0"/>
    <x v="0"/>
    <n v="5871.06"/>
    <x v="0"/>
    <x v="0"/>
  </r>
  <r>
    <x v="1"/>
    <x v="3"/>
    <x v="0"/>
    <x v="0"/>
    <x v="0"/>
    <n v="2351.74"/>
    <x v="0"/>
    <x v="0"/>
  </r>
  <r>
    <x v="1"/>
    <x v="0"/>
    <x v="0"/>
    <x v="0"/>
    <x v="0"/>
    <n v="4681.64"/>
    <x v="0"/>
    <x v="0"/>
  </r>
  <r>
    <x v="1"/>
    <x v="0"/>
    <x v="2"/>
    <x v="0"/>
    <x v="0"/>
    <n v="10819.72"/>
    <x v="0"/>
    <x v="0"/>
  </r>
  <r>
    <x v="1"/>
    <x v="3"/>
    <x v="0"/>
    <x v="0"/>
    <x v="0"/>
    <n v="1046.5"/>
    <x v="0"/>
    <x v="0"/>
  </r>
  <r>
    <x v="1"/>
    <x v="0"/>
    <x v="0"/>
    <x v="0"/>
    <x v="0"/>
    <n v="5904.7"/>
    <x v="0"/>
    <x v="0"/>
  </r>
  <r>
    <x v="1"/>
    <x v="0"/>
    <x v="0"/>
    <x v="0"/>
    <x v="0"/>
    <n v="7118.18"/>
    <x v="0"/>
    <x v="0"/>
  </r>
  <r>
    <x v="1"/>
    <x v="0"/>
    <x v="0"/>
    <x v="0"/>
    <x v="0"/>
    <n v="6022.26"/>
    <x v="0"/>
    <x v="0"/>
  </r>
  <r>
    <x v="1"/>
    <x v="3"/>
    <x v="0"/>
    <x v="0"/>
    <x v="0"/>
    <n v="5360.4"/>
    <x v="0"/>
    <x v="0"/>
  </r>
  <r>
    <x v="1"/>
    <x v="0"/>
    <x v="2"/>
    <x v="0"/>
    <x v="0"/>
    <n v="11667.76"/>
    <x v="0"/>
    <x v="0"/>
  </r>
  <r>
    <x v="1"/>
    <x v="0"/>
    <x v="0"/>
    <x v="0"/>
    <x v="0"/>
    <n v="2316.7"/>
    <x v="0"/>
    <x v="0"/>
  </r>
  <r>
    <x v="1"/>
    <x v="0"/>
    <x v="0"/>
    <x v="0"/>
    <x v="0"/>
    <n v="7049.83"/>
    <x v="0"/>
    <x v="0"/>
  </r>
  <r>
    <x v="1"/>
    <x v="0"/>
    <x v="0"/>
    <x v="0"/>
    <x v="0"/>
    <n v="2110.53"/>
    <x v="0"/>
    <x v="0"/>
  </r>
  <r>
    <x v="1"/>
    <x v="0"/>
    <x v="0"/>
    <x v="0"/>
    <x v="0"/>
    <n v="5758.46"/>
    <x v="0"/>
    <x v="0"/>
  </r>
  <r>
    <x v="1"/>
    <x v="2"/>
    <x v="2"/>
    <x v="0"/>
    <x v="0"/>
    <n v="89518.58"/>
    <x v="0"/>
    <x v="0"/>
  </r>
  <r>
    <x v="1"/>
    <x v="2"/>
    <x v="2"/>
    <x v="0"/>
    <x v="0"/>
    <n v="28369.42"/>
    <x v="0"/>
    <x v="0"/>
  </r>
  <r>
    <x v="1"/>
    <x v="0"/>
    <x v="0"/>
    <x v="0"/>
    <x v="0"/>
    <n v="2900.55"/>
    <x v="0"/>
    <x v="0"/>
  </r>
  <r>
    <x v="1"/>
    <x v="3"/>
    <x v="0"/>
    <x v="0"/>
    <x v="0"/>
    <n v="4390.62"/>
    <x v="0"/>
    <x v="0"/>
  </r>
  <r>
    <x v="1"/>
    <x v="0"/>
    <x v="2"/>
    <x v="0"/>
    <x v="0"/>
    <n v="12343.16"/>
    <x v="0"/>
    <x v="0"/>
  </r>
  <r>
    <x v="1"/>
    <x v="0"/>
    <x v="1"/>
    <x v="0"/>
    <x v="0"/>
    <n v="873.3"/>
    <x v="0"/>
    <x v="0"/>
  </r>
  <r>
    <x v="1"/>
    <x v="0"/>
    <x v="1"/>
    <x v="0"/>
    <x v="0"/>
    <n v="545.55"/>
    <x v="0"/>
    <x v="0"/>
  </r>
  <r>
    <x v="1"/>
    <x v="0"/>
    <x v="2"/>
    <x v="0"/>
    <x v="0"/>
    <n v="11987.41"/>
    <x v="0"/>
    <x v="0"/>
  </r>
  <r>
    <x v="1"/>
    <x v="0"/>
    <x v="0"/>
    <x v="0"/>
    <x v="0"/>
    <n v="2692.22"/>
    <x v="0"/>
    <x v="0"/>
  </r>
  <r>
    <x v="1"/>
    <x v="3"/>
    <x v="0"/>
    <x v="0"/>
    <x v="0"/>
    <n v="7594.57"/>
    <x v="0"/>
    <x v="0"/>
  </r>
  <r>
    <x v="1"/>
    <x v="0"/>
    <x v="0"/>
    <x v="0"/>
    <x v="0"/>
    <n v="8048.16"/>
    <x v="0"/>
    <x v="0"/>
  </r>
  <r>
    <x v="1"/>
    <x v="2"/>
    <x v="3"/>
    <x v="0"/>
    <x v="0"/>
    <n v="169734.47"/>
    <x v="0"/>
    <x v="0"/>
  </r>
  <r>
    <x v="1"/>
    <x v="2"/>
    <x v="3"/>
    <x v="0"/>
    <x v="0"/>
    <n v="113758.88"/>
    <x v="0"/>
    <x v="0"/>
  </r>
  <r>
    <x v="1"/>
    <x v="3"/>
    <x v="0"/>
    <x v="0"/>
    <x v="0"/>
    <n v="5301.22"/>
    <x v="0"/>
    <x v="0"/>
  </r>
  <r>
    <x v="1"/>
    <x v="3"/>
    <x v="0"/>
    <x v="0"/>
    <x v="0"/>
    <n v="1377.34"/>
    <x v="0"/>
    <x v="0"/>
  </r>
  <r>
    <x v="1"/>
    <x v="0"/>
    <x v="0"/>
    <x v="0"/>
    <x v="0"/>
    <n v="9583.89"/>
    <x v="0"/>
    <x v="0"/>
  </r>
  <r>
    <x v="1"/>
    <x v="0"/>
    <x v="2"/>
    <x v="0"/>
    <x v="0"/>
    <n v="18864.22"/>
    <x v="0"/>
    <x v="0"/>
  </r>
  <r>
    <x v="1"/>
    <x v="1"/>
    <x v="2"/>
    <x v="0"/>
    <x v="0"/>
    <n v="50333.01"/>
    <x v="0"/>
    <x v="0"/>
  </r>
  <r>
    <x v="1"/>
    <x v="0"/>
    <x v="0"/>
    <x v="0"/>
    <x v="0"/>
    <n v="4592.82"/>
    <x v="0"/>
    <x v="0"/>
  </r>
  <r>
    <x v="1"/>
    <x v="0"/>
    <x v="0"/>
    <x v="0"/>
    <x v="0"/>
    <n v="2362.45"/>
    <x v="0"/>
    <x v="0"/>
  </r>
  <r>
    <x v="1"/>
    <x v="0"/>
    <x v="0"/>
    <x v="0"/>
    <x v="0"/>
    <n v="6808.86"/>
    <x v="0"/>
    <x v="0"/>
  </r>
  <r>
    <x v="1"/>
    <x v="1"/>
    <x v="3"/>
    <x v="0"/>
    <x v="0"/>
    <n v="119451.25"/>
    <x v="0"/>
    <x v="0"/>
  </r>
  <r>
    <x v="1"/>
    <x v="1"/>
    <x v="2"/>
    <x v="0"/>
    <x v="0"/>
    <n v="60949.25"/>
    <x v="0"/>
    <x v="0"/>
  </r>
  <r>
    <x v="1"/>
    <x v="1"/>
    <x v="3"/>
    <x v="0"/>
    <x v="0"/>
    <n v="227236.78"/>
    <x v="0"/>
    <x v="0"/>
  </r>
  <r>
    <x v="1"/>
    <x v="1"/>
    <x v="3"/>
    <x v="0"/>
    <x v="0"/>
    <n v="351219.8"/>
    <x v="0"/>
    <x v="0"/>
  </r>
  <r>
    <x v="1"/>
    <x v="1"/>
    <x v="2"/>
    <x v="0"/>
    <x v="0"/>
    <n v="64185.86"/>
    <x v="0"/>
    <x v="0"/>
  </r>
  <r>
    <x v="1"/>
    <x v="1"/>
    <x v="4"/>
    <x v="0"/>
    <x v="0"/>
    <n v="1231953.95"/>
    <x v="0"/>
    <x v="0"/>
  </r>
  <r>
    <x v="1"/>
    <x v="1"/>
    <x v="4"/>
    <x v="0"/>
    <x v="0"/>
    <n v="2474181.78"/>
    <x v="0"/>
    <x v="0"/>
  </r>
  <r>
    <x v="1"/>
    <x v="1"/>
    <x v="3"/>
    <x v="0"/>
    <x v="0"/>
    <n v="367966.09"/>
    <x v="0"/>
    <x v="0"/>
  </r>
  <r>
    <x v="1"/>
    <x v="1"/>
    <x v="3"/>
    <x v="0"/>
    <x v="0"/>
    <n v="602938.9"/>
    <x v="0"/>
    <x v="0"/>
  </r>
  <r>
    <x v="1"/>
    <x v="1"/>
    <x v="4"/>
    <x v="0"/>
    <x v="0"/>
    <n v="1232150.93"/>
    <x v="0"/>
    <x v="0"/>
  </r>
  <r>
    <x v="1"/>
    <x v="1"/>
    <x v="3"/>
    <x v="0"/>
    <x v="0"/>
    <n v="521278.47"/>
    <x v="0"/>
    <x v="0"/>
  </r>
  <r>
    <x v="1"/>
    <x v="1"/>
    <x v="3"/>
    <x v="0"/>
    <x v="0"/>
    <n v="844849.66"/>
    <x v="0"/>
    <x v="0"/>
  </r>
  <r>
    <x v="1"/>
    <x v="1"/>
    <x v="3"/>
    <x v="0"/>
    <x v="0"/>
    <n v="378843.29"/>
    <x v="0"/>
    <x v="0"/>
  </r>
  <r>
    <x v="1"/>
    <x v="1"/>
    <x v="3"/>
    <x v="0"/>
    <x v="0"/>
    <n v="285251.82"/>
    <x v="0"/>
    <x v="0"/>
  </r>
  <r>
    <x v="1"/>
    <x v="1"/>
    <x v="3"/>
    <x v="0"/>
    <x v="0"/>
    <n v="232336.31"/>
    <x v="0"/>
    <x v="0"/>
  </r>
  <r>
    <x v="1"/>
    <x v="1"/>
    <x v="3"/>
    <x v="0"/>
    <x v="0"/>
    <n v="896122.8"/>
    <x v="0"/>
    <x v="0"/>
  </r>
  <r>
    <x v="1"/>
    <x v="1"/>
    <x v="3"/>
    <x v="0"/>
    <x v="0"/>
    <n v="414959.03"/>
    <x v="0"/>
    <x v="0"/>
  </r>
  <r>
    <x v="1"/>
    <x v="1"/>
    <x v="3"/>
    <x v="0"/>
    <x v="0"/>
    <n v="317831.06"/>
    <x v="0"/>
    <x v="0"/>
  </r>
  <r>
    <x v="1"/>
    <x v="1"/>
    <x v="3"/>
    <x v="0"/>
    <x v="0"/>
    <n v="548202.26"/>
    <x v="0"/>
    <x v="0"/>
  </r>
  <r>
    <x v="1"/>
    <x v="1"/>
    <x v="3"/>
    <x v="0"/>
    <x v="0"/>
    <n v="180173.39"/>
    <x v="0"/>
    <x v="0"/>
  </r>
  <r>
    <x v="1"/>
    <x v="1"/>
    <x v="3"/>
    <x v="0"/>
    <x v="0"/>
    <n v="243853.63"/>
    <x v="0"/>
    <x v="0"/>
  </r>
  <r>
    <x v="1"/>
    <x v="1"/>
    <x v="4"/>
    <x v="0"/>
    <x v="0"/>
    <n v="1339661.93"/>
    <x v="0"/>
    <x v="0"/>
  </r>
  <r>
    <x v="1"/>
    <x v="1"/>
    <x v="3"/>
    <x v="0"/>
    <x v="0"/>
    <n v="744654.21"/>
    <x v="0"/>
    <x v="0"/>
  </r>
  <r>
    <x v="1"/>
    <x v="0"/>
    <x v="2"/>
    <x v="0"/>
    <x v="0"/>
    <n v="10039.29"/>
    <x v="0"/>
    <x v="0"/>
  </r>
  <r>
    <x v="1"/>
    <x v="0"/>
    <x v="1"/>
    <x v="0"/>
    <x v="0"/>
    <n v="537.8"/>
    <x v="0"/>
    <x v="0"/>
  </r>
  <r>
    <x v="1"/>
    <x v="3"/>
    <x v="0"/>
    <x v="0"/>
    <x v="0"/>
    <n v="3925.8"/>
    <x v="0"/>
    <x v="0"/>
  </r>
  <r>
    <x v="1"/>
    <x v="2"/>
    <x v="3"/>
    <x v="0"/>
    <x v="0"/>
    <n v="158934.62"/>
    <x v="0"/>
    <x v="0"/>
  </r>
  <r>
    <x v="1"/>
    <x v="3"/>
    <x v="1"/>
    <x v="0"/>
    <x v="0"/>
    <n v="482.58"/>
    <x v="0"/>
    <x v="0"/>
  </r>
  <r>
    <x v="1"/>
    <x v="1"/>
    <x v="3"/>
    <x v="0"/>
    <x v="0"/>
    <n v="107159.07"/>
    <x v="0"/>
    <x v="0"/>
  </r>
  <r>
    <x v="1"/>
    <x v="0"/>
    <x v="0"/>
    <x v="0"/>
    <x v="0"/>
    <n v="5536.65"/>
    <x v="0"/>
    <x v="0"/>
  </r>
  <r>
    <x v="1"/>
    <x v="0"/>
    <x v="0"/>
    <x v="0"/>
    <x v="0"/>
    <n v="4640.64"/>
    <x v="0"/>
    <x v="0"/>
  </r>
  <r>
    <x v="1"/>
    <x v="0"/>
    <x v="1"/>
    <x v="0"/>
    <x v="0"/>
    <n v="205.26"/>
    <x v="0"/>
    <x v="0"/>
  </r>
  <r>
    <x v="1"/>
    <x v="0"/>
    <x v="2"/>
    <x v="0"/>
    <x v="0"/>
    <n v="10375.5"/>
    <x v="0"/>
    <x v="0"/>
  </r>
  <r>
    <x v="1"/>
    <x v="0"/>
    <x v="0"/>
    <x v="0"/>
    <x v="0"/>
    <n v="1760.56"/>
    <x v="0"/>
    <x v="0"/>
  </r>
  <r>
    <x v="1"/>
    <x v="0"/>
    <x v="0"/>
    <x v="0"/>
    <x v="0"/>
    <n v="7656.3"/>
    <x v="0"/>
    <x v="0"/>
  </r>
  <r>
    <x v="1"/>
    <x v="2"/>
    <x v="2"/>
    <x v="0"/>
    <x v="0"/>
    <n v="74226.4"/>
    <x v="0"/>
    <x v="0"/>
  </r>
  <r>
    <x v="1"/>
    <x v="0"/>
    <x v="0"/>
    <x v="0"/>
    <x v="0"/>
    <n v="2181.96"/>
    <x v="0"/>
    <x v="0"/>
  </r>
  <r>
    <x v="1"/>
    <x v="3"/>
    <x v="0"/>
    <x v="0"/>
    <x v="0"/>
    <n v="1739.48"/>
    <x v="0"/>
    <x v="0"/>
  </r>
  <r>
    <x v="1"/>
    <x v="3"/>
    <x v="0"/>
    <x v="0"/>
    <x v="0"/>
    <n v="2731.05"/>
    <x v="0"/>
    <x v="0"/>
  </r>
  <r>
    <x v="1"/>
    <x v="3"/>
    <x v="1"/>
    <x v="0"/>
    <x v="0"/>
    <n v="391.84"/>
    <x v="0"/>
    <x v="0"/>
  </r>
  <r>
    <x v="1"/>
    <x v="3"/>
    <x v="1"/>
    <x v="0"/>
    <x v="0"/>
    <n v="621.68"/>
    <x v="0"/>
    <x v="0"/>
  </r>
  <r>
    <x v="1"/>
    <x v="0"/>
    <x v="0"/>
    <x v="0"/>
    <x v="0"/>
    <n v="6531.31"/>
    <x v="0"/>
    <x v="0"/>
  </r>
  <r>
    <x v="1"/>
    <x v="0"/>
    <x v="0"/>
    <x v="0"/>
    <x v="0"/>
    <n v="2101.83"/>
    <x v="0"/>
    <x v="0"/>
  </r>
  <r>
    <x v="1"/>
    <x v="0"/>
    <x v="1"/>
    <x v="0"/>
    <x v="0"/>
    <n v="92.37"/>
    <x v="0"/>
    <x v="0"/>
  </r>
  <r>
    <x v="1"/>
    <x v="0"/>
    <x v="0"/>
    <x v="0"/>
    <x v="0"/>
    <n v="9627.9"/>
    <x v="0"/>
    <x v="0"/>
  </r>
  <r>
    <x v="1"/>
    <x v="0"/>
    <x v="2"/>
    <x v="0"/>
    <x v="0"/>
    <n v="13330.81"/>
    <x v="0"/>
    <x v="0"/>
  </r>
  <r>
    <x v="1"/>
    <x v="0"/>
    <x v="0"/>
    <x v="0"/>
    <x v="0"/>
    <n v="9677.36"/>
    <x v="0"/>
    <x v="0"/>
  </r>
  <r>
    <x v="1"/>
    <x v="4"/>
    <x v="0"/>
    <x v="0"/>
    <x v="0"/>
    <n v="9047.91"/>
    <x v="0"/>
    <x v="0"/>
  </r>
  <r>
    <x v="1"/>
    <x v="0"/>
    <x v="2"/>
    <x v="0"/>
    <x v="0"/>
    <n v="12368.9"/>
    <x v="0"/>
    <x v="0"/>
  </r>
  <r>
    <x v="1"/>
    <x v="0"/>
    <x v="2"/>
    <x v="0"/>
    <x v="0"/>
    <n v="10554.67"/>
    <x v="0"/>
    <x v="0"/>
  </r>
  <r>
    <x v="1"/>
    <x v="0"/>
    <x v="0"/>
    <x v="0"/>
    <x v="0"/>
    <n v="2929.78"/>
    <x v="0"/>
    <x v="0"/>
  </r>
  <r>
    <x v="1"/>
    <x v="3"/>
    <x v="0"/>
    <x v="0"/>
    <x v="0"/>
    <n v="3106.9"/>
    <x v="0"/>
    <x v="0"/>
  </r>
  <r>
    <x v="1"/>
    <x v="0"/>
    <x v="2"/>
    <x v="0"/>
    <x v="0"/>
    <n v="30709.74"/>
    <x v="0"/>
    <x v="0"/>
  </r>
  <r>
    <x v="1"/>
    <x v="0"/>
    <x v="2"/>
    <x v="0"/>
    <x v="0"/>
    <n v="12230.25"/>
    <x v="0"/>
    <x v="0"/>
  </r>
  <r>
    <x v="1"/>
    <x v="4"/>
    <x v="3"/>
    <x v="0"/>
    <x v="0"/>
    <n v="161238.92"/>
    <x v="0"/>
    <x v="0"/>
  </r>
  <r>
    <x v="1"/>
    <x v="4"/>
    <x v="2"/>
    <x v="0"/>
    <x v="0"/>
    <n v="27505.56"/>
    <x v="0"/>
    <x v="0"/>
  </r>
  <r>
    <x v="1"/>
    <x v="4"/>
    <x v="3"/>
    <x v="0"/>
    <x v="0"/>
    <n v="392853.36"/>
    <x v="0"/>
    <x v="0"/>
  </r>
  <r>
    <x v="1"/>
    <x v="4"/>
    <x v="3"/>
    <x v="0"/>
    <x v="0"/>
    <n v="201398.6"/>
    <x v="0"/>
    <x v="0"/>
  </r>
  <r>
    <x v="1"/>
    <x v="4"/>
    <x v="3"/>
    <x v="0"/>
    <x v="0"/>
    <n v="155944.68"/>
    <x v="0"/>
    <x v="0"/>
  </r>
  <r>
    <x v="1"/>
    <x v="4"/>
    <x v="3"/>
    <x v="0"/>
    <x v="0"/>
    <n v="152980.34"/>
    <x v="0"/>
    <x v="0"/>
  </r>
  <r>
    <x v="1"/>
    <x v="4"/>
    <x v="3"/>
    <x v="0"/>
    <x v="0"/>
    <n v="258194.98"/>
    <x v="0"/>
    <x v="0"/>
  </r>
  <r>
    <x v="1"/>
    <x v="4"/>
    <x v="3"/>
    <x v="0"/>
    <x v="0"/>
    <n v="102737.96"/>
    <x v="0"/>
    <x v="0"/>
  </r>
  <r>
    <x v="1"/>
    <x v="4"/>
    <x v="3"/>
    <x v="0"/>
    <x v="0"/>
    <n v="451450.27"/>
    <x v="0"/>
    <x v="0"/>
  </r>
  <r>
    <x v="1"/>
    <x v="4"/>
    <x v="2"/>
    <x v="0"/>
    <x v="0"/>
    <n v="54843.76"/>
    <x v="0"/>
    <x v="0"/>
  </r>
  <r>
    <x v="1"/>
    <x v="4"/>
    <x v="3"/>
    <x v="0"/>
    <x v="0"/>
    <n v="382001.01"/>
    <x v="0"/>
    <x v="0"/>
  </r>
  <r>
    <x v="1"/>
    <x v="4"/>
    <x v="3"/>
    <x v="0"/>
    <x v="0"/>
    <n v="119675.03"/>
    <x v="0"/>
    <x v="0"/>
  </r>
  <r>
    <x v="1"/>
    <x v="4"/>
    <x v="3"/>
    <x v="0"/>
    <x v="0"/>
    <n v="283675.61"/>
    <x v="0"/>
    <x v="0"/>
  </r>
  <r>
    <x v="1"/>
    <x v="4"/>
    <x v="3"/>
    <x v="0"/>
    <x v="0"/>
    <n v="222925.42"/>
    <x v="0"/>
    <x v="0"/>
  </r>
  <r>
    <x v="1"/>
    <x v="4"/>
    <x v="2"/>
    <x v="0"/>
    <x v="0"/>
    <n v="70325.16"/>
    <x v="0"/>
    <x v="0"/>
  </r>
  <r>
    <x v="1"/>
    <x v="4"/>
    <x v="3"/>
    <x v="0"/>
    <x v="0"/>
    <n v="378605.9"/>
    <x v="0"/>
    <x v="0"/>
  </r>
  <r>
    <x v="1"/>
    <x v="4"/>
    <x v="3"/>
    <x v="0"/>
    <x v="0"/>
    <n v="186350.94"/>
    <x v="0"/>
    <x v="0"/>
  </r>
  <r>
    <x v="1"/>
    <x v="4"/>
    <x v="2"/>
    <x v="0"/>
    <x v="0"/>
    <n v="81518.63"/>
    <x v="0"/>
    <x v="0"/>
  </r>
  <r>
    <x v="1"/>
    <x v="4"/>
    <x v="2"/>
    <x v="0"/>
    <x v="0"/>
    <n v="73309.71"/>
    <x v="0"/>
    <x v="0"/>
  </r>
  <r>
    <x v="1"/>
    <x v="4"/>
    <x v="3"/>
    <x v="0"/>
    <x v="0"/>
    <n v="142596.78"/>
    <x v="0"/>
    <x v="0"/>
  </r>
  <r>
    <x v="1"/>
    <x v="4"/>
    <x v="2"/>
    <x v="0"/>
    <x v="0"/>
    <n v="57817.21"/>
    <x v="0"/>
    <x v="0"/>
  </r>
  <r>
    <x v="1"/>
    <x v="4"/>
    <x v="3"/>
    <x v="0"/>
    <x v="0"/>
    <n v="295815.29"/>
    <x v="0"/>
    <x v="0"/>
  </r>
  <r>
    <x v="1"/>
    <x v="4"/>
    <x v="3"/>
    <x v="0"/>
    <x v="0"/>
    <n v="696235.62"/>
    <x v="0"/>
    <x v="0"/>
  </r>
  <r>
    <x v="1"/>
    <x v="4"/>
    <x v="2"/>
    <x v="0"/>
    <x v="0"/>
    <n v="10391.99"/>
    <x v="0"/>
    <x v="0"/>
  </r>
  <r>
    <x v="1"/>
    <x v="4"/>
    <x v="2"/>
    <x v="0"/>
    <x v="0"/>
    <n v="51613.5"/>
    <x v="0"/>
    <x v="0"/>
  </r>
  <r>
    <x v="1"/>
    <x v="4"/>
    <x v="2"/>
    <x v="0"/>
    <x v="0"/>
    <n v="19748.91"/>
    <x v="0"/>
    <x v="0"/>
  </r>
  <r>
    <x v="1"/>
    <x v="4"/>
    <x v="2"/>
    <x v="0"/>
    <x v="0"/>
    <n v="22391.5"/>
    <x v="0"/>
    <x v="0"/>
  </r>
  <r>
    <x v="1"/>
    <x v="4"/>
    <x v="2"/>
    <x v="0"/>
    <x v="0"/>
    <n v="15427.16"/>
    <x v="0"/>
    <x v="0"/>
  </r>
  <r>
    <x v="1"/>
    <x v="4"/>
    <x v="3"/>
    <x v="0"/>
    <x v="0"/>
    <n v="130148.62"/>
    <x v="0"/>
    <x v="0"/>
  </r>
  <r>
    <x v="1"/>
    <x v="4"/>
    <x v="3"/>
    <x v="0"/>
    <x v="0"/>
    <n v="224321.58"/>
    <x v="0"/>
    <x v="0"/>
  </r>
  <r>
    <x v="1"/>
    <x v="4"/>
    <x v="3"/>
    <x v="0"/>
    <x v="0"/>
    <n v="356617.79"/>
    <x v="0"/>
    <x v="0"/>
  </r>
  <r>
    <x v="1"/>
    <x v="4"/>
    <x v="3"/>
    <x v="0"/>
    <x v="0"/>
    <n v="167104.98"/>
    <x v="0"/>
    <x v="0"/>
  </r>
  <r>
    <x v="1"/>
    <x v="4"/>
    <x v="3"/>
    <x v="0"/>
    <x v="0"/>
    <n v="178961.93"/>
    <x v="0"/>
    <x v="0"/>
  </r>
  <r>
    <x v="1"/>
    <x v="4"/>
    <x v="3"/>
    <x v="0"/>
    <x v="0"/>
    <n v="156690.67"/>
    <x v="0"/>
    <x v="0"/>
  </r>
  <r>
    <x v="1"/>
    <x v="4"/>
    <x v="3"/>
    <x v="0"/>
    <x v="0"/>
    <n v="215815.13"/>
    <x v="0"/>
    <x v="0"/>
  </r>
  <r>
    <x v="1"/>
    <x v="4"/>
    <x v="3"/>
    <x v="0"/>
    <x v="0"/>
    <n v="295618.46"/>
    <x v="0"/>
    <x v="0"/>
  </r>
  <r>
    <x v="1"/>
    <x v="4"/>
    <x v="3"/>
    <x v="0"/>
    <x v="0"/>
    <n v="332188.93"/>
    <x v="0"/>
    <x v="0"/>
  </r>
  <r>
    <x v="1"/>
    <x v="4"/>
    <x v="3"/>
    <x v="0"/>
    <x v="0"/>
    <n v="101576.37"/>
    <x v="0"/>
    <x v="0"/>
  </r>
  <r>
    <x v="1"/>
    <x v="4"/>
    <x v="3"/>
    <x v="0"/>
    <x v="0"/>
    <n v="133213.71"/>
    <x v="0"/>
    <x v="0"/>
  </r>
  <r>
    <x v="1"/>
    <x v="4"/>
    <x v="3"/>
    <x v="0"/>
    <x v="0"/>
    <n v="168729.73"/>
    <x v="0"/>
    <x v="0"/>
  </r>
  <r>
    <x v="1"/>
    <x v="4"/>
    <x v="2"/>
    <x v="0"/>
    <x v="0"/>
    <n v="10321.88"/>
    <x v="0"/>
    <x v="0"/>
  </r>
  <r>
    <x v="1"/>
    <x v="4"/>
    <x v="3"/>
    <x v="0"/>
    <x v="0"/>
    <n v="287474.24"/>
    <x v="0"/>
    <x v="0"/>
  </r>
  <r>
    <x v="1"/>
    <x v="4"/>
    <x v="2"/>
    <x v="0"/>
    <x v="0"/>
    <n v="84299.07"/>
    <x v="0"/>
    <x v="0"/>
  </r>
  <r>
    <x v="1"/>
    <x v="4"/>
    <x v="3"/>
    <x v="0"/>
    <x v="0"/>
    <n v="111692.26"/>
    <x v="0"/>
    <x v="0"/>
  </r>
  <r>
    <x v="1"/>
    <x v="4"/>
    <x v="2"/>
    <x v="0"/>
    <x v="0"/>
    <n v="73061.34"/>
    <x v="0"/>
    <x v="0"/>
  </r>
  <r>
    <x v="1"/>
    <x v="4"/>
    <x v="3"/>
    <x v="0"/>
    <x v="0"/>
    <n v="221099.31"/>
    <x v="0"/>
    <x v="0"/>
  </r>
  <r>
    <x v="1"/>
    <x v="4"/>
    <x v="3"/>
    <x v="0"/>
    <x v="0"/>
    <n v="208690.04"/>
    <x v="0"/>
    <x v="0"/>
  </r>
  <r>
    <x v="1"/>
    <x v="4"/>
    <x v="3"/>
    <x v="0"/>
    <x v="0"/>
    <n v="130711.51"/>
    <x v="0"/>
    <x v="0"/>
  </r>
  <r>
    <x v="1"/>
    <x v="4"/>
    <x v="2"/>
    <x v="0"/>
    <x v="0"/>
    <n v="98893.95"/>
    <x v="0"/>
    <x v="0"/>
  </r>
  <r>
    <x v="1"/>
    <x v="4"/>
    <x v="2"/>
    <x v="0"/>
    <x v="0"/>
    <n v="73242.08"/>
    <x v="0"/>
    <x v="0"/>
  </r>
  <r>
    <x v="1"/>
    <x v="4"/>
    <x v="3"/>
    <x v="0"/>
    <x v="0"/>
    <n v="105879.16"/>
    <x v="0"/>
    <x v="0"/>
  </r>
  <r>
    <x v="1"/>
    <x v="4"/>
    <x v="2"/>
    <x v="0"/>
    <x v="0"/>
    <n v="42829.9"/>
    <x v="0"/>
    <x v="0"/>
  </r>
  <r>
    <x v="1"/>
    <x v="4"/>
    <x v="3"/>
    <x v="0"/>
    <x v="0"/>
    <n v="257619.2"/>
    <x v="0"/>
    <x v="0"/>
  </r>
  <r>
    <x v="1"/>
    <x v="4"/>
    <x v="3"/>
    <x v="0"/>
    <x v="0"/>
    <n v="119973.24"/>
    <x v="0"/>
    <x v="0"/>
  </r>
  <r>
    <x v="1"/>
    <x v="4"/>
    <x v="3"/>
    <x v="0"/>
    <x v="0"/>
    <n v="177096.09"/>
    <x v="0"/>
    <x v="0"/>
  </r>
  <r>
    <x v="1"/>
    <x v="4"/>
    <x v="2"/>
    <x v="0"/>
    <x v="0"/>
    <n v="48513.85"/>
    <x v="0"/>
    <x v="0"/>
  </r>
  <r>
    <x v="1"/>
    <x v="4"/>
    <x v="2"/>
    <x v="0"/>
    <x v="0"/>
    <n v="66892.29"/>
    <x v="0"/>
    <x v="0"/>
  </r>
  <r>
    <x v="1"/>
    <x v="4"/>
    <x v="2"/>
    <x v="0"/>
    <x v="0"/>
    <n v="12615.19"/>
    <x v="0"/>
    <x v="0"/>
  </r>
  <r>
    <x v="1"/>
    <x v="4"/>
    <x v="2"/>
    <x v="0"/>
    <x v="0"/>
    <n v="43249.45"/>
    <x v="0"/>
    <x v="0"/>
  </r>
  <r>
    <x v="1"/>
    <x v="4"/>
    <x v="3"/>
    <x v="0"/>
    <x v="0"/>
    <n v="438969.05"/>
    <x v="0"/>
    <x v="0"/>
  </r>
  <r>
    <x v="1"/>
    <x v="4"/>
    <x v="2"/>
    <x v="0"/>
    <x v="0"/>
    <n v="10443.68"/>
    <x v="0"/>
    <x v="0"/>
  </r>
  <r>
    <x v="1"/>
    <x v="4"/>
    <x v="2"/>
    <x v="0"/>
    <x v="0"/>
    <n v="61344.23"/>
    <x v="0"/>
    <x v="0"/>
  </r>
  <r>
    <x v="1"/>
    <x v="4"/>
    <x v="3"/>
    <x v="0"/>
    <x v="0"/>
    <n v="208929.58"/>
    <x v="0"/>
    <x v="0"/>
  </r>
  <r>
    <x v="1"/>
    <x v="4"/>
    <x v="2"/>
    <x v="0"/>
    <x v="0"/>
    <n v="16624.23"/>
    <x v="0"/>
    <x v="0"/>
  </r>
  <r>
    <x v="1"/>
    <x v="4"/>
    <x v="3"/>
    <x v="0"/>
    <x v="0"/>
    <n v="333871.74"/>
    <x v="0"/>
    <x v="0"/>
  </r>
  <r>
    <x v="1"/>
    <x v="4"/>
    <x v="3"/>
    <x v="0"/>
    <x v="0"/>
    <n v="250326.22"/>
    <x v="0"/>
    <x v="0"/>
  </r>
  <r>
    <x v="1"/>
    <x v="4"/>
    <x v="3"/>
    <x v="0"/>
    <x v="0"/>
    <n v="188118.26"/>
    <x v="0"/>
    <x v="0"/>
  </r>
  <r>
    <x v="1"/>
    <x v="4"/>
    <x v="3"/>
    <x v="0"/>
    <x v="0"/>
    <n v="126065.07"/>
    <x v="0"/>
    <x v="0"/>
  </r>
  <r>
    <x v="1"/>
    <x v="4"/>
    <x v="3"/>
    <x v="0"/>
    <x v="0"/>
    <n v="121400.87"/>
    <x v="0"/>
    <x v="0"/>
  </r>
  <r>
    <x v="1"/>
    <x v="4"/>
    <x v="3"/>
    <x v="0"/>
    <x v="0"/>
    <n v="348792.33"/>
    <x v="0"/>
    <x v="0"/>
  </r>
  <r>
    <x v="1"/>
    <x v="4"/>
    <x v="3"/>
    <x v="0"/>
    <x v="0"/>
    <n v="502911.34"/>
    <x v="0"/>
    <x v="0"/>
  </r>
  <r>
    <x v="1"/>
    <x v="4"/>
    <x v="3"/>
    <x v="0"/>
    <x v="0"/>
    <n v="232769.1"/>
    <x v="0"/>
    <x v="0"/>
  </r>
  <r>
    <x v="1"/>
    <x v="0"/>
    <x v="1"/>
    <x v="0"/>
    <x v="0"/>
    <n v="799.18"/>
    <x v="0"/>
    <x v="0"/>
  </r>
  <r>
    <x v="1"/>
    <x v="3"/>
    <x v="0"/>
    <x v="0"/>
    <x v="0"/>
    <n v="5619.13"/>
    <x v="0"/>
    <x v="0"/>
  </r>
  <r>
    <x v="1"/>
    <x v="2"/>
    <x v="3"/>
    <x v="0"/>
    <x v="0"/>
    <n v="165664.94"/>
    <x v="0"/>
    <x v="0"/>
  </r>
  <r>
    <x v="1"/>
    <x v="0"/>
    <x v="0"/>
    <x v="0"/>
    <x v="0"/>
    <n v="4696.36"/>
    <x v="0"/>
    <x v="0"/>
  </r>
  <r>
    <x v="1"/>
    <x v="0"/>
    <x v="0"/>
    <x v="0"/>
    <x v="0"/>
    <n v="3738.26"/>
    <x v="0"/>
    <x v="0"/>
  </r>
  <r>
    <x v="1"/>
    <x v="1"/>
    <x v="2"/>
    <x v="1"/>
    <x v="0"/>
    <n v="18627.02"/>
    <x v="1"/>
    <x v="13"/>
  </r>
  <r>
    <x v="1"/>
    <x v="2"/>
    <x v="2"/>
    <x v="1"/>
    <x v="0"/>
    <n v="18627.02"/>
    <x v="1"/>
    <x v="13"/>
  </r>
  <r>
    <x v="1"/>
    <x v="3"/>
    <x v="0"/>
    <x v="0"/>
    <x v="0"/>
    <n v="4122.31"/>
    <x v="0"/>
    <x v="0"/>
  </r>
  <r>
    <x v="1"/>
    <x v="2"/>
    <x v="2"/>
    <x v="0"/>
    <x v="0"/>
    <n v="82399.46"/>
    <x v="0"/>
    <x v="0"/>
  </r>
  <r>
    <x v="1"/>
    <x v="0"/>
    <x v="0"/>
    <x v="0"/>
    <x v="0"/>
    <n v="3779.27"/>
    <x v="0"/>
    <x v="0"/>
  </r>
  <r>
    <x v="1"/>
    <x v="3"/>
    <x v="0"/>
    <x v="0"/>
    <x v="0"/>
    <n v="4215.24"/>
    <x v="0"/>
    <x v="0"/>
  </r>
  <r>
    <x v="1"/>
    <x v="0"/>
    <x v="0"/>
    <x v="0"/>
    <x v="0"/>
    <n v="4296.12"/>
    <x v="0"/>
    <x v="0"/>
  </r>
  <r>
    <x v="1"/>
    <x v="0"/>
    <x v="0"/>
    <x v="0"/>
    <x v="0"/>
    <n v="9059.91"/>
    <x v="0"/>
    <x v="0"/>
  </r>
  <r>
    <x v="1"/>
    <x v="0"/>
    <x v="0"/>
    <x v="0"/>
    <x v="0"/>
    <n v="4878.63"/>
    <x v="0"/>
    <x v="0"/>
  </r>
  <r>
    <x v="1"/>
    <x v="0"/>
    <x v="0"/>
    <x v="0"/>
    <x v="0"/>
    <n v="9264.89"/>
    <x v="0"/>
    <x v="0"/>
  </r>
  <r>
    <x v="1"/>
    <x v="3"/>
    <x v="0"/>
    <x v="0"/>
    <x v="0"/>
    <n v="8499.58"/>
    <x v="0"/>
    <x v="0"/>
  </r>
  <r>
    <x v="1"/>
    <x v="0"/>
    <x v="0"/>
    <x v="0"/>
    <x v="0"/>
    <n v="3208.39"/>
    <x v="0"/>
    <x v="0"/>
  </r>
  <r>
    <x v="1"/>
    <x v="0"/>
    <x v="0"/>
    <x v="0"/>
    <x v="0"/>
    <n v="1939.74"/>
    <x v="0"/>
    <x v="0"/>
  </r>
  <r>
    <x v="1"/>
    <x v="0"/>
    <x v="2"/>
    <x v="0"/>
    <x v="0"/>
    <n v="12956.39"/>
    <x v="0"/>
    <x v="0"/>
  </r>
  <r>
    <x v="1"/>
    <x v="0"/>
    <x v="0"/>
    <x v="0"/>
    <x v="0"/>
    <n v="4054.4"/>
    <x v="0"/>
    <x v="0"/>
  </r>
  <r>
    <x v="1"/>
    <x v="0"/>
    <x v="0"/>
    <x v="0"/>
    <x v="0"/>
    <n v="2688.02"/>
    <x v="0"/>
    <x v="0"/>
  </r>
  <r>
    <x v="1"/>
    <x v="0"/>
    <x v="1"/>
    <x v="0"/>
    <x v="0"/>
    <n v="183.35"/>
    <x v="0"/>
    <x v="0"/>
  </r>
  <r>
    <x v="1"/>
    <x v="0"/>
    <x v="0"/>
    <x v="0"/>
    <x v="0"/>
    <n v="2577.79"/>
    <x v="0"/>
    <x v="0"/>
  </r>
  <r>
    <x v="1"/>
    <x v="0"/>
    <x v="0"/>
    <x v="0"/>
    <x v="0"/>
    <n v="6142.72"/>
    <x v="0"/>
    <x v="0"/>
  </r>
  <r>
    <x v="1"/>
    <x v="0"/>
    <x v="2"/>
    <x v="0"/>
    <x v="0"/>
    <n v="15025.01"/>
    <x v="0"/>
    <x v="0"/>
  </r>
  <r>
    <x v="1"/>
    <x v="0"/>
    <x v="2"/>
    <x v="0"/>
    <x v="0"/>
    <n v="14037.48"/>
    <x v="0"/>
    <x v="0"/>
  </r>
  <r>
    <x v="1"/>
    <x v="0"/>
    <x v="0"/>
    <x v="0"/>
    <x v="0"/>
    <n v="3181.52"/>
    <x v="0"/>
    <x v="0"/>
  </r>
  <r>
    <x v="1"/>
    <x v="3"/>
    <x v="0"/>
    <x v="0"/>
    <x v="0"/>
    <n v="6174.06"/>
    <x v="0"/>
    <x v="0"/>
  </r>
  <r>
    <x v="1"/>
    <x v="0"/>
    <x v="1"/>
    <x v="0"/>
    <x v="0"/>
    <n v="688.58"/>
    <x v="0"/>
    <x v="0"/>
  </r>
  <r>
    <x v="1"/>
    <x v="0"/>
    <x v="0"/>
    <x v="0"/>
    <x v="0"/>
    <n v="6557.5"/>
    <x v="0"/>
    <x v="0"/>
  </r>
  <r>
    <x v="1"/>
    <x v="0"/>
    <x v="0"/>
    <x v="0"/>
    <x v="0"/>
    <n v="5096.21"/>
    <x v="0"/>
    <x v="0"/>
  </r>
  <r>
    <x v="1"/>
    <x v="0"/>
    <x v="0"/>
    <x v="0"/>
    <x v="0"/>
    <n v="6517.62"/>
    <x v="0"/>
    <x v="0"/>
  </r>
  <r>
    <x v="1"/>
    <x v="0"/>
    <x v="0"/>
    <x v="0"/>
    <x v="0"/>
    <n v="6601.34"/>
    <x v="0"/>
    <x v="0"/>
  </r>
  <r>
    <x v="1"/>
    <x v="2"/>
    <x v="2"/>
    <x v="0"/>
    <x v="0"/>
    <n v="22251.46"/>
    <x v="0"/>
    <x v="0"/>
  </r>
  <r>
    <x v="1"/>
    <x v="0"/>
    <x v="0"/>
    <x v="0"/>
    <x v="0"/>
    <n v="2530.52"/>
    <x v="0"/>
    <x v="0"/>
  </r>
  <r>
    <x v="1"/>
    <x v="0"/>
    <x v="2"/>
    <x v="0"/>
    <x v="0"/>
    <n v="17925.91"/>
    <x v="0"/>
    <x v="0"/>
  </r>
  <r>
    <x v="1"/>
    <x v="0"/>
    <x v="1"/>
    <x v="0"/>
    <x v="0"/>
    <n v="956.17"/>
    <x v="0"/>
    <x v="0"/>
  </r>
  <r>
    <x v="1"/>
    <x v="0"/>
    <x v="0"/>
    <x v="0"/>
    <x v="0"/>
    <n v="7663.4"/>
    <x v="0"/>
    <x v="0"/>
  </r>
  <r>
    <x v="1"/>
    <x v="0"/>
    <x v="2"/>
    <x v="0"/>
    <x v="0"/>
    <n v="25704.52"/>
    <x v="0"/>
    <x v="0"/>
  </r>
  <r>
    <x v="1"/>
    <x v="0"/>
    <x v="0"/>
    <x v="0"/>
    <x v="0"/>
    <n v="3453.72"/>
    <x v="0"/>
    <x v="0"/>
  </r>
  <r>
    <x v="1"/>
    <x v="0"/>
    <x v="1"/>
    <x v="0"/>
    <x v="0"/>
    <n v="562.14"/>
    <x v="0"/>
    <x v="0"/>
  </r>
  <r>
    <x v="1"/>
    <x v="0"/>
    <x v="2"/>
    <x v="0"/>
    <x v="0"/>
    <n v="33459.4"/>
    <x v="0"/>
    <x v="0"/>
  </r>
  <r>
    <x v="1"/>
    <x v="0"/>
    <x v="1"/>
    <x v="0"/>
    <x v="0"/>
    <n v="735.15"/>
    <x v="0"/>
    <x v="0"/>
  </r>
  <r>
    <x v="1"/>
    <x v="0"/>
    <x v="0"/>
    <x v="0"/>
    <x v="0"/>
    <n v="3503.31"/>
    <x v="0"/>
    <x v="0"/>
  </r>
  <r>
    <x v="2"/>
    <x v="0"/>
    <x v="2"/>
    <x v="0"/>
    <x v="0"/>
    <n v="20971"/>
    <x v="0"/>
    <x v="0"/>
  </r>
  <r>
    <x v="2"/>
    <x v="0"/>
    <x v="2"/>
    <x v="0"/>
    <x v="0"/>
    <n v="27659.67"/>
    <x v="0"/>
    <x v="0"/>
  </r>
  <r>
    <x v="2"/>
    <x v="3"/>
    <x v="0"/>
    <x v="0"/>
    <x v="0"/>
    <n v="2673.5"/>
    <x v="0"/>
    <x v="0"/>
  </r>
  <r>
    <x v="2"/>
    <x v="0"/>
    <x v="1"/>
    <x v="0"/>
    <x v="0"/>
    <n v="501.11"/>
    <x v="0"/>
    <x v="0"/>
  </r>
  <r>
    <x v="2"/>
    <x v="0"/>
    <x v="2"/>
    <x v="0"/>
    <x v="0"/>
    <n v="11866.89"/>
    <x v="0"/>
    <x v="0"/>
  </r>
  <r>
    <x v="2"/>
    <x v="0"/>
    <x v="0"/>
    <x v="0"/>
    <x v="0"/>
    <n v="2108.36"/>
    <x v="0"/>
    <x v="0"/>
  </r>
  <r>
    <x v="2"/>
    <x v="0"/>
    <x v="0"/>
    <x v="0"/>
    <x v="0"/>
    <n v="6967.64"/>
    <x v="0"/>
    <x v="0"/>
  </r>
  <r>
    <x v="2"/>
    <x v="0"/>
    <x v="0"/>
    <x v="0"/>
    <x v="0"/>
    <n v="4136.97"/>
    <x v="0"/>
    <x v="0"/>
  </r>
  <r>
    <x v="2"/>
    <x v="0"/>
    <x v="0"/>
    <x v="0"/>
    <x v="0"/>
    <n v="1094.13"/>
    <x v="0"/>
    <x v="0"/>
  </r>
  <r>
    <x v="2"/>
    <x v="4"/>
    <x v="2"/>
    <x v="0"/>
    <x v="0"/>
    <n v="36563.86"/>
    <x v="0"/>
    <x v="0"/>
  </r>
  <r>
    <x v="2"/>
    <x v="0"/>
    <x v="2"/>
    <x v="0"/>
    <x v="0"/>
    <n v="24826.85"/>
    <x v="0"/>
    <x v="0"/>
  </r>
  <r>
    <x v="2"/>
    <x v="4"/>
    <x v="2"/>
    <x v="0"/>
    <x v="0"/>
    <n v="23669.02"/>
    <x v="0"/>
    <x v="0"/>
  </r>
  <r>
    <x v="2"/>
    <x v="4"/>
    <x v="3"/>
    <x v="0"/>
    <x v="0"/>
    <n v="143254.72"/>
    <x v="0"/>
    <x v="0"/>
  </r>
  <r>
    <x v="2"/>
    <x v="4"/>
    <x v="3"/>
    <x v="0"/>
    <x v="0"/>
    <n v="439543.98"/>
    <x v="0"/>
    <x v="0"/>
  </r>
  <r>
    <x v="2"/>
    <x v="4"/>
    <x v="3"/>
    <x v="0"/>
    <x v="0"/>
    <n v="140728.41"/>
    <x v="0"/>
    <x v="0"/>
  </r>
  <r>
    <x v="2"/>
    <x v="4"/>
    <x v="3"/>
    <x v="0"/>
    <x v="0"/>
    <n v="159116.29"/>
    <x v="0"/>
    <x v="0"/>
  </r>
  <r>
    <x v="2"/>
    <x v="4"/>
    <x v="3"/>
    <x v="0"/>
    <x v="0"/>
    <n v="140313.48"/>
    <x v="0"/>
    <x v="0"/>
  </r>
  <r>
    <x v="2"/>
    <x v="4"/>
    <x v="2"/>
    <x v="0"/>
    <x v="0"/>
    <n v="98313.86"/>
    <x v="0"/>
    <x v="0"/>
  </r>
  <r>
    <x v="2"/>
    <x v="4"/>
    <x v="3"/>
    <x v="0"/>
    <x v="0"/>
    <n v="302642.08"/>
    <x v="0"/>
    <x v="0"/>
  </r>
  <r>
    <x v="2"/>
    <x v="4"/>
    <x v="3"/>
    <x v="0"/>
    <x v="0"/>
    <n v="194242.46"/>
    <x v="0"/>
    <x v="0"/>
  </r>
  <r>
    <x v="2"/>
    <x v="4"/>
    <x v="3"/>
    <x v="0"/>
    <x v="0"/>
    <n v="236510.08"/>
    <x v="0"/>
    <x v="0"/>
  </r>
  <r>
    <x v="2"/>
    <x v="4"/>
    <x v="2"/>
    <x v="0"/>
    <x v="0"/>
    <n v="76284.92"/>
    <x v="0"/>
    <x v="0"/>
  </r>
  <r>
    <x v="2"/>
    <x v="4"/>
    <x v="2"/>
    <x v="0"/>
    <x v="0"/>
    <n v="34936.53"/>
    <x v="0"/>
    <x v="0"/>
  </r>
  <r>
    <x v="2"/>
    <x v="4"/>
    <x v="3"/>
    <x v="0"/>
    <x v="0"/>
    <n v="148620.65"/>
    <x v="0"/>
    <x v="0"/>
  </r>
  <r>
    <x v="2"/>
    <x v="4"/>
    <x v="2"/>
    <x v="0"/>
    <x v="0"/>
    <n v="46013.11"/>
    <x v="0"/>
    <x v="0"/>
  </r>
  <r>
    <x v="2"/>
    <x v="4"/>
    <x v="3"/>
    <x v="0"/>
    <x v="0"/>
    <n v="155624"/>
    <x v="0"/>
    <x v="0"/>
  </r>
  <r>
    <x v="2"/>
    <x v="4"/>
    <x v="3"/>
    <x v="0"/>
    <x v="0"/>
    <n v="151132.51"/>
    <x v="0"/>
    <x v="0"/>
  </r>
  <r>
    <x v="2"/>
    <x v="4"/>
    <x v="2"/>
    <x v="0"/>
    <x v="0"/>
    <n v="22624.41"/>
    <x v="0"/>
    <x v="0"/>
  </r>
  <r>
    <x v="2"/>
    <x v="4"/>
    <x v="3"/>
    <x v="0"/>
    <x v="0"/>
    <n v="168846.2"/>
    <x v="0"/>
    <x v="0"/>
  </r>
  <r>
    <x v="2"/>
    <x v="4"/>
    <x v="0"/>
    <x v="0"/>
    <x v="0"/>
    <n v="1332.59"/>
    <x v="0"/>
    <x v="0"/>
  </r>
  <r>
    <x v="2"/>
    <x v="4"/>
    <x v="3"/>
    <x v="0"/>
    <x v="0"/>
    <n v="263407.81"/>
    <x v="0"/>
    <x v="0"/>
  </r>
  <r>
    <x v="2"/>
    <x v="4"/>
    <x v="3"/>
    <x v="0"/>
    <x v="0"/>
    <n v="196198.94"/>
    <x v="0"/>
    <x v="0"/>
  </r>
  <r>
    <x v="2"/>
    <x v="4"/>
    <x v="3"/>
    <x v="0"/>
    <x v="0"/>
    <n v="437567.49"/>
    <x v="0"/>
    <x v="0"/>
  </r>
  <r>
    <x v="2"/>
    <x v="4"/>
    <x v="2"/>
    <x v="0"/>
    <x v="0"/>
    <n v="20997.64"/>
    <x v="0"/>
    <x v="0"/>
  </r>
  <r>
    <x v="2"/>
    <x v="4"/>
    <x v="2"/>
    <x v="0"/>
    <x v="0"/>
    <n v="56164.21"/>
    <x v="0"/>
    <x v="0"/>
  </r>
  <r>
    <x v="2"/>
    <x v="4"/>
    <x v="2"/>
    <x v="0"/>
    <x v="0"/>
    <n v="38923.13"/>
    <x v="0"/>
    <x v="0"/>
  </r>
  <r>
    <x v="2"/>
    <x v="4"/>
    <x v="3"/>
    <x v="0"/>
    <x v="0"/>
    <n v="101640.69"/>
    <x v="0"/>
    <x v="0"/>
  </r>
  <r>
    <x v="2"/>
    <x v="4"/>
    <x v="0"/>
    <x v="0"/>
    <x v="0"/>
    <n v="7314.79"/>
    <x v="0"/>
    <x v="0"/>
  </r>
  <r>
    <x v="2"/>
    <x v="4"/>
    <x v="2"/>
    <x v="0"/>
    <x v="0"/>
    <n v="95659.6"/>
    <x v="0"/>
    <x v="0"/>
  </r>
  <r>
    <x v="2"/>
    <x v="4"/>
    <x v="3"/>
    <x v="0"/>
    <x v="0"/>
    <n v="108216.36"/>
    <x v="0"/>
    <x v="0"/>
  </r>
  <r>
    <x v="2"/>
    <x v="4"/>
    <x v="3"/>
    <x v="0"/>
    <x v="0"/>
    <n v="289025.75"/>
    <x v="0"/>
    <x v="0"/>
  </r>
  <r>
    <x v="2"/>
    <x v="4"/>
    <x v="3"/>
    <x v="0"/>
    <x v="0"/>
    <n v="289264.94"/>
    <x v="0"/>
    <x v="0"/>
  </r>
  <r>
    <x v="2"/>
    <x v="4"/>
    <x v="3"/>
    <x v="0"/>
    <x v="0"/>
    <n v="129977.85"/>
    <x v="0"/>
    <x v="0"/>
  </r>
  <r>
    <x v="2"/>
    <x v="4"/>
    <x v="3"/>
    <x v="0"/>
    <x v="0"/>
    <n v="285360.2"/>
    <x v="0"/>
    <x v="0"/>
  </r>
  <r>
    <x v="2"/>
    <x v="4"/>
    <x v="3"/>
    <x v="0"/>
    <x v="0"/>
    <n v="351903.76"/>
    <x v="0"/>
    <x v="0"/>
  </r>
  <r>
    <x v="2"/>
    <x v="4"/>
    <x v="3"/>
    <x v="0"/>
    <x v="0"/>
    <n v="132864.71"/>
    <x v="0"/>
    <x v="0"/>
  </r>
  <r>
    <x v="2"/>
    <x v="4"/>
    <x v="2"/>
    <x v="0"/>
    <x v="0"/>
    <n v="94578.73"/>
    <x v="0"/>
    <x v="0"/>
  </r>
  <r>
    <x v="2"/>
    <x v="4"/>
    <x v="3"/>
    <x v="0"/>
    <x v="0"/>
    <n v="223593.6"/>
    <x v="0"/>
    <x v="0"/>
  </r>
  <r>
    <x v="2"/>
    <x v="4"/>
    <x v="3"/>
    <x v="0"/>
    <x v="0"/>
    <n v="228724.76"/>
    <x v="0"/>
    <x v="0"/>
  </r>
  <r>
    <x v="2"/>
    <x v="4"/>
    <x v="3"/>
    <x v="0"/>
    <x v="0"/>
    <n v="176732.94"/>
    <x v="0"/>
    <x v="0"/>
  </r>
  <r>
    <x v="2"/>
    <x v="4"/>
    <x v="2"/>
    <x v="0"/>
    <x v="0"/>
    <n v="93078.04"/>
    <x v="0"/>
    <x v="0"/>
  </r>
  <r>
    <x v="2"/>
    <x v="4"/>
    <x v="3"/>
    <x v="0"/>
    <x v="0"/>
    <n v="194800.13"/>
    <x v="0"/>
    <x v="0"/>
  </r>
  <r>
    <x v="2"/>
    <x v="4"/>
    <x v="3"/>
    <x v="0"/>
    <x v="0"/>
    <n v="227590.61"/>
    <x v="0"/>
    <x v="0"/>
  </r>
  <r>
    <x v="2"/>
    <x v="4"/>
    <x v="2"/>
    <x v="0"/>
    <x v="0"/>
    <n v="56556.28"/>
    <x v="0"/>
    <x v="0"/>
  </r>
  <r>
    <x v="2"/>
    <x v="4"/>
    <x v="2"/>
    <x v="0"/>
    <x v="0"/>
    <n v="11055.14"/>
    <x v="0"/>
    <x v="0"/>
  </r>
  <r>
    <x v="2"/>
    <x v="0"/>
    <x v="2"/>
    <x v="0"/>
    <x v="0"/>
    <n v="13012.92"/>
    <x v="0"/>
    <x v="0"/>
  </r>
  <r>
    <x v="2"/>
    <x v="2"/>
    <x v="2"/>
    <x v="0"/>
    <x v="0"/>
    <n v="13326.35"/>
    <x v="0"/>
    <x v="0"/>
  </r>
  <r>
    <x v="2"/>
    <x v="0"/>
    <x v="0"/>
    <x v="0"/>
    <x v="0"/>
    <n v="2791.64"/>
    <x v="0"/>
    <x v="0"/>
  </r>
  <r>
    <x v="2"/>
    <x v="0"/>
    <x v="1"/>
    <x v="0"/>
    <x v="0"/>
    <n v="380.76"/>
    <x v="0"/>
    <x v="0"/>
  </r>
  <r>
    <x v="2"/>
    <x v="0"/>
    <x v="2"/>
    <x v="0"/>
    <x v="0"/>
    <n v="12885.43"/>
    <x v="0"/>
    <x v="0"/>
  </r>
  <r>
    <x v="2"/>
    <x v="1"/>
    <x v="3"/>
    <x v="0"/>
    <x v="0"/>
    <n v="149995.94"/>
    <x v="0"/>
    <x v="0"/>
  </r>
  <r>
    <x v="2"/>
    <x v="0"/>
    <x v="0"/>
    <x v="0"/>
    <x v="0"/>
    <n v="2789.37"/>
    <x v="0"/>
    <x v="0"/>
  </r>
  <r>
    <x v="2"/>
    <x v="3"/>
    <x v="0"/>
    <x v="0"/>
    <x v="0"/>
    <n v="3332.58"/>
    <x v="0"/>
    <x v="0"/>
  </r>
  <r>
    <x v="2"/>
    <x v="3"/>
    <x v="0"/>
    <x v="0"/>
    <x v="0"/>
    <n v="4364.24"/>
    <x v="0"/>
    <x v="0"/>
  </r>
  <r>
    <x v="2"/>
    <x v="0"/>
    <x v="2"/>
    <x v="0"/>
    <x v="0"/>
    <n v="22475.23"/>
    <x v="0"/>
    <x v="0"/>
  </r>
  <r>
    <x v="2"/>
    <x v="0"/>
    <x v="2"/>
    <x v="0"/>
    <x v="0"/>
    <n v="25389.14"/>
    <x v="0"/>
    <x v="0"/>
  </r>
  <r>
    <x v="2"/>
    <x v="0"/>
    <x v="0"/>
    <x v="0"/>
    <x v="0"/>
    <n v="2455.51"/>
    <x v="0"/>
    <x v="0"/>
  </r>
  <r>
    <x v="2"/>
    <x v="0"/>
    <x v="0"/>
    <x v="0"/>
    <x v="0"/>
    <n v="4402.18"/>
    <x v="0"/>
    <x v="0"/>
  </r>
  <r>
    <x v="2"/>
    <x v="0"/>
    <x v="2"/>
    <x v="0"/>
    <x v="0"/>
    <n v="21568.37"/>
    <x v="0"/>
    <x v="0"/>
  </r>
  <r>
    <x v="2"/>
    <x v="0"/>
    <x v="2"/>
    <x v="0"/>
    <x v="0"/>
    <n v="10531.72"/>
    <x v="0"/>
    <x v="0"/>
  </r>
  <r>
    <x v="2"/>
    <x v="0"/>
    <x v="2"/>
    <x v="0"/>
    <x v="0"/>
    <n v="18491.91"/>
    <x v="0"/>
    <x v="0"/>
  </r>
  <r>
    <x v="2"/>
    <x v="0"/>
    <x v="2"/>
    <x v="0"/>
    <x v="0"/>
    <n v="10580.12"/>
    <x v="0"/>
    <x v="0"/>
  </r>
  <r>
    <x v="2"/>
    <x v="0"/>
    <x v="1"/>
    <x v="0"/>
    <x v="0"/>
    <n v="195.73"/>
    <x v="0"/>
    <x v="0"/>
  </r>
  <r>
    <x v="2"/>
    <x v="0"/>
    <x v="2"/>
    <x v="0"/>
    <x v="0"/>
    <n v="19637.34"/>
    <x v="0"/>
    <x v="0"/>
  </r>
  <r>
    <x v="2"/>
    <x v="0"/>
    <x v="0"/>
    <x v="0"/>
    <x v="0"/>
    <n v="1442.11"/>
    <x v="0"/>
    <x v="0"/>
  </r>
  <r>
    <x v="2"/>
    <x v="0"/>
    <x v="1"/>
    <x v="0"/>
    <x v="0"/>
    <n v="429.8"/>
    <x v="0"/>
    <x v="0"/>
  </r>
  <r>
    <x v="2"/>
    <x v="3"/>
    <x v="0"/>
    <x v="0"/>
    <x v="0"/>
    <n v="1119.49"/>
    <x v="0"/>
    <x v="0"/>
  </r>
  <r>
    <x v="2"/>
    <x v="0"/>
    <x v="2"/>
    <x v="0"/>
    <x v="0"/>
    <n v="12827.97"/>
    <x v="0"/>
    <x v="0"/>
  </r>
  <r>
    <x v="2"/>
    <x v="0"/>
    <x v="0"/>
    <x v="0"/>
    <x v="0"/>
    <n v="3599.45"/>
    <x v="0"/>
    <x v="0"/>
  </r>
  <r>
    <x v="2"/>
    <x v="0"/>
    <x v="0"/>
    <x v="0"/>
    <x v="0"/>
    <n v="9289.47"/>
    <x v="0"/>
    <x v="0"/>
  </r>
  <r>
    <x v="2"/>
    <x v="2"/>
    <x v="0"/>
    <x v="0"/>
    <x v="0"/>
    <n v="7108.61"/>
    <x v="0"/>
    <x v="0"/>
  </r>
  <r>
    <x v="2"/>
    <x v="0"/>
    <x v="2"/>
    <x v="0"/>
    <x v="0"/>
    <n v="14503.9"/>
    <x v="0"/>
    <x v="0"/>
  </r>
  <r>
    <x v="2"/>
    <x v="2"/>
    <x v="2"/>
    <x v="0"/>
    <x v="0"/>
    <n v="13881.42"/>
    <x v="0"/>
    <x v="0"/>
  </r>
  <r>
    <x v="2"/>
    <x v="1"/>
    <x v="2"/>
    <x v="0"/>
    <x v="0"/>
    <n v="66548.43"/>
    <x v="0"/>
    <x v="0"/>
  </r>
  <r>
    <x v="2"/>
    <x v="2"/>
    <x v="0"/>
    <x v="0"/>
    <x v="0"/>
    <n v="8442.16"/>
    <x v="0"/>
    <x v="0"/>
  </r>
  <r>
    <x v="2"/>
    <x v="2"/>
    <x v="2"/>
    <x v="0"/>
    <x v="0"/>
    <n v="68934.46"/>
    <x v="0"/>
    <x v="0"/>
  </r>
  <r>
    <x v="2"/>
    <x v="2"/>
    <x v="2"/>
    <x v="0"/>
    <x v="0"/>
    <n v="99349.84"/>
    <x v="0"/>
    <x v="0"/>
  </r>
  <r>
    <x v="2"/>
    <x v="2"/>
    <x v="3"/>
    <x v="0"/>
    <x v="0"/>
    <n v="443092.83"/>
    <x v="0"/>
    <x v="0"/>
  </r>
  <r>
    <x v="2"/>
    <x v="0"/>
    <x v="2"/>
    <x v="0"/>
    <x v="0"/>
    <n v="14878.76"/>
    <x v="0"/>
    <x v="0"/>
  </r>
  <r>
    <x v="2"/>
    <x v="2"/>
    <x v="2"/>
    <x v="0"/>
    <x v="0"/>
    <n v="76289.1"/>
    <x v="0"/>
    <x v="0"/>
  </r>
  <r>
    <x v="2"/>
    <x v="0"/>
    <x v="2"/>
    <x v="0"/>
    <x v="0"/>
    <n v="14546.82"/>
    <x v="0"/>
    <x v="0"/>
  </r>
  <r>
    <x v="2"/>
    <x v="0"/>
    <x v="2"/>
    <x v="0"/>
    <x v="0"/>
    <n v="16795.7"/>
    <x v="0"/>
    <x v="0"/>
  </r>
  <r>
    <x v="2"/>
    <x v="0"/>
    <x v="2"/>
    <x v="0"/>
    <x v="0"/>
    <n v="17788.49"/>
    <x v="0"/>
    <x v="0"/>
  </r>
  <r>
    <x v="2"/>
    <x v="2"/>
    <x v="0"/>
    <x v="0"/>
    <x v="0"/>
    <n v="7547.06"/>
    <x v="0"/>
    <x v="0"/>
  </r>
  <r>
    <x v="2"/>
    <x v="0"/>
    <x v="2"/>
    <x v="0"/>
    <x v="0"/>
    <n v="11621.56"/>
    <x v="0"/>
    <x v="0"/>
  </r>
  <r>
    <x v="2"/>
    <x v="2"/>
    <x v="2"/>
    <x v="0"/>
    <x v="0"/>
    <n v="25026.76"/>
    <x v="0"/>
    <x v="0"/>
  </r>
  <r>
    <x v="2"/>
    <x v="0"/>
    <x v="0"/>
    <x v="0"/>
    <x v="0"/>
    <n v="7517.69"/>
    <x v="0"/>
    <x v="0"/>
  </r>
  <r>
    <x v="2"/>
    <x v="0"/>
    <x v="2"/>
    <x v="0"/>
    <x v="0"/>
    <n v="17694.76"/>
    <x v="0"/>
    <x v="0"/>
  </r>
  <r>
    <x v="2"/>
    <x v="0"/>
    <x v="2"/>
    <x v="0"/>
    <x v="0"/>
    <n v="30161.79"/>
    <x v="0"/>
    <x v="0"/>
  </r>
  <r>
    <x v="2"/>
    <x v="0"/>
    <x v="2"/>
    <x v="0"/>
    <x v="0"/>
    <n v="10485.37"/>
    <x v="0"/>
    <x v="0"/>
  </r>
  <r>
    <x v="2"/>
    <x v="2"/>
    <x v="2"/>
    <x v="0"/>
    <x v="0"/>
    <n v="10438.26"/>
    <x v="0"/>
    <x v="0"/>
  </r>
  <r>
    <x v="2"/>
    <x v="0"/>
    <x v="0"/>
    <x v="0"/>
    <x v="0"/>
    <n v="1651.39"/>
    <x v="0"/>
    <x v="0"/>
  </r>
  <r>
    <x v="2"/>
    <x v="0"/>
    <x v="2"/>
    <x v="0"/>
    <x v="0"/>
    <n v="27475.78"/>
    <x v="0"/>
    <x v="0"/>
  </r>
  <r>
    <x v="2"/>
    <x v="3"/>
    <x v="0"/>
    <x v="0"/>
    <x v="0"/>
    <n v="2623.75"/>
    <x v="0"/>
    <x v="0"/>
  </r>
  <r>
    <x v="2"/>
    <x v="0"/>
    <x v="0"/>
    <x v="0"/>
    <x v="0"/>
    <n v="4475.02"/>
    <x v="0"/>
    <x v="0"/>
  </r>
  <r>
    <x v="2"/>
    <x v="0"/>
    <x v="2"/>
    <x v="0"/>
    <x v="0"/>
    <n v="10565.64"/>
    <x v="0"/>
    <x v="0"/>
  </r>
  <r>
    <x v="2"/>
    <x v="0"/>
    <x v="2"/>
    <x v="0"/>
    <x v="0"/>
    <n v="12769.01"/>
    <x v="0"/>
    <x v="0"/>
  </r>
  <r>
    <x v="2"/>
    <x v="0"/>
    <x v="1"/>
    <x v="0"/>
    <x v="0"/>
    <n v="35.2"/>
    <x v="0"/>
    <x v="0"/>
  </r>
  <r>
    <x v="2"/>
    <x v="0"/>
    <x v="0"/>
    <x v="0"/>
    <x v="0"/>
    <n v="2339.27"/>
    <x v="0"/>
    <x v="0"/>
  </r>
  <r>
    <x v="2"/>
    <x v="0"/>
    <x v="1"/>
    <x v="0"/>
    <x v="0"/>
    <n v="620.13"/>
    <x v="0"/>
    <x v="0"/>
  </r>
  <r>
    <x v="2"/>
    <x v="3"/>
    <x v="0"/>
    <x v="0"/>
    <x v="0"/>
    <n v="5204.2"/>
    <x v="0"/>
    <x v="0"/>
  </r>
  <r>
    <x v="2"/>
    <x v="0"/>
    <x v="0"/>
    <x v="0"/>
    <x v="0"/>
    <n v="3361.21"/>
    <x v="0"/>
    <x v="0"/>
  </r>
  <r>
    <x v="2"/>
    <x v="0"/>
    <x v="2"/>
    <x v="0"/>
    <x v="0"/>
    <n v="22178.82"/>
    <x v="0"/>
    <x v="0"/>
  </r>
  <r>
    <x v="2"/>
    <x v="0"/>
    <x v="0"/>
    <x v="0"/>
    <x v="0"/>
    <n v="2011.37"/>
    <x v="0"/>
    <x v="0"/>
  </r>
  <r>
    <x v="2"/>
    <x v="4"/>
    <x v="2"/>
    <x v="0"/>
    <x v="0"/>
    <n v="26279.17"/>
    <x v="0"/>
    <x v="0"/>
  </r>
  <r>
    <x v="2"/>
    <x v="0"/>
    <x v="0"/>
    <x v="0"/>
    <x v="0"/>
    <n v="8501.84"/>
    <x v="0"/>
    <x v="0"/>
  </r>
  <r>
    <x v="2"/>
    <x v="0"/>
    <x v="0"/>
    <x v="0"/>
    <x v="0"/>
    <n v="9103.87"/>
    <x v="0"/>
    <x v="0"/>
  </r>
  <r>
    <x v="2"/>
    <x v="0"/>
    <x v="1"/>
    <x v="0"/>
    <x v="0"/>
    <n v="997.13"/>
    <x v="0"/>
    <x v="0"/>
  </r>
  <r>
    <x v="2"/>
    <x v="3"/>
    <x v="0"/>
    <x v="0"/>
    <x v="0"/>
    <n v="4538.75"/>
    <x v="0"/>
    <x v="0"/>
  </r>
  <r>
    <x v="2"/>
    <x v="0"/>
    <x v="2"/>
    <x v="0"/>
    <x v="0"/>
    <n v="18934.49"/>
    <x v="0"/>
    <x v="0"/>
  </r>
  <r>
    <x v="2"/>
    <x v="0"/>
    <x v="0"/>
    <x v="0"/>
    <x v="0"/>
    <n v="2419.01"/>
    <x v="0"/>
    <x v="0"/>
  </r>
  <r>
    <x v="2"/>
    <x v="0"/>
    <x v="1"/>
    <x v="0"/>
    <x v="0"/>
    <n v="392.99"/>
    <x v="0"/>
    <x v="0"/>
  </r>
  <r>
    <x v="2"/>
    <x v="1"/>
    <x v="2"/>
    <x v="0"/>
    <x v="0"/>
    <n v="11500.28"/>
    <x v="0"/>
    <x v="0"/>
  </r>
  <r>
    <x v="2"/>
    <x v="0"/>
    <x v="2"/>
    <x v="0"/>
    <x v="0"/>
    <n v="16061.03"/>
    <x v="0"/>
    <x v="0"/>
  </r>
  <r>
    <x v="2"/>
    <x v="0"/>
    <x v="0"/>
    <x v="0"/>
    <x v="0"/>
    <n v="2909.12"/>
    <x v="0"/>
    <x v="0"/>
  </r>
  <r>
    <x v="2"/>
    <x v="0"/>
    <x v="0"/>
    <x v="0"/>
    <x v="0"/>
    <n v="6188.23"/>
    <x v="0"/>
    <x v="0"/>
  </r>
  <r>
    <x v="2"/>
    <x v="0"/>
    <x v="0"/>
    <x v="0"/>
    <x v="0"/>
    <n v="2382.11"/>
    <x v="0"/>
    <x v="0"/>
  </r>
  <r>
    <x v="2"/>
    <x v="0"/>
    <x v="0"/>
    <x v="0"/>
    <x v="0"/>
    <n v="5882.36"/>
    <x v="0"/>
    <x v="0"/>
  </r>
  <r>
    <x v="2"/>
    <x v="0"/>
    <x v="0"/>
    <x v="0"/>
    <x v="0"/>
    <n v="8137.28"/>
    <x v="0"/>
    <x v="0"/>
  </r>
  <r>
    <x v="2"/>
    <x v="0"/>
    <x v="2"/>
    <x v="0"/>
    <x v="0"/>
    <n v="21414.91"/>
    <x v="0"/>
    <x v="0"/>
  </r>
  <r>
    <x v="2"/>
    <x v="0"/>
    <x v="2"/>
    <x v="0"/>
    <x v="0"/>
    <n v="20995.68"/>
    <x v="0"/>
    <x v="0"/>
  </r>
  <r>
    <x v="2"/>
    <x v="0"/>
    <x v="1"/>
    <x v="0"/>
    <x v="0"/>
    <n v="963.64"/>
    <x v="0"/>
    <x v="0"/>
  </r>
  <r>
    <x v="2"/>
    <x v="0"/>
    <x v="0"/>
    <x v="0"/>
    <x v="0"/>
    <n v="1725.53"/>
    <x v="0"/>
    <x v="0"/>
  </r>
  <r>
    <x v="2"/>
    <x v="0"/>
    <x v="0"/>
    <x v="0"/>
    <x v="0"/>
    <n v="5876.12"/>
    <x v="0"/>
    <x v="0"/>
  </r>
  <r>
    <x v="2"/>
    <x v="0"/>
    <x v="1"/>
    <x v="0"/>
    <x v="0"/>
    <n v="669.13"/>
    <x v="0"/>
    <x v="0"/>
  </r>
  <r>
    <x v="2"/>
    <x v="0"/>
    <x v="0"/>
    <x v="0"/>
    <x v="0"/>
    <n v="2465.65"/>
    <x v="0"/>
    <x v="0"/>
  </r>
  <r>
    <x v="2"/>
    <x v="3"/>
    <x v="0"/>
    <x v="0"/>
    <x v="0"/>
    <n v="3619.41"/>
    <x v="0"/>
    <x v="0"/>
  </r>
  <r>
    <x v="2"/>
    <x v="0"/>
    <x v="2"/>
    <x v="0"/>
    <x v="0"/>
    <n v="19420.39"/>
    <x v="0"/>
    <x v="0"/>
  </r>
  <r>
    <x v="2"/>
    <x v="0"/>
    <x v="0"/>
    <x v="0"/>
    <x v="0"/>
    <n v="3204.22"/>
    <x v="0"/>
    <x v="0"/>
  </r>
  <r>
    <x v="2"/>
    <x v="0"/>
    <x v="0"/>
    <x v="0"/>
    <x v="0"/>
    <n v="7312.09"/>
    <x v="0"/>
    <x v="0"/>
  </r>
  <r>
    <x v="2"/>
    <x v="0"/>
    <x v="2"/>
    <x v="0"/>
    <x v="0"/>
    <n v="20781.99"/>
    <x v="0"/>
    <x v="0"/>
  </r>
  <r>
    <x v="2"/>
    <x v="0"/>
    <x v="0"/>
    <x v="0"/>
    <x v="0"/>
    <n v="2210.24"/>
    <x v="0"/>
    <x v="0"/>
  </r>
  <r>
    <x v="2"/>
    <x v="0"/>
    <x v="2"/>
    <x v="0"/>
    <x v="0"/>
    <n v="10696.23"/>
    <x v="0"/>
    <x v="0"/>
  </r>
  <r>
    <x v="2"/>
    <x v="0"/>
    <x v="2"/>
    <x v="0"/>
    <x v="0"/>
    <n v="18799.1"/>
    <x v="0"/>
    <x v="0"/>
  </r>
  <r>
    <x v="2"/>
    <x v="0"/>
    <x v="2"/>
    <x v="0"/>
    <x v="0"/>
    <n v="11165.58"/>
    <x v="0"/>
    <x v="0"/>
  </r>
  <r>
    <x v="2"/>
    <x v="0"/>
    <x v="0"/>
    <x v="0"/>
    <x v="0"/>
    <n v="2816.13"/>
    <x v="0"/>
    <x v="0"/>
  </r>
  <r>
    <x v="2"/>
    <x v="3"/>
    <x v="0"/>
    <x v="0"/>
    <x v="0"/>
    <n v="3117.69"/>
    <x v="0"/>
    <x v="0"/>
  </r>
  <r>
    <x v="2"/>
    <x v="0"/>
    <x v="2"/>
    <x v="0"/>
    <x v="0"/>
    <n v="11706.28"/>
    <x v="0"/>
    <x v="0"/>
  </r>
  <r>
    <x v="2"/>
    <x v="0"/>
    <x v="2"/>
    <x v="0"/>
    <x v="0"/>
    <n v="20024.59"/>
    <x v="0"/>
    <x v="0"/>
  </r>
  <r>
    <x v="2"/>
    <x v="0"/>
    <x v="0"/>
    <x v="0"/>
    <x v="0"/>
    <n v="3891.04"/>
    <x v="0"/>
    <x v="0"/>
  </r>
  <r>
    <x v="2"/>
    <x v="0"/>
    <x v="1"/>
    <x v="0"/>
    <x v="0"/>
    <n v="372.28"/>
    <x v="0"/>
    <x v="0"/>
  </r>
  <r>
    <x v="2"/>
    <x v="2"/>
    <x v="3"/>
    <x v="0"/>
    <x v="0"/>
    <n v="136416.82"/>
    <x v="0"/>
    <x v="0"/>
  </r>
  <r>
    <x v="2"/>
    <x v="0"/>
    <x v="2"/>
    <x v="0"/>
    <x v="0"/>
    <n v="11128.08"/>
    <x v="0"/>
    <x v="0"/>
  </r>
  <r>
    <x v="2"/>
    <x v="0"/>
    <x v="2"/>
    <x v="0"/>
    <x v="0"/>
    <n v="18118.2"/>
    <x v="0"/>
    <x v="0"/>
  </r>
  <r>
    <x v="2"/>
    <x v="0"/>
    <x v="1"/>
    <x v="0"/>
    <x v="0"/>
    <n v="732.85"/>
    <x v="0"/>
    <x v="0"/>
  </r>
  <r>
    <x v="2"/>
    <x v="4"/>
    <x v="2"/>
    <x v="0"/>
    <x v="0"/>
    <n v="19320.18"/>
    <x v="0"/>
    <x v="0"/>
  </r>
  <r>
    <x v="2"/>
    <x v="2"/>
    <x v="2"/>
    <x v="0"/>
    <x v="0"/>
    <n v="31678.91"/>
    <x v="0"/>
    <x v="0"/>
  </r>
  <r>
    <x v="2"/>
    <x v="2"/>
    <x v="2"/>
    <x v="0"/>
    <x v="0"/>
    <n v="90433.73"/>
    <x v="0"/>
    <x v="0"/>
  </r>
  <r>
    <x v="2"/>
    <x v="0"/>
    <x v="0"/>
    <x v="0"/>
    <x v="0"/>
    <n v="4798.43"/>
    <x v="0"/>
    <x v="0"/>
  </r>
  <r>
    <x v="2"/>
    <x v="0"/>
    <x v="0"/>
    <x v="0"/>
    <x v="0"/>
    <n v="3027.72"/>
    <x v="0"/>
    <x v="0"/>
  </r>
  <r>
    <x v="2"/>
    <x v="0"/>
    <x v="2"/>
    <x v="0"/>
    <x v="0"/>
    <n v="14586.28"/>
    <x v="0"/>
    <x v="0"/>
  </r>
  <r>
    <x v="2"/>
    <x v="0"/>
    <x v="2"/>
    <x v="0"/>
    <x v="0"/>
    <n v="19715.54"/>
    <x v="0"/>
    <x v="0"/>
  </r>
  <r>
    <x v="2"/>
    <x v="0"/>
    <x v="0"/>
    <x v="0"/>
    <x v="0"/>
    <n v="9624.49"/>
    <x v="0"/>
    <x v="0"/>
  </r>
  <r>
    <x v="2"/>
    <x v="0"/>
    <x v="2"/>
    <x v="0"/>
    <x v="0"/>
    <n v="14144.71"/>
    <x v="0"/>
    <x v="0"/>
  </r>
  <r>
    <x v="2"/>
    <x v="0"/>
    <x v="0"/>
    <x v="0"/>
    <x v="0"/>
    <n v="3204.02"/>
    <x v="0"/>
    <x v="0"/>
  </r>
  <r>
    <x v="2"/>
    <x v="0"/>
    <x v="2"/>
    <x v="0"/>
    <x v="0"/>
    <n v="14685.31"/>
    <x v="0"/>
    <x v="0"/>
  </r>
  <r>
    <x v="2"/>
    <x v="0"/>
    <x v="1"/>
    <x v="0"/>
    <x v="0"/>
    <n v="348.29"/>
    <x v="0"/>
    <x v="0"/>
  </r>
  <r>
    <x v="2"/>
    <x v="0"/>
    <x v="0"/>
    <x v="0"/>
    <x v="0"/>
    <n v="7210.86"/>
    <x v="0"/>
    <x v="0"/>
  </r>
  <r>
    <x v="2"/>
    <x v="0"/>
    <x v="0"/>
    <x v="0"/>
    <x v="0"/>
    <n v="9778.62"/>
    <x v="0"/>
    <x v="0"/>
  </r>
  <r>
    <x v="2"/>
    <x v="0"/>
    <x v="2"/>
    <x v="0"/>
    <x v="0"/>
    <n v="32907.19"/>
    <x v="0"/>
    <x v="0"/>
  </r>
  <r>
    <x v="2"/>
    <x v="2"/>
    <x v="2"/>
    <x v="0"/>
    <x v="0"/>
    <n v="93705.81"/>
    <x v="0"/>
    <x v="0"/>
  </r>
  <r>
    <x v="2"/>
    <x v="2"/>
    <x v="2"/>
    <x v="0"/>
    <x v="0"/>
    <n v="91705.07"/>
    <x v="0"/>
    <x v="0"/>
  </r>
  <r>
    <x v="2"/>
    <x v="0"/>
    <x v="2"/>
    <x v="0"/>
    <x v="0"/>
    <n v="10326.31"/>
    <x v="0"/>
    <x v="0"/>
  </r>
  <r>
    <x v="2"/>
    <x v="0"/>
    <x v="1"/>
    <x v="0"/>
    <x v="0"/>
    <n v="320.37"/>
    <x v="0"/>
    <x v="0"/>
  </r>
  <r>
    <x v="2"/>
    <x v="2"/>
    <x v="3"/>
    <x v="0"/>
    <x v="0"/>
    <n v="278349.71"/>
    <x v="0"/>
    <x v="0"/>
  </r>
  <r>
    <x v="2"/>
    <x v="0"/>
    <x v="0"/>
    <x v="0"/>
    <x v="0"/>
    <n v="5365.37"/>
    <x v="0"/>
    <x v="0"/>
  </r>
  <r>
    <x v="2"/>
    <x v="2"/>
    <x v="2"/>
    <x v="0"/>
    <x v="0"/>
    <n v="63180.2"/>
    <x v="0"/>
    <x v="0"/>
  </r>
  <r>
    <x v="2"/>
    <x v="0"/>
    <x v="1"/>
    <x v="0"/>
    <x v="0"/>
    <n v="671.31"/>
    <x v="0"/>
    <x v="0"/>
  </r>
  <r>
    <x v="2"/>
    <x v="3"/>
    <x v="0"/>
    <x v="0"/>
    <x v="0"/>
    <n v="2481.93"/>
    <x v="0"/>
    <x v="0"/>
  </r>
  <r>
    <x v="2"/>
    <x v="0"/>
    <x v="2"/>
    <x v="0"/>
    <x v="0"/>
    <n v="23840.24"/>
    <x v="0"/>
    <x v="0"/>
  </r>
  <r>
    <x v="2"/>
    <x v="0"/>
    <x v="0"/>
    <x v="0"/>
    <x v="0"/>
    <n v="1005.59"/>
    <x v="0"/>
    <x v="0"/>
  </r>
  <r>
    <x v="2"/>
    <x v="0"/>
    <x v="0"/>
    <x v="0"/>
    <x v="0"/>
    <n v="1399.83"/>
    <x v="0"/>
    <x v="0"/>
  </r>
  <r>
    <x v="2"/>
    <x v="0"/>
    <x v="2"/>
    <x v="0"/>
    <x v="0"/>
    <n v="15304.68"/>
    <x v="0"/>
    <x v="0"/>
  </r>
  <r>
    <x v="2"/>
    <x v="0"/>
    <x v="2"/>
    <x v="0"/>
    <x v="0"/>
    <n v="12638.35"/>
    <x v="0"/>
    <x v="0"/>
  </r>
  <r>
    <x v="2"/>
    <x v="0"/>
    <x v="0"/>
    <x v="0"/>
    <x v="0"/>
    <n v="4970.55"/>
    <x v="0"/>
    <x v="0"/>
  </r>
  <r>
    <x v="2"/>
    <x v="0"/>
    <x v="0"/>
    <x v="0"/>
    <x v="0"/>
    <n v="4798.39"/>
    <x v="0"/>
    <x v="0"/>
  </r>
  <r>
    <x v="2"/>
    <x v="0"/>
    <x v="0"/>
    <x v="0"/>
    <x v="0"/>
    <n v="8724.11"/>
    <x v="0"/>
    <x v="0"/>
  </r>
  <r>
    <x v="2"/>
    <x v="0"/>
    <x v="2"/>
    <x v="0"/>
    <x v="0"/>
    <n v="12208.56"/>
    <x v="0"/>
    <x v="0"/>
  </r>
  <r>
    <x v="2"/>
    <x v="0"/>
    <x v="0"/>
    <x v="0"/>
    <x v="0"/>
    <n v="9051.52"/>
    <x v="0"/>
    <x v="0"/>
  </r>
  <r>
    <x v="2"/>
    <x v="0"/>
    <x v="0"/>
    <x v="0"/>
    <x v="0"/>
    <n v="9718.62"/>
    <x v="0"/>
    <x v="0"/>
  </r>
  <r>
    <x v="2"/>
    <x v="0"/>
    <x v="0"/>
    <x v="0"/>
    <x v="0"/>
    <n v="2556.46"/>
    <x v="0"/>
    <x v="0"/>
  </r>
  <r>
    <x v="2"/>
    <x v="0"/>
    <x v="0"/>
    <x v="0"/>
    <x v="0"/>
    <n v="3198.62"/>
    <x v="0"/>
    <x v="0"/>
  </r>
  <r>
    <x v="2"/>
    <x v="0"/>
    <x v="2"/>
    <x v="0"/>
    <x v="0"/>
    <n v="10172.81"/>
    <x v="0"/>
    <x v="0"/>
  </r>
  <r>
    <x v="2"/>
    <x v="0"/>
    <x v="0"/>
    <x v="0"/>
    <x v="0"/>
    <n v="5694.58"/>
    <x v="0"/>
    <x v="0"/>
  </r>
  <r>
    <x v="2"/>
    <x v="0"/>
    <x v="0"/>
    <x v="0"/>
    <x v="0"/>
    <n v="3926.01"/>
    <x v="0"/>
    <x v="0"/>
  </r>
  <r>
    <x v="2"/>
    <x v="0"/>
    <x v="2"/>
    <x v="0"/>
    <x v="0"/>
    <n v="12587.22"/>
    <x v="0"/>
    <x v="0"/>
  </r>
  <r>
    <x v="2"/>
    <x v="0"/>
    <x v="2"/>
    <x v="0"/>
    <x v="0"/>
    <n v="16878.5"/>
    <x v="0"/>
    <x v="0"/>
  </r>
  <r>
    <x v="2"/>
    <x v="4"/>
    <x v="2"/>
    <x v="0"/>
    <x v="0"/>
    <n v="69219.36"/>
    <x v="0"/>
    <x v="0"/>
  </r>
  <r>
    <x v="2"/>
    <x v="4"/>
    <x v="3"/>
    <x v="0"/>
    <x v="0"/>
    <n v="254710.92"/>
    <x v="0"/>
    <x v="0"/>
  </r>
  <r>
    <x v="2"/>
    <x v="4"/>
    <x v="3"/>
    <x v="0"/>
    <x v="0"/>
    <n v="107838.55"/>
    <x v="0"/>
    <x v="0"/>
  </r>
  <r>
    <x v="2"/>
    <x v="4"/>
    <x v="3"/>
    <x v="0"/>
    <x v="0"/>
    <n v="590182.14"/>
    <x v="0"/>
    <x v="0"/>
  </r>
  <r>
    <x v="2"/>
    <x v="4"/>
    <x v="3"/>
    <x v="0"/>
    <x v="0"/>
    <n v="224808.55"/>
    <x v="0"/>
    <x v="0"/>
  </r>
  <r>
    <x v="2"/>
    <x v="4"/>
    <x v="3"/>
    <x v="0"/>
    <x v="0"/>
    <n v="133683.73"/>
    <x v="0"/>
    <x v="0"/>
  </r>
  <r>
    <x v="2"/>
    <x v="4"/>
    <x v="3"/>
    <x v="0"/>
    <x v="0"/>
    <n v="105980.46"/>
    <x v="0"/>
    <x v="0"/>
  </r>
  <r>
    <x v="2"/>
    <x v="4"/>
    <x v="3"/>
    <x v="0"/>
    <x v="0"/>
    <n v="138725.17"/>
    <x v="0"/>
    <x v="0"/>
  </r>
  <r>
    <x v="2"/>
    <x v="4"/>
    <x v="3"/>
    <x v="0"/>
    <x v="0"/>
    <n v="176482.1"/>
    <x v="0"/>
    <x v="0"/>
  </r>
  <r>
    <x v="2"/>
    <x v="4"/>
    <x v="3"/>
    <x v="0"/>
    <x v="0"/>
    <n v="249046.59"/>
    <x v="0"/>
    <x v="0"/>
  </r>
  <r>
    <x v="2"/>
    <x v="4"/>
    <x v="2"/>
    <x v="0"/>
    <x v="0"/>
    <n v="38307.58"/>
    <x v="0"/>
    <x v="0"/>
  </r>
  <r>
    <x v="2"/>
    <x v="4"/>
    <x v="3"/>
    <x v="0"/>
    <x v="0"/>
    <n v="313673.99"/>
    <x v="0"/>
    <x v="0"/>
  </r>
  <r>
    <x v="2"/>
    <x v="4"/>
    <x v="3"/>
    <x v="0"/>
    <x v="0"/>
    <n v="392470.41"/>
    <x v="0"/>
    <x v="0"/>
  </r>
  <r>
    <x v="2"/>
    <x v="4"/>
    <x v="3"/>
    <x v="0"/>
    <x v="0"/>
    <n v="166630.82"/>
    <x v="0"/>
    <x v="0"/>
  </r>
  <r>
    <x v="2"/>
    <x v="4"/>
    <x v="3"/>
    <x v="0"/>
    <x v="0"/>
    <n v="108616"/>
    <x v="0"/>
    <x v="0"/>
  </r>
  <r>
    <x v="2"/>
    <x v="4"/>
    <x v="3"/>
    <x v="0"/>
    <x v="0"/>
    <n v="118387.74"/>
    <x v="0"/>
    <x v="0"/>
  </r>
  <r>
    <x v="2"/>
    <x v="4"/>
    <x v="2"/>
    <x v="0"/>
    <x v="0"/>
    <n v="57234.15"/>
    <x v="0"/>
    <x v="0"/>
  </r>
  <r>
    <x v="2"/>
    <x v="4"/>
    <x v="2"/>
    <x v="0"/>
    <x v="0"/>
    <n v="57955.32"/>
    <x v="0"/>
    <x v="0"/>
  </r>
  <r>
    <x v="2"/>
    <x v="4"/>
    <x v="0"/>
    <x v="0"/>
    <x v="0"/>
    <n v="4362.02"/>
    <x v="0"/>
    <x v="0"/>
  </r>
  <r>
    <x v="2"/>
    <x v="4"/>
    <x v="3"/>
    <x v="0"/>
    <x v="0"/>
    <n v="256782.92"/>
    <x v="0"/>
    <x v="0"/>
  </r>
  <r>
    <x v="2"/>
    <x v="4"/>
    <x v="3"/>
    <x v="0"/>
    <x v="0"/>
    <n v="422671.35"/>
    <x v="0"/>
    <x v="0"/>
  </r>
  <r>
    <x v="2"/>
    <x v="4"/>
    <x v="3"/>
    <x v="0"/>
    <x v="0"/>
    <n v="349779.04"/>
    <x v="0"/>
    <x v="0"/>
  </r>
  <r>
    <x v="2"/>
    <x v="4"/>
    <x v="2"/>
    <x v="0"/>
    <x v="0"/>
    <n v="58930.33"/>
    <x v="0"/>
    <x v="0"/>
  </r>
  <r>
    <x v="2"/>
    <x v="4"/>
    <x v="2"/>
    <x v="0"/>
    <x v="0"/>
    <n v="53594.23"/>
    <x v="0"/>
    <x v="0"/>
  </r>
  <r>
    <x v="2"/>
    <x v="4"/>
    <x v="2"/>
    <x v="0"/>
    <x v="0"/>
    <n v="79311.12"/>
    <x v="0"/>
    <x v="0"/>
  </r>
  <r>
    <x v="2"/>
    <x v="4"/>
    <x v="3"/>
    <x v="0"/>
    <x v="0"/>
    <n v="204766.89"/>
    <x v="0"/>
    <x v="0"/>
  </r>
  <r>
    <x v="2"/>
    <x v="4"/>
    <x v="2"/>
    <x v="0"/>
    <x v="0"/>
    <n v="28105.73"/>
    <x v="0"/>
    <x v="0"/>
  </r>
  <r>
    <x v="2"/>
    <x v="4"/>
    <x v="2"/>
    <x v="0"/>
    <x v="0"/>
    <n v="98566.11"/>
    <x v="0"/>
    <x v="0"/>
  </r>
  <r>
    <x v="2"/>
    <x v="4"/>
    <x v="2"/>
    <x v="0"/>
    <x v="0"/>
    <n v="32906.54"/>
    <x v="0"/>
    <x v="0"/>
  </r>
  <r>
    <x v="2"/>
    <x v="4"/>
    <x v="3"/>
    <x v="0"/>
    <x v="0"/>
    <n v="194926.14"/>
    <x v="0"/>
    <x v="0"/>
  </r>
  <r>
    <x v="2"/>
    <x v="4"/>
    <x v="3"/>
    <x v="0"/>
    <x v="0"/>
    <n v="326468.84"/>
    <x v="0"/>
    <x v="0"/>
  </r>
  <r>
    <x v="2"/>
    <x v="4"/>
    <x v="2"/>
    <x v="0"/>
    <x v="0"/>
    <n v="92558.28"/>
    <x v="0"/>
    <x v="0"/>
  </r>
  <r>
    <x v="2"/>
    <x v="4"/>
    <x v="3"/>
    <x v="0"/>
    <x v="0"/>
    <n v="327117.43"/>
    <x v="0"/>
    <x v="0"/>
  </r>
  <r>
    <x v="2"/>
    <x v="4"/>
    <x v="2"/>
    <x v="0"/>
    <x v="0"/>
    <n v="28444.78"/>
    <x v="0"/>
    <x v="0"/>
  </r>
  <r>
    <x v="2"/>
    <x v="4"/>
    <x v="3"/>
    <x v="0"/>
    <x v="0"/>
    <n v="267812.03"/>
    <x v="0"/>
    <x v="0"/>
  </r>
  <r>
    <x v="2"/>
    <x v="4"/>
    <x v="3"/>
    <x v="0"/>
    <x v="0"/>
    <n v="381371.28"/>
    <x v="0"/>
    <x v="0"/>
  </r>
  <r>
    <x v="2"/>
    <x v="4"/>
    <x v="3"/>
    <x v="0"/>
    <x v="0"/>
    <n v="440757.72"/>
    <x v="0"/>
    <x v="0"/>
  </r>
  <r>
    <x v="2"/>
    <x v="4"/>
    <x v="3"/>
    <x v="0"/>
    <x v="0"/>
    <n v="140164.86"/>
    <x v="0"/>
    <x v="0"/>
  </r>
  <r>
    <x v="2"/>
    <x v="4"/>
    <x v="3"/>
    <x v="0"/>
    <x v="0"/>
    <n v="168479.08"/>
    <x v="0"/>
    <x v="0"/>
  </r>
  <r>
    <x v="2"/>
    <x v="4"/>
    <x v="3"/>
    <x v="0"/>
    <x v="0"/>
    <n v="185832.16"/>
    <x v="0"/>
    <x v="0"/>
  </r>
  <r>
    <x v="2"/>
    <x v="4"/>
    <x v="2"/>
    <x v="0"/>
    <x v="0"/>
    <n v="46516.42"/>
    <x v="0"/>
    <x v="0"/>
  </r>
  <r>
    <x v="2"/>
    <x v="0"/>
    <x v="2"/>
    <x v="0"/>
    <x v="0"/>
    <n v="13030.42"/>
    <x v="0"/>
    <x v="0"/>
  </r>
  <r>
    <x v="2"/>
    <x v="0"/>
    <x v="0"/>
    <x v="0"/>
    <x v="0"/>
    <n v="6064.7"/>
    <x v="0"/>
    <x v="0"/>
  </r>
  <r>
    <x v="2"/>
    <x v="2"/>
    <x v="2"/>
    <x v="0"/>
    <x v="0"/>
    <n v="14979.83"/>
    <x v="0"/>
    <x v="0"/>
  </r>
  <r>
    <x v="2"/>
    <x v="0"/>
    <x v="0"/>
    <x v="0"/>
    <x v="0"/>
    <n v="7536.31"/>
    <x v="0"/>
    <x v="0"/>
  </r>
  <r>
    <x v="2"/>
    <x v="0"/>
    <x v="0"/>
    <x v="0"/>
    <x v="0"/>
    <n v="5115.77"/>
    <x v="0"/>
    <x v="0"/>
  </r>
  <r>
    <x v="2"/>
    <x v="0"/>
    <x v="1"/>
    <x v="0"/>
    <x v="0"/>
    <n v="79.55"/>
    <x v="0"/>
    <x v="0"/>
  </r>
  <r>
    <x v="2"/>
    <x v="0"/>
    <x v="0"/>
    <x v="0"/>
    <x v="0"/>
    <n v="9169.8"/>
    <x v="0"/>
    <x v="0"/>
  </r>
  <r>
    <x v="2"/>
    <x v="0"/>
    <x v="0"/>
    <x v="0"/>
    <x v="0"/>
    <n v="7118.78"/>
    <x v="0"/>
    <x v="0"/>
  </r>
  <r>
    <x v="2"/>
    <x v="0"/>
    <x v="0"/>
    <x v="0"/>
    <x v="0"/>
    <n v="6745.4"/>
    <x v="0"/>
    <x v="0"/>
  </r>
  <r>
    <x v="2"/>
    <x v="0"/>
    <x v="2"/>
    <x v="0"/>
    <x v="0"/>
    <n v="20473.47"/>
    <x v="0"/>
    <x v="0"/>
  </r>
  <r>
    <x v="2"/>
    <x v="0"/>
    <x v="0"/>
    <x v="0"/>
    <x v="0"/>
    <n v="3966.99"/>
    <x v="0"/>
    <x v="0"/>
  </r>
  <r>
    <x v="2"/>
    <x v="0"/>
    <x v="0"/>
    <x v="0"/>
    <x v="0"/>
    <n v="2413.25"/>
    <x v="0"/>
    <x v="0"/>
  </r>
  <r>
    <x v="2"/>
    <x v="0"/>
    <x v="0"/>
    <x v="0"/>
    <x v="0"/>
    <n v="6546.7"/>
    <x v="0"/>
    <x v="0"/>
  </r>
  <r>
    <x v="2"/>
    <x v="3"/>
    <x v="0"/>
    <x v="0"/>
    <x v="0"/>
    <n v="9635.1"/>
    <x v="0"/>
    <x v="0"/>
  </r>
  <r>
    <x v="2"/>
    <x v="0"/>
    <x v="0"/>
    <x v="0"/>
    <x v="0"/>
    <n v="3107.85"/>
    <x v="0"/>
    <x v="0"/>
  </r>
  <r>
    <x v="2"/>
    <x v="2"/>
    <x v="2"/>
    <x v="0"/>
    <x v="0"/>
    <n v="77196.59"/>
    <x v="0"/>
    <x v="0"/>
  </r>
  <r>
    <x v="2"/>
    <x v="0"/>
    <x v="2"/>
    <x v="0"/>
    <x v="0"/>
    <n v="29954.16"/>
    <x v="0"/>
    <x v="0"/>
  </r>
  <r>
    <x v="2"/>
    <x v="0"/>
    <x v="0"/>
    <x v="0"/>
    <x v="0"/>
    <n v="6887.71"/>
    <x v="0"/>
    <x v="0"/>
  </r>
  <r>
    <x v="2"/>
    <x v="3"/>
    <x v="0"/>
    <x v="0"/>
    <x v="0"/>
    <n v="1991.02"/>
    <x v="0"/>
    <x v="0"/>
  </r>
  <r>
    <x v="2"/>
    <x v="0"/>
    <x v="0"/>
    <x v="0"/>
    <x v="0"/>
    <n v="6028.79"/>
    <x v="0"/>
    <x v="0"/>
  </r>
  <r>
    <x v="2"/>
    <x v="0"/>
    <x v="2"/>
    <x v="0"/>
    <x v="0"/>
    <n v="14017.83"/>
    <x v="0"/>
    <x v="0"/>
  </r>
  <r>
    <x v="2"/>
    <x v="0"/>
    <x v="0"/>
    <x v="0"/>
    <x v="0"/>
    <n v="3645.21"/>
    <x v="0"/>
    <x v="0"/>
  </r>
  <r>
    <x v="2"/>
    <x v="0"/>
    <x v="0"/>
    <x v="0"/>
    <x v="0"/>
    <n v="7052.32"/>
    <x v="0"/>
    <x v="0"/>
  </r>
  <r>
    <x v="2"/>
    <x v="0"/>
    <x v="0"/>
    <x v="0"/>
    <x v="0"/>
    <n v="5810.4"/>
    <x v="0"/>
    <x v="0"/>
  </r>
  <r>
    <x v="2"/>
    <x v="0"/>
    <x v="0"/>
    <x v="0"/>
    <x v="0"/>
    <n v="6754.06"/>
    <x v="0"/>
    <x v="0"/>
  </r>
  <r>
    <x v="2"/>
    <x v="0"/>
    <x v="1"/>
    <x v="0"/>
    <x v="0"/>
    <n v="534.45"/>
    <x v="0"/>
    <x v="0"/>
  </r>
  <r>
    <x v="2"/>
    <x v="0"/>
    <x v="0"/>
    <x v="0"/>
    <x v="0"/>
    <n v="1226.94"/>
    <x v="0"/>
    <x v="0"/>
  </r>
  <r>
    <x v="2"/>
    <x v="0"/>
    <x v="2"/>
    <x v="0"/>
    <x v="0"/>
    <n v="14771.16"/>
    <x v="0"/>
    <x v="0"/>
  </r>
  <r>
    <x v="2"/>
    <x v="0"/>
    <x v="0"/>
    <x v="0"/>
    <x v="0"/>
    <n v="1962.04"/>
    <x v="0"/>
    <x v="0"/>
  </r>
  <r>
    <x v="2"/>
    <x v="0"/>
    <x v="2"/>
    <x v="0"/>
    <x v="0"/>
    <n v="10355.12"/>
    <x v="0"/>
    <x v="0"/>
  </r>
  <r>
    <x v="2"/>
    <x v="0"/>
    <x v="2"/>
    <x v="0"/>
    <x v="0"/>
    <n v="15398.06"/>
    <x v="0"/>
    <x v="0"/>
  </r>
  <r>
    <x v="2"/>
    <x v="2"/>
    <x v="2"/>
    <x v="0"/>
    <x v="0"/>
    <n v="69119.41"/>
    <x v="0"/>
    <x v="0"/>
  </r>
  <r>
    <x v="2"/>
    <x v="0"/>
    <x v="0"/>
    <x v="0"/>
    <x v="0"/>
    <n v="9399.1"/>
    <x v="0"/>
    <x v="0"/>
  </r>
  <r>
    <x v="2"/>
    <x v="0"/>
    <x v="0"/>
    <x v="0"/>
    <x v="0"/>
    <n v="4086.36"/>
    <x v="0"/>
    <x v="0"/>
  </r>
  <r>
    <x v="2"/>
    <x v="0"/>
    <x v="2"/>
    <x v="0"/>
    <x v="0"/>
    <n v="13620.05"/>
    <x v="0"/>
    <x v="0"/>
  </r>
  <r>
    <x v="2"/>
    <x v="0"/>
    <x v="1"/>
    <x v="0"/>
    <x v="0"/>
    <n v="401.1"/>
    <x v="0"/>
    <x v="0"/>
  </r>
  <r>
    <x v="2"/>
    <x v="0"/>
    <x v="2"/>
    <x v="0"/>
    <x v="0"/>
    <n v="14694.94"/>
    <x v="0"/>
    <x v="0"/>
  </r>
  <r>
    <x v="2"/>
    <x v="0"/>
    <x v="2"/>
    <x v="0"/>
    <x v="0"/>
    <n v="11405.44"/>
    <x v="0"/>
    <x v="0"/>
  </r>
  <r>
    <x v="2"/>
    <x v="0"/>
    <x v="1"/>
    <x v="0"/>
    <x v="0"/>
    <n v="931.78"/>
    <x v="0"/>
    <x v="0"/>
  </r>
  <r>
    <x v="2"/>
    <x v="3"/>
    <x v="0"/>
    <x v="0"/>
    <x v="0"/>
    <n v="5922.61"/>
    <x v="0"/>
    <x v="0"/>
  </r>
  <r>
    <x v="2"/>
    <x v="4"/>
    <x v="2"/>
    <x v="0"/>
    <x v="0"/>
    <n v="10407.19"/>
    <x v="0"/>
    <x v="0"/>
  </r>
  <r>
    <x v="2"/>
    <x v="4"/>
    <x v="3"/>
    <x v="0"/>
    <x v="0"/>
    <n v="342249.43"/>
    <x v="0"/>
    <x v="0"/>
  </r>
  <r>
    <x v="2"/>
    <x v="4"/>
    <x v="3"/>
    <x v="0"/>
    <x v="0"/>
    <n v="323385.62"/>
    <x v="0"/>
    <x v="0"/>
  </r>
  <r>
    <x v="2"/>
    <x v="4"/>
    <x v="3"/>
    <x v="0"/>
    <x v="0"/>
    <n v="116555.35"/>
    <x v="0"/>
    <x v="0"/>
  </r>
  <r>
    <x v="2"/>
    <x v="4"/>
    <x v="3"/>
    <x v="0"/>
    <x v="0"/>
    <n v="347969.28"/>
    <x v="0"/>
    <x v="0"/>
  </r>
  <r>
    <x v="2"/>
    <x v="4"/>
    <x v="3"/>
    <x v="0"/>
    <x v="0"/>
    <n v="133240.9"/>
    <x v="0"/>
    <x v="0"/>
  </r>
  <r>
    <x v="2"/>
    <x v="4"/>
    <x v="3"/>
    <x v="0"/>
    <x v="0"/>
    <n v="344106.28"/>
    <x v="0"/>
    <x v="0"/>
  </r>
  <r>
    <x v="2"/>
    <x v="4"/>
    <x v="3"/>
    <x v="0"/>
    <x v="0"/>
    <n v="279322.88"/>
    <x v="0"/>
    <x v="0"/>
  </r>
  <r>
    <x v="2"/>
    <x v="4"/>
    <x v="3"/>
    <x v="0"/>
    <x v="0"/>
    <n v="113390.81"/>
    <x v="0"/>
    <x v="0"/>
  </r>
  <r>
    <x v="2"/>
    <x v="4"/>
    <x v="3"/>
    <x v="0"/>
    <x v="0"/>
    <n v="205235.12"/>
    <x v="0"/>
    <x v="0"/>
  </r>
  <r>
    <x v="2"/>
    <x v="4"/>
    <x v="3"/>
    <x v="0"/>
    <x v="0"/>
    <n v="415046.18"/>
    <x v="0"/>
    <x v="0"/>
  </r>
  <r>
    <x v="2"/>
    <x v="4"/>
    <x v="3"/>
    <x v="0"/>
    <x v="0"/>
    <n v="201744.79"/>
    <x v="0"/>
    <x v="0"/>
  </r>
  <r>
    <x v="2"/>
    <x v="4"/>
    <x v="0"/>
    <x v="0"/>
    <x v="0"/>
    <n v="1252.3"/>
    <x v="0"/>
    <x v="0"/>
  </r>
  <r>
    <x v="2"/>
    <x v="4"/>
    <x v="2"/>
    <x v="0"/>
    <x v="0"/>
    <n v="24686.64"/>
    <x v="0"/>
    <x v="0"/>
  </r>
  <r>
    <x v="2"/>
    <x v="4"/>
    <x v="3"/>
    <x v="0"/>
    <x v="0"/>
    <n v="241498.78"/>
    <x v="0"/>
    <x v="0"/>
  </r>
  <r>
    <x v="2"/>
    <x v="4"/>
    <x v="3"/>
    <x v="0"/>
    <x v="0"/>
    <n v="399133.53"/>
    <x v="0"/>
    <x v="0"/>
  </r>
  <r>
    <x v="2"/>
    <x v="4"/>
    <x v="2"/>
    <x v="0"/>
    <x v="0"/>
    <n v="99252.4"/>
    <x v="0"/>
    <x v="0"/>
  </r>
  <r>
    <x v="2"/>
    <x v="4"/>
    <x v="3"/>
    <x v="0"/>
    <x v="0"/>
    <n v="173366.75"/>
    <x v="0"/>
    <x v="0"/>
  </r>
  <r>
    <x v="2"/>
    <x v="4"/>
    <x v="2"/>
    <x v="0"/>
    <x v="0"/>
    <n v="46505.13"/>
    <x v="0"/>
    <x v="0"/>
  </r>
  <r>
    <x v="2"/>
    <x v="4"/>
    <x v="3"/>
    <x v="0"/>
    <x v="0"/>
    <n v="229961.93"/>
    <x v="0"/>
    <x v="0"/>
  </r>
  <r>
    <x v="2"/>
    <x v="4"/>
    <x v="3"/>
    <x v="0"/>
    <x v="0"/>
    <n v="344337.25"/>
    <x v="0"/>
    <x v="0"/>
  </r>
  <r>
    <x v="2"/>
    <x v="4"/>
    <x v="2"/>
    <x v="0"/>
    <x v="0"/>
    <n v="81874.56"/>
    <x v="0"/>
    <x v="0"/>
  </r>
  <r>
    <x v="2"/>
    <x v="4"/>
    <x v="2"/>
    <x v="0"/>
    <x v="0"/>
    <n v="54663.15"/>
    <x v="0"/>
    <x v="0"/>
  </r>
  <r>
    <x v="2"/>
    <x v="4"/>
    <x v="2"/>
    <x v="0"/>
    <x v="0"/>
    <n v="33672.18"/>
    <x v="0"/>
    <x v="0"/>
  </r>
  <r>
    <x v="2"/>
    <x v="4"/>
    <x v="2"/>
    <x v="0"/>
    <x v="0"/>
    <n v="23641.67"/>
    <x v="0"/>
    <x v="0"/>
  </r>
  <r>
    <x v="2"/>
    <x v="4"/>
    <x v="2"/>
    <x v="0"/>
    <x v="0"/>
    <n v="99657.13"/>
    <x v="0"/>
    <x v="0"/>
  </r>
  <r>
    <x v="2"/>
    <x v="4"/>
    <x v="2"/>
    <x v="0"/>
    <x v="0"/>
    <n v="79516.07"/>
    <x v="0"/>
    <x v="0"/>
  </r>
  <r>
    <x v="2"/>
    <x v="4"/>
    <x v="3"/>
    <x v="0"/>
    <x v="0"/>
    <n v="210501.76"/>
    <x v="0"/>
    <x v="0"/>
  </r>
  <r>
    <x v="2"/>
    <x v="4"/>
    <x v="2"/>
    <x v="0"/>
    <x v="0"/>
    <n v="22608.48"/>
    <x v="0"/>
    <x v="0"/>
  </r>
  <r>
    <x v="2"/>
    <x v="4"/>
    <x v="3"/>
    <x v="0"/>
    <x v="0"/>
    <n v="235189.62"/>
    <x v="0"/>
    <x v="0"/>
  </r>
  <r>
    <x v="2"/>
    <x v="4"/>
    <x v="3"/>
    <x v="0"/>
    <x v="0"/>
    <n v="162183.14"/>
    <x v="0"/>
    <x v="0"/>
  </r>
  <r>
    <x v="2"/>
    <x v="4"/>
    <x v="3"/>
    <x v="0"/>
    <x v="0"/>
    <n v="635370.28"/>
    <x v="0"/>
    <x v="0"/>
  </r>
  <r>
    <x v="2"/>
    <x v="4"/>
    <x v="3"/>
    <x v="0"/>
    <x v="0"/>
    <n v="177087.19"/>
    <x v="0"/>
    <x v="0"/>
  </r>
  <r>
    <x v="2"/>
    <x v="4"/>
    <x v="3"/>
    <x v="0"/>
    <x v="0"/>
    <n v="208741.85"/>
    <x v="0"/>
    <x v="0"/>
  </r>
  <r>
    <x v="2"/>
    <x v="0"/>
    <x v="0"/>
    <x v="0"/>
    <x v="0"/>
    <n v="3627.99"/>
    <x v="0"/>
    <x v="0"/>
  </r>
  <r>
    <x v="2"/>
    <x v="2"/>
    <x v="2"/>
    <x v="0"/>
    <x v="0"/>
    <n v="44921.54"/>
    <x v="0"/>
    <x v="0"/>
  </r>
  <r>
    <x v="2"/>
    <x v="0"/>
    <x v="0"/>
    <x v="0"/>
    <x v="0"/>
    <n v="1972.03"/>
    <x v="0"/>
    <x v="0"/>
  </r>
  <r>
    <x v="2"/>
    <x v="0"/>
    <x v="0"/>
    <x v="0"/>
    <x v="0"/>
    <n v="5521.09"/>
    <x v="0"/>
    <x v="0"/>
  </r>
  <r>
    <x v="2"/>
    <x v="0"/>
    <x v="2"/>
    <x v="0"/>
    <x v="0"/>
    <n v="14796.83"/>
    <x v="0"/>
    <x v="0"/>
  </r>
  <r>
    <x v="2"/>
    <x v="2"/>
    <x v="2"/>
    <x v="0"/>
    <x v="0"/>
    <n v="23369.78"/>
    <x v="0"/>
    <x v="0"/>
  </r>
  <r>
    <x v="2"/>
    <x v="2"/>
    <x v="3"/>
    <x v="0"/>
    <x v="0"/>
    <n v="120223.34"/>
    <x v="0"/>
    <x v="0"/>
  </r>
  <r>
    <x v="2"/>
    <x v="0"/>
    <x v="0"/>
    <x v="0"/>
    <x v="0"/>
    <n v="1695.2"/>
    <x v="0"/>
    <x v="0"/>
  </r>
  <r>
    <x v="2"/>
    <x v="0"/>
    <x v="0"/>
    <x v="0"/>
    <x v="0"/>
    <n v="2620.17"/>
    <x v="0"/>
    <x v="0"/>
  </r>
  <r>
    <x v="2"/>
    <x v="2"/>
    <x v="2"/>
    <x v="0"/>
    <x v="0"/>
    <n v="72791.13"/>
    <x v="0"/>
    <x v="0"/>
  </r>
  <r>
    <x v="2"/>
    <x v="0"/>
    <x v="0"/>
    <x v="0"/>
    <x v="0"/>
    <n v="5153.28"/>
    <x v="0"/>
    <x v="0"/>
  </r>
  <r>
    <x v="2"/>
    <x v="0"/>
    <x v="2"/>
    <x v="0"/>
    <x v="0"/>
    <n v="11304.29"/>
    <x v="0"/>
    <x v="0"/>
  </r>
  <r>
    <x v="2"/>
    <x v="2"/>
    <x v="2"/>
    <x v="0"/>
    <x v="0"/>
    <n v="48267.2"/>
    <x v="0"/>
    <x v="0"/>
  </r>
  <r>
    <x v="2"/>
    <x v="0"/>
    <x v="2"/>
    <x v="0"/>
    <x v="0"/>
    <n v="11688.59"/>
    <x v="0"/>
    <x v="0"/>
  </r>
  <r>
    <x v="2"/>
    <x v="0"/>
    <x v="0"/>
    <x v="0"/>
    <x v="0"/>
    <n v="3825.07"/>
    <x v="0"/>
    <x v="0"/>
  </r>
  <r>
    <x v="2"/>
    <x v="0"/>
    <x v="0"/>
    <x v="0"/>
    <x v="0"/>
    <n v="1290.28"/>
    <x v="0"/>
    <x v="0"/>
  </r>
  <r>
    <x v="2"/>
    <x v="0"/>
    <x v="2"/>
    <x v="0"/>
    <x v="0"/>
    <n v="14267.79"/>
    <x v="0"/>
    <x v="0"/>
  </r>
  <r>
    <x v="2"/>
    <x v="3"/>
    <x v="0"/>
    <x v="0"/>
    <x v="0"/>
    <n v="6901.26"/>
    <x v="0"/>
    <x v="0"/>
  </r>
  <r>
    <x v="2"/>
    <x v="0"/>
    <x v="0"/>
    <x v="0"/>
    <x v="0"/>
    <n v="4407.34"/>
    <x v="0"/>
    <x v="0"/>
  </r>
  <r>
    <x v="2"/>
    <x v="0"/>
    <x v="0"/>
    <x v="0"/>
    <x v="0"/>
    <n v="5466.9"/>
    <x v="0"/>
    <x v="0"/>
  </r>
  <r>
    <x v="2"/>
    <x v="0"/>
    <x v="2"/>
    <x v="0"/>
    <x v="0"/>
    <n v="22256.72"/>
    <x v="0"/>
    <x v="0"/>
  </r>
  <r>
    <x v="2"/>
    <x v="0"/>
    <x v="1"/>
    <x v="0"/>
    <x v="0"/>
    <n v="213.35"/>
    <x v="0"/>
    <x v="0"/>
  </r>
  <r>
    <x v="2"/>
    <x v="0"/>
    <x v="2"/>
    <x v="0"/>
    <x v="0"/>
    <n v="36228.33"/>
    <x v="0"/>
    <x v="0"/>
  </r>
  <r>
    <x v="2"/>
    <x v="0"/>
    <x v="0"/>
    <x v="0"/>
    <x v="0"/>
    <n v="6039.09"/>
    <x v="0"/>
    <x v="0"/>
  </r>
  <r>
    <x v="2"/>
    <x v="0"/>
    <x v="0"/>
    <x v="0"/>
    <x v="0"/>
    <n v="8777.15"/>
    <x v="0"/>
    <x v="0"/>
  </r>
  <r>
    <x v="2"/>
    <x v="0"/>
    <x v="2"/>
    <x v="0"/>
    <x v="0"/>
    <n v="23087.59"/>
    <x v="0"/>
    <x v="0"/>
  </r>
  <r>
    <x v="2"/>
    <x v="0"/>
    <x v="2"/>
    <x v="0"/>
    <x v="0"/>
    <n v="13653.91"/>
    <x v="0"/>
    <x v="0"/>
  </r>
  <r>
    <x v="2"/>
    <x v="0"/>
    <x v="2"/>
    <x v="0"/>
    <x v="0"/>
    <n v="16697.62"/>
    <x v="0"/>
    <x v="0"/>
  </r>
  <r>
    <x v="2"/>
    <x v="0"/>
    <x v="2"/>
    <x v="0"/>
    <x v="0"/>
    <n v="33149.43"/>
    <x v="0"/>
    <x v="0"/>
  </r>
  <r>
    <x v="2"/>
    <x v="0"/>
    <x v="0"/>
    <x v="0"/>
    <x v="0"/>
    <n v="4693.35"/>
    <x v="0"/>
    <x v="0"/>
  </r>
  <r>
    <x v="2"/>
    <x v="0"/>
    <x v="2"/>
    <x v="0"/>
    <x v="0"/>
    <n v="40550.78"/>
    <x v="0"/>
    <x v="0"/>
  </r>
  <r>
    <x v="2"/>
    <x v="0"/>
    <x v="0"/>
    <x v="0"/>
    <x v="0"/>
    <n v="8216.42"/>
    <x v="0"/>
    <x v="0"/>
  </r>
  <r>
    <x v="2"/>
    <x v="0"/>
    <x v="0"/>
    <x v="0"/>
    <x v="0"/>
    <n v="7899.89"/>
    <x v="0"/>
    <x v="0"/>
  </r>
  <r>
    <x v="2"/>
    <x v="0"/>
    <x v="0"/>
    <x v="0"/>
    <x v="0"/>
    <n v="4155.21"/>
    <x v="0"/>
    <x v="0"/>
  </r>
  <r>
    <x v="2"/>
    <x v="0"/>
    <x v="0"/>
    <x v="0"/>
    <x v="0"/>
    <n v="4530.34"/>
    <x v="0"/>
    <x v="0"/>
  </r>
  <r>
    <x v="2"/>
    <x v="0"/>
    <x v="0"/>
    <x v="0"/>
    <x v="0"/>
    <n v="5356.63"/>
    <x v="0"/>
    <x v="0"/>
  </r>
  <r>
    <x v="2"/>
    <x v="0"/>
    <x v="0"/>
    <x v="0"/>
    <x v="0"/>
    <n v="7531.23"/>
    <x v="0"/>
    <x v="0"/>
  </r>
  <r>
    <x v="2"/>
    <x v="0"/>
    <x v="2"/>
    <x v="0"/>
    <x v="0"/>
    <n v="14251.38"/>
    <x v="0"/>
    <x v="0"/>
  </r>
  <r>
    <x v="2"/>
    <x v="0"/>
    <x v="0"/>
    <x v="0"/>
    <x v="0"/>
    <n v="6699.52"/>
    <x v="0"/>
    <x v="0"/>
  </r>
  <r>
    <x v="2"/>
    <x v="0"/>
    <x v="2"/>
    <x v="0"/>
    <x v="0"/>
    <n v="23440.57"/>
    <x v="0"/>
    <x v="0"/>
  </r>
  <r>
    <x v="2"/>
    <x v="0"/>
    <x v="0"/>
    <x v="0"/>
    <x v="0"/>
    <n v="6655.88"/>
    <x v="0"/>
    <x v="0"/>
  </r>
  <r>
    <x v="2"/>
    <x v="0"/>
    <x v="2"/>
    <x v="0"/>
    <x v="0"/>
    <n v="16881.67"/>
    <x v="0"/>
    <x v="0"/>
  </r>
  <r>
    <x v="2"/>
    <x v="0"/>
    <x v="0"/>
    <x v="0"/>
    <x v="0"/>
    <n v="6335.61"/>
    <x v="0"/>
    <x v="0"/>
  </r>
  <r>
    <x v="2"/>
    <x v="0"/>
    <x v="0"/>
    <x v="0"/>
    <x v="0"/>
    <n v="9601.55"/>
    <x v="0"/>
    <x v="0"/>
  </r>
  <r>
    <x v="2"/>
    <x v="0"/>
    <x v="2"/>
    <x v="0"/>
    <x v="0"/>
    <n v="26045.36"/>
    <x v="0"/>
    <x v="0"/>
  </r>
  <r>
    <x v="2"/>
    <x v="0"/>
    <x v="1"/>
    <x v="0"/>
    <x v="0"/>
    <n v="426.96"/>
    <x v="0"/>
    <x v="0"/>
  </r>
  <r>
    <x v="2"/>
    <x v="0"/>
    <x v="1"/>
    <x v="0"/>
    <x v="0"/>
    <n v="760.74"/>
    <x v="0"/>
    <x v="0"/>
  </r>
  <r>
    <x v="2"/>
    <x v="0"/>
    <x v="0"/>
    <x v="0"/>
    <x v="0"/>
    <n v="3222.39"/>
    <x v="0"/>
    <x v="0"/>
  </r>
  <r>
    <x v="2"/>
    <x v="3"/>
    <x v="0"/>
    <x v="0"/>
    <x v="0"/>
    <n v="1806.31"/>
    <x v="0"/>
    <x v="0"/>
  </r>
  <r>
    <x v="2"/>
    <x v="0"/>
    <x v="0"/>
    <x v="0"/>
    <x v="0"/>
    <n v="3067.08"/>
    <x v="0"/>
    <x v="0"/>
  </r>
  <r>
    <x v="2"/>
    <x v="0"/>
    <x v="2"/>
    <x v="0"/>
    <x v="0"/>
    <n v="12240.34"/>
    <x v="0"/>
    <x v="0"/>
  </r>
  <r>
    <x v="2"/>
    <x v="0"/>
    <x v="0"/>
    <x v="0"/>
    <x v="0"/>
    <n v="2034.58"/>
    <x v="0"/>
    <x v="0"/>
  </r>
  <r>
    <x v="2"/>
    <x v="0"/>
    <x v="0"/>
    <x v="0"/>
    <x v="0"/>
    <n v="8202.16"/>
    <x v="0"/>
    <x v="0"/>
  </r>
  <r>
    <x v="2"/>
    <x v="2"/>
    <x v="2"/>
    <x v="0"/>
    <x v="0"/>
    <n v="72010.87"/>
    <x v="0"/>
    <x v="0"/>
  </r>
  <r>
    <x v="2"/>
    <x v="2"/>
    <x v="2"/>
    <x v="0"/>
    <x v="0"/>
    <n v="93427.95"/>
    <x v="0"/>
    <x v="0"/>
  </r>
  <r>
    <x v="2"/>
    <x v="0"/>
    <x v="0"/>
    <x v="0"/>
    <x v="0"/>
    <n v="7594.11"/>
    <x v="0"/>
    <x v="0"/>
  </r>
  <r>
    <x v="2"/>
    <x v="0"/>
    <x v="0"/>
    <x v="0"/>
    <x v="0"/>
    <n v="6199.3"/>
    <x v="0"/>
    <x v="0"/>
  </r>
  <r>
    <x v="2"/>
    <x v="0"/>
    <x v="1"/>
    <x v="0"/>
    <x v="0"/>
    <n v="303.62"/>
    <x v="0"/>
    <x v="0"/>
  </r>
  <r>
    <x v="2"/>
    <x v="0"/>
    <x v="2"/>
    <x v="0"/>
    <x v="0"/>
    <n v="14146.46"/>
    <x v="0"/>
    <x v="0"/>
  </r>
  <r>
    <x v="2"/>
    <x v="0"/>
    <x v="1"/>
    <x v="0"/>
    <x v="0"/>
    <n v="991.75"/>
    <x v="0"/>
    <x v="0"/>
  </r>
  <r>
    <x v="2"/>
    <x v="0"/>
    <x v="2"/>
    <x v="0"/>
    <x v="0"/>
    <n v="13191.45"/>
    <x v="0"/>
    <x v="0"/>
  </r>
  <r>
    <x v="2"/>
    <x v="0"/>
    <x v="0"/>
    <x v="0"/>
    <x v="0"/>
    <n v="2342.29"/>
    <x v="0"/>
    <x v="0"/>
  </r>
  <r>
    <x v="2"/>
    <x v="3"/>
    <x v="0"/>
    <x v="0"/>
    <x v="0"/>
    <n v="2262.1"/>
    <x v="0"/>
    <x v="0"/>
  </r>
  <r>
    <x v="2"/>
    <x v="0"/>
    <x v="1"/>
    <x v="0"/>
    <x v="0"/>
    <n v="842.26"/>
    <x v="0"/>
    <x v="0"/>
  </r>
  <r>
    <x v="2"/>
    <x v="0"/>
    <x v="0"/>
    <x v="0"/>
    <x v="0"/>
    <n v="1558.6"/>
    <x v="0"/>
    <x v="0"/>
  </r>
  <r>
    <x v="2"/>
    <x v="0"/>
    <x v="0"/>
    <x v="0"/>
    <x v="0"/>
    <n v="3720.12"/>
    <x v="0"/>
    <x v="0"/>
  </r>
  <r>
    <x v="2"/>
    <x v="0"/>
    <x v="2"/>
    <x v="0"/>
    <x v="0"/>
    <n v="16831.23"/>
    <x v="0"/>
    <x v="0"/>
  </r>
  <r>
    <x v="2"/>
    <x v="0"/>
    <x v="2"/>
    <x v="0"/>
    <x v="0"/>
    <n v="26084.81"/>
    <x v="0"/>
    <x v="0"/>
  </r>
  <r>
    <x v="2"/>
    <x v="0"/>
    <x v="0"/>
    <x v="0"/>
    <x v="0"/>
    <n v="3800.11"/>
    <x v="0"/>
    <x v="0"/>
  </r>
  <r>
    <x v="2"/>
    <x v="1"/>
    <x v="2"/>
    <x v="1"/>
    <x v="0"/>
    <n v="10539.37"/>
    <x v="1"/>
    <x v="14"/>
  </r>
  <r>
    <x v="2"/>
    <x v="2"/>
    <x v="2"/>
    <x v="1"/>
    <x v="0"/>
    <n v="10539.37"/>
    <x v="1"/>
    <x v="14"/>
  </r>
  <r>
    <x v="2"/>
    <x v="0"/>
    <x v="2"/>
    <x v="0"/>
    <x v="0"/>
    <n v="20670.84"/>
    <x v="0"/>
    <x v="0"/>
  </r>
  <r>
    <x v="2"/>
    <x v="3"/>
    <x v="0"/>
    <x v="0"/>
    <x v="0"/>
    <n v="3923.46"/>
    <x v="0"/>
    <x v="0"/>
  </r>
  <r>
    <x v="2"/>
    <x v="4"/>
    <x v="3"/>
    <x v="0"/>
    <x v="0"/>
    <n v="133270.9"/>
    <x v="0"/>
    <x v="0"/>
  </r>
  <r>
    <x v="2"/>
    <x v="0"/>
    <x v="2"/>
    <x v="0"/>
    <x v="0"/>
    <n v="19681.95"/>
    <x v="0"/>
    <x v="0"/>
  </r>
  <r>
    <x v="2"/>
    <x v="0"/>
    <x v="1"/>
    <x v="0"/>
    <x v="0"/>
    <n v="982.2"/>
    <x v="0"/>
    <x v="0"/>
  </r>
  <r>
    <x v="2"/>
    <x v="0"/>
    <x v="2"/>
    <x v="0"/>
    <x v="0"/>
    <n v="20409.77"/>
    <x v="0"/>
    <x v="0"/>
  </r>
  <r>
    <x v="2"/>
    <x v="0"/>
    <x v="2"/>
    <x v="0"/>
    <x v="0"/>
    <n v="14147.04"/>
    <x v="0"/>
    <x v="0"/>
  </r>
  <r>
    <x v="2"/>
    <x v="0"/>
    <x v="0"/>
    <x v="0"/>
    <x v="0"/>
    <n v="3236.22"/>
    <x v="0"/>
    <x v="0"/>
  </r>
  <r>
    <x v="2"/>
    <x v="0"/>
    <x v="0"/>
    <x v="0"/>
    <x v="0"/>
    <n v="7865.38"/>
    <x v="0"/>
    <x v="0"/>
  </r>
  <r>
    <x v="2"/>
    <x v="0"/>
    <x v="2"/>
    <x v="0"/>
    <x v="0"/>
    <n v="12798.31"/>
    <x v="0"/>
    <x v="0"/>
  </r>
  <r>
    <x v="2"/>
    <x v="0"/>
    <x v="0"/>
    <x v="0"/>
    <x v="0"/>
    <n v="6672.96"/>
    <x v="0"/>
    <x v="0"/>
  </r>
  <r>
    <x v="2"/>
    <x v="0"/>
    <x v="0"/>
    <x v="0"/>
    <x v="0"/>
    <n v="1615.9"/>
    <x v="0"/>
    <x v="0"/>
  </r>
  <r>
    <x v="2"/>
    <x v="0"/>
    <x v="0"/>
    <x v="0"/>
    <x v="0"/>
    <n v="2805.92"/>
    <x v="0"/>
    <x v="0"/>
  </r>
  <r>
    <x v="2"/>
    <x v="0"/>
    <x v="1"/>
    <x v="0"/>
    <x v="0"/>
    <n v="374.85"/>
    <x v="0"/>
    <x v="0"/>
  </r>
  <r>
    <x v="2"/>
    <x v="1"/>
    <x v="2"/>
    <x v="0"/>
    <x v="0"/>
    <n v="69013.09"/>
    <x v="0"/>
    <x v="0"/>
  </r>
  <r>
    <x v="2"/>
    <x v="0"/>
    <x v="1"/>
    <x v="0"/>
    <x v="0"/>
    <n v="545.68"/>
    <x v="0"/>
    <x v="0"/>
  </r>
  <r>
    <x v="2"/>
    <x v="0"/>
    <x v="2"/>
    <x v="0"/>
    <x v="0"/>
    <n v="25486.13"/>
    <x v="0"/>
    <x v="0"/>
  </r>
  <r>
    <x v="2"/>
    <x v="0"/>
    <x v="0"/>
    <x v="0"/>
    <x v="0"/>
    <n v="1443.56"/>
    <x v="0"/>
    <x v="0"/>
  </r>
  <r>
    <x v="2"/>
    <x v="0"/>
    <x v="0"/>
    <x v="0"/>
    <x v="0"/>
    <n v="1719.19"/>
    <x v="0"/>
    <x v="0"/>
  </r>
  <r>
    <x v="2"/>
    <x v="0"/>
    <x v="0"/>
    <x v="0"/>
    <x v="0"/>
    <n v="2650.15"/>
    <x v="0"/>
    <x v="0"/>
  </r>
  <r>
    <x v="2"/>
    <x v="0"/>
    <x v="2"/>
    <x v="0"/>
    <x v="0"/>
    <n v="14140.28"/>
    <x v="0"/>
    <x v="0"/>
  </r>
  <r>
    <x v="2"/>
    <x v="0"/>
    <x v="2"/>
    <x v="0"/>
    <x v="0"/>
    <n v="13343.04"/>
    <x v="0"/>
    <x v="0"/>
  </r>
  <r>
    <x v="2"/>
    <x v="0"/>
    <x v="0"/>
    <x v="0"/>
    <x v="0"/>
    <n v="2536.69"/>
    <x v="0"/>
    <x v="0"/>
  </r>
  <r>
    <x v="2"/>
    <x v="0"/>
    <x v="0"/>
    <x v="0"/>
    <x v="0"/>
    <n v="8780.64"/>
    <x v="0"/>
    <x v="0"/>
  </r>
  <r>
    <x v="2"/>
    <x v="0"/>
    <x v="2"/>
    <x v="0"/>
    <x v="0"/>
    <n v="12895.72"/>
    <x v="0"/>
    <x v="0"/>
  </r>
  <r>
    <x v="2"/>
    <x v="0"/>
    <x v="1"/>
    <x v="0"/>
    <x v="0"/>
    <n v="952.87"/>
    <x v="0"/>
    <x v="0"/>
  </r>
  <r>
    <x v="2"/>
    <x v="0"/>
    <x v="0"/>
    <x v="0"/>
    <x v="0"/>
    <n v="7874.98"/>
    <x v="0"/>
    <x v="0"/>
  </r>
  <r>
    <x v="2"/>
    <x v="0"/>
    <x v="0"/>
    <x v="0"/>
    <x v="0"/>
    <n v="4035.53"/>
    <x v="0"/>
    <x v="0"/>
  </r>
  <r>
    <x v="2"/>
    <x v="0"/>
    <x v="2"/>
    <x v="0"/>
    <x v="0"/>
    <n v="14225.59"/>
    <x v="0"/>
    <x v="0"/>
  </r>
  <r>
    <x v="2"/>
    <x v="0"/>
    <x v="0"/>
    <x v="0"/>
    <x v="0"/>
    <n v="7937.87"/>
    <x v="0"/>
    <x v="0"/>
  </r>
  <r>
    <x v="2"/>
    <x v="0"/>
    <x v="2"/>
    <x v="0"/>
    <x v="0"/>
    <n v="23347.8"/>
    <x v="0"/>
    <x v="0"/>
  </r>
  <r>
    <x v="2"/>
    <x v="0"/>
    <x v="0"/>
    <x v="0"/>
    <x v="0"/>
    <n v="3024.32"/>
    <x v="0"/>
    <x v="0"/>
  </r>
  <r>
    <x v="2"/>
    <x v="0"/>
    <x v="2"/>
    <x v="0"/>
    <x v="0"/>
    <n v="12694.9"/>
    <x v="0"/>
    <x v="0"/>
  </r>
  <r>
    <x v="2"/>
    <x v="0"/>
    <x v="0"/>
    <x v="0"/>
    <x v="0"/>
    <n v="6573.52"/>
    <x v="0"/>
    <x v="0"/>
  </r>
  <r>
    <x v="2"/>
    <x v="0"/>
    <x v="2"/>
    <x v="0"/>
    <x v="0"/>
    <n v="30588.31"/>
    <x v="0"/>
    <x v="0"/>
  </r>
  <r>
    <x v="2"/>
    <x v="0"/>
    <x v="2"/>
    <x v="0"/>
    <x v="0"/>
    <n v="18409.27"/>
    <x v="0"/>
    <x v="0"/>
  </r>
  <r>
    <x v="2"/>
    <x v="0"/>
    <x v="0"/>
    <x v="0"/>
    <x v="0"/>
    <n v="6808.99"/>
    <x v="0"/>
    <x v="0"/>
  </r>
  <r>
    <x v="2"/>
    <x v="0"/>
    <x v="2"/>
    <x v="0"/>
    <x v="0"/>
    <n v="28899.92"/>
    <x v="0"/>
    <x v="0"/>
  </r>
  <r>
    <x v="2"/>
    <x v="0"/>
    <x v="1"/>
    <x v="0"/>
    <x v="0"/>
    <n v="85.42"/>
    <x v="0"/>
    <x v="0"/>
  </r>
  <r>
    <x v="2"/>
    <x v="0"/>
    <x v="0"/>
    <x v="0"/>
    <x v="0"/>
    <n v="9768.07"/>
    <x v="0"/>
    <x v="0"/>
  </r>
  <r>
    <x v="2"/>
    <x v="0"/>
    <x v="0"/>
    <x v="0"/>
    <x v="0"/>
    <n v="1828.21"/>
    <x v="0"/>
    <x v="0"/>
  </r>
  <r>
    <x v="2"/>
    <x v="3"/>
    <x v="0"/>
    <x v="0"/>
    <x v="0"/>
    <n v="1027.42"/>
    <x v="0"/>
    <x v="0"/>
  </r>
  <r>
    <x v="2"/>
    <x v="1"/>
    <x v="2"/>
    <x v="0"/>
    <x v="0"/>
    <n v="76083.8"/>
    <x v="0"/>
    <x v="0"/>
  </r>
  <r>
    <x v="2"/>
    <x v="1"/>
    <x v="0"/>
    <x v="0"/>
    <x v="0"/>
    <n v="5573.43"/>
    <x v="0"/>
    <x v="0"/>
  </r>
  <r>
    <x v="2"/>
    <x v="1"/>
    <x v="3"/>
    <x v="0"/>
    <x v="0"/>
    <n v="206925.43"/>
    <x v="0"/>
    <x v="0"/>
  </r>
  <r>
    <x v="2"/>
    <x v="1"/>
    <x v="3"/>
    <x v="0"/>
    <x v="0"/>
    <n v="572492.51"/>
    <x v="0"/>
    <x v="0"/>
  </r>
  <r>
    <x v="2"/>
    <x v="1"/>
    <x v="3"/>
    <x v="0"/>
    <x v="0"/>
    <n v="707899.22"/>
    <x v="0"/>
    <x v="0"/>
  </r>
  <r>
    <x v="2"/>
    <x v="1"/>
    <x v="3"/>
    <x v="0"/>
    <x v="0"/>
    <n v="979818.78"/>
    <x v="0"/>
    <x v="0"/>
  </r>
  <r>
    <x v="2"/>
    <x v="1"/>
    <x v="3"/>
    <x v="0"/>
    <x v="0"/>
    <n v="280567.17"/>
    <x v="0"/>
    <x v="0"/>
  </r>
  <r>
    <x v="2"/>
    <x v="1"/>
    <x v="2"/>
    <x v="0"/>
    <x v="0"/>
    <n v="18873.1"/>
    <x v="0"/>
    <x v="0"/>
  </r>
  <r>
    <x v="2"/>
    <x v="1"/>
    <x v="4"/>
    <x v="0"/>
    <x v="0"/>
    <n v="2837270.65"/>
    <x v="0"/>
    <x v="0"/>
  </r>
  <r>
    <x v="2"/>
    <x v="1"/>
    <x v="3"/>
    <x v="0"/>
    <x v="0"/>
    <n v="525371.52"/>
    <x v="0"/>
    <x v="0"/>
  </r>
  <r>
    <x v="2"/>
    <x v="1"/>
    <x v="4"/>
    <x v="0"/>
    <x v="0"/>
    <n v="1197188.79"/>
    <x v="0"/>
    <x v="0"/>
  </r>
  <r>
    <x v="2"/>
    <x v="1"/>
    <x v="3"/>
    <x v="0"/>
    <x v="0"/>
    <n v="141633.8"/>
    <x v="0"/>
    <x v="0"/>
  </r>
  <r>
    <x v="2"/>
    <x v="1"/>
    <x v="3"/>
    <x v="0"/>
    <x v="0"/>
    <n v="521678.46"/>
    <x v="0"/>
    <x v="0"/>
  </r>
  <r>
    <x v="2"/>
    <x v="1"/>
    <x v="4"/>
    <x v="0"/>
    <x v="0"/>
    <n v="1610264.08"/>
    <x v="0"/>
    <x v="0"/>
  </r>
  <r>
    <x v="2"/>
    <x v="1"/>
    <x v="0"/>
    <x v="0"/>
    <x v="0"/>
    <n v="2565.32"/>
    <x v="0"/>
    <x v="0"/>
  </r>
  <r>
    <x v="2"/>
    <x v="1"/>
    <x v="2"/>
    <x v="0"/>
    <x v="0"/>
    <n v="16972.84"/>
    <x v="0"/>
    <x v="0"/>
  </r>
  <r>
    <x v="2"/>
    <x v="1"/>
    <x v="3"/>
    <x v="0"/>
    <x v="0"/>
    <n v="708855.97"/>
    <x v="0"/>
    <x v="0"/>
  </r>
  <r>
    <x v="2"/>
    <x v="1"/>
    <x v="3"/>
    <x v="0"/>
    <x v="0"/>
    <n v="630132.72"/>
    <x v="0"/>
    <x v="0"/>
  </r>
  <r>
    <x v="2"/>
    <x v="1"/>
    <x v="3"/>
    <x v="0"/>
    <x v="0"/>
    <n v="445570"/>
    <x v="0"/>
    <x v="0"/>
  </r>
  <r>
    <x v="2"/>
    <x v="1"/>
    <x v="2"/>
    <x v="0"/>
    <x v="0"/>
    <n v="50662.63"/>
    <x v="0"/>
    <x v="0"/>
  </r>
  <r>
    <x v="2"/>
    <x v="1"/>
    <x v="3"/>
    <x v="0"/>
    <x v="0"/>
    <n v="192421.03"/>
    <x v="0"/>
    <x v="0"/>
  </r>
  <r>
    <x v="2"/>
    <x v="1"/>
    <x v="4"/>
    <x v="0"/>
    <x v="0"/>
    <n v="1453126.81"/>
    <x v="0"/>
    <x v="0"/>
  </r>
  <r>
    <x v="2"/>
    <x v="1"/>
    <x v="3"/>
    <x v="0"/>
    <x v="0"/>
    <n v="112752.15"/>
    <x v="0"/>
    <x v="0"/>
  </r>
  <r>
    <x v="2"/>
    <x v="1"/>
    <x v="2"/>
    <x v="0"/>
    <x v="0"/>
    <n v="87674.26"/>
    <x v="0"/>
    <x v="0"/>
  </r>
  <r>
    <x v="2"/>
    <x v="0"/>
    <x v="2"/>
    <x v="0"/>
    <x v="0"/>
    <n v="16573.43"/>
    <x v="0"/>
    <x v="0"/>
  </r>
  <r>
    <x v="2"/>
    <x v="0"/>
    <x v="0"/>
    <x v="0"/>
    <x v="0"/>
    <n v="2941.39"/>
    <x v="0"/>
    <x v="0"/>
  </r>
  <r>
    <x v="2"/>
    <x v="2"/>
    <x v="2"/>
    <x v="0"/>
    <x v="0"/>
    <n v="90922.45"/>
    <x v="0"/>
    <x v="0"/>
  </r>
  <r>
    <x v="2"/>
    <x v="0"/>
    <x v="0"/>
    <x v="0"/>
    <x v="0"/>
    <n v="2166.7"/>
    <x v="0"/>
    <x v="0"/>
  </r>
  <r>
    <x v="2"/>
    <x v="0"/>
    <x v="0"/>
    <x v="0"/>
    <x v="0"/>
    <n v="3095.82"/>
    <x v="0"/>
    <x v="0"/>
  </r>
  <r>
    <x v="2"/>
    <x v="0"/>
    <x v="1"/>
    <x v="0"/>
    <x v="0"/>
    <n v="279.84"/>
    <x v="0"/>
    <x v="0"/>
  </r>
  <r>
    <x v="2"/>
    <x v="0"/>
    <x v="0"/>
    <x v="0"/>
    <x v="0"/>
    <n v="8615.79"/>
    <x v="0"/>
    <x v="0"/>
  </r>
  <r>
    <x v="2"/>
    <x v="0"/>
    <x v="2"/>
    <x v="0"/>
    <x v="0"/>
    <n v="29363.1"/>
    <x v="0"/>
    <x v="0"/>
  </r>
  <r>
    <x v="2"/>
    <x v="3"/>
    <x v="0"/>
    <x v="0"/>
    <x v="0"/>
    <n v="5916.27"/>
    <x v="0"/>
    <x v="0"/>
  </r>
  <r>
    <x v="2"/>
    <x v="0"/>
    <x v="2"/>
    <x v="0"/>
    <x v="0"/>
    <n v="19877.65"/>
    <x v="0"/>
    <x v="0"/>
  </r>
  <r>
    <x v="2"/>
    <x v="3"/>
    <x v="0"/>
    <x v="0"/>
    <x v="0"/>
    <n v="1575.17"/>
    <x v="0"/>
    <x v="0"/>
  </r>
  <r>
    <x v="2"/>
    <x v="0"/>
    <x v="1"/>
    <x v="0"/>
    <x v="0"/>
    <n v="162.32"/>
    <x v="0"/>
    <x v="0"/>
  </r>
  <r>
    <x v="2"/>
    <x v="3"/>
    <x v="0"/>
    <x v="0"/>
    <x v="0"/>
    <n v="2664.55"/>
    <x v="0"/>
    <x v="0"/>
  </r>
  <r>
    <x v="2"/>
    <x v="0"/>
    <x v="2"/>
    <x v="0"/>
    <x v="0"/>
    <n v="10951.21"/>
    <x v="0"/>
    <x v="0"/>
  </r>
  <r>
    <x v="2"/>
    <x v="0"/>
    <x v="1"/>
    <x v="0"/>
    <x v="0"/>
    <n v="649.2"/>
    <x v="0"/>
    <x v="0"/>
  </r>
  <r>
    <x v="2"/>
    <x v="0"/>
    <x v="2"/>
    <x v="0"/>
    <x v="0"/>
    <n v="18847.45"/>
    <x v="0"/>
    <x v="0"/>
  </r>
  <r>
    <x v="2"/>
    <x v="1"/>
    <x v="2"/>
    <x v="0"/>
    <x v="0"/>
    <n v="70376.34"/>
    <x v="0"/>
    <x v="0"/>
  </r>
  <r>
    <x v="2"/>
    <x v="0"/>
    <x v="2"/>
    <x v="0"/>
    <x v="0"/>
    <n v="24661.43"/>
    <x v="0"/>
    <x v="0"/>
  </r>
  <r>
    <x v="2"/>
    <x v="0"/>
    <x v="0"/>
    <x v="0"/>
    <x v="0"/>
    <n v="2688.52"/>
    <x v="0"/>
    <x v="0"/>
  </r>
  <r>
    <x v="2"/>
    <x v="0"/>
    <x v="2"/>
    <x v="0"/>
    <x v="0"/>
    <n v="16048.8"/>
    <x v="0"/>
    <x v="0"/>
  </r>
  <r>
    <x v="2"/>
    <x v="0"/>
    <x v="2"/>
    <x v="0"/>
    <x v="0"/>
    <n v="16115.55"/>
    <x v="0"/>
    <x v="0"/>
  </r>
  <r>
    <x v="2"/>
    <x v="0"/>
    <x v="0"/>
    <x v="0"/>
    <x v="0"/>
    <n v="3130.69"/>
    <x v="0"/>
    <x v="0"/>
  </r>
  <r>
    <x v="2"/>
    <x v="3"/>
    <x v="0"/>
    <x v="0"/>
    <x v="0"/>
    <n v="6010.62"/>
    <x v="0"/>
    <x v="0"/>
  </r>
  <r>
    <x v="2"/>
    <x v="2"/>
    <x v="0"/>
    <x v="0"/>
    <x v="0"/>
    <n v="8294.34"/>
    <x v="0"/>
    <x v="0"/>
  </r>
  <r>
    <x v="2"/>
    <x v="2"/>
    <x v="2"/>
    <x v="0"/>
    <x v="0"/>
    <n v="34465.37"/>
    <x v="0"/>
    <x v="0"/>
  </r>
  <r>
    <x v="2"/>
    <x v="0"/>
    <x v="2"/>
    <x v="0"/>
    <x v="0"/>
    <n v="12695.49"/>
    <x v="0"/>
    <x v="0"/>
  </r>
  <r>
    <x v="2"/>
    <x v="0"/>
    <x v="0"/>
    <x v="0"/>
    <x v="0"/>
    <n v="3911.87"/>
    <x v="0"/>
    <x v="0"/>
  </r>
  <r>
    <x v="2"/>
    <x v="0"/>
    <x v="2"/>
    <x v="0"/>
    <x v="0"/>
    <n v="10105.94"/>
    <x v="0"/>
    <x v="0"/>
  </r>
  <r>
    <x v="2"/>
    <x v="0"/>
    <x v="2"/>
    <x v="0"/>
    <x v="0"/>
    <n v="24674.79"/>
    <x v="0"/>
    <x v="0"/>
  </r>
  <r>
    <x v="2"/>
    <x v="1"/>
    <x v="2"/>
    <x v="0"/>
    <x v="0"/>
    <n v="16208.5"/>
    <x v="0"/>
    <x v="0"/>
  </r>
  <r>
    <x v="2"/>
    <x v="0"/>
    <x v="2"/>
    <x v="0"/>
    <x v="0"/>
    <n v="37480.38"/>
    <x v="0"/>
    <x v="0"/>
  </r>
  <r>
    <x v="2"/>
    <x v="0"/>
    <x v="2"/>
    <x v="0"/>
    <x v="0"/>
    <n v="14043.68"/>
    <x v="0"/>
    <x v="0"/>
  </r>
  <r>
    <x v="2"/>
    <x v="0"/>
    <x v="0"/>
    <x v="0"/>
    <x v="0"/>
    <n v="9419.48"/>
    <x v="0"/>
    <x v="0"/>
  </r>
  <r>
    <x v="2"/>
    <x v="2"/>
    <x v="3"/>
    <x v="0"/>
    <x v="0"/>
    <n v="101181.53"/>
    <x v="0"/>
    <x v="0"/>
  </r>
  <r>
    <x v="2"/>
    <x v="0"/>
    <x v="0"/>
    <x v="0"/>
    <x v="0"/>
    <n v="9437.39"/>
    <x v="0"/>
    <x v="0"/>
  </r>
  <r>
    <x v="2"/>
    <x v="0"/>
    <x v="2"/>
    <x v="0"/>
    <x v="0"/>
    <n v="10728.82"/>
    <x v="0"/>
    <x v="0"/>
  </r>
  <r>
    <x v="2"/>
    <x v="0"/>
    <x v="1"/>
    <x v="0"/>
    <x v="0"/>
    <n v="409.74"/>
    <x v="0"/>
    <x v="0"/>
  </r>
  <r>
    <x v="2"/>
    <x v="0"/>
    <x v="1"/>
    <x v="0"/>
    <x v="0"/>
    <n v="708.36"/>
    <x v="0"/>
    <x v="0"/>
  </r>
  <r>
    <x v="2"/>
    <x v="0"/>
    <x v="2"/>
    <x v="0"/>
    <x v="0"/>
    <n v="21595.02"/>
    <x v="0"/>
    <x v="0"/>
  </r>
  <r>
    <x v="2"/>
    <x v="0"/>
    <x v="2"/>
    <x v="0"/>
    <x v="0"/>
    <n v="13021.44"/>
    <x v="0"/>
    <x v="0"/>
  </r>
  <r>
    <x v="2"/>
    <x v="2"/>
    <x v="2"/>
    <x v="0"/>
    <x v="0"/>
    <n v="31891.69"/>
    <x v="0"/>
    <x v="0"/>
  </r>
  <r>
    <x v="2"/>
    <x v="0"/>
    <x v="2"/>
    <x v="0"/>
    <x v="0"/>
    <n v="14294.08"/>
    <x v="0"/>
    <x v="0"/>
  </r>
  <r>
    <x v="2"/>
    <x v="0"/>
    <x v="1"/>
    <x v="0"/>
    <x v="0"/>
    <n v="209.18"/>
    <x v="0"/>
    <x v="0"/>
  </r>
  <r>
    <x v="2"/>
    <x v="0"/>
    <x v="0"/>
    <x v="0"/>
    <x v="0"/>
    <n v="8269.29"/>
    <x v="0"/>
    <x v="0"/>
  </r>
  <r>
    <x v="2"/>
    <x v="0"/>
    <x v="0"/>
    <x v="0"/>
    <x v="0"/>
    <n v="8095.03"/>
    <x v="0"/>
    <x v="0"/>
  </r>
  <r>
    <x v="2"/>
    <x v="0"/>
    <x v="0"/>
    <x v="0"/>
    <x v="0"/>
    <n v="1588.8"/>
    <x v="0"/>
    <x v="0"/>
  </r>
  <r>
    <x v="2"/>
    <x v="0"/>
    <x v="0"/>
    <x v="0"/>
    <x v="0"/>
    <n v="1667.18"/>
    <x v="0"/>
    <x v="0"/>
  </r>
  <r>
    <x v="2"/>
    <x v="0"/>
    <x v="0"/>
    <x v="0"/>
    <x v="0"/>
    <n v="2184.39"/>
    <x v="0"/>
    <x v="0"/>
  </r>
  <r>
    <x v="2"/>
    <x v="0"/>
    <x v="1"/>
    <x v="0"/>
    <x v="0"/>
    <n v="549.08"/>
    <x v="0"/>
    <x v="0"/>
  </r>
  <r>
    <x v="2"/>
    <x v="0"/>
    <x v="0"/>
    <x v="0"/>
    <x v="0"/>
    <n v="1082.01"/>
    <x v="0"/>
    <x v="0"/>
  </r>
  <r>
    <x v="2"/>
    <x v="0"/>
    <x v="0"/>
    <x v="0"/>
    <x v="0"/>
    <n v="5664.57"/>
    <x v="0"/>
    <x v="0"/>
  </r>
  <r>
    <x v="2"/>
    <x v="3"/>
    <x v="0"/>
    <x v="0"/>
    <x v="0"/>
    <n v="3762.4"/>
    <x v="0"/>
    <x v="0"/>
  </r>
  <r>
    <x v="2"/>
    <x v="3"/>
    <x v="0"/>
    <x v="0"/>
    <x v="0"/>
    <n v="5920.06"/>
    <x v="0"/>
    <x v="0"/>
  </r>
  <r>
    <x v="2"/>
    <x v="0"/>
    <x v="2"/>
    <x v="0"/>
    <x v="0"/>
    <n v="34885.44"/>
    <x v="0"/>
    <x v="0"/>
  </r>
  <r>
    <x v="2"/>
    <x v="2"/>
    <x v="2"/>
    <x v="0"/>
    <x v="0"/>
    <n v="57342.59"/>
    <x v="0"/>
    <x v="0"/>
  </r>
  <r>
    <x v="2"/>
    <x v="2"/>
    <x v="0"/>
    <x v="0"/>
    <x v="0"/>
    <n v="9804.05"/>
    <x v="0"/>
    <x v="0"/>
  </r>
  <r>
    <x v="2"/>
    <x v="2"/>
    <x v="3"/>
    <x v="0"/>
    <x v="0"/>
    <n v="119579.08"/>
    <x v="0"/>
    <x v="0"/>
  </r>
  <r>
    <x v="2"/>
    <x v="2"/>
    <x v="0"/>
    <x v="0"/>
    <x v="0"/>
    <n v="8451.78"/>
    <x v="0"/>
    <x v="0"/>
  </r>
  <r>
    <x v="2"/>
    <x v="2"/>
    <x v="3"/>
    <x v="0"/>
    <x v="0"/>
    <n v="123283.25"/>
    <x v="0"/>
    <x v="0"/>
  </r>
  <r>
    <x v="2"/>
    <x v="2"/>
    <x v="3"/>
    <x v="0"/>
    <x v="0"/>
    <n v="171669.81"/>
    <x v="0"/>
    <x v="0"/>
  </r>
  <r>
    <x v="2"/>
    <x v="2"/>
    <x v="2"/>
    <x v="0"/>
    <x v="0"/>
    <n v="48514.62"/>
    <x v="0"/>
    <x v="0"/>
  </r>
  <r>
    <x v="2"/>
    <x v="2"/>
    <x v="3"/>
    <x v="0"/>
    <x v="0"/>
    <n v="485135.11"/>
    <x v="0"/>
    <x v="0"/>
  </r>
  <r>
    <x v="2"/>
    <x v="2"/>
    <x v="3"/>
    <x v="0"/>
    <x v="0"/>
    <n v="340917.37"/>
    <x v="0"/>
    <x v="0"/>
  </r>
  <r>
    <x v="2"/>
    <x v="2"/>
    <x v="3"/>
    <x v="0"/>
    <x v="0"/>
    <n v="103406.05"/>
    <x v="0"/>
    <x v="0"/>
  </r>
  <r>
    <x v="2"/>
    <x v="2"/>
    <x v="2"/>
    <x v="0"/>
    <x v="0"/>
    <n v="88793.94"/>
    <x v="0"/>
    <x v="0"/>
  </r>
  <r>
    <x v="2"/>
    <x v="2"/>
    <x v="3"/>
    <x v="0"/>
    <x v="0"/>
    <n v="162541.79"/>
    <x v="0"/>
    <x v="0"/>
  </r>
  <r>
    <x v="2"/>
    <x v="2"/>
    <x v="3"/>
    <x v="0"/>
    <x v="0"/>
    <n v="189104.46"/>
    <x v="0"/>
    <x v="0"/>
  </r>
  <r>
    <x v="2"/>
    <x v="2"/>
    <x v="2"/>
    <x v="0"/>
    <x v="0"/>
    <n v="22630.64"/>
    <x v="0"/>
    <x v="0"/>
  </r>
  <r>
    <x v="2"/>
    <x v="2"/>
    <x v="2"/>
    <x v="0"/>
    <x v="0"/>
    <n v="75925.56"/>
    <x v="0"/>
    <x v="0"/>
  </r>
  <r>
    <x v="2"/>
    <x v="2"/>
    <x v="3"/>
    <x v="0"/>
    <x v="0"/>
    <n v="226424.35"/>
    <x v="0"/>
    <x v="0"/>
  </r>
  <r>
    <x v="2"/>
    <x v="2"/>
    <x v="3"/>
    <x v="0"/>
    <x v="0"/>
    <n v="105759.64"/>
    <x v="0"/>
    <x v="0"/>
  </r>
  <r>
    <x v="2"/>
    <x v="0"/>
    <x v="0"/>
    <x v="0"/>
    <x v="0"/>
    <n v="7842.1"/>
    <x v="0"/>
    <x v="0"/>
  </r>
  <r>
    <x v="2"/>
    <x v="0"/>
    <x v="0"/>
    <x v="0"/>
    <x v="0"/>
    <n v="2317.06"/>
    <x v="0"/>
    <x v="0"/>
  </r>
  <r>
    <x v="2"/>
    <x v="4"/>
    <x v="3"/>
    <x v="0"/>
    <x v="0"/>
    <n v="254872.55"/>
    <x v="0"/>
    <x v="0"/>
  </r>
  <r>
    <x v="2"/>
    <x v="0"/>
    <x v="0"/>
    <x v="0"/>
    <x v="0"/>
    <n v="2457.11"/>
    <x v="0"/>
    <x v="0"/>
  </r>
  <r>
    <x v="2"/>
    <x v="0"/>
    <x v="0"/>
    <x v="0"/>
    <x v="0"/>
    <n v="2599.05"/>
    <x v="0"/>
    <x v="0"/>
  </r>
  <r>
    <x v="2"/>
    <x v="0"/>
    <x v="1"/>
    <x v="0"/>
    <x v="0"/>
    <n v="906.78"/>
    <x v="0"/>
    <x v="0"/>
  </r>
  <r>
    <x v="2"/>
    <x v="0"/>
    <x v="0"/>
    <x v="0"/>
    <x v="0"/>
    <n v="2092.69"/>
    <x v="0"/>
    <x v="0"/>
  </r>
  <r>
    <x v="2"/>
    <x v="0"/>
    <x v="2"/>
    <x v="0"/>
    <x v="0"/>
    <n v="18293.81"/>
    <x v="0"/>
    <x v="0"/>
  </r>
  <r>
    <x v="2"/>
    <x v="0"/>
    <x v="0"/>
    <x v="0"/>
    <x v="0"/>
    <n v="1341.34"/>
    <x v="0"/>
    <x v="0"/>
  </r>
  <r>
    <x v="2"/>
    <x v="0"/>
    <x v="0"/>
    <x v="0"/>
    <x v="0"/>
    <n v="6159.62"/>
    <x v="0"/>
    <x v="0"/>
  </r>
  <r>
    <x v="2"/>
    <x v="1"/>
    <x v="2"/>
    <x v="0"/>
    <x v="0"/>
    <n v="75131.35"/>
    <x v="0"/>
    <x v="0"/>
  </r>
  <r>
    <x v="2"/>
    <x v="3"/>
    <x v="0"/>
    <x v="0"/>
    <x v="0"/>
    <n v="3985.96"/>
    <x v="0"/>
    <x v="0"/>
  </r>
  <r>
    <x v="2"/>
    <x v="0"/>
    <x v="0"/>
    <x v="0"/>
    <x v="0"/>
    <n v="9224.5"/>
    <x v="0"/>
    <x v="0"/>
  </r>
  <r>
    <x v="2"/>
    <x v="0"/>
    <x v="2"/>
    <x v="0"/>
    <x v="0"/>
    <n v="10839.8"/>
    <x v="0"/>
    <x v="0"/>
  </r>
  <r>
    <x v="2"/>
    <x v="1"/>
    <x v="3"/>
    <x v="0"/>
    <x v="0"/>
    <n v="136001.37"/>
    <x v="0"/>
    <x v="0"/>
  </r>
  <r>
    <x v="2"/>
    <x v="1"/>
    <x v="3"/>
    <x v="0"/>
    <x v="0"/>
    <n v="163870.49"/>
    <x v="0"/>
    <x v="0"/>
  </r>
  <r>
    <x v="2"/>
    <x v="0"/>
    <x v="2"/>
    <x v="0"/>
    <x v="0"/>
    <n v="15484.5"/>
    <x v="0"/>
    <x v="0"/>
  </r>
  <r>
    <x v="2"/>
    <x v="0"/>
    <x v="2"/>
    <x v="0"/>
    <x v="0"/>
    <n v="22415.68"/>
    <x v="0"/>
    <x v="0"/>
  </r>
  <r>
    <x v="2"/>
    <x v="1"/>
    <x v="2"/>
    <x v="1"/>
    <x v="0"/>
    <n v="22877"/>
    <x v="1"/>
    <x v="15"/>
  </r>
  <r>
    <x v="2"/>
    <x v="2"/>
    <x v="2"/>
    <x v="1"/>
    <x v="0"/>
    <n v="22877"/>
    <x v="1"/>
    <x v="15"/>
  </r>
  <r>
    <x v="2"/>
    <x v="0"/>
    <x v="2"/>
    <x v="0"/>
    <x v="0"/>
    <n v="19110.24"/>
    <x v="0"/>
    <x v="0"/>
  </r>
  <r>
    <x v="2"/>
    <x v="0"/>
    <x v="0"/>
    <x v="0"/>
    <x v="0"/>
    <n v="2726.77"/>
    <x v="0"/>
    <x v="0"/>
  </r>
  <r>
    <x v="2"/>
    <x v="0"/>
    <x v="0"/>
    <x v="0"/>
    <x v="0"/>
    <n v="8302.14"/>
    <x v="0"/>
    <x v="0"/>
  </r>
  <r>
    <x v="2"/>
    <x v="0"/>
    <x v="0"/>
    <x v="0"/>
    <x v="0"/>
    <n v="2204.12"/>
    <x v="0"/>
    <x v="0"/>
  </r>
  <r>
    <x v="2"/>
    <x v="0"/>
    <x v="0"/>
    <x v="0"/>
    <x v="0"/>
    <n v="1587.79"/>
    <x v="0"/>
    <x v="0"/>
  </r>
  <r>
    <x v="2"/>
    <x v="0"/>
    <x v="2"/>
    <x v="0"/>
    <x v="0"/>
    <n v="19818.51"/>
    <x v="0"/>
    <x v="0"/>
  </r>
  <r>
    <x v="2"/>
    <x v="0"/>
    <x v="0"/>
    <x v="0"/>
    <x v="0"/>
    <n v="5989.14"/>
    <x v="0"/>
    <x v="0"/>
  </r>
  <r>
    <x v="2"/>
    <x v="0"/>
    <x v="2"/>
    <x v="0"/>
    <x v="0"/>
    <n v="22421.09"/>
    <x v="0"/>
    <x v="0"/>
  </r>
  <r>
    <x v="2"/>
    <x v="0"/>
    <x v="2"/>
    <x v="0"/>
    <x v="0"/>
    <n v="15323.44"/>
    <x v="0"/>
    <x v="0"/>
  </r>
  <r>
    <x v="2"/>
    <x v="0"/>
    <x v="2"/>
    <x v="0"/>
    <x v="0"/>
    <n v="26862.79"/>
    <x v="0"/>
    <x v="0"/>
  </r>
  <r>
    <x v="2"/>
    <x v="0"/>
    <x v="0"/>
    <x v="0"/>
    <x v="0"/>
    <n v="4158.69"/>
    <x v="0"/>
    <x v="0"/>
  </r>
  <r>
    <x v="2"/>
    <x v="0"/>
    <x v="0"/>
    <x v="0"/>
    <x v="0"/>
    <n v="1354.57"/>
    <x v="0"/>
    <x v="0"/>
  </r>
  <r>
    <x v="3"/>
    <x v="1"/>
    <x v="3"/>
    <x v="0"/>
    <x v="0"/>
    <n v="167476.47"/>
    <x v="0"/>
    <x v="0"/>
  </r>
  <r>
    <x v="3"/>
    <x v="0"/>
    <x v="1"/>
    <x v="0"/>
    <x v="0"/>
    <n v="383.64"/>
    <x v="0"/>
    <x v="0"/>
  </r>
  <r>
    <x v="3"/>
    <x v="0"/>
    <x v="0"/>
    <x v="0"/>
    <x v="0"/>
    <n v="1150.8"/>
    <x v="0"/>
    <x v="0"/>
  </r>
  <r>
    <x v="3"/>
    <x v="0"/>
    <x v="0"/>
    <x v="0"/>
    <x v="0"/>
    <n v="4059.46"/>
    <x v="0"/>
    <x v="0"/>
  </r>
  <r>
    <x v="3"/>
    <x v="0"/>
    <x v="1"/>
    <x v="0"/>
    <x v="0"/>
    <n v="921.61"/>
    <x v="0"/>
    <x v="0"/>
  </r>
  <r>
    <x v="3"/>
    <x v="0"/>
    <x v="2"/>
    <x v="0"/>
    <x v="0"/>
    <n v="10739.56"/>
    <x v="0"/>
    <x v="0"/>
  </r>
  <r>
    <x v="3"/>
    <x v="1"/>
    <x v="2"/>
    <x v="0"/>
    <x v="0"/>
    <n v="43896.22"/>
    <x v="0"/>
    <x v="0"/>
  </r>
  <r>
    <x v="3"/>
    <x v="0"/>
    <x v="0"/>
    <x v="0"/>
    <x v="0"/>
    <n v="1036.33"/>
    <x v="0"/>
    <x v="0"/>
  </r>
  <r>
    <x v="3"/>
    <x v="2"/>
    <x v="3"/>
    <x v="0"/>
    <x v="0"/>
    <n v="124112.03"/>
    <x v="0"/>
    <x v="0"/>
  </r>
  <r>
    <x v="3"/>
    <x v="0"/>
    <x v="0"/>
    <x v="0"/>
    <x v="0"/>
    <n v="5678.23"/>
    <x v="0"/>
    <x v="0"/>
  </r>
  <r>
    <x v="3"/>
    <x v="0"/>
    <x v="0"/>
    <x v="0"/>
    <x v="0"/>
    <n v="4848.52"/>
    <x v="0"/>
    <x v="0"/>
  </r>
  <r>
    <x v="3"/>
    <x v="0"/>
    <x v="1"/>
    <x v="0"/>
    <x v="0"/>
    <n v="562.64"/>
    <x v="0"/>
    <x v="0"/>
  </r>
  <r>
    <x v="3"/>
    <x v="3"/>
    <x v="0"/>
    <x v="0"/>
    <x v="0"/>
    <n v="1313.51"/>
    <x v="0"/>
    <x v="0"/>
  </r>
  <r>
    <x v="3"/>
    <x v="0"/>
    <x v="0"/>
    <x v="0"/>
    <x v="0"/>
    <n v="2681.46"/>
    <x v="0"/>
    <x v="0"/>
  </r>
  <r>
    <x v="3"/>
    <x v="0"/>
    <x v="0"/>
    <x v="0"/>
    <x v="0"/>
    <n v="1677.52"/>
    <x v="0"/>
    <x v="0"/>
  </r>
  <r>
    <x v="3"/>
    <x v="0"/>
    <x v="0"/>
    <x v="0"/>
    <x v="0"/>
    <n v="2713.07"/>
    <x v="0"/>
    <x v="0"/>
  </r>
  <r>
    <x v="3"/>
    <x v="0"/>
    <x v="0"/>
    <x v="0"/>
    <x v="0"/>
    <n v="1187.17"/>
    <x v="0"/>
    <x v="0"/>
  </r>
  <r>
    <x v="3"/>
    <x v="0"/>
    <x v="1"/>
    <x v="0"/>
    <x v="0"/>
    <n v="347.5"/>
    <x v="0"/>
    <x v="0"/>
  </r>
  <r>
    <x v="3"/>
    <x v="0"/>
    <x v="0"/>
    <x v="0"/>
    <x v="0"/>
    <n v="1637.03"/>
    <x v="0"/>
    <x v="0"/>
  </r>
  <r>
    <x v="3"/>
    <x v="0"/>
    <x v="1"/>
    <x v="0"/>
    <x v="0"/>
    <n v="947.58"/>
    <x v="0"/>
    <x v="0"/>
  </r>
  <r>
    <x v="3"/>
    <x v="0"/>
    <x v="0"/>
    <x v="0"/>
    <x v="0"/>
    <n v="1921.43"/>
    <x v="0"/>
    <x v="0"/>
  </r>
  <r>
    <x v="3"/>
    <x v="0"/>
    <x v="0"/>
    <x v="0"/>
    <x v="0"/>
    <n v="2929.49"/>
    <x v="0"/>
    <x v="0"/>
  </r>
  <r>
    <x v="3"/>
    <x v="0"/>
    <x v="0"/>
    <x v="0"/>
    <x v="0"/>
    <n v="1161.22"/>
    <x v="0"/>
    <x v="0"/>
  </r>
  <r>
    <x v="3"/>
    <x v="0"/>
    <x v="0"/>
    <x v="0"/>
    <x v="0"/>
    <n v="2005.44"/>
    <x v="0"/>
    <x v="0"/>
  </r>
  <r>
    <x v="3"/>
    <x v="0"/>
    <x v="0"/>
    <x v="0"/>
    <x v="0"/>
    <n v="1936.67"/>
    <x v="0"/>
    <x v="0"/>
  </r>
  <r>
    <x v="3"/>
    <x v="0"/>
    <x v="0"/>
    <x v="0"/>
    <x v="0"/>
    <n v="8158.24"/>
    <x v="0"/>
    <x v="0"/>
  </r>
  <r>
    <x v="3"/>
    <x v="0"/>
    <x v="2"/>
    <x v="0"/>
    <x v="0"/>
    <n v="38059.51"/>
    <x v="0"/>
    <x v="0"/>
  </r>
  <r>
    <x v="3"/>
    <x v="0"/>
    <x v="0"/>
    <x v="0"/>
    <x v="0"/>
    <n v="3272.71"/>
    <x v="0"/>
    <x v="0"/>
  </r>
  <r>
    <x v="3"/>
    <x v="0"/>
    <x v="0"/>
    <x v="0"/>
    <x v="0"/>
    <n v="2707.11"/>
    <x v="0"/>
    <x v="0"/>
  </r>
  <r>
    <x v="3"/>
    <x v="0"/>
    <x v="0"/>
    <x v="0"/>
    <x v="0"/>
    <n v="2776.75"/>
    <x v="0"/>
    <x v="0"/>
  </r>
  <r>
    <x v="3"/>
    <x v="0"/>
    <x v="0"/>
    <x v="0"/>
    <x v="0"/>
    <n v="3346.22"/>
    <x v="0"/>
    <x v="0"/>
  </r>
  <r>
    <x v="3"/>
    <x v="3"/>
    <x v="1"/>
    <x v="0"/>
    <x v="0"/>
    <n v="409.4"/>
    <x v="0"/>
    <x v="0"/>
  </r>
  <r>
    <x v="3"/>
    <x v="0"/>
    <x v="0"/>
    <x v="0"/>
    <x v="0"/>
    <n v="6326.75"/>
    <x v="0"/>
    <x v="0"/>
  </r>
  <r>
    <x v="3"/>
    <x v="1"/>
    <x v="3"/>
    <x v="0"/>
    <x v="0"/>
    <n v="139173.95"/>
    <x v="0"/>
    <x v="0"/>
  </r>
  <r>
    <x v="3"/>
    <x v="4"/>
    <x v="3"/>
    <x v="0"/>
    <x v="0"/>
    <n v="208096.95"/>
    <x v="0"/>
    <x v="0"/>
  </r>
  <r>
    <x v="3"/>
    <x v="4"/>
    <x v="3"/>
    <x v="0"/>
    <x v="0"/>
    <n v="487852.5"/>
    <x v="0"/>
    <x v="0"/>
  </r>
  <r>
    <x v="3"/>
    <x v="4"/>
    <x v="2"/>
    <x v="0"/>
    <x v="0"/>
    <n v="45649.91"/>
    <x v="0"/>
    <x v="0"/>
  </r>
  <r>
    <x v="3"/>
    <x v="4"/>
    <x v="3"/>
    <x v="0"/>
    <x v="0"/>
    <n v="130708.05"/>
    <x v="0"/>
    <x v="0"/>
  </r>
  <r>
    <x v="3"/>
    <x v="4"/>
    <x v="3"/>
    <x v="0"/>
    <x v="0"/>
    <n v="143618.67"/>
    <x v="0"/>
    <x v="0"/>
  </r>
  <r>
    <x v="3"/>
    <x v="4"/>
    <x v="2"/>
    <x v="0"/>
    <x v="0"/>
    <n v="41385.54"/>
    <x v="0"/>
    <x v="0"/>
  </r>
  <r>
    <x v="3"/>
    <x v="4"/>
    <x v="2"/>
    <x v="0"/>
    <x v="0"/>
    <n v="51147.41"/>
    <x v="0"/>
    <x v="0"/>
  </r>
  <r>
    <x v="3"/>
    <x v="4"/>
    <x v="3"/>
    <x v="0"/>
    <x v="0"/>
    <n v="246059.61"/>
    <x v="0"/>
    <x v="0"/>
  </r>
  <r>
    <x v="3"/>
    <x v="4"/>
    <x v="3"/>
    <x v="0"/>
    <x v="0"/>
    <n v="352364.46"/>
    <x v="0"/>
    <x v="0"/>
  </r>
  <r>
    <x v="3"/>
    <x v="4"/>
    <x v="3"/>
    <x v="0"/>
    <x v="0"/>
    <n v="225639.52"/>
    <x v="0"/>
    <x v="0"/>
  </r>
  <r>
    <x v="3"/>
    <x v="4"/>
    <x v="2"/>
    <x v="0"/>
    <x v="0"/>
    <n v="52896.89"/>
    <x v="0"/>
    <x v="0"/>
  </r>
  <r>
    <x v="3"/>
    <x v="4"/>
    <x v="3"/>
    <x v="0"/>
    <x v="0"/>
    <n v="409664.42"/>
    <x v="0"/>
    <x v="0"/>
  </r>
  <r>
    <x v="3"/>
    <x v="4"/>
    <x v="3"/>
    <x v="0"/>
    <x v="0"/>
    <n v="308084.98"/>
    <x v="0"/>
    <x v="0"/>
  </r>
  <r>
    <x v="3"/>
    <x v="4"/>
    <x v="3"/>
    <x v="0"/>
    <x v="0"/>
    <n v="280770.07"/>
    <x v="0"/>
    <x v="0"/>
  </r>
  <r>
    <x v="3"/>
    <x v="4"/>
    <x v="3"/>
    <x v="0"/>
    <x v="0"/>
    <n v="221970.49"/>
    <x v="0"/>
    <x v="0"/>
  </r>
  <r>
    <x v="3"/>
    <x v="4"/>
    <x v="2"/>
    <x v="0"/>
    <x v="0"/>
    <n v="68827.52"/>
    <x v="0"/>
    <x v="0"/>
  </r>
  <r>
    <x v="3"/>
    <x v="4"/>
    <x v="3"/>
    <x v="0"/>
    <x v="0"/>
    <n v="180075.86"/>
    <x v="0"/>
    <x v="0"/>
  </r>
  <r>
    <x v="3"/>
    <x v="4"/>
    <x v="3"/>
    <x v="0"/>
    <x v="0"/>
    <n v="245908.29"/>
    <x v="0"/>
    <x v="0"/>
  </r>
  <r>
    <x v="3"/>
    <x v="4"/>
    <x v="2"/>
    <x v="0"/>
    <x v="0"/>
    <n v="80199.62"/>
    <x v="0"/>
    <x v="0"/>
  </r>
  <r>
    <x v="3"/>
    <x v="4"/>
    <x v="3"/>
    <x v="0"/>
    <x v="0"/>
    <n v="573435.74"/>
    <x v="0"/>
    <x v="0"/>
  </r>
  <r>
    <x v="3"/>
    <x v="4"/>
    <x v="3"/>
    <x v="0"/>
    <x v="0"/>
    <n v="248507.58"/>
    <x v="0"/>
    <x v="0"/>
  </r>
  <r>
    <x v="3"/>
    <x v="4"/>
    <x v="3"/>
    <x v="0"/>
    <x v="0"/>
    <n v="137360.58"/>
    <x v="0"/>
    <x v="0"/>
  </r>
  <r>
    <x v="3"/>
    <x v="4"/>
    <x v="2"/>
    <x v="0"/>
    <x v="0"/>
    <n v="48951.75"/>
    <x v="0"/>
    <x v="0"/>
  </r>
  <r>
    <x v="3"/>
    <x v="4"/>
    <x v="2"/>
    <x v="0"/>
    <x v="0"/>
    <n v="99107.68"/>
    <x v="0"/>
    <x v="0"/>
  </r>
  <r>
    <x v="3"/>
    <x v="4"/>
    <x v="2"/>
    <x v="0"/>
    <x v="0"/>
    <n v="25752.66"/>
    <x v="0"/>
    <x v="0"/>
  </r>
  <r>
    <x v="3"/>
    <x v="4"/>
    <x v="2"/>
    <x v="0"/>
    <x v="0"/>
    <n v="16871.14"/>
    <x v="0"/>
    <x v="0"/>
  </r>
  <r>
    <x v="3"/>
    <x v="4"/>
    <x v="2"/>
    <x v="0"/>
    <x v="0"/>
    <n v="34688.77"/>
    <x v="0"/>
    <x v="0"/>
  </r>
  <r>
    <x v="3"/>
    <x v="4"/>
    <x v="3"/>
    <x v="0"/>
    <x v="0"/>
    <n v="208461.54"/>
    <x v="0"/>
    <x v="0"/>
  </r>
  <r>
    <x v="3"/>
    <x v="4"/>
    <x v="3"/>
    <x v="0"/>
    <x v="0"/>
    <n v="107540.28"/>
    <x v="0"/>
    <x v="0"/>
  </r>
  <r>
    <x v="3"/>
    <x v="4"/>
    <x v="3"/>
    <x v="0"/>
    <x v="0"/>
    <n v="180025.45"/>
    <x v="0"/>
    <x v="0"/>
  </r>
  <r>
    <x v="3"/>
    <x v="4"/>
    <x v="2"/>
    <x v="0"/>
    <x v="0"/>
    <n v="86497.62"/>
    <x v="0"/>
    <x v="0"/>
  </r>
  <r>
    <x v="3"/>
    <x v="4"/>
    <x v="2"/>
    <x v="0"/>
    <x v="0"/>
    <n v="21370.5"/>
    <x v="0"/>
    <x v="0"/>
  </r>
  <r>
    <x v="3"/>
    <x v="4"/>
    <x v="3"/>
    <x v="0"/>
    <x v="0"/>
    <n v="130407.77"/>
    <x v="0"/>
    <x v="0"/>
  </r>
  <r>
    <x v="3"/>
    <x v="0"/>
    <x v="1"/>
    <x v="0"/>
    <x v="0"/>
    <n v="200.47"/>
    <x v="0"/>
    <x v="0"/>
  </r>
  <r>
    <x v="3"/>
    <x v="0"/>
    <x v="0"/>
    <x v="0"/>
    <x v="0"/>
    <n v="3973.91"/>
    <x v="0"/>
    <x v="0"/>
  </r>
  <r>
    <x v="3"/>
    <x v="0"/>
    <x v="0"/>
    <x v="0"/>
    <x v="0"/>
    <n v="1015.93"/>
    <x v="0"/>
    <x v="0"/>
  </r>
  <r>
    <x v="3"/>
    <x v="0"/>
    <x v="0"/>
    <x v="0"/>
    <x v="0"/>
    <n v="8221.47"/>
    <x v="0"/>
    <x v="0"/>
  </r>
  <r>
    <x v="3"/>
    <x v="0"/>
    <x v="0"/>
    <x v="0"/>
    <x v="0"/>
    <n v="7222.78"/>
    <x v="0"/>
    <x v="0"/>
  </r>
  <r>
    <x v="3"/>
    <x v="0"/>
    <x v="0"/>
    <x v="0"/>
    <x v="0"/>
    <n v="1161.3"/>
    <x v="0"/>
    <x v="0"/>
  </r>
  <r>
    <x v="3"/>
    <x v="0"/>
    <x v="0"/>
    <x v="0"/>
    <x v="0"/>
    <n v="2463.48"/>
    <x v="0"/>
    <x v="0"/>
  </r>
  <r>
    <x v="3"/>
    <x v="2"/>
    <x v="2"/>
    <x v="0"/>
    <x v="0"/>
    <n v="51614.78"/>
    <x v="0"/>
    <x v="0"/>
  </r>
  <r>
    <x v="3"/>
    <x v="1"/>
    <x v="2"/>
    <x v="0"/>
    <x v="0"/>
    <n v="25975.86"/>
    <x v="0"/>
    <x v="0"/>
  </r>
  <r>
    <x v="3"/>
    <x v="0"/>
    <x v="0"/>
    <x v="0"/>
    <x v="0"/>
    <n v="3011.78"/>
    <x v="0"/>
    <x v="0"/>
  </r>
  <r>
    <x v="3"/>
    <x v="0"/>
    <x v="0"/>
    <x v="0"/>
    <x v="0"/>
    <n v="3112.94"/>
    <x v="0"/>
    <x v="0"/>
  </r>
  <r>
    <x v="3"/>
    <x v="0"/>
    <x v="1"/>
    <x v="0"/>
    <x v="0"/>
    <n v="423.65"/>
    <x v="0"/>
    <x v="0"/>
  </r>
  <r>
    <x v="3"/>
    <x v="0"/>
    <x v="0"/>
    <x v="0"/>
    <x v="0"/>
    <n v="1713.72"/>
    <x v="0"/>
    <x v="0"/>
  </r>
  <r>
    <x v="3"/>
    <x v="0"/>
    <x v="0"/>
    <x v="0"/>
    <x v="0"/>
    <n v="6188.07"/>
    <x v="0"/>
    <x v="0"/>
  </r>
  <r>
    <x v="3"/>
    <x v="0"/>
    <x v="2"/>
    <x v="0"/>
    <x v="0"/>
    <n v="27480.99"/>
    <x v="0"/>
    <x v="0"/>
  </r>
  <r>
    <x v="3"/>
    <x v="0"/>
    <x v="0"/>
    <x v="0"/>
    <x v="0"/>
    <n v="2343.87"/>
    <x v="0"/>
    <x v="0"/>
  </r>
  <r>
    <x v="3"/>
    <x v="0"/>
    <x v="0"/>
    <x v="0"/>
    <x v="0"/>
    <n v="2423.7"/>
    <x v="0"/>
    <x v="0"/>
  </r>
  <r>
    <x v="3"/>
    <x v="0"/>
    <x v="0"/>
    <x v="0"/>
    <x v="0"/>
    <n v="3722.55"/>
    <x v="0"/>
    <x v="0"/>
  </r>
  <r>
    <x v="3"/>
    <x v="2"/>
    <x v="2"/>
    <x v="0"/>
    <x v="0"/>
    <n v="58046.34"/>
    <x v="0"/>
    <x v="0"/>
  </r>
  <r>
    <x v="3"/>
    <x v="0"/>
    <x v="1"/>
    <x v="0"/>
    <x v="0"/>
    <n v="709.56"/>
    <x v="0"/>
    <x v="0"/>
  </r>
  <r>
    <x v="3"/>
    <x v="0"/>
    <x v="0"/>
    <x v="0"/>
    <x v="0"/>
    <n v="2524.23"/>
    <x v="0"/>
    <x v="0"/>
  </r>
  <r>
    <x v="3"/>
    <x v="0"/>
    <x v="0"/>
    <x v="0"/>
    <x v="0"/>
    <n v="1427"/>
    <x v="0"/>
    <x v="0"/>
  </r>
  <r>
    <x v="3"/>
    <x v="0"/>
    <x v="1"/>
    <x v="0"/>
    <x v="0"/>
    <n v="952.48"/>
    <x v="0"/>
    <x v="0"/>
  </r>
  <r>
    <x v="3"/>
    <x v="0"/>
    <x v="0"/>
    <x v="0"/>
    <x v="0"/>
    <n v="3684.23"/>
    <x v="0"/>
    <x v="0"/>
  </r>
  <r>
    <x v="3"/>
    <x v="0"/>
    <x v="1"/>
    <x v="0"/>
    <x v="0"/>
    <n v="808.11"/>
    <x v="0"/>
    <x v="0"/>
  </r>
  <r>
    <x v="3"/>
    <x v="0"/>
    <x v="0"/>
    <x v="0"/>
    <x v="0"/>
    <n v="1522.02"/>
    <x v="0"/>
    <x v="0"/>
  </r>
  <r>
    <x v="3"/>
    <x v="0"/>
    <x v="0"/>
    <x v="0"/>
    <x v="0"/>
    <n v="5249.58"/>
    <x v="0"/>
    <x v="0"/>
  </r>
  <r>
    <x v="3"/>
    <x v="0"/>
    <x v="0"/>
    <x v="0"/>
    <x v="0"/>
    <n v="1680.88"/>
    <x v="0"/>
    <x v="0"/>
  </r>
  <r>
    <x v="3"/>
    <x v="2"/>
    <x v="2"/>
    <x v="0"/>
    <x v="0"/>
    <n v="12414.4"/>
    <x v="0"/>
    <x v="0"/>
  </r>
  <r>
    <x v="3"/>
    <x v="0"/>
    <x v="0"/>
    <x v="0"/>
    <x v="0"/>
    <n v="2674.97"/>
    <x v="0"/>
    <x v="0"/>
  </r>
  <r>
    <x v="3"/>
    <x v="2"/>
    <x v="2"/>
    <x v="0"/>
    <x v="0"/>
    <n v="75146.85"/>
    <x v="0"/>
    <x v="0"/>
  </r>
  <r>
    <x v="3"/>
    <x v="2"/>
    <x v="3"/>
    <x v="0"/>
    <x v="0"/>
    <n v="186125.39"/>
    <x v="0"/>
    <x v="0"/>
  </r>
  <r>
    <x v="3"/>
    <x v="0"/>
    <x v="0"/>
    <x v="0"/>
    <x v="0"/>
    <n v="1950.33"/>
    <x v="0"/>
    <x v="0"/>
  </r>
  <r>
    <x v="3"/>
    <x v="0"/>
    <x v="0"/>
    <x v="0"/>
    <x v="0"/>
    <n v="3969.94"/>
    <x v="0"/>
    <x v="0"/>
  </r>
  <r>
    <x v="3"/>
    <x v="0"/>
    <x v="0"/>
    <x v="0"/>
    <x v="0"/>
    <n v="2413.57"/>
    <x v="0"/>
    <x v="0"/>
  </r>
  <r>
    <x v="3"/>
    <x v="0"/>
    <x v="0"/>
    <x v="0"/>
    <x v="0"/>
    <n v="3690.54"/>
    <x v="0"/>
    <x v="0"/>
  </r>
  <r>
    <x v="3"/>
    <x v="0"/>
    <x v="0"/>
    <x v="0"/>
    <x v="0"/>
    <n v="8402.36"/>
    <x v="0"/>
    <x v="0"/>
  </r>
  <r>
    <x v="3"/>
    <x v="0"/>
    <x v="0"/>
    <x v="0"/>
    <x v="0"/>
    <n v="2582.66"/>
    <x v="0"/>
    <x v="0"/>
  </r>
  <r>
    <x v="3"/>
    <x v="0"/>
    <x v="0"/>
    <x v="0"/>
    <x v="0"/>
    <n v="6122.88"/>
    <x v="0"/>
    <x v="0"/>
  </r>
  <r>
    <x v="3"/>
    <x v="4"/>
    <x v="2"/>
    <x v="0"/>
    <x v="0"/>
    <n v="57894.54"/>
    <x v="0"/>
    <x v="0"/>
  </r>
  <r>
    <x v="3"/>
    <x v="0"/>
    <x v="1"/>
    <x v="0"/>
    <x v="0"/>
    <n v="865.79"/>
    <x v="0"/>
    <x v="0"/>
  </r>
  <r>
    <x v="3"/>
    <x v="0"/>
    <x v="1"/>
    <x v="0"/>
    <x v="0"/>
    <n v="494.11"/>
    <x v="0"/>
    <x v="0"/>
  </r>
  <r>
    <x v="3"/>
    <x v="0"/>
    <x v="1"/>
    <x v="0"/>
    <x v="0"/>
    <n v="46.88"/>
    <x v="0"/>
    <x v="0"/>
  </r>
  <r>
    <x v="3"/>
    <x v="0"/>
    <x v="0"/>
    <x v="0"/>
    <x v="0"/>
    <n v="5159.5"/>
    <x v="0"/>
    <x v="0"/>
  </r>
  <r>
    <x v="3"/>
    <x v="0"/>
    <x v="0"/>
    <x v="0"/>
    <x v="0"/>
    <n v="1292.42"/>
    <x v="0"/>
    <x v="0"/>
  </r>
  <r>
    <x v="3"/>
    <x v="1"/>
    <x v="2"/>
    <x v="0"/>
    <x v="0"/>
    <n v="64279.74"/>
    <x v="0"/>
    <x v="0"/>
  </r>
  <r>
    <x v="3"/>
    <x v="0"/>
    <x v="0"/>
    <x v="0"/>
    <x v="0"/>
    <n v="3953.73"/>
    <x v="0"/>
    <x v="0"/>
  </r>
  <r>
    <x v="3"/>
    <x v="1"/>
    <x v="2"/>
    <x v="0"/>
    <x v="0"/>
    <n v="94450.19"/>
    <x v="0"/>
    <x v="0"/>
  </r>
  <r>
    <x v="3"/>
    <x v="0"/>
    <x v="0"/>
    <x v="0"/>
    <x v="0"/>
    <n v="1016.95"/>
    <x v="0"/>
    <x v="0"/>
  </r>
  <r>
    <x v="3"/>
    <x v="0"/>
    <x v="0"/>
    <x v="0"/>
    <x v="0"/>
    <n v="9030.55"/>
    <x v="0"/>
    <x v="0"/>
  </r>
  <r>
    <x v="3"/>
    <x v="0"/>
    <x v="0"/>
    <x v="0"/>
    <x v="0"/>
    <n v="8687.83"/>
    <x v="0"/>
    <x v="0"/>
  </r>
  <r>
    <x v="3"/>
    <x v="0"/>
    <x v="0"/>
    <x v="0"/>
    <x v="0"/>
    <n v="3207.13"/>
    <x v="0"/>
    <x v="0"/>
  </r>
  <r>
    <x v="3"/>
    <x v="0"/>
    <x v="1"/>
    <x v="0"/>
    <x v="0"/>
    <n v="985.95"/>
    <x v="0"/>
    <x v="0"/>
  </r>
  <r>
    <x v="3"/>
    <x v="0"/>
    <x v="2"/>
    <x v="0"/>
    <x v="0"/>
    <n v="16004.53"/>
    <x v="0"/>
    <x v="0"/>
  </r>
  <r>
    <x v="3"/>
    <x v="0"/>
    <x v="2"/>
    <x v="0"/>
    <x v="0"/>
    <n v="11557.67"/>
    <x v="0"/>
    <x v="0"/>
  </r>
  <r>
    <x v="3"/>
    <x v="0"/>
    <x v="0"/>
    <x v="0"/>
    <x v="0"/>
    <n v="3848.39"/>
    <x v="0"/>
    <x v="0"/>
  </r>
  <r>
    <x v="3"/>
    <x v="0"/>
    <x v="0"/>
    <x v="0"/>
    <x v="0"/>
    <n v="8976.25"/>
    <x v="0"/>
    <x v="0"/>
  </r>
  <r>
    <x v="3"/>
    <x v="0"/>
    <x v="0"/>
    <x v="0"/>
    <x v="0"/>
    <n v="6650.35"/>
    <x v="0"/>
    <x v="0"/>
  </r>
  <r>
    <x v="3"/>
    <x v="0"/>
    <x v="2"/>
    <x v="0"/>
    <x v="0"/>
    <n v="23159.45"/>
    <x v="0"/>
    <x v="0"/>
  </r>
  <r>
    <x v="3"/>
    <x v="0"/>
    <x v="0"/>
    <x v="0"/>
    <x v="0"/>
    <n v="5746.09"/>
    <x v="0"/>
    <x v="0"/>
  </r>
  <r>
    <x v="3"/>
    <x v="0"/>
    <x v="0"/>
    <x v="0"/>
    <x v="0"/>
    <n v="3068.79"/>
    <x v="0"/>
    <x v="0"/>
  </r>
  <r>
    <x v="3"/>
    <x v="0"/>
    <x v="0"/>
    <x v="0"/>
    <x v="0"/>
    <n v="2554.36"/>
    <x v="0"/>
    <x v="0"/>
  </r>
  <r>
    <x v="3"/>
    <x v="0"/>
    <x v="0"/>
    <x v="0"/>
    <x v="0"/>
    <n v="3187.96"/>
    <x v="0"/>
    <x v="0"/>
  </r>
  <r>
    <x v="3"/>
    <x v="0"/>
    <x v="1"/>
    <x v="0"/>
    <x v="0"/>
    <n v="654"/>
    <x v="0"/>
    <x v="0"/>
  </r>
  <r>
    <x v="3"/>
    <x v="0"/>
    <x v="0"/>
    <x v="0"/>
    <x v="0"/>
    <n v="3581.95"/>
    <x v="0"/>
    <x v="0"/>
  </r>
  <r>
    <x v="3"/>
    <x v="0"/>
    <x v="0"/>
    <x v="0"/>
    <x v="0"/>
    <n v="1933.73"/>
    <x v="0"/>
    <x v="0"/>
  </r>
  <r>
    <x v="3"/>
    <x v="0"/>
    <x v="0"/>
    <x v="0"/>
    <x v="0"/>
    <n v="1961.84"/>
    <x v="0"/>
    <x v="0"/>
  </r>
  <r>
    <x v="3"/>
    <x v="0"/>
    <x v="0"/>
    <x v="0"/>
    <x v="0"/>
    <n v="2906.96"/>
    <x v="0"/>
    <x v="0"/>
  </r>
  <r>
    <x v="3"/>
    <x v="3"/>
    <x v="1"/>
    <x v="0"/>
    <x v="0"/>
    <n v="896.16"/>
    <x v="0"/>
    <x v="0"/>
  </r>
  <r>
    <x v="3"/>
    <x v="2"/>
    <x v="2"/>
    <x v="0"/>
    <x v="0"/>
    <n v="78639.4"/>
    <x v="0"/>
    <x v="0"/>
  </r>
  <r>
    <x v="3"/>
    <x v="2"/>
    <x v="2"/>
    <x v="0"/>
    <x v="0"/>
    <n v="12149.25"/>
    <x v="0"/>
    <x v="0"/>
  </r>
  <r>
    <x v="3"/>
    <x v="0"/>
    <x v="0"/>
    <x v="0"/>
    <x v="0"/>
    <n v="4104.55"/>
    <x v="0"/>
    <x v="0"/>
  </r>
  <r>
    <x v="3"/>
    <x v="0"/>
    <x v="0"/>
    <x v="0"/>
    <x v="0"/>
    <n v="1516.32"/>
    <x v="0"/>
    <x v="0"/>
  </r>
  <r>
    <x v="3"/>
    <x v="0"/>
    <x v="0"/>
    <x v="0"/>
    <x v="0"/>
    <n v="4385.26"/>
    <x v="0"/>
    <x v="0"/>
  </r>
  <r>
    <x v="3"/>
    <x v="0"/>
    <x v="0"/>
    <x v="0"/>
    <x v="0"/>
    <n v="1222.27"/>
    <x v="0"/>
    <x v="0"/>
  </r>
  <r>
    <x v="3"/>
    <x v="0"/>
    <x v="2"/>
    <x v="0"/>
    <x v="0"/>
    <n v="12492.07"/>
    <x v="0"/>
    <x v="0"/>
  </r>
  <r>
    <x v="3"/>
    <x v="0"/>
    <x v="0"/>
    <x v="0"/>
    <x v="0"/>
    <n v="6078"/>
    <x v="0"/>
    <x v="0"/>
  </r>
  <r>
    <x v="3"/>
    <x v="0"/>
    <x v="0"/>
    <x v="0"/>
    <x v="0"/>
    <n v="1735.18"/>
    <x v="0"/>
    <x v="0"/>
  </r>
  <r>
    <x v="3"/>
    <x v="0"/>
    <x v="2"/>
    <x v="0"/>
    <x v="0"/>
    <n v="17331.19"/>
    <x v="0"/>
    <x v="0"/>
  </r>
  <r>
    <x v="3"/>
    <x v="0"/>
    <x v="2"/>
    <x v="0"/>
    <x v="0"/>
    <n v="13198.22"/>
    <x v="0"/>
    <x v="0"/>
  </r>
  <r>
    <x v="3"/>
    <x v="0"/>
    <x v="2"/>
    <x v="0"/>
    <x v="0"/>
    <n v="18391.64"/>
    <x v="0"/>
    <x v="0"/>
  </r>
  <r>
    <x v="3"/>
    <x v="0"/>
    <x v="2"/>
    <x v="0"/>
    <x v="0"/>
    <n v="25313.62"/>
    <x v="0"/>
    <x v="0"/>
  </r>
  <r>
    <x v="3"/>
    <x v="0"/>
    <x v="0"/>
    <x v="0"/>
    <x v="0"/>
    <n v="4504.32"/>
    <x v="0"/>
    <x v="0"/>
  </r>
  <r>
    <x v="3"/>
    <x v="0"/>
    <x v="0"/>
    <x v="0"/>
    <x v="0"/>
    <n v="7343.53"/>
    <x v="0"/>
    <x v="0"/>
  </r>
  <r>
    <x v="3"/>
    <x v="0"/>
    <x v="1"/>
    <x v="0"/>
    <x v="0"/>
    <n v="354.17"/>
    <x v="0"/>
    <x v="0"/>
  </r>
  <r>
    <x v="3"/>
    <x v="0"/>
    <x v="0"/>
    <x v="0"/>
    <x v="0"/>
    <n v="7331.37"/>
    <x v="0"/>
    <x v="0"/>
  </r>
  <r>
    <x v="3"/>
    <x v="0"/>
    <x v="0"/>
    <x v="0"/>
    <x v="0"/>
    <n v="2165.53"/>
    <x v="0"/>
    <x v="0"/>
  </r>
  <r>
    <x v="3"/>
    <x v="1"/>
    <x v="2"/>
    <x v="0"/>
    <x v="0"/>
    <n v="11218.84"/>
    <x v="0"/>
    <x v="0"/>
  </r>
  <r>
    <x v="3"/>
    <x v="0"/>
    <x v="1"/>
    <x v="0"/>
    <x v="0"/>
    <n v="70.48"/>
    <x v="0"/>
    <x v="0"/>
  </r>
  <r>
    <x v="3"/>
    <x v="0"/>
    <x v="0"/>
    <x v="0"/>
    <x v="0"/>
    <n v="7706.45"/>
    <x v="0"/>
    <x v="0"/>
  </r>
  <r>
    <x v="3"/>
    <x v="0"/>
    <x v="0"/>
    <x v="0"/>
    <x v="0"/>
    <n v="2188.32"/>
    <x v="0"/>
    <x v="0"/>
  </r>
  <r>
    <x v="3"/>
    <x v="0"/>
    <x v="0"/>
    <x v="0"/>
    <x v="0"/>
    <n v="1889.79"/>
    <x v="0"/>
    <x v="0"/>
  </r>
  <r>
    <x v="3"/>
    <x v="0"/>
    <x v="0"/>
    <x v="0"/>
    <x v="0"/>
    <n v="2598.97"/>
    <x v="0"/>
    <x v="0"/>
  </r>
  <r>
    <x v="3"/>
    <x v="0"/>
    <x v="0"/>
    <x v="0"/>
    <x v="0"/>
    <n v="2946.8"/>
    <x v="0"/>
    <x v="0"/>
  </r>
  <r>
    <x v="3"/>
    <x v="1"/>
    <x v="0"/>
    <x v="0"/>
    <x v="0"/>
    <n v="7800.55"/>
    <x v="0"/>
    <x v="0"/>
  </r>
  <r>
    <x v="3"/>
    <x v="0"/>
    <x v="0"/>
    <x v="0"/>
    <x v="0"/>
    <n v="7589.88"/>
    <x v="0"/>
    <x v="0"/>
  </r>
  <r>
    <x v="3"/>
    <x v="0"/>
    <x v="0"/>
    <x v="0"/>
    <x v="0"/>
    <n v="2529.38"/>
    <x v="0"/>
    <x v="0"/>
  </r>
  <r>
    <x v="3"/>
    <x v="0"/>
    <x v="1"/>
    <x v="0"/>
    <x v="0"/>
    <n v="453.25"/>
    <x v="0"/>
    <x v="0"/>
  </r>
  <r>
    <x v="3"/>
    <x v="2"/>
    <x v="2"/>
    <x v="0"/>
    <x v="0"/>
    <n v="92229.71"/>
    <x v="0"/>
    <x v="0"/>
  </r>
  <r>
    <x v="3"/>
    <x v="1"/>
    <x v="4"/>
    <x v="1"/>
    <x v="0"/>
    <n v="10000000"/>
    <x v="1"/>
    <x v="16"/>
  </r>
  <r>
    <x v="3"/>
    <x v="2"/>
    <x v="4"/>
    <x v="1"/>
    <x v="0"/>
    <n v="10000000"/>
    <x v="1"/>
    <x v="16"/>
  </r>
  <r>
    <x v="3"/>
    <x v="1"/>
    <x v="4"/>
    <x v="1"/>
    <x v="0"/>
    <n v="2930418.44"/>
    <x v="1"/>
    <x v="17"/>
  </r>
  <r>
    <x v="3"/>
    <x v="2"/>
    <x v="4"/>
    <x v="1"/>
    <x v="0"/>
    <n v="2930418.44"/>
    <x v="1"/>
    <x v="17"/>
  </r>
  <r>
    <x v="3"/>
    <x v="0"/>
    <x v="0"/>
    <x v="0"/>
    <x v="0"/>
    <n v="2150.61"/>
    <x v="0"/>
    <x v="0"/>
  </r>
  <r>
    <x v="3"/>
    <x v="0"/>
    <x v="1"/>
    <x v="0"/>
    <x v="0"/>
    <n v="29.03"/>
    <x v="0"/>
    <x v="0"/>
  </r>
  <r>
    <x v="3"/>
    <x v="0"/>
    <x v="0"/>
    <x v="0"/>
    <x v="0"/>
    <n v="2564.39"/>
    <x v="0"/>
    <x v="0"/>
  </r>
  <r>
    <x v="3"/>
    <x v="0"/>
    <x v="0"/>
    <x v="0"/>
    <x v="0"/>
    <n v="2941.66"/>
    <x v="0"/>
    <x v="0"/>
  </r>
  <r>
    <x v="3"/>
    <x v="1"/>
    <x v="3"/>
    <x v="0"/>
    <x v="0"/>
    <n v="170889.82"/>
    <x v="0"/>
    <x v="0"/>
  </r>
  <r>
    <x v="3"/>
    <x v="0"/>
    <x v="0"/>
    <x v="0"/>
    <x v="0"/>
    <n v="1602.1"/>
    <x v="0"/>
    <x v="0"/>
  </r>
  <r>
    <x v="3"/>
    <x v="0"/>
    <x v="1"/>
    <x v="0"/>
    <x v="0"/>
    <n v="957.52"/>
    <x v="0"/>
    <x v="0"/>
  </r>
  <r>
    <x v="3"/>
    <x v="0"/>
    <x v="1"/>
    <x v="0"/>
    <x v="0"/>
    <n v="336.88"/>
    <x v="0"/>
    <x v="0"/>
  </r>
  <r>
    <x v="3"/>
    <x v="0"/>
    <x v="0"/>
    <x v="0"/>
    <x v="0"/>
    <n v="2251.91"/>
    <x v="0"/>
    <x v="0"/>
  </r>
  <r>
    <x v="3"/>
    <x v="0"/>
    <x v="1"/>
    <x v="0"/>
    <x v="0"/>
    <n v="139.23"/>
    <x v="0"/>
    <x v="0"/>
  </r>
  <r>
    <x v="3"/>
    <x v="0"/>
    <x v="0"/>
    <x v="0"/>
    <x v="0"/>
    <n v="3408.82"/>
    <x v="0"/>
    <x v="0"/>
  </r>
  <r>
    <x v="3"/>
    <x v="0"/>
    <x v="0"/>
    <x v="0"/>
    <x v="0"/>
    <n v="1948.05"/>
    <x v="0"/>
    <x v="0"/>
  </r>
  <r>
    <x v="3"/>
    <x v="4"/>
    <x v="3"/>
    <x v="0"/>
    <x v="0"/>
    <n v="156238.83"/>
    <x v="0"/>
    <x v="0"/>
  </r>
  <r>
    <x v="3"/>
    <x v="4"/>
    <x v="3"/>
    <x v="0"/>
    <x v="0"/>
    <n v="130385.04"/>
    <x v="0"/>
    <x v="0"/>
  </r>
  <r>
    <x v="3"/>
    <x v="4"/>
    <x v="3"/>
    <x v="0"/>
    <x v="0"/>
    <n v="106343.2"/>
    <x v="0"/>
    <x v="0"/>
  </r>
  <r>
    <x v="3"/>
    <x v="4"/>
    <x v="3"/>
    <x v="0"/>
    <x v="0"/>
    <n v="110562.27"/>
    <x v="0"/>
    <x v="0"/>
  </r>
  <r>
    <x v="3"/>
    <x v="4"/>
    <x v="2"/>
    <x v="0"/>
    <x v="0"/>
    <n v="80249.55"/>
    <x v="0"/>
    <x v="0"/>
  </r>
  <r>
    <x v="3"/>
    <x v="4"/>
    <x v="2"/>
    <x v="0"/>
    <x v="0"/>
    <n v="58644.37"/>
    <x v="0"/>
    <x v="0"/>
  </r>
  <r>
    <x v="3"/>
    <x v="4"/>
    <x v="2"/>
    <x v="0"/>
    <x v="0"/>
    <n v="82172.42"/>
    <x v="0"/>
    <x v="0"/>
  </r>
  <r>
    <x v="3"/>
    <x v="4"/>
    <x v="3"/>
    <x v="0"/>
    <x v="0"/>
    <n v="161141.8"/>
    <x v="0"/>
    <x v="0"/>
  </r>
  <r>
    <x v="3"/>
    <x v="4"/>
    <x v="3"/>
    <x v="0"/>
    <x v="0"/>
    <n v="113399.73"/>
    <x v="0"/>
    <x v="0"/>
  </r>
  <r>
    <x v="3"/>
    <x v="4"/>
    <x v="3"/>
    <x v="0"/>
    <x v="0"/>
    <n v="207252.6"/>
    <x v="0"/>
    <x v="0"/>
  </r>
  <r>
    <x v="3"/>
    <x v="4"/>
    <x v="3"/>
    <x v="0"/>
    <x v="0"/>
    <n v="242047.69"/>
    <x v="0"/>
    <x v="0"/>
  </r>
  <r>
    <x v="3"/>
    <x v="4"/>
    <x v="3"/>
    <x v="0"/>
    <x v="0"/>
    <n v="107730.87"/>
    <x v="0"/>
    <x v="0"/>
  </r>
  <r>
    <x v="3"/>
    <x v="4"/>
    <x v="2"/>
    <x v="0"/>
    <x v="0"/>
    <n v="72495.9"/>
    <x v="0"/>
    <x v="0"/>
  </r>
  <r>
    <x v="3"/>
    <x v="4"/>
    <x v="2"/>
    <x v="0"/>
    <x v="0"/>
    <n v="90646.09"/>
    <x v="0"/>
    <x v="0"/>
  </r>
  <r>
    <x v="3"/>
    <x v="4"/>
    <x v="3"/>
    <x v="0"/>
    <x v="0"/>
    <n v="196821.07"/>
    <x v="0"/>
    <x v="0"/>
  </r>
  <r>
    <x v="3"/>
    <x v="4"/>
    <x v="2"/>
    <x v="0"/>
    <x v="0"/>
    <n v="87541.63"/>
    <x v="0"/>
    <x v="0"/>
  </r>
  <r>
    <x v="3"/>
    <x v="4"/>
    <x v="2"/>
    <x v="0"/>
    <x v="0"/>
    <n v="80278.26"/>
    <x v="0"/>
    <x v="0"/>
  </r>
  <r>
    <x v="3"/>
    <x v="4"/>
    <x v="2"/>
    <x v="0"/>
    <x v="0"/>
    <n v="49984.03"/>
    <x v="0"/>
    <x v="0"/>
  </r>
  <r>
    <x v="3"/>
    <x v="4"/>
    <x v="2"/>
    <x v="0"/>
    <x v="0"/>
    <n v="81300.2"/>
    <x v="0"/>
    <x v="0"/>
  </r>
  <r>
    <x v="3"/>
    <x v="4"/>
    <x v="3"/>
    <x v="0"/>
    <x v="0"/>
    <n v="100669.53"/>
    <x v="0"/>
    <x v="0"/>
  </r>
  <r>
    <x v="3"/>
    <x v="4"/>
    <x v="3"/>
    <x v="0"/>
    <x v="0"/>
    <n v="127307.99"/>
    <x v="0"/>
    <x v="0"/>
  </r>
  <r>
    <x v="3"/>
    <x v="4"/>
    <x v="2"/>
    <x v="0"/>
    <x v="0"/>
    <n v="12510.49"/>
    <x v="0"/>
    <x v="0"/>
  </r>
  <r>
    <x v="3"/>
    <x v="4"/>
    <x v="2"/>
    <x v="0"/>
    <x v="0"/>
    <n v="63936.91"/>
    <x v="0"/>
    <x v="0"/>
  </r>
  <r>
    <x v="3"/>
    <x v="4"/>
    <x v="2"/>
    <x v="0"/>
    <x v="0"/>
    <n v="95655.86"/>
    <x v="0"/>
    <x v="0"/>
  </r>
  <r>
    <x v="3"/>
    <x v="4"/>
    <x v="2"/>
    <x v="0"/>
    <x v="0"/>
    <n v="38606.17"/>
    <x v="0"/>
    <x v="0"/>
  </r>
  <r>
    <x v="3"/>
    <x v="4"/>
    <x v="2"/>
    <x v="0"/>
    <x v="0"/>
    <n v="23717.57"/>
    <x v="0"/>
    <x v="0"/>
  </r>
  <r>
    <x v="3"/>
    <x v="4"/>
    <x v="2"/>
    <x v="0"/>
    <x v="0"/>
    <n v="15273.3"/>
    <x v="0"/>
    <x v="0"/>
  </r>
  <r>
    <x v="3"/>
    <x v="4"/>
    <x v="3"/>
    <x v="0"/>
    <x v="0"/>
    <n v="108819.21"/>
    <x v="0"/>
    <x v="0"/>
  </r>
  <r>
    <x v="3"/>
    <x v="4"/>
    <x v="3"/>
    <x v="0"/>
    <x v="0"/>
    <n v="394042.27"/>
    <x v="0"/>
    <x v="0"/>
  </r>
  <r>
    <x v="3"/>
    <x v="4"/>
    <x v="2"/>
    <x v="0"/>
    <x v="0"/>
    <n v="41744.33"/>
    <x v="0"/>
    <x v="0"/>
  </r>
  <r>
    <x v="3"/>
    <x v="4"/>
    <x v="3"/>
    <x v="0"/>
    <x v="0"/>
    <n v="611924.5"/>
    <x v="0"/>
    <x v="0"/>
  </r>
  <r>
    <x v="3"/>
    <x v="4"/>
    <x v="3"/>
    <x v="0"/>
    <x v="0"/>
    <n v="236430.58"/>
    <x v="0"/>
    <x v="0"/>
  </r>
  <r>
    <x v="3"/>
    <x v="4"/>
    <x v="3"/>
    <x v="0"/>
    <x v="0"/>
    <n v="491195.84"/>
    <x v="0"/>
    <x v="0"/>
  </r>
  <r>
    <x v="3"/>
    <x v="4"/>
    <x v="3"/>
    <x v="0"/>
    <x v="0"/>
    <n v="278307.65"/>
    <x v="0"/>
    <x v="0"/>
  </r>
  <r>
    <x v="3"/>
    <x v="4"/>
    <x v="2"/>
    <x v="0"/>
    <x v="0"/>
    <n v="98533.44"/>
    <x v="0"/>
    <x v="0"/>
  </r>
  <r>
    <x v="3"/>
    <x v="4"/>
    <x v="3"/>
    <x v="0"/>
    <x v="0"/>
    <n v="206139.73"/>
    <x v="0"/>
    <x v="0"/>
  </r>
  <r>
    <x v="3"/>
    <x v="4"/>
    <x v="3"/>
    <x v="0"/>
    <x v="0"/>
    <n v="546131.94"/>
    <x v="0"/>
    <x v="0"/>
  </r>
  <r>
    <x v="3"/>
    <x v="4"/>
    <x v="2"/>
    <x v="0"/>
    <x v="0"/>
    <n v="71758.1"/>
    <x v="0"/>
    <x v="0"/>
  </r>
  <r>
    <x v="3"/>
    <x v="4"/>
    <x v="3"/>
    <x v="0"/>
    <x v="0"/>
    <n v="396469.72"/>
    <x v="0"/>
    <x v="0"/>
  </r>
  <r>
    <x v="3"/>
    <x v="4"/>
    <x v="3"/>
    <x v="0"/>
    <x v="0"/>
    <n v="214223.74"/>
    <x v="0"/>
    <x v="0"/>
  </r>
  <r>
    <x v="3"/>
    <x v="4"/>
    <x v="3"/>
    <x v="0"/>
    <x v="0"/>
    <n v="144517.47"/>
    <x v="0"/>
    <x v="0"/>
  </r>
  <r>
    <x v="3"/>
    <x v="4"/>
    <x v="3"/>
    <x v="0"/>
    <x v="0"/>
    <n v="142853.33"/>
    <x v="0"/>
    <x v="0"/>
  </r>
  <r>
    <x v="3"/>
    <x v="4"/>
    <x v="3"/>
    <x v="0"/>
    <x v="0"/>
    <n v="192740.42"/>
    <x v="0"/>
    <x v="0"/>
  </r>
  <r>
    <x v="3"/>
    <x v="4"/>
    <x v="2"/>
    <x v="0"/>
    <x v="0"/>
    <n v="64846.34"/>
    <x v="0"/>
    <x v="0"/>
  </r>
  <r>
    <x v="3"/>
    <x v="4"/>
    <x v="3"/>
    <x v="0"/>
    <x v="0"/>
    <n v="146467.87"/>
    <x v="0"/>
    <x v="0"/>
  </r>
  <r>
    <x v="3"/>
    <x v="4"/>
    <x v="3"/>
    <x v="0"/>
    <x v="0"/>
    <n v="120836.05"/>
    <x v="0"/>
    <x v="0"/>
  </r>
  <r>
    <x v="3"/>
    <x v="4"/>
    <x v="3"/>
    <x v="0"/>
    <x v="0"/>
    <n v="311330.4"/>
    <x v="0"/>
    <x v="0"/>
  </r>
  <r>
    <x v="3"/>
    <x v="4"/>
    <x v="3"/>
    <x v="0"/>
    <x v="0"/>
    <n v="272453.68"/>
    <x v="0"/>
    <x v="0"/>
  </r>
  <r>
    <x v="3"/>
    <x v="4"/>
    <x v="3"/>
    <x v="0"/>
    <x v="0"/>
    <n v="209292.82"/>
    <x v="0"/>
    <x v="0"/>
  </r>
  <r>
    <x v="3"/>
    <x v="4"/>
    <x v="2"/>
    <x v="0"/>
    <x v="0"/>
    <n v="58095.79"/>
    <x v="0"/>
    <x v="0"/>
  </r>
  <r>
    <x v="3"/>
    <x v="4"/>
    <x v="3"/>
    <x v="0"/>
    <x v="0"/>
    <n v="260176.72"/>
    <x v="0"/>
    <x v="0"/>
  </r>
  <r>
    <x v="3"/>
    <x v="4"/>
    <x v="2"/>
    <x v="0"/>
    <x v="0"/>
    <n v="55837.04"/>
    <x v="0"/>
    <x v="0"/>
  </r>
  <r>
    <x v="3"/>
    <x v="4"/>
    <x v="2"/>
    <x v="0"/>
    <x v="0"/>
    <n v="27850.03"/>
    <x v="0"/>
    <x v="0"/>
  </r>
  <r>
    <x v="3"/>
    <x v="4"/>
    <x v="3"/>
    <x v="0"/>
    <x v="0"/>
    <n v="309379.18"/>
    <x v="0"/>
    <x v="0"/>
  </r>
  <r>
    <x v="3"/>
    <x v="4"/>
    <x v="0"/>
    <x v="0"/>
    <x v="0"/>
    <n v="3563.97"/>
    <x v="0"/>
    <x v="0"/>
  </r>
  <r>
    <x v="3"/>
    <x v="4"/>
    <x v="2"/>
    <x v="0"/>
    <x v="0"/>
    <n v="85955.62"/>
    <x v="0"/>
    <x v="0"/>
  </r>
  <r>
    <x v="3"/>
    <x v="4"/>
    <x v="2"/>
    <x v="0"/>
    <x v="0"/>
    <n v="18835.46"/>
    <x v="0"/>
    <x v="0"/>
  </r>
  <r>
    <x v="3"/>
    <x v="4"/>
    <x v="3"/>
    <x v="0"/>
    <x v="0"/>
    <n v="193626.89"/>
    <x v="0"/>
    <x v="0"/>
  </r>
  <r>
    <x v="3"/>
    <x v="4"/>
    <x v="3"/>
    <x v="0"/>
    <x v="0"/>
    <n v="633287.14"/>
    <x v="0"/>
    <x v="0"/>
  </r>
  <r>
    <x v="3"/>
    <x v="4"/>
    <x v="3"/>
    <x v="0"/>
    <x v="0"/>
    <n v="324089.47"/>
    <x v="0"/>
    <x v="0"/>
  </r>
  <r>
    <x v="3"/>
    <x v="4"/>
    <x v="0"/>
    <x v="0"/>
    <x v="0"/>
    <n v="3523.06"/>
    <x v="0"/>
    <x v="0"/>
  </r>
  <r>
    <x v="3"/>
    <x v="4"/>
    <x v="3"/>
    <x v="0"/>
    <x v="0"/>
    <n v="102751.5"/>
    <x v="0"/>
    <x v="0"/>
  </r>
  <r>
    <x v="3"/>
    <x v="4"/>
    <x v="3"/>
    <x v="0"/>
    <x v="0"/>
    <n v="494810.97"/>
    <x v="0"/>
    <x v="0"/>
  </r>
  <r>
    <x v="3"/>
    <x v="4"/>
    <x v="2"/>
    <x v="0"/>
    <x v="0"/>
    <n v="17058.54"/>
    <x v="0"/>
    <x v="0"/>
  </r>
  <r>
    <x v="3"/>
    <x v="4"/>
    <x v="3"/>
    <x v="0"/>
    <x v="0"/>
    <n v="235409.03"/>
    <x v="0"/>
    <x v="0"/>
  </r>
  <r>
    <x v="3"/>
    <x v="4"/>
    <x v="3"/>
    <x v="0"/>
    <x v="0"/>
    <n v="489529.12"/>
    <x v="0"/>
    <x v="0"/>
  </r>
  <r>
    <x v="3"/>
    <x v="4"/>
    <x v="2"/>
    <x v="0"/>
    <x v="0"/>
    <n v="58520.38"/>
    <x v="0"/>
    <x v="0"/>
  </r>
  <r>
    <x v="3"/>
    <x v="4"/>
    <x v="3"/>
    <x v="0"/>
    <x v="0"/>
    <n v="340535.73"/>
    <x v="0"/>
    <x v="0"/>
  </r>
  <r>
    <x v="3"/>
    <x v="4"/>
    <x v="2"/>
    <x v="0"/>
    <x v="0"/>
    <n v="34407.36"/>
    <x v="0"/>
    <x v="0"/>
  </r>
  <r>
    <x v="3"/>
    <x v="4"/>
    <x v="3"/>
    <x v="0"/>
    <x v="0"/>
    <n v="566838.74"/>
    <x v="0"/>
    <x v="0"/>
  </r>
  <r>
    <x v="3"/>
    <x v="4"/>
    <x v="3"/>
    <x v="0"/>
    <x v="0"/>
    <n v="161339.92"/>
    <x v="0"/>
    <x v="0"/>
  </r>
  <r>
    <x v="3"/>
    <x v="0"/>
    <x v="1"/>
    <x v="0"/>
    <x v="0"/>
    <n v="826.25"/>
    <x v="0"/>
    <x v="0"/>
  </r>
  <r>
    <x v="3"/>
    <x v="0"/>
    <x v="1"/>
    <x v="0"/>
    <x v="0"/>
    <n v="774.72"/>
    <x v="0"/>
    <x v="0"/>
  </r>
  <r>
    <x v="3"/>
    <x v="0"/>
    <x v="0"/>
    <x v="0"/>
    <x v="0"/>
    <n v="6735.16"/>
    <x v="0"/>
    <x v="0"/>
  </r>
  <r>
    <x v="3"/>
    <x v="0"/>
    <x v="0"/>
    <x v="0"/>
    <x v="0"/>
    <n v="2625.76"/>
    <x v="0"/>
    <x v="0"/>
  </r>
  <r>
    <x v="3"/>
    <x v="2"/>
    <x v="3"/>
    <x v="0"/>
    <x v="0"/>
    <n v="123974.95"/>
    <x v="0"/>
    <x v="0"/>
  </r>
  <r>
    <x v="3"/>
    <x v="0"/>
    <x v="1"/>
    <x v="0"/>
    <x v="0"/>
    <n v="354.75"/>
    <x v="0"/>
    <x v="0"/>
  </r>
  <r>
    <x v="3"/>
    <x v="4"/>
    <x v="3"/>
    <x v="0"/>
    <x v="0"/>
    <n v="310148.54"/>
    <x v="0"/>
    <x v="0"/>
  </r>
  <r>
    <x v="3"/>
    <x v="4"/>
    <x v="3"/>
    <x v="0"/>
    <x v="0"/>
    <n v="353004.04"/>
    <x v="0"/>
    <x v="0"/>
  </r>
  <r>
    <x v="3"/>
    <x v="4"/>
    <x v="3"/>
    <x v="0"/>
    <x v="0"/>
    <n v="380211.17"/>
    <x v="0"/>
    <x v="0"/>
  </r>
  <r>
    <x v="3"/>
    <x v="4"/>
    <x v="3"/>
    <x v="0"/>
    <x v="0"/>
    <n v="285359.54"/>
    <x v="0"/>
    <x v="0"/>
  </r>
  <r>
    <x v="3"/>
    <x v="4"/>
    <x v="3"/>
    <x v="0"/>
    <x v="0"/>
    <n v="232228.39"/>
    <x v="0"/>
    <x v="0"/>
  </r>
  <r>
    <x v="3"/>
    <x v="4"/>
    <x v="3"/>
    <x v="0"/>
    <x v="0"/>
    <n v="205416.01"/>
    <x v="0"/>
    <x v="0"/>
  </r>
  <r>
    <x v="3"/>
    <x v="4"/>
    <x v="3"/>
    <x v="0"/>
    <x v="0"/>
    <n v="265268.96"/>
    <x v="0"/>
    <x v="0"/>
  </r>
  <r>
    <x v="3"/>
    <x v="4"/>
    <x v="3"/>
    <x v="0"/>
    <x v="0"/>
    <n v="165552.26"/>
    <x v="0"/>
    <x v="0"/>
  </r>
  <r>
    <x v="3"/>
    <x v="4"/>
    <x v="3"/>
    <x v="0"/>
    <x v="0"/>
    <n v="115020.65"/>
    <x v="0"/>
    <x v="0"/>
  </r>
  <r>
    <x v="3"/>
    <x v="4"/>
    <x v="3"/>
    <x v="0"/>
    <x v="0"/>
    <n v="221477.06"/>
    <x v="0"/>
    <x v="0"/>
  </r>
  <r>
    <x v="3"/>
    <x v="4"/>
    <x v="0"/>
    <x v="0"/>
    <x v="0"/>
    <n v="4699.24"/>
    <x v="0"/>
    <x v="0"/>
  </r>
  <r>
    <x v="3"/>
    <x v="4"/>
    <x v="2"/>
    <x v="0"/>
    <x v="0"/>
    <n v="46166.32"/>
    <x v="0"/>
    <x v="0"/>
  </r>
  <r>
    <x v="3"/>
    <x v="4"/>
    <x v="2"/>
    <x v="0"/>
    <x v="0"/>
    <n v="51208.37"/>
    <x v="0"/>
    <x v="0"/>
  </r>
  <r>
    <x v="3"/>
    <x v="4"/>
    <x v="3"/>
    <x v="0"/>
    <x v="0"/>
    <n v="297908.73"/>
    <x v="0"/>
    <x v="0"/>
  </r>
  <r>
    <x v="3"/>
    <x v="4"/>
    <x v="3"/>
    <x v="0"/>
    <x v="0"/>
    <n v="302602.9"/>
    <x v="0"/>
    <x v="0"/>
  </r>
  <r>
    <x v="3"/>
    <x v="4"/>
    <x v="2"/>
    <x v="0"/>
    <x v="0"/>
    <n v="70664.62"/>
    <x v="0"/>
    <x v="0"/>
  </r>
  <r>
    <x v="3"/>
    <x v="4"/>
    <x v="2"/>
    <x v="0"/>
    <x v="0"/>
    <n v="14401.68"/>
    <x v="0"/>
    <x v="0"/>
  </r>
  <r>
    <x v="3"/>
    <x v="4"/>
    <x v="3"/>
    <x v="0"/>
    <x v="0"/>
    <n v="162464"/>
    <x v="0"/>
    <x v="0"/>
  </r>
  <r>
    <x v="3"/>
    <x v="4"/>
    <x v="3"/>
    <x v="0"/>
    <x v="0"/>
    <n v="183202.66"/>
    <x v="0"/>
    <x v="0"/>
  </r>
  <r>
    <x v="3"/>
    <x v="4"/>
    <x v="3"/>
    <x v="0"/>
    <x v="0"/>
    <n v="107877.98"/>
    <x v="0"/>
    <x v="0"/>
  </r>
  <r>
    <x v="3"/>
    <x v="4"/>
    <x v="3"/>
    <x v="0"/>
    <x v="0"/>
    <n v="382513.35"/>
    <x v="0"/>
    <x v="0"/>
  </r>
  <r>
    <x v="3"/>
    <x v="4"/>
    <x v="3"/>
    <x v="0"/>
    <x v="0"/>
    <n v="237485.8"/>
    <x v="0"/>
    <x v="0"/>
  </r>
  <r>
    <x v="3"/>
    <x v="4"/>
    <x v="2"/>
    <x v="0"/>
    <x v="0"/>
    <n v="29637.04"/>
    <x v="0"/>
    <x v="0"/>
  </r>
  <r>
    <x v="3"/>
    <x v="4"/>
    <x v="2"/>
    <x v="0"/>
    <x v="0"/>
    <n v="17906.01"/>
    <x v="0"/>
    <x v="0"/>
  </r>
  <r>
    <x v="3"/>
    <x v="4"/>
    <x v="2"/>
    <x v="0"/>
    <x v="0"/>
    <n v="97644.2"/>
    <x v="0"/>
    <x v="0"/>
  </r>
  <r>
    <x v="3"/>
    <x v="4"/>
    <x v="3"/>
    <x v="0"/>
    <x v="0"/>
    <n v="117474.04"/>
    <x v="0"/>
    <x v="0"/>
  </r>
  <r>
    <x v="3"/>
    <x v="4"/>
    <x v="2"/>
    <x v="0"/>
    <x v="0"/>
    <n v="97851.98"/>
    <x v="0"/>
    <x v="0"/>
  </r>
  <r>
    <x v="3"/>
    <x v="4"/>
    <x v="2"/>
    <x v="0"/>
    <x v="0"/>
    <n v="76928.78"/>
    <x v="0"/>
    <x v="0"/>
  </r>
  <r>
    <x v="3"/>
    <x v="4"/>
    <x v="3"/>
    <x v="0"/>
    <x v="0"/>
    <n v="159958.57"/>
    <x v="0"/>
    <x v="0"/>
  </r>
  <r>
    <x v="3"/>
    <x v="4"/>
    <x v="3"/>
    <x v="0"/>
    <x v="0"/>
    <n v="214015.94"/>
    <x v="0"/>
    <x v="0"/>
  </r>
  <r>
    <x v="3"/>
    <x v="0"/>
    <x v="0"/>
    <x v="0"/>
    <x v="0"/>
    <n v="3907.39"/>
    <x v="0"/>
    <x v="0"/>
  </r>
  <r>
    <x v="3"/>
    <x v="0"/>
    <x v="0"/>
    <x v="0"/>
    <x v="0"/>
    <n v="2983.11"/>
    <x v="0"/>
    <x v="0"/>
  </r>
  <r>
    <x v="3"/>
    <x v="0"/>
    <x v="0"/>
    <x v="0"/>
    <x v="0"/>
    <n v="5907.27"/>
    <x v="0"/>
    <x v="0"/>
  </r>
  <r>
    <x v="3"/>
    <x v="0"/>
    <x v="0"/>
    <x v="0"/>
    <x v="0"/>
    <n v="1183.1"/>
    <x v="0"/>
    <x v="0"/>
  </r>
  <r>
    <x v="3"/>
    <x v="0"/>
    <x v="1"/>
    <x v="0"/>
    <x v="0"/>
    <n v="736.76"/>
    <x v="0"/>
    <x v="0"/>
  </r>
  <r>
    <x v="3"/>
    <x v="0"/>
    <x v="0"/>
    <x v="0"/>
    <x v="0"/>
    <n v="1105.34"/>
    <x v="0"/>
    <x v="0"/>
  </r>
  <r>
    <x v="3"/>
    <x v="1"/>
    <x v="2"/>
    <x v="0"/>
    <x v="0"/>
    <n v="25424.16"/>
    <x v="0"/>
    <x v="0"/>
  </r>
  <r>
    <x v="3"/>
    <x v="3"/>
    <x v="0"/>
    <x v="0"/>
    <x v="0"/>
    <n v="1235.49"/>
    <x v="0"/>
    <x v="0"/>
  </r>
  <r>
    <x v="3"/>
    <x v="0"/>
    <x v="0"/>
    <x v="0"/>
    <x v="0"/>
    <n v="2633.87"/>
    <x v="0"/>
    <x v="0"/>
  </r>
  <r>
    <x v="3"/>
    <x v="0"/>
    <x v="2"/>
    <x v="0"/>
    <x v="0"/>
    <n v="27484.12"/>
    <x v="0"/>
    <x v="0"/>
  </r>
  <r>
    <x v="3"/>
    <x v="0"/>
    <x v="0"/>
    <x v="0"/>
    <x v="0"/>
    <n v="3455.87"/>
    <x v="0"/>
    <x v="0"/>
  </r>
  <r>
    <x v="3"/>
    <x v="0"/>
    <x v="0"/>
    <x v="0"/>
    <x v="0"/>
    <n v="3377.9"/>
    <x v="0"/>
    <x v="0"/>
  </r>
  <r>
    <x v="3"/>
    <x v="2"/>
    <x v="0"/>
    <x v="0"/>
    <x v="0"/>
    <n v="3806.52"/>
    <x v="0"/>
    <x v="0"/>
  </r>
  <r>
    <x v="3"/>
    <x v="0"/>
    <x v="0"/>
    <x v="0"/>
    <x v="0"/>
    <n v="1823.73"/>
    <x v="0"/>
    <x v="0"/>
  </r>
  <r>
    <x v="3"/>
    <x v="1"/>
    <x v="2"/>
    <x v="0"/>
    <x v="0"/>
    <n v="82208.35"/>
    <x v="0"/>
    <x v="0"/>
  </r>
  <r>
    <x v="3"/>
    <x v="2"/>
    <x v="2"/>
    <x v="0"/>
    <x v="0"/>
    <n v="29113.15"/>
    <x v="0"/>
    <x v="0"/>
  </r>
  <r>
    <x v="3"/>
    <x v="2"/>
    <x v="3"/>
    <x v="0"/>
    <x v="0"/>
    <n v="170634.8"/>
    <x v="0"/>
    <x v="0"/>
  </r>
  <r>
    <x v="3"/>
    <x v="2"/>
    <x v="3"/>
    <x v="0"/>
    <x v="0"/>
    <n v="404053.55"/>
    <x v="0"/>
    <x v="0"/>
  </r>
  <r>
    <x v="3"/>
    <x v="2"/>
    <x v="3"/>
    <x v="0"/>
    <x v="0"/>
    <n v="334318.86"/>
    <x v="0"/>
    <x v="0"/>
  </r>
  <r>
    <x v="3"/>
    <x v="2"/>
    <x v="2"/>
    <x v="0"/>
    <x v="0"/>
    <n v="46408.89"/>
    <x v="0"/>
    <x v="0"/>
  </r>
  <r>
    <x v="3"/>
    <x v="2"/>
    <x v="3"/>
    <x v="0"/>
    <x v="0"/>
    <n v="181062"/>
    <x v="0"/>
    <x v="0"/>
  </r>
  <r>
    <x v="3"/>
    <x v="2"/>
    <x v="3"/>
    <x v="0"/>
    <x v="0"/>
    <n v="489240.03"/>
    <x v="0"/>
    <x v="0"/>
  </r>
  <r>
    <x v="3"/>
    <x v="2"/>
    <x v="2"/>
    <x v="0"/>
    <x v="0"/>
    <n v="12270.42"/>
    <x v="0"/>
    <x v="0"/>
  </r>
  <r>
    <x v="3"/>
    <x v="0"/>
    <x v="0"/>
    <x v="0"/>
    <x v="0"/>
    <n v="1616.06"/>
    <x v="0"/>
    <x v="0"/>
  </r>
  <r>
    <x v="3"/>
    <x v="0"/>
    <x v="0"/>
    <x v="0"/>
    <x v="0"/>
    <n v="3464.93"/>
    <x v="0"/>
    <x v="0"/>
  </r>
  <r>
    <x v="3"/>
    <x v="0"/>
    <x v="0"/>
    <x v="0"/>
    <x v="0"/>
    <n v="1080.16"/>
    <x v="0"/>
    <x v="0"/>
  </r>
  <r>
    <x v="3"/>
    <x v="0"/>
    <x v="0"/>
    <x v="0"/>
    <x v="0"/>
    <n v="2606.97"/>
    <x v="0"/>
    <x v="0"/>
  </r>
  <r>
    <x v="3"/>
    <x v="0"/>
    <x v="2"/>
    <x v="0"/>
    <x v="0"/>
    <n v="27032.59"/>
    <x v="0"/>
    <x v="0"/>
  </r>
  <r>
    <x v="3"/>
    <x v="3"/>
    <x v="1"/>
    <x v="0"/>
    <x v="0"/>
    <n v="601.85"/>
    <x v="0"/>
    <x v="0"/>
  </r>
  <r>
    <x v="3"/>
    <x v="0"/>
    <x v="1"/>
    <x v="0"/>
    <x v="0"/>
    <n v="59.59"/>
    <x v="0"/>
    <x v="0"/>
  </r>
  <r>
    <x v="3"/>
    <x v="0"/>
    <x v="0"/>
    <x v="0"/>
    <x v="0"/>
    <n v="3828.24"/>
    <x v="0"/>
    <x v="0"/>
  </r>
  <r>
    <x v="3"/>
    <x v="0"/>
    <x v="0"/>
    <x v="0"/>
    <x v="0"/>
    <n v="2801.24"/>
    <x v="0"/>
    <x v="0"/>
  </r>
  <r>
    <x v="3"/>
    <x v="2"/>
    <x v="0"/>
    <x v="0"/>
    <x v="0"/>
    <n v="2785.81"/>
    <x v="0"/>
    <x v="0"/>
  </r>
  <r>
    <x v="3"/>
    <x v="2"/>
    <x v="3"/>
    <x v="0"/>
    <x v="0"/>
    <n v="228399.52"/>
    <x v="0"/>
    <x v="0"/>
  </r>
  <r>
    <x v="3"/>
    <x v="2"/>
    <x v="2"/>
    <x v="0"/>
    <x v="0"/>
    <n v="71951.43"/>
    <x v="0"/>
    <x v="0"/>
  </r>
  <r>
    <x v="3"/>
    <x v="2"/>
    <x v="3"/>
    <x v="0"/>
    <x v="0"/>
    <n v="285832.76"/>
    <x v="0"/>
    <x v="0"/>
  </r>
  <r>
    <x v="3"/>
    <x v="2"/>
    <x v="3"/>
    <x v="0"/>
    <x v="0"/>
    <n v="473991.14"/>
    <x v="0"/>
    <x v="0"/>
  </r>
  <r>
    <x v="3"/>
    <x v="2"/>
    <x v="3"/>
    <x v="0"/>
    <x v="0"/>
    <n v="278349.51"/>
    <x v="0"/>
    <x v="0"/>
  </r>
  <r>
    <x v="3"/>
    <x v="2"/>
    <x v="3"/>
    <x v="0"/>
    <x v="0"/>
    <n v="455933.21"/>
    <x v="0"/>
    <x v="0"/>
  </r>
  <r>
    <x v="3"/>
    <x v="2"/>
    <x v="3"/>
    <x v="0"/>
    <x v="0"/>
    <n v="252806.47"/>
    <x v="0"/>
    <x v="0"/>
  </r>
  <r>
    <x v="3"/>
    <x v="2"/>
    <x v="3"/>
    <x v="0"/>
    <x v="0"/>
    <n v="345548.01"/>
    <x v="0"/>
    <x v="0"/>
  </r>
  <r>
    <x v="3"/>
    <x v="2"/>
    <x v="3"/>
    <x v="0"/>
    <x v="0"/>
    <n v="159316.78"/>
    <x v="0"/>
    <x v="0"/>
  </r>
  <r>
    <x v="3"/>
    <x v="2"/>
    <x v="3"/>
    <x v="0"/>
    <x v="0"/>
    <n v="205675.07"/>
    <x v="0"/>
    <x v="0"/>
  </r>
  <r>
    <x v="3"/>
    <x v="2"/>
    <x v="3"/>
    <x v="0"/>
    <x v="0"/>
    <n v="311864.41"/>
    <x v="0"/>
    <x v="0"/>
  </r>
  <r>
    <x v="3"/>
    <x v="2"/>
    <x v="3"/>
    <x v="0"/>
    <x v="0"/>
    <n v="190518.44"/>
    <x v="0"/>
    <x v="0"/>
  </r>
  <r>
    <x v="3"/>
    <x v="2"/>
    <x v="2"/>
    <x v="0"/>
    <x v="0"/>
    <n v="12847.91"/>
    <x v="0"/>
    <x v="0"/>
  </r>
  <r>
    <x v="3"/>
    <x v="2"/>
    <x v="2"/>
    <x v="0"/>
    <x v="0"/>
    <n v="21291.89"/>
    <x v="0"/>
    <x v="0"/>
  </r>
  <r>
    <x v="3"/>
    <x v="2"/>
    <x v="3"/>
    <x v="0"/>
    <x v="0"/>
    <n v="106105.83"/>
    <x v="0"/>
    <x v="0"/>
  </r>
  <r>
    <x v="3"/>
    <x v="2"/>
    <x v="2"/>
    <x v="0"/>
    <x v="0"/>
    <n v="63853.6"/>
    <x v="0"/>
    <x v="0"/>
  </r>
  <r>
    <x v="3"/>
    <x v="2"/>
    <x v="3"/>
    <x v="0"/>
    <x v="0"/>
    <n v="143568.62"/>
    <x v="0"/>
    <x v="0"/>
  </r>
  <r>
    <x v="3"/>
    <x v="2"/>
    <x v="3"/>
    <x v="0"/>
    <x v="0"/>
    <n v="180145.39"/>
    <x v="0"/>
    <x v="0"/>
  </r>
  <r>
    <x v="3"/>
    <x v="2"/>
    <x v="3"/>
    <x v="0"/>
    <x v="0"/>
    <n v="141702.19"/>
    <x v="0"/>
    <x v="0"/>
  </r>
  <r>
    <x v="3"/>
    <x v="2"/>
    <x v="3"/>
    <x v="0"/>
    <x v="0"/>
    <n v="153161.06"/>
    <x v="0"/>
    <x v="0"/>
  </r>
  <r>
    <x v="3"/>
    <x v="2"/>
    <x v="0"/>
    <x v="0"/>
    <x v="0"/>
    <n v="6291.29"/>
    <x v="0"/>
    <x v="0"/>
  </r>
  <r>
    <x v="3"/>
    <x v="2"/>
    <x v="3"/>
    <x v="0"/>
    <x v="0"/>
    <n v="131965.15"/>
    <x v="0"/>
    <x v="0"/>
  </r>
  <r>
    <x v="3"/>
    <x v="2"/>
    <x v="3"/>
    <x v="0"/>
    <x v="0"/>
    <n v="121598.71"/>
    <x v="0"/>
    <x v="0"/>
  </r>
  <r>
    <x v="3"/>
    <x v="0"/>
    <x v="0"/>
    <x v="0"/>
    <x v="0"/>
    <n v="2000.03"/>
    <x v="0"/>
    <x v="0"/>
  </r>
  <r>
    <x v="3"/>
    <x v="0"/>
    <x v="0"/>
    <x v="0"/>
    <x v="0"/>
    <n v="1760.01"/>
    <x v="0"/>
    <x v="0"/>
  </r>
  <r>
    <x v="3"/>
    <x v="0"/>
    <x v="0"/>
    <x v="0"/>
    <x v="0"/>
    <n v="2085.11"/>
    <x v="0"/>
    <x v="0"/>
  </r>
  <r>
    <x v="3"/>
    <x v="0"/>
    <x v="0"/>
    <x v="0"/>
    <x v="0"/>
    <n v="4011.15"/>
    <x v="0"/>
    <x v="0"/>
  </r>
  <r>
    <x v="3"/>
    <x v="1"/>
    <x v="2"/>
    <x v="0"/>
    <x v="0"/>
    <n v="97808.48"/>
    <x v="0"/>
    <x v="0"/>
  </r>
  <r>
    <x v="3"/>
    <x v="0"/>
    <x v="0"/>
    <x v="0"/>
    <x v="0"/>
    <n v="1686.41"/>
    <x v="0"/>
    <x v="0"/>
  </r>
  <r>
    <x v="3"/>
    <x v="0"/>
    <x v="0"/>
    <x v="0"/>
    <x v="0"/>
    <n v="4513.92"/>
    <x v="0"/>
    <x v="0"/>
  </r>
  <r>
    <x v="3"/>
    <x v="2"/>
    <x v="2"/>
    <x v="0"/>
    <x v="0"/>
    <n v="67243.37"/>
    <x v="0"/>
    <x v="0"/>
  </r>
  <r>
    <x v="3"/>
    <x v="0"/>
    <x v="0"/>
    <x v="0"/>
    <x v="0"/>
    <n v="3236.73"/>
    <x v="0"/>
    <x v="0"/>
  </r>
  <r>
    <x v="3"/>
    <x v="0"/>
    <x v="1"/>
    <x v="0"/>
    <x v="0"/>
    <n v="808.81"/>
    <x v="0"/>
    <x v="0"/>
  </r>
  <r>
    <x v="3"/>
    <x v="0"/>
    <x v="0"/>
    <x v="0"/>
    <x v="0"/>
    <n v="8280.29"/>
    <x v="0"/>
    <x v="0"/>
  </r>
  <r>
    <x v="3"/>
    <x v="4"/>
    <x v="3"/>
    <x v="0"/>
    <x v="0"/>
    <n v="107702.78"/>
    <x v="0"/>
    <x v="0"/>
  </r>
  <r>
    <x v="3"/>
    <x v="0"/>
    <x v="0"/>
    <x v="0"/>
    <x v="0"/>
    <n v="4083.67"/>
    <x v="0"/>
    <x v="0"/>
  </r>
  <r>
    <x v="3"/>
    <x v="0"/>
    <x v="0"/>
    <x v="0"/>
    <x v="0"/>
    <n v="1869.55"/>
    <x v="0"/>
    <x v="0"/>
  </r>
  <r>
    <x v="3"/>
    <x v="1"/>
    <x v="2"/>
    <x v="0"/>
    <x v="0"/>
    <n v="36991.08"/>
    <x v="0"/>
    <x v="0"/>
  </r>
  <r>
    <x v="3"/>
    <x v="1"/>
    <x v="2"/>
    <x v="0"/>
    <x v="0"/>
    <n v="54364.44"/>
    <x v="0"/>
    <x v="0"/>
  </r>
  <r>
    <x v="3"/>
    <x v="0"/>
    <x v="1"/>
    <x v="0"/>
    <x v="0"/>
    <n v="115.43"/>
    <x v="0"/>
    <x v="0"/>
  </r>
  <r>
    <x v="3"/>
    <x v="0"/>
    <x v="1"/>
    <x v="0"/>
    <x v="0"/>
    <n v="645.4"/>
    <x v="0"/>
    <x v="0"/>
  </r>
  <r>
    <x v="3"/>
    <x v="0"/>
    <x v="0"/>
    <x v="0"/>
    <x v="0"/>
    <n v="5540.61"/>
    <x v="0"/>
    <x v="0"/>
  </r>
  <r>
    <x v="3"/>
    <x v="1"/>
    <x v="0"/>
    <x v="0"/>
    <x v="0"/>
    <n v="7475.23"/>
    <x v="0"/>
    <x v="0"/>
  </r>
  <r>
    <x v="3"/>
    <x v="0"/>
    <x v="0"/>
    <x v="0"/>
    <x v="0"/>
    <n v="5912.76"/>
    <x v="0"/>
    <x v="0"/>
  </r>
  <r>
    <x v="3"/>
    <x v="1"/>
    <x v="2"/>
    <x v="0"/>
    <x v="0"/>
    <n v="14237.75"/>
    <x v="0"/>
    <x v="0"/>
  </r>
  <r>
    <x v="3"/>
    <x v="0"/>
    <x v="0"/>
    <x v="0"/>
    <x v="0"/>
    <n v="6797.33"/>
    <x v="0"/>
    <x v="0"/>
  </r>
  <r>
    <x v="3"/>
    <x v="0"/>
    <x v="0"/>
    <x v="0"/>
    <x v="0"/>
    <n v="2353.91"/>
    <x v="0"/>
    <x v="0"/>
  </r>
  <r>
    <x v="3"/>
    <x v="3"/>
    <x v="1"/>
    <x v="0"/>
    <x v="0"/>
    <n v="564.53"/>
    <x v="0"/>
    <x v="0"/>
  </r>
  <r>
    <x v="3"/>
    <x v="0"/>
    <x v="0"/>
    <x v="0"/>
    <x v="0"/>
    <n v="1199.97"/>
    <x v="0"/>
    <x v="0"/>
  </r>
  <r>
    <x v="3"/>
    <x v="0"/>
    <x v="0"/>
    <x v="0"/>
    <x v="0"/>
    <n v="1800.83"/>
    <x v="0"/>
    <x v="0"/>
  </r>
  <r>
    <x v="3"/>
    <x v="0"/>
    <x v="1"/>
    <x v="0"/>
    <x v="0"/>
    <n v="496.83"/>
    <x v="0"/>
    <x v="0"/>
  </r>
  <r>
    <x v="3"/>
    <x v="0"/>
    <x v="0"/>
    <x v="0"/>
    <x v="0"/>
    <n v="1560.66"/>
    <x v="0"/>
    <x v="0"/>
  </r>
  <r>
    <x v="3"/>
    <x v="2"/>
    <x v="2"/>
    <x v="0"/>
    <x v="0"/>
    <n v="54989.36"/>
    <x v="0"/>
    <x v="0"/>
  </r>
  <r>
    <x v="3"/>
    <x v="2"/>
    <x v="3"/>
    <x v="0"/>
    <x v="0"/>
    <n v="121619.14"/>
    <x v="0"/>
    <x v="0"/>
  </r>
  <r>
    <x v="3"/>
    <x v="3"/>
    <x v="0"/>
    <x v="0"/>
    <x v="0"/>
    <n v="1113.43"/>
    <x v="0"/>
    <x v="0"/>
  </r>
  <r>
    <x v="3"/>
    <x v="0"/>
    <x v="0"/>
    <x v="0"/>
    <x v="0"/>
    <n v="2215.57"/>
    <x v="0"/>
    <x v="0"/>
  </r>
  <r>
    <x v="3"/>
    <x v="0"/>
    <x v="1"/>
    <x v="0"/>
    <x v="0"/>
    <n v="498.96"/>
    <x v="0"/>
    <x v="0"/>
  </r>
  <r>
    <x v="3"/>
    <x v="2"/>
    <x v="3"/>
    <x v="0"/>
    <x v="0"/>
    <n v="106903.28"/>
    <x v="0"/>
    <x v="0"/>
  </r>
  <r>
    <x v="3"/>
    <x v="0"/>
    <x v="0"/>
    <x v="0"/>
    <x v="0"/>
    <n v="1624.21"/>
    <x v="0"/>
    <x v="0"/>
  </r>
  <r>
    <x v="3"/>
    <x v="0"/>
    <x v="1"/>
    <x v="0"/>
    <x v="0"/>
    <n v="307.75"/>
    <x v="0"/>
    <x v="0"/>
  </r>
  <r>
    <x v="3"/>
    <x v="0"/>
    <x v="0"/>
    <x v="0"/>
    <x v="0"/>
    <n v="5562.29"/>
    <x v="0"/>
    <x v="0"/>
  </r>
  <r>
    <x v="3"/>
    <x v="0"/>
    <x v="2"/>
    <x v="0"/>
    <x v="0"/>
    <n v="12088.13"/>
    <x v="0"/>
    <x v="0"/>
  </r>
  <r>
    <x v="3"/>
    <x v="0"/>
    <x v="0"/>
    <x v="0"/>
    <x v="0"/>
    <n v="1944.57"/>
    <x v="0"/>
    <x v="0"/>
  </r>
  <r>
    <x v="3"/>
    <x v="0"/>
    <x v="0"/>
    <x v="0"/>
    <x v="0"/>
    <n v="5562.62"/>
    <x v="0"/>
    <x v="0"/>
  </r>
  <r>
    <x v="3"/>
    <x v="0"/>
    <x v="0"/>
    <x v="0"/>
    <x v="0"/>
    <n v="2630.2"/>
    <x v="0"/>
    <x v="0"/>
  </r>
  <r>
    <x v="3"/>
    <x v="0"/>
    <x v="0"/>
    <x v="0"/>
    <x v="0"/>
    <n v="1006.39"/>
    <x v="0"/>
    <x v="0"/>
  </r>
  <r>
    <x v="3"/>
    <x v="0"/>
    <x v="1"/>
    <x v="0"/>
    <x v="0"/>
    <n v="34.85"/>
    <x v="0"/>
    <x v="0"/>
  </r>
  <r>
    <x v="3"/>
    <x v="2"/>
    <x v="2"/>
    <x v="0"/>
    <x v="0"/>
    <n v="70994.78"/>
    <x v="0"/>
    <x v="0"/>
  </r>
  <r>
    <x v="3"/>
    <x v="0"/>
    <x v="0"/>
    <x v="0"/>
    <x v="0"/>
    <n v="3246.88"/>
    <x v="0"/>
    <x v="0"/>
  </r>
  <r>
    <x v="3"/>
    <x v="2"/>
    <x v="2"/>
    <x v="0"/>
    <x v="0"/>
    <n v="37239.99"/>
    <x v="0"/>
    <x v="0"/>
  </r>
  <r>
    <x v="3"/>
    <x v="0"/>
    <x v="1"/>
    <x v="0"/>
    <x v="0"/>
    <n v="329.84"/>
    <x v="0"/>
    <x v="0"/>
  </r>
  <r>
    <x v="3"/>
    <x v="1"/>
    <x v="3"/>
    <x v="1"/>
    <x v="0"/>
    <n v="169941.73"/>
    <x v="1"/>
    <x v="18"/>
  </r>
  <r>
    <x v="3"/>
    <x v="2"/>
    <x v="3"/>
    <x v="1"/>
    <x v="0"/>
    <n v="169941.73"/>
    <x v="1"/>
    <x v="18"/>
  </r>
  <r>
    <x v="3"/>
    <x v="0"/>
    <x v="0"/>
    <x v="0"/>
    <x v="0"/>
    <n v="2988.02"/>
    <x v="0"/>
    <x v="0"/>
  </r>
  <r>
    <x v="3"/>
    <x v="3"/>
    <x v="1"/>
    <x v="0"/>
    <x v="0"/>
    <n v="181.87"/>
    <x v="0"/>
    <x v="0"/>
  </r>
  <r>
    <x v="3"/>
    <x v="0"/>
    <x v="0"/>
    <x v="0"/>
    <x v="0"/>
    <n v="1813.69"/>
    <x v="0"/>
    <x v="0"/>
  </r>
  <r>
    <x v="3"/>
    <x v="0"/>
    <x v="0"/>
    <x v="0"/>
    <x v="0"/>
    <n v="2445.35"/>
    <x v="0"/>
    <x v="0"/>
  </r>
  <r>
    <x v="3"/>
    <x v="1"/>
    <x v="3"/>
    <x v="0"/>
    <x v="0"/>
    <n v="139644.5"/>
    <x v="0"/>
    <x v="0"/>
  </r>
  <r>
    <x v="3"/>
    <x v="1"/>
    <x v="3"/>
    <x v="0"/>
    <x v="0"/>
    <n v="148792.1"/>
    <x v="0"/>
    <x v="0"/>
  </r>
  <r>
    <x v="3"/>
    <x v="1"/>
    <x v="3"/>
    <x v="0"/>
    <x v="0"/>
    <n v="277758.51"/>
    <x v="0"/>
    <x v="0"/>
  </r>
  <r>
    <x v="3"/>
    <x v="1"/>
    <x v="4"/>
    <x v="0"/>
    <x v="0"/>
    <n v="1465846.48"/>
    <x v="0"/>
    <x v="0"/>
  </r>
  <r>
    <x v="3"/>
    <x v="1"/>
    <x v="3"/>
    <x v="0"/>
    <x v="0"/>
    <n v="132948.43"/>
    <x v="0"/>
    <x v="0"/>
  </r>
  <r>
    <x v="3"/>
    <x v="1"/>
    <x v="4"/>
    <x v="0"/>
    <x v="0"/>
    <n v="1137763.15"/>
    <x v="0"/>
    <x v="0"/>
  </r>
  <r>
    <x v="3"/>
    <x v="1"/>
    <x v="3"/>
    <x v="0"/>
    <x v="0"/>
    <n v="507775.58"/>
    <x v="0"/>
    <x v="0"/>
  </r>
  <r>
    <x v="3"/>
    <x v="1"/>
    <x v="3"/>
    <x v="0"/>
    <x v="0"/>
    <n v="307749.99"/>
    <x v="0"/>
    <x v="0"/>
  </r>
  <r>
    <x v="3"/>
    <x v="1"/>
    <x v="3"/>
    <x v="0"/>
    <x v="0"/>
    <n v="908274.13"/>
    <x v="0"/>
    <x v="0"/>
  </r>
  <r>
    <x v="3"/>
    <x v="1"/>
    <x v="4"/>
    <x v="0"/>
    <x v="0"/>
    <n v="1032930.05"/>
    <x v="0"/>
    <x v="0"/>
  </r>
  <r>
    <x v="3"/>
    <x v="1"/>
    <x v="4"/>
    <x v="0"/>
    <x v="0"/>
    <n v="1027611.05"/>
    <x v="0"/>
    <x v="0"/>
  </r>
  <r>
    <x v="3"/>
    <x v="1"/>
    <x v="3"/>
    <x v="0"/>
    <x v="0"/>
    <n v="522854.73"/>
    <x v="0"/>
    <x v="0"/>
  </r>
  <r>
    <x v="3"/>
    <x v="1"/>
    <x v="3"/>
    <x v="0"/>
    <x v="0"/>
    <n v="225558.27"/>
    <x v="0"/>
    <x v="0"/>
  </r>
  <r>
    <x v="3"/>
    <x v="1"/>
    <x v="3"/>
    <x v="0"/>
    <x v="0"/>
    <n v="862977.6"/>
    <x v="0"/>
    <x v="0"/>
  </r>
  <r>
    <x v="3"/>
    <x v="1"/>
    <x v="3"/>
    <x v="0"/>
    <x v="0"/>
    <n v="342332.55"/>
    <x v="0"/>
    <x v="0"/>
  </r>
  <r>
    <x v="3"/>
    <x v="1"/>
    <x v="4"/>
    <x v="0"/>
    <x v="0"/>
    <n v="1501775.62"/>
    <x v="0"/>
    <x v="0"/>
  </r>
  <r>
    <x v="3"/>
    <x v="1"/>
    <x v="3"/>
    <x v="0"/>
    <x v="0"/>
    <n v="119656.92"/>
    <x v="0"/>
    <x v="0"/>
  </r>
  <r>
    <x v="3"/>
    <x v="0"/>
    <x v="0"/>
    <x v="0"/>
    <x v="0"/>
    <n v="1919.99"/>
    <x v="0"/>
    <x v="0"/>
  </r>
  <r>
    <x v="3"/>
    <x v="0"/>
    <x v="0"/>
    <x v="0"/>
    <x v="0"/>
    <n v="2578.03"/>
    <x v="0"/>
    <x v="0"/>
  </r>
  <r>
    <x v="3"/>
    <x v="0"/>
    <x v="1"/>
    <x v="0"/>
    <x v="0"/>
    <n v="592.9"/>
    <x v="0"/>
    <x v="0"/>
  </r>
  <r>
    <x v="3"/>
    <x v="1"/>
    <x v="2"/>
    <x v="1"/>
    <x v="0"/>
    <n v="13707.11"/>
    <x v="1"/>
    <x v="19"/>
  </r>
  <r>
    <x v="3"/>
    <x v="2"/>
    <x v="2"/>
    <x v="1"/>
    <x v="0"/>
    <n v="13707.11"/>
    <x v="1"/>
    <x v="19"/>
  </r>
  <r>
    <x v="3"/>
    <x v="0"/>
    <x v="0"/>
    <x v="0"/>
    <x v="0"/>
    <n v="3616.2"/>
    <x v="0"/>
    <x v="0"/>
  </r>
  <r>
    <x v="3"/>
    <x v="0"/>
    <x v="1"/>
    <x v="0"/>
    <x v="0"/>
    <n v="761.07"/>
    <x v="0"/>
    <x v="0"/>
  </r>
  <r>
    <x v="3"/>
    <x v="0"/>
    <x v="0"/>
    <x v="0"/>
    <x v="0"/>
    <n v="2662.71"/>
    <x v="0"/>
    <x v="0"/>
  </r>
  <r>
    <x v="3"/>
    <x v="0"/>
    <x v="0"/>
    <x v="0"/>
    <x v="0"/>
    <n v="1227.16"/>
    <x v="0"/>
    <x v="0"/>
  </r>
  <r>
    <x v="3"/>
    <x v="0"/>
    <x v="0"/>
    <x v="0"/>
    <x v="0"/>
    <n v="1178.41"/>
    <x v="0"/>
    <x v="0"/>
  </r>
  <r>
    <x v="3"/>
    <x v="0"/>
    <x v="0"/>
    <x v="0"/>
    <x v="0"/>
    <n v="2617.28"/>
    <x v="0"/>
    <x v="0"/>
  </r>
  <r>
    <x v="3"/>
    <x v="0"/>
    <x v="1"/>
    <x v="0"/>
    <x v="0"/>
    <n v="576.08"/>
    <x v="0"/>
    <x v="0"/>
  </r>
  <r>
    <x v="3"/>
    <x v="0"/>
    <x v="0"/>
    <x v="0"/>
    <x v="0"/>
    <n v="1619.78"/>
    <x v="0"/>
    <x v="0"/>
  </r>
  <r>
    <x v="3"/>
    <x v="0"/>
    <x v="0"/>
    <x v="0"/>
    <x v="0"/>
    <n v="2379.78"/>
    <x v="0"/>
    <x v="0"/>
  </r>
  <r>
    <x v="3"/>
    <x v="2"/>
    <x v="2"/>
    <x v="0"/>
    <x v="0"/>
    <n v="67180.68"/>
    <x v="0"/>
    <x v="0"/>
  </r>
  <r>
    <x v="3"/>
    <x v="0"/>
    <x v="0"/>
    <x v="0"/>
    <x v="0"/>
    <n v="3373.81"/>
    <x v="0"/>
    <x v="0"/>
  </r>
  <r>
    <x v="3"/>
    <x v="0"/>
    <x v="0"/>
    <x v="0"/>
    <x v="0"/>
    <n v="2329.66"/>
    <x v="0"/>
    <x v="0"/>
  </r>
  <r>
    <x v="3"/>
    <x v="2"/>
    <x v="2"/>
    <x v="0"/>
    <x v="0"/>
    <n v="33881.81"/>
    <x v="0"/>
    <x v="0"/>
  </r>
  <r>
    <x v="3"/>
    <x v="0"/>
    <x v="0"/>
    <x v="0"/>
    <x v="0"/>
    <n v="3103.47"/>
    <x v="0"/>
    <x v="0"/>
  </r>
  <r>
    <x v="3"/>
    <x v="0"/>
    <x v="0"/>
    <x v="0"/>
    <x v="0"/>
    <n v="2140.78"/>
    <x v="0"/>
    <x v="0"/>
  </r>
  <r>
    <x v="3"/>
    <x v="0"/>
    <x v="0"/>
    <x v="0"/>
    <x v="0"/>
    <n v="1216.85"/>
    <x v="0"/>
    <x v="0"/>
  </r>
  <r>
    <x v="3"/>
    <x v="0"/>
    <x v="0"/>
    <x v="0"/>
    <x v="0"/>
    <n v="2934.33"/>
    <x v="0"/>
    <x v="0"/>
  </r>
  <r>
    <x v="3"/>
    <x v="0"/>
    <x v="0"/>
    <x v="0"/>
    <x v="0"/>
    <n v="1343.85"/>
    <x v="0"/>
    <x v="0"/>
  </r>
  <r>
    <x v="3"/>
    <x v="0"/>
    <x v="0"/>
    <x v="0"/>
    <x v="0"/>
    <n v="1081.3"/>
    <x v="0"/>
    <x v="0"/>
  </r>
  <r>
    <x v="3"/>
    <x v="0"/>
    <x v="0"/>
    <x v="0"/>
    <x v="0"/>
    <n v="2337.6"/>
    <x v="0"/>
    <x v="0"/>
  </r>
  <r>
    <x v="3"/>
    <x v="0"/>
    <x v="0"/>
    <x v="0"/>
    <x v="0"/>
    <n v="4491.15"/>
    <x v="0"/>
    <x v="0"/>
  </r>
  <r>
    <x v="3"/>
    <x v="0"/>
    <x v="0"/>
    <x v="0"/>
    <x v="0"/>
    <n v="3018.73"/>
    <x v="0"/>
    <x v="0"/>
  </r>
  <r>
    <x v="3"/>
    <x v="0"/>
    <x v="0"/>
    <x v="0"/>
    <x v="0"/>
    <n v="4830.74"/>
    <x v="0"/>
    <x v="0"/>
  </r>
  <r>
    <x v="3"/>
    <x v="0"/>
    <x v="2"/>
    <x v="0"/>
    <x v="0"/>
    <n v="22349.62"/>
    <x v="0"/>
    <x v="0"/>
  </r>
  <r>
    <x v="3"/>
    <x v="0"/>
    <x v="0"/>
    <x v="0"/>
    <x v="0"/>
    <n v="3723.51"/>
    <x v="0"/>
    <x v="0"/>
  </r>
  <r>
    <x v="3"/>
    <x v="3"/>
    <x v="0"/>
    <x v="0"/>
    <x v="0"/>
    <n v="1141.74"/>
    <x v="0"/>
    <x v="0"/>
  </r>
  <r>
    <x v="3"/>
    <x v="0"/>
    <x v="1"/>
    <x v="0"/>
    <x v="0"/>
    <n v="929.14"/>
    <x v="0"/>
    <x v="0"/>
  </r>
  <r>
    <x v="3"/>
    <x v="0"/>
    <x v="0"/>
    <x v="0"/>
    <x v="0"/>
    <n v="5436.05"/>
    <x v="0"/>
    <x v="0"/>
  </r>
  <r>
    <x v="3"/>
    <x v="0"/>
    <x v="2"/>
    <x v="0"/>
    <x v="0"/>
    <n v="28034.44"/>
    <x v="0"/>
    <x v="0"/>
  </r>
  <r>
    <x v="3"/>
    <x v="0"/>
    <x v="2"/>
    <x v="0"/>
    <x v="0"/>
    <n v="13589.96"/>
    <x v="0"/>
    <x v="0"/>
  </r>
  <r>
    <x v="3"/>
    <x v="0"/>
    <x v="2"/>
    <x v="0"/>
    <x v="0"/>
    <n v="12204.29"/>
    <x v="0"/>
    <x v="0"/>
  </r>
  <r>
    <x v="3"/>
    <x v="0"/>
    <x v="2"/>
    <x v="0"/>
    <x v="0"/>
    <n v="18519.83"/>
    <x v="0"/>
    <x v="0"/>
  </r>
  <r>
    <x v="3"/>
    <x v="0"/>
    <x v="2"/>
    <x v="0"/>
    <x v="0"/>
    <n v="13061.21"/>
    <x v="0"/>
    <x v="0"/>
  </r>
  <r>
    <x v="3"/>
    <x v="0"/>
    <x v="0"/>
    <x v="0"/>
    <x v="0"/>
    <n v="8606.53"/>
    <x v="0"/>
    <x v="0"/>
  </r>
  <r>
    <x v="3"/>
    <x v="0"/>
    <x v="0"/>
    <x v="0"/>
    <x v="0"/>
    <n v="1966.24"/>
    <x v="0"/>
    <x v="0"/>
  </r>
  <r>
    <x v="3"/>
    <x v="0"/>
    <x v="0"/>
    <x v="0"/>
    <x v="0"/>
    <n v="1082.07"/>
    <x v="0"/>
    <x v="0"/>
  </r>
  <r>
    <x v="3"/>
    <x v="0"/>
    <x v="1"/>
    <x v="0"/>
    <x v="0"/>
    <n v="196.76"/>
    <x v="0"/>
    <x v="0"/>
  </r>
  <r>
    <x v="3"/>
    <x v="0"/>
    <x v="1"/>
    <x v="0"/>
    <x v="0"/>
    <n v="826.44"/>
    <x v="0"/>
    <x v="0"/>
  </r>
  <r>
    <x v="3"/>
    <x v="2"/>
    <x v="0"/>
    <x v="0"/>
    <x v="0"/>
    <n v="3350.15"/>
    <x v="0"/>
    <x v="0"/>
  </r>
  <r>
    <x v="3"/>
    <x v="2"/>
    <x v="2"/>
    <x v="0"/>
    <x v="0"/>
    <n v="34325.53"/>
    <x v="0"/>
    <x v="0"/>
  </r>
  <r>
    <x v="3"/>
    <x v="2"/>
    <x v="2"/>
    <x v="0"/>
    <x v="0"/>
    <n v="19548.49"/>
    <x v="0"/>
    <x v="0"/>
  </r>
  <r>
    <x v="3"/>
    <x v="2"/>
    <x v="2"/>
    <x v="0"/>
    <x v="0"/>
    <n v="41680.46"/>
    <x v="0"/>
    <x v="0"/>
  </r>
  <r>
    <x v="3"/>
    <x v="2"/>
    <x v="3"/>
    <x v="0"/>
    <x v="0"/>
    <n v="288846.82"/>
    <x v="0"/>
    <x v="0"/>
  </r>
  <r>
    <x v="3"/>
    <x v="2"/>
    <x v="3"/>
    <x v="0"/>
    <x v="0"/>
    <n v="308762.31"/>
    <x v="0"/>
    <x v="0"/>
  </r>
  <r>
    <x v="3"/>
    <x v="2"/>
    <x v="3"/>
    <x v="0"/>
    <x v="0"/>
    <n v="248011.57"/>
    <x v="0"/>
    <x v="0"/>
  </r>
  <r>
    <x v="3"/>
    <x v="2"/>
    <x v="3"/>
    <x v="0"/>
    <x v="0"/>
    <n v="104334.87"/>
    <x v="0"/>
    <x v="0"/>
  </r>
  <r>
    <x v="3"/>
    <x v="2"/>
    <x v="2"/>
    <x v="0"/>
    <x v="0"/>
    <n v="34808.12"/>
    <x v="0"/>
    <x v="0"/>
  </r>
  <r>
    <x v="3"/>
    <x v="2"/>
    <x v="3"/>
    <x v="0"/>
    <x v="0"/>
    <n v="116878.6"/>
    <x v="0"/>
    <x v="0"/>
  </r>
  <r>
    <x v="3"/>
    <x v="2"/>
    <x v="2"/>
    <x v="0"/>
    <x v="0"/>
    <n v="40379.62"/>
    <x v="0"/>
    <x v="0"/>
  </r>
  <r>
    <x v="3"/>
    <x v="2"/>
    <x v="2"/>
    <x v="0"/>
    <x v="0"/>
    <n v="55282.19"/>
    <x v="0"/>
    <x v="0"/>
  </r>
  <r>
    <x v="3"/>
    <x v="2"/>
    <x v="3"/>
    <x v="0"/>
    <x v="0"/>
    <n v="125774.49"/>
    <x v="0"/>
    <x v="0"/>
  </r>
  <r>
    <x v="3"/>
    <x v="2"/>
    <x v="0"/>
    <x v="0"/>
    <x v="0"/>
    <n v="8502.55"/>
    <x v="0"/>
    <x v="0"/>
  </r>
  <r>
    <x v="3"/>
    <x v="2"/>
    <x v="3"/>
    <x v="0"/>
    <x v="0"/>
    <n v="109648.19"/>
    <x v="0"/>
    <x v="0"/>
  </r>
  <r>
    <x v="3"/>
    <x v="0"/>
    <x v="0"/>
    <x v="0"/>
    <x v="0"/>
    <n v="4687.14"/>
    <x v="0"/>
    <x v="0"/>
  </r>
  <r>
    <x v="3"/>
    <x v="0"/>
    <x v="0"/>
    <x v="0"/>
    <x v="0"/>
    <n v="1500.68"/>
    <x v="0"/>
    <x v="0"/>
  </r>
  <r>
    <x v="3"/>
    <x v="0"/>
    <x v="1"/>
    <x v="0"/>
    <x v="0"/>
    <n v="924.71"/>
    <x v="0"/>
    <x v="0"/>
  </r>
  <r>
    <x v="3"/>
    <x v="1"/>
    <x v="3"/>
    <x v="0"/>
    <x v="0"/>
    <n v="178055.95"/>
    <x v="0"/>
    <x v="0"/>
  </r>
  <r>
    <x v="3"/>
    <x v="0"/>
    <x v="1"/>
    <x v="0"/>
    <x v="0"/>
    <n v="668.69"/>
    <x v="0"/>
    <x v="0"/>
  </r>
  <r>
    <x v="3"/>
    <x v="0"/>
    <x v="0"/>
    <x v="0"/>
    <x v="0"/>
    <n v="3483.45"/>
    <x v="0"/>
    <x v="0"/>
  </r>
  <r>
    <x v="3"/>
    <x v="0"/>
    <x v="0"/>
    <x v="0"/>
    <x v="0"/>
    <n v="4076.16"/>
    <x v="0"/>
    <x v="0"/>
  </r>
  <r>
    <x v="3"/>
    <x v="0"/>
    <x v="0"/>
    <x v="0"/>
    <x v="0"/>
    <n v="3027.49"/>
    <x v="0"/>
    <x v="0"/>
  </r>
  <r>
    <x v="3"/>
    <x v="0"/>
    <x v="0"/>
    <x v="0"/>
    <x v="0"/>
    <n v="1731.42"/>
    <x v="0"/>
    <x v="0"/>
  </r>
  <r>
    <x v="3"/>
    <x v="3"/>
    <x v="1"/>
    <x v="0"/>
    <x v="0"/>
    <n v="351.23"/>
    <x v="0"/>
    <x v="0"/>
  </r>
  <r>
    <x v="3"/>
    <x v="3"/>
    <x v="0"/>
    <x v="0"/>
    <x v="0"/>
    <n v="1110.27"/>
    <x v="0"/>
    <x v="0"/>
  </r>
  <r>
    <x v="3"/>
    <x v="0"/>
    <x v="1"/>
    <x v="0"/>
    <x v="0"/>
    <n v="71"/>
    <x v="0"/>
    <x v="0"/>
  </r>
  <r>
    <x v="3"/>
    <x v="0"/>
    <x v="0"/>
    <x v="0"/>
    <x v="0"/>
    <n v="1559.58"/>
    <x v="0"/>
    <x v="0"/>
  </r>
  <r>
    <x v="3"/>
    <x v="0"/>
    <x v="1"/>
    <x v="0"/>
    <x v="0"/>
    <n v="341.66"/>
    <x v="0"/>
    <x v="0"/>
  </r>
  <r>
    <x v="3"/>
    <x v="0"/>
    <x v="0"/>
    <x v="0"/>
    <x v="0"/>
    <n v="4150.68"/>
    <x v="0"/>
    <x v="0"/>
  </r>
  <r>
    <x v="3"/>
    <x v="0"/>
    <x v="0"/>
    <x v="0"/>
    <x v="0"/>
    <n v="3889.99"/>
    <x v="0"/>
    <x v="0"/>
  </r>
  <r>
    <x v="3"/>
    <x v="2"/>
    <x v="3"/>
    <x v="0"/>
    <x v="0"/>
    <n v="104234.05"/>
    <x v="0"/>
    <x v="0"/>
  </r>
  <r>
    <x v="3"/>
    <x v="0"/>
    <x v="0"/>
    <x v="0"/>
    <x v="0"/>
    <n v="5422.04"/>
    <x v="0"/>
    <x v="0"/>
  </r>
  <r>
    <x v="3"/>
    <x v="3"/>
    <x v="1"/>
    <x v="0"/>
    <x v="0"/>
    <n v="515.29"/>
    <x v="0"/>
    <x v="0"/>
  </r>
  <r>
    <x v="3"/>
    <x v="2"/>
    <x v="0"/>
    <x v="0"/>
    <x v="0"/>
    <n v="6701.1"/>
    <x v="0"/>
    <x v="0"/>
  </r>
  <r>
    <x v="3"/>
    <x v="0"/>
    <x v="1"/>
    <x v="0"/>
    <x v="0"/>
    <n v="354.75"/>
    <x v="0"/>
    <x v="0"/>
  </r>
  <r>
    <x v="3"/>
    <x v="0"/>
    <x v="0"/>
    <x v="0"/>
    <x v="0"/>
    <n v="2831.44"/>
    <x v="0"/>
    <x v="0"/>
  </r>
  <r>
    <x v="3"/>
    <x v="0"/>
    <x v="0"/>
    <x v="0"/>
    <x v="0"/>
    <n v="4051.25"/>
    <x v="0"/>
    <x v="0"/>
  </r>
  <r>
    <x v="3"/>
    <x v="0"/>
    <x v="1"/>
    <x v="0"/>
    <x v="0"/>
    <n v="869.49"/>
    <x v="0"/>
    <x v="0"/>
  </r>
  <r>
    <x v="3"/>
    <x v="0"/>
    <x v="0"/>
    <x v="0"/>
    <x v="0"/>
    <n v="2914.36"/>
    <x v="0"/>
    <x v="0"/>
  </r>
  <r>
    <x v="3"/>
    <x v="0"/>
    <x v="1"/>
    <x v="0"/>
    <x v="0"/>
    <n v="38.14"/>
    <x v="0"/>
    <x v="0"/>
  </r>
  <r>
    <x v="3"/>
    <x v="3"/>
    <x v="1"/>
    <x v="0"/>
    <x v="0"/>
    <n v="775.76"/>
    <x v="0"/>
    <x v="0"/>
  </r>
  <r>
    <x v="3"/>
    <x v="1"/>
    <x v="2"/>
    <x v="1"/>
    <x v="0"/>
    <n v="86070.17"/>
    <x v="1"/>
    <x v="20"/>
  </r>
  <r>
    <x v="3"/>
    <x v="2"/>
    <x v="2"/>
    <x v="1"/>
    <x v="0"/>
    <n v="86070.17"/>
    <x v="1"/>
    <x v="20"/>
  </r>
  <r>
    <x v="3"/>
    <x v="0"/>
    <x v="0"/>
    <x v="0"/>
    <x v="0"/>
    <n v="2738.44"/>
    <x v="0"/>
    <x v="0"/>
  </r>
  <r>
    <x v="3"/>
    <x v="0"/>
    <x v="0"/>
    <x v="0"/>
    <x v="0"/>
    <n v="4837.77"/>
    <x v="0"/>
    <x v="0"/>
  </r>
  <r>
    <x v="3"/>
    <x v="0"/>
    <x v="0"/>
    <x v="0"/>
    <x v="0"/>
    <n v="1685.11"/>
    <x v="0"/>
    <x v="0"/>
  </r>
  <r>
    <x v="3"/>
    <x v="0"/>
    <x v="0"/>
    <x v="0"/>
    <x v="0"/>
    <n v="1080.65"/>
    <x v="0"/>
    <x v="0"/>
  </r>
  <r>
    <x v="3"/>
    <x v="0"/>
    <x v="0"/>
    <x v="0"/>
    <x v="0"/>
    <n v="8583.71"/>
    <x v="0"/>
    <x v="0"/>
  </r>
  <r>
    <x v="3"/>
    <x v="0"/>
    <x v="0"/>
    <x v="0"/>
    <x v="0"/>
    <n v="3604.39"/>
    <x v="0"/>
    <x v="0"/>
  </r>
  <r>
    <x v="3"/>
    <x v="0"/>
    <x v="0"/>
    <x v="0"/>
    <x v="0"/>
    <n v="1379.78"/>
    <x v="0"/>
    <x v="0"/>
  </r>
  <r>
    <x v="3"/>
    <x v="0"/>
    <x v="0"/>
    <x v="0"/>
    <x v="0"/>
    <n v="1396.96"/>
    <x v="0"/>
    <x v="0"/>
  </r>
  <r>
    <x v="3"/>
    <x v="0"/>
    <x v="1"/>
    <x v="0"/>
    <x v="0"/>
    <n v="975.55"/>
    <x v="0"/>
    <x v="0"/>
  </r>
  <r>
    <x v="3"/>
    <x v="0"/>
    <x v="0"/>
    <x v="0"/>
    <x v="0"/>
    <n v="3208.14"/>
    <x v="0"/>
    <x v="0"/>
  </r>
  <r>
    <x v="3"/>
    <x v="0"/>
    <x v="0"/>
    <x v="0"/>
    <x v="0"/>
    <n v="3006.25"/>
    <x v="0"/>
    <x v="0"/>
  </r>
  <r>
    <x v="3"/>
    <x v="2"/>
    <x v="2"/>
    <x v="0"/>
    <x v="0"/>
    <n v="20470.3"/>
    <x v="0"/>
    <x v="0"/>
  </r>
  <r>
    <x v="3"/>
    <x v="0"/>
    <x v="1"/>
    <x v="0"/>
    <x v="0"/>
    <n v="770.23"/>
    <x v="0"/>
    <x v="0"/>
  </r>
  <r>
    <x v="3"/>
    <x v="3"/>
    <x v="1"/>
    <x v="0"/>
    <x v="0"/>
    <n v="618.01"/>
    <x v="0"/>
    <x v="0"/>
  </r>
  <r>
    <x v="3"/>
    <x v="0"/>
    <x v="0"/>
    <x v="0"/>
    <x v="0"/>
    <n v="4987.87"/>
    <x v="0"/>
    <x v="0"/>
  </r>
  <r>
    <x v="3"/>
    <x v="0"/>
    <x v="0"/>
    <x v="0"/>
    <x v="0"/>
    <n v="2015.07"/>
    <x v="0"/>
    <x v="0"/>
  </r>
  <r>
    <x v="3"/>
    <x v="1"/>
    <x v="2"/>
    <x v="0"/>
    <x v="0"/>
    <n v="17384.73"/>
    <x v="0"/>
    <x v="0"/>
  </r>
  <r>
    <x v="3"/>
    <x v="0"/>
    <x v="1"/>
    <x v="0"/>
    <x v="0"/>
    <n v="276.8"/>
    <x v="0"/>
    <x v="0"/>
  </r>
  <r>
    <x v="3"/>
    <x v="0"/>
    <x v="0"/>
    <x v="0"/>
    <x v="0"/>
    <n v="3655.9"/>
    <x v="0"/>
    <x v="0"/>
  </r>
  <r>
    <x v="3"/>
    <x v="0"/>
    <x v="2"/>
    <x v="0"/>
    <x v="0"/>
    <n v="21885.09"/>
    <x v="0"/>
    <x v="0"/>
  </r>
  <r>
    <x v="3"/>
    <x v="0"/>
    <x v="0"/>
    <x v="0"/>
    <x v="0"/>
    <n v="2619.71"/>
    <x v="0"/>
    <x v="0"/>
  </r>
  <r>
    <x v="3"/>
    <x v="2"/>
    <x v="2"/>
    <x v="0"/>
    <x v="0"/>
    <n v="70344.95"/>
    <x v="0"/>
    <x v="0"/>
  </r>
  <r>
    <x v="3"/>
    <x v="1"/>
    <x v="3"/>
    <x v="0"/>
    <x v="0"/>
    <n v="123755.39"/>
    <x v="0"/>
    <x v="0"/>
  </r>
  <r>
    <x v="3"/>
    <x v="0"/>
    <x v="0"/>
    <x v="0"/>
    <x v="0"/>
    <n v="1199.16"/>
    <x v="0"/>
    <x v="0"/>
  </r>
  <r>
    <x v="3"/>
    <x v="0"/>
    <x v="1"/>
    <x v="0"/>
    <x v="0"/>
    <n v="532.13"/>
    <x v="0"/>
    <x v="0"/>
  </r>
  <r>
    <x v="3"/>
    <x v="0"/>
    <x v="0"/>
    <x v="0"/>
    <x v="0"/>
    <n v="3786.19"/>
    <x v="0"/>
    <x v="0"/>
  </r>
  <r>
    <x v="3"/>
    <x v="0"/>
    <x v="0"/>
    <x v="0"/>
    <x v="0"/>
    <n v="2698.14"/>
    <x v="0"/>
    <x v="0"/>
  </r>
  <r>
    <x v="3"/>
    <x v="0"/>
    <x v="0"/>
    <x v="0"/>
    <x v="0"/>
    <n v="2541.31"/>
    <x v="0"/>
    <x v="0"/>
  </r>
  <r>
    <x v="3"/>
    <x v="0"/>
    <x v="0"/>
    <x v="0"/>
    <x v="0"/>
    <n v="1669.11"/>
    <x v="0"/>
    <x v="0"/>
  </r>
  <r>
    <x v="3"/>
    <x v="0"/>
    <x v="0"/>
    <x v="0"/>
    <x v="0"/>
    <n v="2288.47"/>
    <x v="0"/>
    <x v="0"/>
  </r>
  <r>
    <x v="3"/>
    <x v="2"/>
    <x v="3"/>
    <x v="0"/>
    <x v="0"/>
    <n v="166736.16"/>
    <x v="0"/>
    <x v="0"/>
  </r>
  <r>
    <x v="3"/>
    <x v="2"/>
    <x v="3"/>
    <x v="0"/>
    <x v="0"/>
    <n v="221605.71"/>
    <x v="0"/>
    <x v="0"/>
  </r>
  <r>
    <x v="3"/>
    <x v="3"/>
    <x v="1"/>
    <x v="0"/>
    <x v="0"/>
    <n v="485.42"/>
    <x v="0"/>
    <x v="0"/>
  </r>
  <r>
    <x v="3"/>
    <x v="0"/>
    <x v="0"/>
    <x v="0"/>
    <x v="0"/>
    <n v="4303.63"/>
    <x v="0"/>
    <x v="0"/>
  </r>
  <r>
    <x v="3"/>
    <x v="0"/>
    <x v="0"/>
    <x v="0"/>
    <x v="0"/>
    <n v="1184.99"/>
    <x v="0"/>
    <x v="0"/>
  </r>
  <r>
    <x v="3"/>
    <x v="0"/>
    <x v="0"/>
    <x v="0"/>
    <x v="0"/>
    <n v="3118.48"/>
    <x v="0"/>
    <x v="0"/>
  </r>
  <r>
    <x v="3"/>
    <x v="0"/>
    <x v="1"/>
    <x v="0"/>
    <x v="0"/>
    <n v="708.29"/>
    <x v="0"/>
    <x v="0"/>
  </r>
  <r>
    <x v="3"/>
    <x v="0"/>
    <x v="0"/>
    <x v="0"/>
    <x v="0"/>
    <n v="3775.14"/>
    <x v="0"/>
    <x v="0"/>
  </r>
  <r>
    <x v="3"/>
    <x v="0"/>
    <x v="0"/>
    <x v="0"/>
    <x v="0"/>
    <n v="4625.32"/>
    <x v="0"/>
    <x v="0"/>
  </r>
  <r>
    <x v="3"/>
    <x v="0"/>
    <x v="0"/>
    <x v="0"/>
    <x v="0"/>
    <n v="6673.58"/>
    <x v="0"/>
    <x v="0"/>
  </r>
  <r>
    <x v="3"/>
    <x v="0"/>
    <x v="0"/>
    <x v="0"/>
    <x v="0"/>
    <n v="8958.81"/>
    <x v="0"/>
    <x v="0"/>
  </r>
  <r>
    <x v="3"/>
    <x v="0"/>
    <x v="0"/>
    <x v="0"/>
    <x v="0"/>
    <n v="7888.5"/>
    <x v="0"/>
    <x v="0"/>
  </r>
  <r>
    <x v="3"/>
    <x v="0"/>
    <x v="0"/>
    <x v="0"/>
    <x v="0"/>
    <n v="1276.01"/>
    <x v="0"/>
    <x v="0"/>
  </r>
  <r>
    <x v="3"/>
    <x v="0"/>
    <x v="2"/>
    <x v="0"/>
    <x v="0"/>
    <n v="46741.66"/>
    <x v="0"/>
    <x v="0"/>
  </r>
  <r>
    <x v="3"/>
    <x v="0"/>
    <x v="2"/>
    <x v="0"/>
    <x v="0"/>
    <n v="11221.28"/>
    <x v="0"/>
    <x v="0"/>
  </r>
  <r>
    <x v="3"/>
    <x v="0"/>
    <x v="0"/>
    <x v="0"/>
    <x v="0"/>
    <n v="4953.63"/>
    <x v="0"/>
    <x v="0"/>
  </r>
  <r>
    <x v="3"/>
    <x v="0"/>
    <x v="0"/>
    <x v="0"/>
    <x v="0"/>
    <n v="5311.45"/>
    <x v="0"/>
    <x v="0"/>
  </r>
  <r>
    <x v="3"/>
    <x v="0"/>
    <x v="0"/>
    <x v="0"/>
    <x v="0"/>
    <n v="9309.74"/>
    <x v="0"/>
    <x v="0"/>
  </r>
  <r>
    <x v="3"/>
    <x v="0"/>
    <x v="2"/>
    <x v="0"/>
    <x v="0"/>
    <n v="13788.58"/>
    <x v="0"/>
    <x v="0"/>
  </r>
  <r>
    <x v="3"/>
    <x v="0"/>
    <x v="0"/>
    <x v="0"/>
    <x v="0"/>
    <n v="5630.78"/>
    <x v="0"/>
    <x v="0"/>
  </r>
  <r>
    <x v="3"/>
    <x v="0"/>
    <x v="0"/>
    <x v="0"/>
    <x v="0"/>
    <n v="7055.96"/>
    <x v="0"/>
    <x v="0"/>
  </r>
  <r>
    <x v="3"/>
    <x v="0"/>
    <x v="0"/>
    <x v="0"/>
    <x v="0"/>
    <n v="7089.25"/>
    <x v="0"/>
    <x v="0"/>
  </r>
  <r>
    <x v="3"/>
    <x v="0"/>
    <x v="0"/>
    <x v="0"/>
    <x v="0"/>
    <n v="2403.55"/>
    <x v="0"/>
    <x v="0"/>
  </r>
  <r>
    <x v="3"/>
    <x v="0"/>
    <x v="2"/>
    <x v="0"/>
    <x v="0"/>
    <n v="11627.71"/>
    <x v="0"/>
    <x v="0"/>
  </r>
  <r>
    <x v="3"/>
    <x v="0"/>
    <x v="0"/>
    <x v="0"/>
    <x v="0"/>
    <n v="3064.96"/>
    <x v="0"/>
    <x v="0"/>
  </r>
  <r>
    <x v="3"/>
    <x v="0"/>
    <x v="0"/>
    <x v="0"/>
    <x v="0"/>
    <n v="5818.7"/>
    <x v="0"/>
    <x v="0"/>
  </r>
  <r>
    <x v="3"/>
    <x v="0"/>
    <x v="0"/>
    <x v="0"/>
    <x v="0"/>
    <n v="7369.86"/>
    <x v="0"/>
    <x v="0"/>
  </r>
  <r>
    <x v="3"/>
    <x v="0"/>
    <x v="0"/>
    <x v="0"/>
    <x v="0"/>
    <n v="2080.51"/>
    <x v="0"/>
    <x v="0"/>
  </r>
  <r>
    <x v="3"/>
    <x v="1"/>
    <x v="3"/>
    <x v="0"/>
    <x v="0"/>
    <n v="148319.88"/>
    <x v="0"/>
    <x v="0"/>
  </r>
  <r>
    <x v="3"/>
    <x v="0"/>
    <x v="1"/>
    <x v="0"/>
    <x v="0"/>
    <n v="964.35"/>
    <x v="0"/>
    <x v="0"/>
  </r>
  <r>
    <x v="3"/>
    <x v="3"/>
    <x v="1"/>
    <x v="0"/>
    <x v="0"/>
    <n v="162.26"/>
    <x v="0"/>
    <x v="0"/>
  </r>
  <r>
    <x v="3"/>
    <x v="0"/>
    <x v="0"/>
    <x v="0"/>
    <x v="0"/>
    <n v="3100.46"/>
    <x v="0"/>
    <x v="0"/>
  </r>
  <r>
    <x v="4"/>
    <x v="0"/>
    <x v="0"/>
    <x v="0"/>
    <x v="0"/>
    <n v="7847.65"/>
    <x v="0"/>
    <x v="0"/>
  </r>
  <r>
    <x v="4"/>
    <x v="2"/>
    <x v="2"/>
    <x v="0"/>
    <x v="0"/>
    <n v="85070.76"/>
    <x v="0"/>
    <x v="0"/>
  </r>
  <r>
    <x v="4"/>
    <x v="0"/>
    <x v="1"/>
    <x v="0"/>
    <x v="0"/>
    <n v="438.7"/>
    <x v="0"/>
    <x v="0"/>
  </r>
  <r>
    <x v="4"/>
    <x v="0"/>
    <x v="0"/>
    <x v="0"/>
    <x v="0"/>
    <n v="8215.28"/>
    <x v="0"/>
    <x v="0"/>
  </r>
  <r>
    <x v="4"/>
    <x v="0"/>
    <x v="0"/>
    <x v="0"/>
    <x v="0"/>
    <n v="2882.94"/>
    <x v="0"/>
    <x v="0"/>
  </r>
  <r>
    <x v="4"/>
    <x v="0"/>
    <x v="0"/>
    <x v="0"/>
    <x v="0"/>
    <n v="6822.49"/>
    <x v="0"/>
    <x v="0"/>
  </r>
  <r>
    <x v="4"/>
    <x v="0"/>
    <x v="0"/>
    <x v="0"/>
    <x v="0"/>
    <n v="1024.56"/>
    <x v="0"/>
    <x v="0"/>
  </r>
  <r>
    <x v="4"/>
    <x v="0"/>
    <x v="0"/>
    <x v="0"/>
    <x v="0"/>
    <n v="6784.39"/>
    <x v="0"/>
    <x v="0"/>
  </r>
  <r>
    <x v="4"/>
    <x v="2"/>
    <x v="3"/>
    <x v="0"/>
    <x v="0"/>
    <n v="195542.41"/>
    <x v="0"/>
    <x v="0"/>
  </r>
  <r>
    <x v="4"/>
    <x v="0"/>
    <x v="0"/>
    <x v="0"/>
    <x v="0"/>
    <n v="2634.1"/>
    <x v="0"/>
    <x v="0"/>
  </r>
  <r>
    <x v="4"/>
    <x v="0"/>
    <x v="1"/>
    <x v="0"/>
    <x v="0"/>
    <n v="550.7"/>
    <x v="0"/>
    <x v="0"/>
  </r>
  <r>
    <x v="4"/>
    <x v="0"/>
    <x v="0"/>
    <x v="0"/>
    <x v="0"/>
    <n v="7930.66"/>
    <x v="0"/>
    <x v="0"/>
  </r>
  <r>
    <x v="4"/>
    <x v="0"/>
    <x v="0"/>
    <x v="0"/>
    <x v="0"/>
    <n v="6608.18"/>
    <x v="0"/>
    <x v="0"/>
  </r>
  <r>
    <x v="4"/>
    <x v="0"/>
    <x v="0"/>
    <x v="0"/>
    <x v="0"/>
    <n v="6292.42"/>
    <x v="0"/>
    <x v="0"/>
  </r>
  <r>
    <x v="4"/>
    <x v="0"/>
    <x v="0"/>
    <x v="0"/>
    <x v="0"/>
    <n v="5542.54"/>
    <x v="0"/>
    <x v="0"/>
  </r>
  <r>
    <x v="4"/>
    <x v="0"/>
    <x v="0"/>
    <x v="0"/>
    <x v="0"/>
    <n v="3365.83"/>
    <x v="0"/>
    <x v="0"/>
  </r>
  <r>
    <x v="4"/>
    <x v="0"/>
    <x v="1"/>
    <x v="0"/>
    <x v="0"/>
    <n v="851.94"/>
    <x v="0"/>
    <x v="0"/>
  </r>
  <r>
    <x v="4"/>
    <x v="0"/>
    <x v="0"/>
    <x v="0"/>
    <x v="0"/>
    <n v="3765.86"/>
    <x v="0"/>
    <x v="0"/>
  </r>
  <r>
    <x v="4"/>
    <x v="1"/>
    <x v="3"/>
    <x v="1"/>
    <x v="0"/>
    <n v="120074.73"/>
    <x v="1"/>
    <x v="21"/>
  </r>
  <r>
    <x v="4"/>
    <x v="2"/>
    <x v="3"/>
    <x v="1"/>
    <x v="0"/>
    <n v="120074.73"/>
    <x v="1"/>
    <x v="21"/>
  </r>
  <r>
    <x v="4"/>
    <x v="0"/>
    <x v="0"/>
    <x v="0"/>
    <x v="0"/>
    <n v="3728.76"/>
    <x v="0"/>
    <x v="0"/>
  </r>
  <r>
    <x v="4"/>
    <x v="2"/>
    <x v="2"/>
    <x v="0"/>
    <x v="0"/>
    <n v="89888.52"/>
    <x v="0"/>
    <x v="0"/>
  </r>
  <r>
    <x v="4"/>
    <x v="1"/>
    <x v="2"/>
    <x v="0"/>
    <x v="0"/>
    <n v="30608.52"/>
    <x v="0"/>
    <x v="0"/>
  </r>
  <r>
    <x v="4"/>
    <x v="0"/>
    <x v="1"/>
    <x v="0"/>
    <x v="0"/>
    <n v="489.56"/>
    <x v="0"/>
    <x v="0"/>
  </r>
  <r>
    <x v="4"/>
    <x v="0"/>
    <x v="2"/>
    <x v="0"/>
    <x v="0"/>
    <n v="10814.39"/>
    <x v="0"/>
    <x v="0"/>
  </r>
  <r>
    <x v="4"/>
    <x v="3"/>
    <x v="0"/>
    <x v="0"/>
    <x v="0"/>
    <n v="1251.24"/>
    <x v="0"/>
    <x v="0"/>
  </r>
  <r>
    <x v="4"/>
    <x v="3"/>
    <x v="1"/>
    <x v="0"/>
    <x v="0"/>
    <n v="68.95"/>
    <x v="0"/>
    <x v="0"/>
  </r>
  <r>
    <x v="4"/>
    <x v="0"/>
    <x v="2"/>
    <x v="0"/>
    <x v="0"/>
    <n v="28965.75"/>
    <x v="0"/>
    <x v="0"/>
  </r>
  <r>
    <x v="4"/>
    <x v="0"/>
    <x v="0"/>
    <x v="0"/>
    <x v="0"/>
    <n v="2273.88"/>
    <x v="0"/>
    <x v="0"/>
  </r>
  <r>
    <x v="4"/>
    <x v="0"/>
    <x v="0"/>
    <x v="0"/>
    <x v="0"/>
    <n v="4289.33"/>
    <x v="0"/>
    <x v="0"/>
  </r>
  <r>
    <x v="4"/>
    <x v="0"/>
    <x v="0"/>
    <x v="0"/>
    <x v="0"/>
    <n v="3710.8"/>
    <x v="0"/>
    <x v="0"/>
  </r>
  <r>
    <x v="4"/>
    <x v="0"/>
    <x v="0"/>
    <x v="0"/>
    <x v="0"/>
    <n v="5513.44"/>
    <x v="0"/>
    <x v="0"/>
  </r>
  <r>
    <x v="4"/>
    <x v="0"/>
    <x v="0"/>
    <x v="0"/>
    <x v="0"/>
    <n v="6225.18"/>
    <x v="0"/>
    <x v="0"/>
  </r>
  <r>
    <x v="4"/>
    <x v="0"/>
    <x v="0"/>
    <x v="0"/>
    <x v="0"/>
    <n v="5352.45"/>
    <x v="0"/>
    <x v="0"/>
  </r>
  <r>
    <x v="4"/>
    <x v="0"/>
    <x v="0"/>
    <x v="0"/>
    <x v="0"/>
    <n v="3543.75"/>
    <x v="0"/>
    <x v="0"/>
  </r>
  <r>
    <x v="4"/>
    <x v="0"/>
    <x v="1"/>
    <x v="0"/>
    <x v="0"/>
    <n v="52.58"/>
    <x v="0"/>
    <x v="0"/>
  </r>
  <r>
    <x v="4"/>
    <x v="0"/>
    <x v="0"/>
    <x v="0"/>
    <x v="0"/>
    <n v="2070.73"/>
    <x v="0"/>
    <x v="0"/>
  </r>
  <r>
    <x v="4"/>
    <x v="0"/>
    <x v="1"/>
    <x v="0"/>
    <x v="0"/>
    <n v="247.56"/>
    <x v="0"/>
    <x v="0"/>
  </r>
  <r>
    <x v="4"/>
    <x v="0"/>
    <x v="0"/>
    <x v="0"/>
    <x v="0"/>
    <n v="9201.12"/>
    <x v="0"/>
    <x v="0"/>
  </r>
  <r>
    <x v="4"/>
    <x v="0"/>
    <x v="2"/>
    <x v="0"/>
    <x v="0"/>
    <n v="11936"/>
    <x v="0"/>
    <x v="0"/>
  </r>
  <r>
    <x v="4"/>
    <x v="0"/>
    <x v="0"/>
    <x v="0"/>
    <x v="0"/>
    <n v="5146.88"/>
    <x v="0"/>
    <x v="0"/>
  </r>
  <r>
    <x v="4"/>
    <x v="0"/>
    <x v="0"/>
    <x v="0"/>
    <x v="0"/>
    <n v="7429.59"/>
    <x v="0"/>
    <x v="0"/>
  </r>
  <r>
    <x v="4"/>
    <x v="0"/>
    <x v="2"/>
    <x v="0"/>
    <x v="0"/>
    <n v="10260.12"/>
    <x v="0"/>
    <x v="0"/>
  </r>
  <r>
    <x v="4"/>
    <x v="0"/>
    <x v="0"/>
    <x v="0"/>
    <x v="0"/>
    <n v="2728.03"/>
    <x v="0"/>
    <x v="0"/>
  </r>
  <r>
    <x v="4"/>
    <x v="2"/>
    <x v="2"/>
    <x v="0"/>
    <x v="0"/>
    <n v="72688.93"/>
    <x v="0"/>
    <x v="0"/>
  </r>
  <r>
    <x v="4"/>
    <x v="3"/>
    <x v="0"/>
    <x v="0"/>
    <x v="0"/>
    <n v="3068.71"/>
    <x v="0"/>
    <x v="0"/>
  </r>
  <r>
    <x v="4"/>
    <x v="0"/>
    <x v="2"/>
    <x v="0"/>
    <x v="0"/>
    <n v="17770.7"/>
    <x v="0"/>
    <x v="0"/>
  </r>
  <r>
    <x v="4"/>
    <x v="0"/>
    <x v="0"/>
    <x v="0"/>
    <x v="0"/>
    <n v="5851.45"/>
    <x v="0"/>
    <x v="0"/>
  </r>
  <r>
    <x v="4"/>
    <x v="0"/>
    <x v="2"/>
    <x v="0"/>
    <x v="0"/>
    <n v="11446.18"/>
    <x v="0"/>
    <x v="0"/>
  </r>
  <r>
    <x v="4"/>
    <x v="0"/>
    <x v="1"/>
    <x v="0"/>
    <x v="0"/>
    <n v="88.17"/>
    <x v="0"/>
    <x v="0"/>
  </r>
  <r>
    <x v="4"/>
    <x v="2"/>
    <x v="2"/>
    <x v="0"/>
    <x v="0"/>
    <n v="74375.02"/>
    <x v="0"/>
    <x v="0"/>
  </r>
  <r>
    <x v="4"/>
    <x v="0"/>
    <x v="0"/>
    <x v="0"/>
    <x v="0"/>
    <n v="1661.29"/>
    <x v="0"/>
    <x v="0"/>
  </r>
  <r>
    <x v="4"/>
    <x v="0"/>
    <x v="2"/>
    <x v="0"/>
    <x v="0"/>
    <n v="25185.32"/>
    <x v="0"/>
    <x v="0"/>
  </r>
  <r>
    <x v="4"/>
    <x v="0"/>
    <x v="0"/>
    <x v="0"/>
    <x v="0"/>
    <n v="4255.36"/>
    <x v="0"/>
    <x v="0"/>
  </r>
  <r>
    <x v="4"/>
    <x v="2"/>
    <x v="3"/>
    <x v="0"/>
    <x v="0"/>
    <n v="139705.19"/>
    <x v="0"/>
    <x v="0"/>
  </r>
  <r>
    <x v="4"/>
    <x v="0"/>
    <x v="0"/>
    <x v="0"/>
    <x v="0"/>
    <n v="7651.8"/>
    <x v="0"/>
    <x v="0"/>
  </r>
  <r>
    <x v="4"/>
    <x v="0"/>
    <x v="1"/>
    <x v="0"/>
    <x v="0"/>
    <n v="267.92"/>
    <x v="0"/>
    <x v="0"/>
  </r>
  <r>
    <x v="4"/>
    <x v="2"/>
    <x v="3"/>
    <x v="0"/>
    <x v="0"/>
    <n v="164935.63"/>
    <x v="0"/>
    <x v="0"/>
  </r>
  <r>
    <x v="4"/>
    <x v="2"/>
    <x v="3"/>
    <x v="0"/>
    <x v="0"/>
    <n v="247480.23"/>
    <x v="0"/>
    <x v="0"/>
  </r>
  <r>
    <x v="4"/>
    <x v="0"/>
    <x v="0"/>
    <x v="0"/>
    <x v="0"/>
    <n v="4927.23"/>
    <x v="0"/>
    <x v="0"/>
  </r>
  <r>
    <x v="4"/>
    <x v="0"/>
    <x v="0"/>
    <x v="0"/>
    <x v="0"/>
    <n v="3864.48"/>
    <x v="0"/>
    <x v="0"/>
  </r>
  <r>
    <x v="4"/>
    <x v="0"/>
    <x v="0"/>
    <x v="0"/>
    <x v="0"/>
    <n v="6579.48"/>
    <x v="0"/>
    <x v="0"/>
  </r>
  <r>
    <x v="4"/>
    <x v="1"/>
    <x v="2"/>
    <x v="0"/>
    <x v="0"/>
    <n v="84466.1"/>
    <x v="0"/>
    <x v="0"/>
  </r>
  <r>
    <x v="4"/>
    <x v="0"/>
    <x v="0"/>
    <x v="0"/>
    <x v="0"/>
    <n v="2927.68"/>
    <x v="0"/>
    <x v="0"/>
  </r>
  <r>
    <x v="4"/>
    <x v="0"/>
    <x v="0"/>
    <x v="0"/>
    <x v="0"/>
    <n v="6484.32"/>
    <x v="0"/>
    <x v="0"/>
  </r>
  <r>
    <x v="4"/>
    <x v="2"/>
    <x v="3"/>
    <x v="0"/>
    <x v="0"/>
    <n v="128823.03"/>
    <x v="0"/>
    <x v="0"/>
  </r>
  <r>
    <x v="4"/>
    <x v="0"/>
    <x v="1"/>
    <x v="0"/>
    <x v="0"/>
    <n v="836.64"/>
    <x v="0"/>
    <x v="0"/>
  </r>
  <r>
    <x v="4"/>
    <x v="4"/>
    <x v="3"/>
    <x v="0"/>
    <x v="0"/>
    <n v="348231.98"/>
    <x v="0"/>
    <x v="0"/>
  </r>
  <r>
    <x v="4"/>
    <x v="0"/>
    <x v="0"/>
    <x v="0"/>
    <x v="0"/>
    <n v="1158.71"/>
    <x v="0"/>
    <x v="0"/>
  </r>
  <r>
    <x v="4"/>
    <x v="4"/>
    <x v="3"/>
    <x v="0"/>
    <x v="0"/>
    <n v="746177.2"/>
    <x v="0"/>
    <x v="0"/>
  </r>
  <r>
    <x v="4"/>
    <x v="4"/>
    <x v="3"/>
    <x v="0"/>
    <x v="0"/>
    <n v="225812.6"/>
    <x v="0"/>
    <x v="0"/>
  </r>
  <r>
    <x v="4"/>
    <x v="4"/>
    <x v="3"/>
    <x v="0"/>
    <x v="0"/>
    <n v="171335.97"/>
    <x v="0"/>
    <x v="0"/>
  </r>
  <r>
    <x v="4"/>
    <x v="4"/>
    <x v="3"/>
    <x v="0"/>
    <x v="0"/>
    <n v="260004.65"/>
    <x v="0"/>
    <x v="0"/>
  </r>
  <r>
    <x v="4"/>
    <x v="4"/>
    <x v="3"/>
    <x v="0"/>
    <x v="0"/>
    <n v="122539.12"/>
    <x v="0"/>
    <x v="0"/>
  </r>
  <r>
    <x v="4"/>
    <x v="4"/>
    <x v="3"/>
    <x v="0"/>
    <x v="0"/>
    <n v="217846.27"/>
    <x v="0"/>
    <x v="0"/>
  </r>
  <r>
    <x v="4"/>
    <x v="4"/>
    <x v="3"/>
    <x v="0"/>
    <x v="0"/>
    <n v="596406.73"/>
    <x v="0"/>
    <x v="0"/>
  </r>
  <r>
    <x v="4"/>
    <x v="4"/>
    <x v="3"/>
    <x v="0"/>
    <x v="0"/>
    <n v="673111.47"/>
    <x v="0"/>
    <x v="0"/>
  </r>
  <r>
    <x v="4"/>
    <x v="4"/>
    <x v="3"/>
    <x v="0"/>
    <x v="0"/>
    <n v="298431.03"/>
    <x v="0"/>
    <x v="0"/>
  </r>
  <r>
    <x v="4"/>
    <x v="4"/>
    <x v="2"/>
    <x v="0"/>
    <x v="0"/>
    <n v="39058.08"/>
    <x v="0"/>
    <x v="0"/>
  </r>
  <r>
    <x v="4"/>
    <x v="4"/>
    <x v="3"/>
    <x v="0"/>
    <x v="0"/>
    <n v="106334.08"/>
    <x v="0"/>
    <x v="0"/>
  </r>
  <r>
    <x v="4"/>
    <x v="4"/>
    <x v="3"/>
    <x v="0"/>
    <x v="0"/>
    <n v="354741.15"/>
    <x v="0"/>
    <x v="0"/>
  </r>
  <r>
    <x v="4"/>
    <x v="4"/>
    <x v="3"/>
    <x v="0"/>
    <x v="0"/>
    <n v="223115.02"/>
    <x v="0"/>
    <x v="0"/>
  </r>
  <r>
    <x v="4"/>
    <x v="4"/>
    <x v="2"/>
    <x v="0"/>
    <x v="0"/>
    <n v="63737.25"/>
    <x v="0"/>
    <x v="0"/>
  </r>
  <r>
    <x v="4"/>
    <x v="4"/>
    <x v="2"/>
    <x v="0"/>
    <x v="0"/>
    <n v="84014.41"/>
    <x v="0"/>
    <x v="0"/>
  </r>
  <r>
    <x v="4"/>
    <x v="4"/>
    <x v="3"/>
    <x v="0"/>
    <x v="0"/>
    <n v="178040.87"/>
    <x v="0"/>
    <x v="0"/>
  </r>
  <r>
    <x v="4"/>
    <x v="4"/>
    <x v="3"/>
    <x v="0"/>
    <x v="0"/>
    <n v="334503.92"/>
    <x v="0"/>
    <x v="0"/>
  </r>
  <r>
    <x v="4"/>
    <x v="4"/>
    <x v="2"/>
    <x v="0"/>
    <x v="0"/>
    <n v="75978.27"/>
    <x v="0"/>
    <x v="0"/>
  </r>
  <r>
    <x v="4"/>
    <x v="4"/>
    <x v="3"/>
    <x v="0"/>
    <x v="0"/>
    <n v="396286.33"/>
    <x v="0"/>
    <x v="0"/>
  </r>
  <r>
    <x v="4"/>
    <x v="4"/>
    <x v="2"/>
    <x v="0"/>
    <x v="0"/>
    <n v="82914.35"/>
    <x v="0"/>
    <x v="0"/>
  </r>
  <r>
    <x v="4"/>
    <x v="4"/>
    <x v="2"/>
    <x v="0"/>
    <x v="0"/>
    <n v="83707.76"/>
    <x v="0"/>
    <x v="0"/>
  </r>
  <r>
    <x v="4"/>
    <x v="4"/>
    <x v="2"/>
    <x v="0"/>
    <x v="0"/>
    <n v="17431.43"/>
    <x v="0"/>
    <x v="0"/>
  </r>
  <r>
    <x v="4"/>
    <x v="4"/>
    <x v="2"/>
    <x v="0"/>
    <x v="0"/>
    <n v="76579.67"/>
    <x v="0"/>
    <x v="0"/>
  </r>
  <r>
    <x v="4"/>
    <x v="4"/>
    <x v="3"/>
    <x v="0"/>
    <x v="0"/>
    <n v="197165.91"/>
    <x v="0"/>
    <x v="0"/>
  </r>
  <r>
    <x v="4"/>
    <x v="4"/>
    <x v="0"/>
    <x v="0"/>
    <x v="0"/>
    <n v="5159.29"/>
    <x v="0"/>
    <x v="0"/>
  </r>
  <r>
    <x v="4"/>
    <x v="4"/>
    <x v="2"/>
    <x v="0"/>
    <x v="0"/>
    <n v="40210.51"/>
    <x v="0"/>
    <x v="0"/>
  </r>
  <r>
    <x v="4"/>
    <x v="4"/>
    <x v="3"/>
    <x v="0"/>
    <x v="0"/>
    <n v="158367.85"/>
    <x v="0"/>
    <x v="0"/>
  </r>
  <r>
    <x v="4"/>
    <x v="4"/>
    <x v="2"/>
    <x v="0"/>
    <x v="0"/>
    <n v="81886.69"/>
    <x v="0"/>
    <x v="0"/>
  </r>
  <r>
    <x v="4"/>
    <x v="4"/>
    <x v="3"/>
    <x v="0"/>
    <x v="0"/>
    <n v="176095.63"/>
    <x v="0"/>
    <x v="0"/>
  </r>
  <r>
    <x v="4"/>
    <x v="4"/>
    <x v="3"/>
    <x v="0"/>
    <x v="0"/>
    <n v="258127.75"/>
    <x v="0"/>
    <x v="0"/>
  </r>
  <r>
    <x v="4"/>
    <x v="4"/>
    <x v="3"/>
    <x v="0"/>
    <x v="0"/>
    <n v="378866.85"/>
    <x v="0"/>
    <x v="0"/>
  </r>
  <r>
    <x v="4"/>
    <x v="4"/>
    <x v="3"/>
    <x v="0"/>
    <x v="0"/>
    <n v="281300.4"/>
    <x v="0"/>
    <x v="0"/>
  </r>
  <r>
    <x v="4"/>
    <x v="4"/>
    <x v="2"/>
    <x v="0"/>
    <x v="0"/>
    <n v="16427.61"/>
    <x v="0"/>
    <x v="0"/>
  </r>
  <r>
    <x v="4"/>
    <x v="4"/>
    <x v="3"/>
    <x v="0"/>
    <x v="0"/>
    <n v="157301.05"/>
    <x v="0"/>
    <x v="0"/>
  </r>
  <r>
    <x v="4"/>
    <x v="4"/>
    <x v="3"/>
    <x v="0"/>
    <x v="0"/>
    <n v="644028.87"/>
    <x v="0"/>
    <x v="0"/>
  </r>
  <r>
    <x v="4"/>
    <x v="4"/>
    <x v="3"/>
    <x v="0"/>
    <x v="0"/>
    <n v="375306.09"/>
    <x v="0"/>
    <x v="0"/>
  </r>
  <r>
    <x v="4"/>
    <x v="4"/>
    <x v="2"/>
    <x v="0"/>
    <x v="0"/>
    <n v="44538.32"/>
    <x v="0"/>
    <x v="0"/>
  </r>
  <r>
    <x v="4"/>
    <x v="4"/>
    <x v="3"/>
    <x v="0"/>
    <x v="0"/>
    <n v="119336.24"/>
    <x v="0"/>
    <x v="0"/>
  </r>
  <r>
    <x v="4"/>
    <x v="4"/>
    <x v="3"/>
    <x v="0"/>
    <x v="0"/>
    <n v="255710.36"/>
    <x v="0"/>
    <x v="0"/>
  </r>
  <r>
    <x v="4"/>
    <x v="4"/>
    <x v="2"/>
    <x v="0"/>
    <x v="0"/>
    <n v="94588.1"/>
    <x v="0"/>
    <x v="0"/>
  </r>
  <r>
    <x v="4"/>
    <x v="4"/>
    <x v="3"/>
    <x v="0"/>
    <x v="0"/>
    <n v="231917.45"/>
    <x v="0"/>
    <x v="0"/>
  </r>
  <r>
    <x v="4"/>
    <x v="4"/>
    <x v="2"/>
    <x v="0"/>
    <x v="0"/>
    <n v="84189.52"/>
    <x v="0"/>
    <x v="0"/>
  </r>
  <r>
    <x v="4"/>
    <x v="4"/>
    <x v="2"/>
    <x v="0"/>
    <x v="0"/>
    <n v="49251.21"/>
    <x v="0"/>
    <x v="0"/>
  </r>
  <r>
    <x v="4"/>
    <x v="4"/>
    <x v="3"/>
    <x v="0"/>
    <x v="0"/>
    <n v="257208.23"/>
    <x v="0"/>
    <x v="0"/>
  </r>
  <r>
    <x v="4"/>
    <x v="4"/>
    <x v="2"/>
    <x v="0"/>
    <x v="0"/>
    <n v="20337.14"/>
    <x v="0"/>
    <x v="0"/>
  </r>
  <r>
    <x v="4"/>
    <x v="4"/>
    <x v="2"/>
    <x v="0"/>
    <x v="0"/>
    <n v="74948.39"/>
    <x v="0"/>
    <x v="0"/>
  </r>
  <r>
    <x v="4"/>
    <x v="4"/>
    <x v="3"/>
    <x v="0"/>
    <x v="0"/>
    <n v="243756.18"/>
    <x v="0"/>
    <x v="0"/>
  </r>
  <r>
    <x v="4"/>
    <x v="4"/>
    <x v="2"/>
    <x v="0"/>
    <x v="0"/>
    <n v="21391.13"/>
    <x v="0"/>
    <x v="0"/>
  </r>
  <r>
    <x v="4"/>
    <x v="4"/>
    <x v="2"/>
    <x v="0"/>
    <x v="0"/>
    <n v="31416.69"/>
    <x v="0"/>
    <x v="0"/>
  </r>
  <r>
    <x v="4"/>
    <x v="4"/>
    <x v="3"/>
    <x v="0"/>
    <x v="0"/>
    <n v="123951.78"/>
    <x v="0"/>
    <x v="0"/>
  </r>
  <r>
    <x v="4"/>
    <x v="4"/>
    <x v="2"/>
    <x v="0"/>
    <x v="0"/>
    <n v="67056.65"/>
    <x v="0"/>
    <x v="0"/>
  </r>
  <r>
    <x v="4"/>
    <x v="4"/>
    <x v="2"/>
    <x v="0"/>
    <x v="0"/>
    <n v="20410.45"/>
    <x v="0"/>
    <x v="0"/>
  </r>
  <r>
    <x v="4"/>
    <x v="4"/>
    <x v="2"/>
    <x v="0"/>
    <x v="0"/>
    <n v="29351.64"/>
    <x v="0"/>
    <x v="0"/>
  </r>
  <r>
    <x v="4"/>
    <x v="4"/>
    <x v="2"/>
    <x v="0"/>
    <x v="0"/>
    <n v="58431.85"/>
    <x v="0"/>
    <x v="0"/>
  </r>
  <r>
    <x v="4"/>
    <x v="4"/>
    <x v="3"/>
    <x v="0"/>
    <x v="0"/>
    <n v="182501.56"/>
    <x v="0"/>
    <x v="0"/>
  </r>
  <r>
    <x v="4"/>
    <x v="4"/>
    <x v="2"/>
    <x v="0"/>
    <x v="0"/>
    <n v="17101.74"/>
    <x v="0"/>
    <x v="0"/>
  </r>
  <r>
    <x v="4"/>
    <x v="4"/>
    <x v="2"/>
    <x v="0"/>
    <x v="0"/>
    <n v="24248.86"/>
    <x v="0"/>
    <x v="0"/>
  </r>
  <r>
    <x v="4"/>
    <x v="4"/>
    <x v="3"/>
    <x v="0"/>
    <x v="0"/>
    <n v="585796.59"/>
    <x v="0"/>
    <x v="0"/>
  </r>
  <r>
    <x v="4"/>
    <x v="4"/>
    <x v="2"/>
    <x v="0"/>
    <x v="0"/>
    <n v="12163.38"/>
    <x v="0"/>
    <x v="0"/>
  </r>
  <r>
    <x v="4"/>
    <x v="4"/>
    <x v="3"/>
    <x v="0"/>
    <x v="0"/>
    <n v="208834.32"/>
    <x v="0"/>
    <x v="0"/>
  </r>
  <r>
    <x v="4"/>
    <x v="4"/>
    <x v="3"/>
    <x v="0"/>
    <x v="0"/>
    <n v="360262.92"/>
    <x v="0"/>
    <x v="0"/>
  </r>
  <r>
    <x v="4"/>
    <x v="4"/>
    <x v="3"/>
    <x v="0"/>
    <x v="0"/>
    <n v="129630.74"/>
    <x v="0"/>
    <x v="0"/>
  </r>
  <r>
    <x v="4"/>
    <x v="4"/>
    <x v="3"/>
    <x v="0"/>
    <x v="0"/>
    <n v="130078.54"/>
    <x v="0"/>
    <x v="0"/>
  </r>
  <r>
    <x v="4"/>
    <x v="4"/>
    <x v="3"/>
    <x v="0"/>
    <x v="0"/>
    <n v="125558.59"/>
    <x v="0"/>
    <x v="0"/>
  </r>
  <r>
    <x v="4"/>
    <x v="4"/>
    <x v="3"/>
    <x v="0"/>
    <x v="0"/>
    <n v="357885.34"/>
    <x v="0"/>
    <x v="0"/>
  </r>
  <r>
    <x v="4"/>
    <x v="4"/>
    <x v="3"/>
    <x v="0"/>
    <x v="0"/>
    <n v="281196.15"/>
    <x v="0"/>
    <x v="0"/>
  </r>
  <r>
    <x v="4"/>
    <x v="4"/>
    <x v="2"/>
    <x v="0"/>
    <x v="0"/>
    <n v="59784.87"/>
    <x v="0"/>
    <x v="0"/>
  </r>
  <r>
    <x v="4"/>
    <x v="4"/>
    <x v="3"/>
    <x v="0"/>
    <x v="0"/>
    <n v="181240.21"/>
    <x v="0"/>
    <x v="0"/>
  </r>
  <r>
    <x v="4"/>
    <x v="4"/>
    <x v="3"/>
    <x v="0"/>
    <x v="0"/>
    <n v="140216.68"/>
    <x v="0"/>
    <x v="0"/>
  </r>
  <r>
    <x v="4"/>
    <x v="4"/>
    <x v="2"/>
    <x v="0"/>
    <x v="0"/>
    <n v="81126.42"/>
    <x v="0"/>
    <x v="0"/>
  </r>
  <r>
    <x v="4"/>
    <x v="0"/>
    <x v="1"/>
    <x v="0"/>
    <x v="0"/>
    <n v="718.51"/>
    <x v="0"/>
    <x v="0"/>
  </r>
  <r>
    <x v="4"/>
    <x v="4"/>
    <x v="3"/>
    <x v="0"/>
    <x v="0"/>
    <n v="861582.21"/>
    <x v="0"/>
    <x v="0"/>
  </r>
  <r>
    <x v="4"/>
    <x v="4"/>
    <x v="3"/>
    <x v="0"/>
    <x v="0"/>
    <n v="185257.33"/>
    <x v="0"/>
    <x v="0"/>
  </r>
  <r>
    <x v="4"/>
    <x v="4"/>
    <x v="3"/>
    <x v="0"/>
    <x v="0"/>
    <n v="250891.95"/>
    <x v="0"/>
    <x v="0"/>
  </r>
  <r>
    <x v="4"/>
    <x v="4"/>
    <x v="3"/>
    <x v="0"/>
    <x v="0"/>
    <n v="119072.9"/>
    <x v="0"/>
    <x v="0"/>
  </r>
  <r>
    <x v="4"/>
    <x v="4"/>
    <x v="3"/>
    <x v="0"/>
    <x v="0"/>
    <n v="101055.18"/>
    <x v="0"/>
    <x v="0"/>
  </r>
  <r>
    <x v="4"/>
    <x v="4"/>
    <x v="3"/>
    <x v="0"/>
    <x v="0"/>
    <n v="128336.28"/>
    <x v="0"/>
    <x v="0"/>
  </r>
  <r>
    <x v="4"/>
    <x v="4"/>
    <x v="2"/>
    <x v="0"/>
    <x v="0"/>
    <n v="71887"/>
    <x v="0"/>
    <x v="0"/>
  </r>
  <r>
    <x v="4"/>
    <x v="4"/>
    <x v="3"/>
    <x v="0"/>
    <x v="0"/>
    <n v="366645.12"/>
    <x v="0"/>
    <x v="0"/>
  </r>
  <r>
    <x v="4"/>
    <x v="4"/>
    <x v="3"/>
    <x v="0"/>
    <x v="0"/>
    <n v="281593.55"/>
    <x v="0"/>
    <x v="0"/>
  </r>
  <r>
    <x v="4"/>
    <x v="4"/>
    <x v="3"/>
    <x v="0"/>
    <x v="0"/>
    <n v="145475.51"/>
    <x v="0"/>
    <x v="0"/>
  </r>
  <r>
    <x v="4"/>
    <x v="4"/>
    <x v="3"/>
    <x v="0"/>
    <x v="0"/>
    <n v="380950.81"/>
    <x v="0"/>
    <x v="0"/>
  </r>
  <r>
    <x v="4"/>
    <x v="4"/>
    <x v="3"/>
    <x v="0"/>
    <x v="0"/>
    <n v="566903.96"/>
    <x v="0"/>
    <x v="0"/>
  </r>
  <r>
    <x v="4"/>
    <x v="4"/>
    <x v="3"/>
    <x v="0"/>
    <x v="0"/>
    <n v="201464.96"/>
    <x v="0"/>
    <x v="0"/>
  </r>
  <r>
    <x v="4"/>
    <x v="4"/>
    <x v="2"/>
    <x v="0"/>
    <x v="0"/>
    <n v="16593.82"/>
    <x v="0"/>
    <x v="0"/>
  </r>
  <r>
    <x v="4"/>
    <x v="4"/>
    <x v="2"/>
    <x v="0"/>
    <x v="0"/>
    <n v="78588.13"/>
    <x v="0"/>
    <x v="0"/>
  </r>
  <r>
    <x v="4"/>
    <x v="4"/>
    <x v="3"/>
    <x v="0"/>
    <x v="0"/>
    <n v="185680.98"/>
    <x v="0"/>
    <x v="0"/>
  </r>
  <r>
    <x v="4"/>
    <x v="4"/>
    <x v="2"/>
    <x v="0"/>
    <x v="0"/>
    <n v="67017.13"/>
    <x v="0"/>
    <x v="0"/>
  </r>
  <r>
    <x v="4"/>
    <x v="4"/>
    <x v="3"/>
    <x v="0"/>
    <x v="0"/>
    <n v="122744.28"/>
    <x v="0"/>
    <x v="0"/>
  </r>
  <r>
    <x v="4"/>
    <x v="4"/>
    <x v="3"/>
    <x v="0"/>
    <x v="0"/>
    <n v="414729.24"/>
    <x v="0"/>
    <x v="0"/>
  </r>
  <r>
    <x v="4"/>
    <x v="4"/>
    <x v="3"/>
    <x v="0"/>
    <x v="0"/>
    <n v="328776.1"/>
    <x v="0"/>
    <x v="0"/>
  </r>
  <r>
    <x v="4"/>
    <x v="4"/>
    <x v="2"/>
    <x v="0"/>
    <x v="0"/>
    <n v="50535.87"/>
    <x v="0"/>
    <x v="0"/>
  </r>
  <r>
    <x v="4"/>
    <x v="4"/>
    <x v="2"/>
    <x v="0"/>
    <x v="0"/>
    <n v="10870.95"/>
    <x v="0"/>
    <x v="0"/>
  </r>
  <r>
    <x v="4"/>
    <x v="4"/>
    <x v="2"/>
    <x v="0"/>
    <x v="0"/>
    <n v="44694.86"/>
    <x v="0"/>
    <x v="0"/>
  </r>
  <r>
    <x v="4"/>
    <x v="4"/>
    <x v="3"/>
    <x v="0"/>
    <x v="0"/>
    <n v="208812.28"/>
    <x v="0"/>
    <x v="0"/>
  </r>
  <r>
    <x v="4"/>
    <x v="4"/>
    <x v="3"/>
    <x v="0"/>
    <x v="0"/>
    <n v="146193.7"/>
    <x v="0"/>
    <x v="0"/>
  </r>
  <r>
    <x v="4"/>
    <x v="4"/>
    <x v="3"/>
    <x v="0"/>
    <x v="0"/>
    <n v="201261.11"/>
    <x v="0"/>
    <x v="0"/>
  </r>
  <r>
    <x v="4"/>
    <x v="4"/>
    <x v="3"/>
    <x v="0"/>
    <x v="0"/>
    <n v="132745.75"/>
    <x v="0"/>
    <x v="0"/>
  </r>
  <r>
    <x v="4"/>
    <x v="4"/>
    <x v="3"/>
    <x v="0"/>
    <x v="0"/>
    <n v="102749.59"/>
    <x v="0"/>
    <x v="0"/>
  </r>
  <r>
    <x v="4"/>
    <x v="4"/>
    <x v="3"/>
    <x v="0"/>
    <x v="0"/>
    <n v="425052.43"/>
    <x v="0"/>
    <x v="0"/>
  </r>
  <r>
    <x v="4"/>
    <x v="4"/>
    <x v="3"/>
    <x v="0"/>
    <x v="0"/>
    <n v="133038.81"/>
    <x v="0"/>
    <x v="0"/>
  </r>
  <r>
    <x v="4"/>
    <x v="4"/>
    <x v="2"/>
    <x v="0"/>
    <x v="0"/>
    <n v="44347.45"/>
    <x v="0"/>
    <x v="0"/>
  </r>
  <r>
    <x v="4"/>
    <x v="4"/>
    <x v="3"/>
    <x v="0"/>
    <x v="0"/>
    <n v="542616.63"/>
    <x v="0"/>
    <x v="0"/>
  </r>
  <r>
    <x v="4"/>
    <x v="4"/>
    <x v="3"/>
    <x v="0"/>
    <x v="0"/>
    <n v="178230.41"/>
    <x v="0"/>
    <x v="0"/>
  </r>
  <r>
    <x v="4"/>
    <x v="4"/>
    <x v="3"/>
    <x v="0"/>
    <x v="0"/>
    <n v="138641.99"/>
    <x v="0"/>
    <x v="0"/>
  </r>
  <r>
    <x v="4"/>
    <x v="4"/>
    <x v="2"/>
    <x v="0"/>
    <x v="0"/>
    <n v="61663.75"/>
    <x v="0"/>
    <x v="0"/>
  </r>
  <r>
    <x v="4"/>
    <x v="0"/>
    <x v="0"/>
    <x v="0"/>
    <x v="0"/>
    <n v="5922.53"/>
    <x v="0"/>
    <x v="0"/>
  </r>
  <r>
    <x v="4"/>
    <x v="0"/>
    <x v="0"/>
    <x v="0"/>
    <x v="0"/>
    <n v="3046.6"/>
    <x v="0"/>
    <x v="0"/>
  </r>
  <r>
    <x v="4"/>
    <x v="0"/>
    <x v="0"/>
    <x v="0"/>
    <x v="0"/>
    <n v="4158.31"/>
    <x v="0"/>
    <x v="0"/>
  </r>
  <r>
    <x v="4"/>
    <x v="0"/>
    <x v="0"/>
    <x v="0"/>
    <x v="0"/>
    <n v="4372.99"/>
    <x v="0"/>
    <x v="0"/>
  </r>
  <r>
    <x v="4"/>
    <x v="0"/>
    <x v="0"/>
    <x v="0"/>
    <x v="0"/>
    <n v="6448.84"/>
    <x v="0"/>
    <x v="0"/>
  </r>
  <r>
    <x v="4"/>
    <x v="0"/>
    <x v="1"/>
    <x v="0"/>
    <x v="0"/>
    <n v="72.23"/>
    <x v="0"/>
    <x v="0"/>
  </r>
  <r>
    <x v="4"/>
    <x v="0"/>
    <x v="0"/>
    <x v="0"/>
    <x v="0"/>
    <n v="2168.82"/>
    <x v="0"/>
    <x v="0"/>
  </r>
  <r>
    <x v="4"/>
    <x v="0"/>
    <x v="0"/>
    <x v="0"/>
    <x v="0"/>
    <n v="2593.74"/>
    <x v="0"/>
    <x v="0"/>
  </r>
  <r>
    <x v="4"/>
    <x v="0"/>
    <x v="0"/>
    <x v="0"/>
    <x v="0"/>
    <n v="4216.05"/>
    <x v="0"/>
    <x v="0"/>
  </r>
  <r>
    <x v="4"/>
    <x v="0"/>
    <x v="0"/>
    <x v="0"/>
    <x v="0"/>
    <n v="6736.13"/>
    <x v="0"/>
    <x v="0"/>
  </r>
  <r>
    <x v="4"/>
    <x v="0"/>
    <x v="0"/>
    <x v="0"/>
    <x v="0"/>
    <n v="4295.28"/>
    <x v="0"/>
    <x v="0"/>
  </r>
  <r>
    <x v="4"/>
    <x v="0"/>
    <x v="2"/>
    <x v="0"/>
    <x v="0"/>
    <n v="15192.75"/>
    <x v="0"/>
    <x v="0"/>
  </r>
  <r>
    <x v="4"/>
    <x v="0"/>
    <x v="0"/>
    <x v="0"/>
    <x v="0"/>
    <n v="2043.8"/>
    <x v="0"/>
    <x v="0"/>
  </r>
  <r>
    <x v="4"/>
    <x v="0"/>
    <x v="0"/>
    <x v="0"/>
    <x v="0"/>
    <n v="3320.35"/>
    <x v="0"/>
    <x v="0"/>
  </r>
  <r>
    <x v="4"/>
    <x v="0"/>
    <x v="2"/>
    <x v="0"/>
    <x v="0"/>
    <n v="26074.81"/>
    <x v="0"/>
    <x v="0"/>
  </r>
  <r>
    <x v="4"/>
    <x v="0"/>
    <x v="2"/>
    <x v="0"/>
    <x v="0"/>
    <n v="10381.46"/>
    <x v="0"/>
    <x v="0"/>
  </r>
  <r>
    <x v="4"/>
    <x v="0"/>
    <x v="0"/>
    <x v="0"/>
    <x v="0"/>
    <n v="2271.07"/>
    <x v="0"/>
    <x v="0"/>
  </r>
  <r>
    <x v="4"/>
    <x v="0"/>
    <x v="2"/>
    <x v="0"/>
    <x v="0"/>
    <n v="17315.71"/>
    <x v="0"/>
    <x v="0"/>
  </r>
  <r>
    <x v="4"/>
    <x v="0"/>
    <x v="0"/>
    <x v="0"/>
    <x v="0"/>
    <n v="1307.41"/>
    <x v="0"/>
    <x v="0"/>
  </r>
  <r>
    <x v="4"/>
    <x v="0"/>
    <x v="0"/>
    <x v="0"/>
    <x v="0"/>
    <n v="6279.22"/>
    <x v="0"/>
    <x v="0"/>
  </r>
  <r>
    <x v="4"/>
    <x v="0"/>
    <x v="2"/>
    <x v="0"/>
    <x v="0"/>
    <n v="25360.86"/>
    <x v="0"/>
    <x v="0"/>
  </r>
  <r>
    <x v="4"/>
    <x v="0"/>
    <x v="0"/>
    <x v="0"/>
    <x v="0"/>
    <n v="8392.42"/>
    <x v="0"/>
    <x v="0"/>
  </r>
  <r>
    <x v="4"/>
    <x v="0"/>
    <x v="0"/>
    <x v="0"/>
    <x v="0"/>
    <n v="3042.06"/>
    <x v="0"/>
    <x v="0"/>
  </r>
  <r>
    <x v="4"/>
    <x v="0"/>
    <x v="2"/>
    <x v="0"/>
    <x v="0"/>
    <n v="14144.91"/>
    <x v="0"/>
    <x v="0"/>
  </r>
  <r>
    <x v="4"/>
    <x v="0"/>
    <x v="2"/>
    <x v="0"/>
    <x v="0"/>
    <n v="11089.05"/>
    <x v="0"/>
    <x v="0"/>
  </r>
  <r>
    <x v="4"/>
    <x v="0"/>
    <x v="0"/>
    <x v="0"/>
    <x v="0"/>
    <n v="2519.75"/>
    <x v="0"/>
    <x v="0"/>
  </r>
  <r>
    <x v="4"/>
    <x v="0"/>
    <x v="0"/>
    <x v="0"/>
    <x v="0"/>
    <n v="4516.48"/>
    <x v="0"/>
    <x v="0"/>
  </r>
  <r>
    <x v="4"/>
    <x v="0"/>
    <x v="0"/>
    <x v="0"/>
    <x v="0"/>
    <n v="2964.64"/>
    <x v="0"/>
    <x v="0"/>
  </r>
  <r>
    <x v="4"/>
    <x v="3"/>
    <x v="0"/>
    <x v="0"/>
    <x v="0"/>
    <n v="2357.56"/>
    <x v="0"/>
    <x v="0"/>
  </r>
  <r>
    <x v="4"/>
    <x v="1"/>
    <x v="2"/>
    <x v="0"/>
    <x v="0"/>
    <n v="29352.63"/>
    <x v="0"/>
    <x v="0"/>
  </r>
  <r>
    <x v="4"/>
    <x v="2"/>
    <x v="2"/>
    <x v="0"/>
    <x v="0"/>
    <n v="84024.67"/>
    <x v="0"/>
    <x v="0"/>
  </r>
  <r>
    <x v="4"/>
    <x v="3"/>
    <x v="0"/>
    <x v="0"/>
    <x v="0"/>
    <n v="2746.99"/>
    <x v="0"/>
    <x v="0"/>
  </r>
  <r>
    <x v="4"/>
    <x v="3"/>
    <x v="0"/>
    <x v="0"/>
    <x v="0"/>
    <n v="1382.4"/>
    <x v="0"/>
    <x v="0"/>
  </r>
  <r>
    <x v="4"/>
    <x v="0"/>
    <x v="0"/>
    <x v="0"/>
    <x v="0"/>
    <n v="4585.58"/>
    <x v="0"/>
    <x v="0"/>
  </r>
  <r>
    <x v="4"/>
    <x v="0"/>
    <x v="0"/>
    <x v="0"/>
    <x v="0"/>
    <n v="6831.43"/>
    <x v="0"/>
    <x v="0"/>
  </r>
  <r>
    <x v="4"/>
    <x v="0"/>
    <x v="0"/>
    <x v="0"/>
    <x v="0"/>
    <n v="6016.97"/>
    <x v="0"/>
    <x v="0"/>
  </r>
  <r>
    <x v="4"/>
    <x v="0"/>
    <x v="0"/>
    <x v="0"/>
    <x v="0"/>
    <n v="1690.65"/>
    <x v="0"/>
    <x v="0"/>
  </r>
  <r>
    <x v="4"/>
    <x v="0"/>
    <x v="0"/>
    <x v="0"/>
    <x v="0"/>
    <n v="4669.87"/>
    <x v="0"/>
    <x v="0"/>
  </r>
  <r>
    <x v="4"/>
    <x v="0"/>
    <x v="0"/>
    <x v="0"/>
    <x v="0"/>
    <n v="4739.77"/>
    <x v="0"/>
    <x v="0"/>
  </r>
  <r>
    <x v="4"/>
    <x v="1"/>
    <x v="0"/>
    <x v="0"/>
    <x v="0"/>
    <n v="1221.69"/>
    <x v="0"/>
    <x v="0"/>
  </r>
  <r>
    <x v="4"/>
    <x v="0"/>
    <x v="1"/>
    <x v="0"/>
    <x v="0"/>
    <n v="252.71"/>
    <x v="0"/>
    <x v="0"/>
  </r>
  <r>
    <x v="4"/>
    <x v="0"/>
    <x v="1"/>
    <x v="0"/>
    <x v="0"/>
    <n v="642.27"/>
    <x v="0"/>
    <x v="0"/>
  </r>
  <r>
    <x v="4"/>
    <x v="3"/>
    <x v="0"/>
    <x v="0"/>
    <x v="0"/>
    <n v="2166.22"/>
    <x v="0"/>
    <x v="0"/>
  </r>
  <r>
    <x v="4"/>
    <x v="0"/>
    <x v="0"/>
    <x v="0"/>
    <x v="0"/>
    <n v="2151.85"/>
    <x v="0"/>
    <x v="0"/>
  </r>
  <r>
    <x v="4"/>
    <x v="0"/>
    <x v="2"/>
    <x v="0"/>
    <x v="0"/>
    <n v="22553.97"/>
    <x v="0"/>
    <x v="0"/>
  </r>
  <r>
    <x v="4"/>
    <x v="0"/>
    <x v="0"/>
    <x v="0"/>
    <x v="0"/>
    <n v="6229.86"/>
    <x v="0"/>
    <x v="0"/>
  </r>
  <r>
    <x v="4"/>
    <x v="0"/>
    <x v="0"/>
    <x v="0"/>
    <x v="0"/>
    <n v="4303.39"/>
    <x v="0"/>
    <x v="0"/>
  </r>
  <r>
    <x v="4"/>
    <x v="0"/>
    <x v="0"/>
    <x v="0"/>
    <x v="0"/>
    <n v="5576.3"/>
    <x v="0"/>
    <x v="0"/>
  </r>
  <r>
    <x v="4"/>
    <x v="2"/>
    <x v="3"/>
    <x v="0"/>
    <x v="0"/>
    <n v="211418.41"/>
    <x v="0"/>
    <x v="0"/>
  </r>
  <r>
    <x v="4"/>
    <x v="0"/>
    <x v="0"/>
    <x v="0"/>
    <x v="0"/>
    <n v="7775.3"/>
    <x v="0"/>
    <x v="0"/>
  </r>
  <r>
    <x v="4"/>
    <x v="0"/>
    <x v="0"/>
    <x v="0"/>
    <x v="0"/>
    <n v="1911.57"/>
    <x v="0"/>
    <x v="0"/>
  </r>
  <r>
    <x v="4"/>
    <x v="0"/>
    <x v="0"/>
    <x v="0"/>
    <x v="0"/>
    <n v="3259.56"/>
    <x v="0"/>
    <x v="0"/>
  </r>
  <r>
    <x v="4"/>
    <x v="0"/>
    <x v="0"/>
    <x v="0"/>
    <x v="0"/>
    <n v="2812.07"/>
    <x v="0"/>
    <x v="0"/>
  </r>
  <r>
    <x v="4"/>
    <x v="4"/>
    <x v="3"/>
    <x v="0"/>
    <x v="0"/>
    <n v="224763.96"/>
    <x v="0"/>
    <x v="0"/>
  </r>
  <r>
    <x v="4"/>
    <x v="4"/>
    <x v="3"/>
    <x v="0"/>
    <x v="0"/>
    <n v="106082"/>
    <x v="0"/>
    <x v="0"/>
  </r>
  <r>
    <x v="4"/>
    <x v="4"/>
    <x v="3"/>
    <x v="0"/>
    <x v="0"/>
    <n v="197677.22"/>
    <x v="0"/>
    <x v="0"/>
  </r>
  <r>
    <x v="4"/>
    <x v="4"/>
    <x v="3"/>
    <x v="0"/>
    <x v="0"/>
    <n v="439939.28"/>
    <x v="0"/>
    <x v="0"/>
  </r>
  <r>
    <x v="4"/>
    <x v="4"/>
    <x v="3"/>
    <x v="0"/>
    <x v="0"/>
    <n v="166437.13"/>
    <x v="0"/>
    <x v="0"/>
  </r>
  <r>
    <x v="4"/>
    <x v="4"/>
    <x v="3"/>
    <x v="0"/>
    <x v="0"/>
    <n v="131815.57"/>
    <x v="0"/>
    <x v="0"/>
  </r>
  <r>
    <x v="4"/>
    <x v="4"/>
    <x v="3"/>
    <x v="0"/>
    <x v="0"/>
    <n v="214443.25"/>
    <x v="0"/>
    <x v="0"/>
  </r>
  <r>
    <x v="4"/>
    <x v="4"/>
    <x v="3"/>
    <x v="0"/>
    <x v="0"/>
    <n v="482855.36"/>
    <x v="0"/>
    <x v="0"/>
  </r>
  <r>
    <x v="4"/>
    <x v="4"/>
    <x v="2"/>
    <x v="0"/>
    <x v="0"/>
    <n v="37831.13"/>
    <x v="0"/>
    <x v="0"/>
  </r>
  <r>
    <x v="4"/>
    <x v="4"/>
    <x v="3"/>
    <x v="0"/>
    <x v="0"/>
    <n v="504968.12"/>
    <x v="0"/>
    <x v="0"/>
  </r>
  <r>
    <x v="4"/>
    <x v="4"/>
    <x v="3"/>
    <x v="0"/>
    <x v="0"/>
    <n v="188573.55"/>
    <x v="0"/>
    <x v="0"/>
  </r>
  <r>
    <x v="4"/>
    <x v="4"/>
    <x v="3"/>
    <x v="0"/>
    <x v="0"/>
    <n v="285594.46"/>
    <x v="0"/>
    <x v="0"/>
  </r>
  <r>
    <x v="4"/>
    <x v="4"/>
    <x v="3"/>
    <x v="0"/>
    <x v="0"/>
    <n v="301488.1"/>
    <x v="0"/>
    <x v="0"/>
  </r>
  <r>
    <x v="4"/>
    <x v="4"/>
    <x v="2"/>
    <x v="0"/>
    <x v="0"/>
    <n v="13564.12"/>
    <x v="0"/>
    <x v="0"/>
  </r>
  <r>
    <x v="4"/>
    <x v="4"/>
    <x v="3"/>
    <x v="0"/>
    <x v="0"/>
    <n v="182825.43"/>
    <x v="0"/>
    <x v="0"/>
  </r>
  <r>
    <x v="4"/>
    <x v="4"/>
    <x v="3"/>
    <x v="0"/>
    <x v="0"/>
    <n v="299368.99"/>
    <x v="0"/>
    <x v="0"/>
  </r>
  <r>
    <x v="4"/>
    <x v="4"/>
    <x v="2"/>
    <x v="0"/>
    <x v="0"/>
    <n v="77655.59"/>
    <x v="0"/>
    <x v="0"/>
  </r>
  <r>
    <x v="4"/>
    <x v="4"/>
    <x v="1"/>
    <x v="0"/>
    <x v="0"/>
    <n v="833.39"/>
    <x v="0"/>
    <x v="0"/>
  </r>
  <r>
    <x v="4"/>
    <x v="4"/>
    <x v="3"/>
    <x v="0"/>
    <x v="0"/>
    <n v="325483.3"/>
    <x v="0"/>
    <x v="0"/>
  </r>
  <r>
    <x v="4"/>
    <x v="4"/>
    <x v="2"/>
    <x v="0"/>
    <x v="0"/>
    <n v="51876.97"/>
    <x v="0"/>
    <x v="0"/>
  </r>
  <r>
    <x v="4"/>
    <x v="4"/>
    <x v="2"/>
    <x v="0"/>
    <x v="0"/>
    <n v="24734.93"/>
    <x v="0"/>
    <x v="0"/>
  </r>
  <r>
    <x v="4"/>
    <x v="4"/>
    <x v="0"/>
    <x v="0"/>
    <x v="0"/>
    <n v="6845.48"/>
    <x v="0"/>
    <x v="0"/>
  </r>
  <r>
    <x v="4"/>
    <x v="4"/>
    <x v="2"/>
    <x v="0"/>
    <x v="0"/>
    <n v="37872.44"/>
    <x v="0"/>
    <x v="0"/>
  </r>
  <r>
    <x v="4"/>
    <x v="4"/>
    <x v="2"/>
    <x v="0"/>
    <x v="0"/>
    <n v="72980.01"/>
    <x v="0"/>
    <x v="0"/>
  </r>
  <r>
    <x v="4"/>
    <x v="4"/>
    <x v="3"/>
    <x v="0"/>
    <x v="0"/>
    <n v="146131.91"/>
    <x v="0"/>
    <x v="0"/>
  </r>
  <r>
    <x v="4"/>
    <x v="0"/>
    <x v="0"/>
    <x v="0"/>
    <x v="0"/>
    <n v="4287.23"/>
    <x v="0"/>
    <x v="0"/>
  </r>
  <r>
    <x v="4"/>
    <x v="0"/>
    <x v="0"/>
    <x v="0"/>
    <x v="0"/>
    <n v="2513.72"/>
    <x v="0"/>
    <x v="0"/>
  </r>
  <r>
    <x v="4"/>
    <x v="0"/>
    <x v="0"/>
    <x v="0"/>
    <x v="0"/>
    <n v="2305.22"/>
    <x v="0"/>
    <x v="0"/>
  </r>
  <r>
    <x v="4"/>
    <x v="0"/>
    <x v="0"/>
    <x v="0"/>
    <x v="0"/>
    <n v="4610.54"/>
    <x v="0"/>
    <x v="0"/>
  </r>
  <r>
    <x v="4"/>
    <x v="0"/>
    <x v="0"/>
    <x v="0"/>
    <x v="0"/>
    <n v="4205.98"/>
    <x v="0"/>
    <x v="0"/>
  </r>
  <r>
    <x v="4"/>
    <x v="0"/>
    <x v="2"/>
    <x v="0"/>
    <x v="0"/>
    <n v="11691.84"/>
    <x v="0"/>
    <x v="0"/>
  </r>
  <r>
    <x v="4"/>
    <x v="0"/>
    <x v="0"/>
    <x v="0"/>
    <x v="0"/>
    <n v="2011.87"/>
    <x v="0"/>
    <x v="0"/>
  </r>
  <r>
    <x v="4"/>
    <x v="1"/>
    <x v="3"/>
    <x v="0"/>
    <x v="0"/>
    <n v="102359.17"/>
    <x v="0"/>
    <x v="0"/>
  </r>
  <r>
    <x v="4"/>
    <x v="2"/>
    <x v="2"/>
    <x v="0"/>
    <x v="0"/>
    <n v="89293.11"/>
    <x v="0"/>
    <x v="0"/>
  </r>
  <r>
    <x v="4"/>
    <x v="0"/>
    <x v="0"/>
    <x v="0"/>
    <x v="0"/>
    <n v="3743.99"/>
    <x v="0"/>
    <x v="0"/>
  </r>
  <r>
    <x v="4"/>
    <x v="0"/>
    <x v="0"/>
    <x v="0"/>
    <x v="0"/>
    <n v="9675.69"/>
    <x v="0"/>
    <x v="0"/>
  </r>
  <r>
    <x v="4"/>
    <x v="0"/>
    <x v="0"/>
    <x v="0"/>
    <x v="0"/>
    <n v="3212.82"/>
    <x v="0"/>
    <x v="0"/>
  </r>
  <r>
    <x v="4"/>
    <x v="0"/>
    <x v="0"/>
    <x v="0"/>
    <x v="0"/>
    <n v="1723.33"/>
    <x v="0"/>
    <x v="0"/>
  </r>
  <r>
    <x v="4"/>
    <x v="0"/>
    <x v="2"/>
    <x v="0"/>
    <x v="0"/>
    <n v="12603.14"/>
    <x v="0"/>
    <x v="0"/>
  </r>
  <r>
    <x v="4"/>
    <x v="0"/>
    <x v="0"/>
    <x v="0"/>
    <x v="0"/>
    <n v="2689.55"/>
    <x v="0"/>
    <x v="0"/>
  </r>
  <r>
    <x v="4"/>
    <x v="0"/>
    <x v="0"/>
    <x v="0"/>
    <x v="0"/>
    <n v="3225.49"/>
    <x v="0"/>
    <x v="0"/>
  </r>
  <r>
    <x v="4"/>
    <x v="0"/>
    <x v="0"/>
    <x v="0"/>
    <x v="0"/>
    <n v="4397.58"/>
    <x v="0"/>
    <x v="0"/>
  </r>
  <r>
    <x v="4"/>
    <x v="0"/>
    <x v="1"/>
    <x v="0"/>
    <x v="0"/>
    <n v="195.22"/>
    <x v="0"/>
    <x v="0"/>
  </r>
  <r>
    <x v="4"/>
    <x v="2"/>
    <x v="2"/>
    <x v="0"/>
    <x v="0"/>
    <n v="81917.31"/>
    <x v="0"/>
    <x v="0"/>
  </r>
  <r>
    <x v="4"/>
    <x v="2"/>
    <x v="2"/>
    <x v="0"/>
    <x v="0"/>
    <n v="38326.82"/>
    <x v="0"/>
    <x v="0"/>
  </r>
  <r>
    <x v="4"/>
    <x v="0"/>
    <x v="0"/>
    <x v="0"/>
    <x v="0"/>
    <n v="2520.08"/>
    <x v="0"/>
    <x v="0"/>
  </r>
  <r>
    <x v="4"/>
    <x v="0"/>
    <x v="0"/>
    <x v="0"/>
    <x v="0"/>
    <n v="6988.56"/>
    <x v="0"/>
    <x v="0"/>
  </r>
  <r>
    <x v="4"/>
    <x v="0"/>
    <x v="0"/>
    <x v="0"/>
    <x v="0"/>
    <n v="1270.66"/>
    <x v="0"/>
    <x v="0"/>
  </r>
  <r>
    <x v="4"/>
    <x v="0"/>
    <x v="0"/>
    <x v="0"/>
    <x v="0"/>
    <n v="2205.72"/>
    <x v="0"/>
    <x v="0"/>
  </r>
  <r>
    <x v="4"/>
    <x v="0"/>
    <x v="0"/>
    <x v="0"/>
    <x v="0"/>
    <n v="2892.22"/>
    <x v="0"/>
    <x v="0"/>
  </r>
  <r>
    <x v="4"/>
    <x v="0"/>
    <x v="0"/>
    <x v="0"/>
    <x v="0"/>
    <n v="3181.68"/>
    <x v="0"/>
    <x v="0"/>
  </r>
  <r>
    <x v="4"/>
    <x v="0"/>
    <x v="2"/>
    <x v="0"/>
    <x v="0"/>
    <n v="13702.52"/>
    <x v="0"/>
    <x v="0"/>
  </r>
  <r>
    <x v="4"/>
    <x v="0"/>
    <x v="0"/>
    <x v="0"/>
    <x v="0"/>
    <n v="1574.63"/>
    <x v="0"/>
    <x v="0"/>
  </r>
  <r>
    <x v="4"/>
    <x v="0"/>
    <x v="0"/>
    <x v="0"/>
    <x v="0"/>
    <n v="2573.24"/>
    <x v="0"/>
    <x v="0"/>
  </r>
  <r>
    <x v="4"/>
    <x v="0"/>
    <x v="1"/>
    <x v="0"/>
    <x v="0"/>
    <n v="952.87"/>
    <x v="0"/>
    <x v="0"/>
  </r>
  <r>
    <x v="4"/>
    <x v="0"/>
    <x v="0"/>
    <x v="0"/>
    <x v="0"/>
    <n v="3143.95"/>
    <x v="0"/>
    <x v="0"/>
  </r>
  <r>
    <x v="4"/>
    <x v="1"/>
    <x v="2"/>
    <x v="1"/>
    <x v="0"/>
    <n v="60726.57"/>
    <x v="1"/>
    <x v="22"/>
  </r>
  <r>
    <x v="4"/>
    <x v="2"/>
    <x v="2"/>
    <x v="1"/>
    <x v="0"/>
    <n v="60726.57"/>
    <x v="1"/>
    <x v="22"/>
  </r>
  <r>
    <x v="4"/>
    <x v="0"/>
    <x v="0"/>
    <x v="0"/>
    <x v="0"/>
    <n v="2354.7"/>
    <x v="0"/>
    <x v="0"/>
  </r>
  <r>
    <x v="4"/>
    <x v="0"/>
    <x v="0"/>
    <x v="0"/>
    <x v="0"/>
    <n v="5301.12"/>
    <x v="0"/>
    <x v="0"/>
  </r>
  <r>
    <x v="4"/>
    <x v="0"/>
    <x v="2"/>
    <x v="0"/>
    <x v="0"/>
    <n v="40156.69"/>
    <x v="0"/>
    <x v="0"/>
  </r>
  <r>
    <x v="4"/>
    <x v="0"/>
    <x v="2"/>
    <x v="0"/>
    <x v="0"/>
    <n v="10227.49"/>
    <x v="0"/>
    <x v="0"/>
  </r>
  <r>
    <x v="4"/>
    <x v="0"/>
    <x v="0"/>
    <x v="0"/>
    <x v="0"/>
    <n v="8411.86"/>
    <x v="0"/>
    <x v="0"/>
  </r>
  <r>
    <x v="4"/>
    <x v="3"/>
    <x v="0"/>
    <x v="0"/>
    <x v="0"/>
    <n v="1207.85"/>
    <x v="0"/>
    <x v="0"/>
  </r>
  <r>
    <x v="4"/>
    <x v="0"/>
    <x v="0"/>
    <x v="0"/>
    <x v="0"/>
    <n v="3728.6"/>
    <x v="0"/>
    <x v="0"/>
  </r>
  <r>
    <x v="4"/>
    <x v="0"/>
    <x v="2"/>
    <x v="0"/>
    <x v="0"/>
    <n v="12472.53"/>
    <x v="0"/>
    <x v="0"/>
  </r>
  <r>
    <x v="4"/>
    <x v="0"/>
    <x v="1"/>
    <x v="0"/>
    <x v="0"/>
    <n v="469.63"/>
    <x v="0"/>
    <x v="0"/>
  </r>
  <r>
    <x v="4"/>
    <x v="2"/>
    <x v="2"/>
    <x v="0"/>
    <x v="0"/>
    <n v="49804.17"/>
    <x v="0"/>
    <x v="0"/>
  </r>
  <r>
    <x v="4"/>
    <x v="0"/>
    <x v="0"/>
    <x v="0"/>
    <x v="0"/>
    <n v="5693.64"/>
    <x v="0"/>
    <x v="0"/>
  </r>
  <r>
    <x v="4"/>
    <x v="0"/>
    <x v="0"/>
    <x v="0"/>
    <x v="0"/>
    <n v="7840.38"/>
    <x v="0"/>
    <x v="0"/>
  </r>
  <r>
    <x v="4"/>
    <x v="0"/>
    <x v="0"/>
    <x v="0"/>
    <x v="0"/>
    <n v="1967.35"/>
    <x v="0"/>
    <x v="0"/>
  </r>
  <r>
    <x v="4"/>
    <x v="0"/>
    <x v="0"/>
    <x v="0"/>
    <x v="0"/>
    <n v="4260.13"/>
    <x v="0"/>
    <x v="0"/>
  </r>
  <r>
    <x v="4"/>
    <x v="0"/>
    <x v="0"/>
    <x v="0"/>
    <x v="0"/>
    <n v="7959.58"/>
    <x v="0"/>
    <x v="0"/>
  </r>
  <r>
    <x v="4"/>
    <x v="0"/>
    <x v="0"/>
    <x v="0"/>
    <x v="0"/>
    <n v="5080.22"/>
    <x v="0"/>
    <x v="0"/>
  </r>
  <r>
    <x v="4"/>
    <x v="0"/>
    <x v="1"/>
    <x v="0"/>
    <x v="0"/>
    <n v="360.38"/>
    <x v="0"/>
    <x v="0"/>
  </r>
  <r>
    <x v="4"/>
    <x v="0"/>
    <x v="0"/>
    <x v="0"/>
    <x v="0"/>
    <n v="7683.38"/>
    <x v="0"/>
    <x v="0"/>
  </r>
  <r>
    <x v="4"/>
    <x v="0"/>
    <x v="0"/>
    <x v="0"/>
    <x v="0"/>
    <n v="6453.51"/>
    <x v="0"/>
    <x v="0"/>
  </r>
  <r>
    <x v="4"/>
    <x v="0"/>
    <x v="0"/>
    <x v="0"/>
    <x v="0"/>
    <n v="2161.3"/>
    <x v="0"/>
    <x v="0"/>
  </r>
  <r>
    <x v="4"/>
    <x v="0"/>
    <x v="0"/>
    <x v="0"/>
    <x v="0"/>
    <n v="6823.03"/>
    <x v="0"/>
    <x v="0"/>
  </r>
  <r>
    <x v="4"/>
    <x v="0"/>
    <x v="0"/>
    <x v="0"/>
    <x v="0"/>
    <n v="8343.34"/>
    <x v="0"/>
    <x v="0"/>
  </r>
  <r>
    <x v="4"/>
    <x v="0"/>
    <x v="0"/>
    <x v="0"/>
    <x v="0"/>
    <n v="3141.09"/>
    <x v="0"/>
    <x v="0"/>
  </r>
  <r>
    <x v="4"/>
    <x v="3"/>
    <x v="0"/>
    <x v="0"/>
    <x v="0"/>
    <n v="1826.28"/>
    <x v="0"/>
    <x v="0"/>
  </r>
  <r>
    <x v="4"/>
    <x v="0"/>
    <x v="0"/>
    <x v="0"/>
    <x v="0"/>
    <n v="1216.39"/>
    <x v="0"/>
    <x v="0"/>
  </r>
  <r>
    <x v="4"/>
    <x v="0"/>
    <x v="0"/>
    <x v="0"/>
    <x v="0"/>
    <n v="2088.53"/>
    <x v="0"/>
    <x v="0"/>
  </r>
  <r>
    <x v="4"/>
    <x v="0"/>
    <x v="0"/>
    <x v="0"/>
    <x v="0"/>
    <n v="2558.03"/>
    <x v="0"/>
    <x v="0"/>
  </r>
  <r>
    <x v="4"/>
    <x v="0"/>
    <x v="2"/>
    <x v="0"/>
    <x v="0"/>
    <n v="26921.32"/>
    <x v="0"/>
    <x v="0"/>
  </r>
  <r>
    <x v="4"/>
    <x v="0"/>
    <x v="2"/>
    <x v="0"/>
    <x v="0"/>
    <n v="12438.52"/>
    <x v="0"/>
    <x v="0"/>
  </r>
  <r>
    <x v="4"/>
    <x v="0"/>
    <x v="0"/>
    <x v="0"/>
    <x v="0"/>
    <n v="5743.03"/>
    <x v="0"/>
    <x v="0"/>
  </r>
  <r>
    <x v="4"/>
    <x v="0"/>
    <x v="1"/>
    <x v="0"/>
    <x v="0"/>
    <n v="472.71"/>
    <x v="0"/>
    <x v="0"/>
  </r>
  <r>
    <x v="4"/>
    <x v="0"/>
    <x v="0"/>
    <x v="0"/>
    <x v="0"/>
    <n v="7002.74"/>
    <x v="0"/>
    <x v="0"/>
  </r>
  <r>
    <x v="4"/>
    <x v="0"/>
    <x v="1"/>
    <x v="0"/>
    <x v="0"/>
    <n v="953.21"/>
    <x v="0"/>
    <x v="0"/>
  </r>
  <r>
    <x v="4"/>
    <x v="0"/>
    <x v="1"/>
    <x v="0"/>
    <x v="0"/>
    <n v="822.37"/>
    <x v="0"/>
    <x v="0"/>
  </r>
  <r>
    <x v="4"/>
    <x v="0"/>
    <x v="1"/>
    <x v="0"/>
    <x v="0"/>
    <n v="368.56"/>
    <x v="0"/>
    <x v="0"/>
  </r>
  <r>
    <x v="4"/>
    <x v="1"/>
    <x v="2"/>
    <x v="0"/>
    <x v="0"/>
    <n v="92036.54"/>
    <x v="0"/>
    <x v="0"/>
  </r>
  <r>
    <x v="4"/>
    <x v="1"/>
    <x v="3"/>
    <x v="0"/>
    <x v="0"/>
    <n v="166567.98"/>
    <x v="0"/>
    <x v="0"/>
  </r>
  <r>
    <x v="4"/>
    <x v="1"/>
    <x v="4"/>
    <x v="0"/>
    <x v="0"/>
    <n v="1915470.93"/>
    <x v="0"/>
    <x v="0"/>
  </r>
  <r>
    <x v="4"/>
    <x v="1"/>
    <x v="3"/>
    <x v="0"/>
    <x v="0"/>
    <n v="339163.04"/>
    <x v="0"/>
    <x v="0"/>
  </r>
  <r>
    <x v="4"/>
    <x v="1"/>
    <x v="2"/>
    <x v="0"/>
    <x v="0"/>
    <n v="41139.2"/>
    <x v="0"/>
    <x v="0"/>
  </r>
  <r>
    <x v="4"/>
    <x v="1"/>
    <x v="4"/>
    <x v="0"/>
    <x v="0"/>
    <n v="1716502.82"/>
    <x v="0"/>
    <x v="0"/>
  </r>
  <r>
    <x v="4"/>
    <x v="1"/>
    <x v="4"/>
    <x v="0"/>
    <x v="0"/>
    <n v="1097510.65"/>
    <x v="0"/>
    <x v="0"/>
  </r>
  <r>
    <x v="4"/>
    <x v="1"/>
    <x v="3"/>
    <x v="0"/>
    <x v="0"/>
    <n v="103759.56"/>
    <x v="0"/>
    <x v="0"/>
  </r>
  <r>
    <x v="4"/>
    <x v="1"/>
    <x v="2"/>
    <x v="0"/>
    <x v="0"/>
    <n v="59691.76"/>
    <x v="0"/>
    <x v="0"/>
  </r>
  <r>
    <x v="4"/>
    <x v="0"/>
    <x v="0"/>
    <x v="0"/>
    <x v="0"/>
    <n v="7561.15"/>
    <x v="0"/>
    <x v="0"/>
  </r>
  <r>
    <x v="4"/>
    <x v="0"/>
    <x v="2"/>
    <x v="0"/>
    <x v="0"/>
    <n v="25625.94"/>
    <x v="0"/>
    <x v="0"/>
  </r>
  <r>
    <x v="4"/>
    <x v="0"/>
    <x v="0"/>
    <x v="0"/>
    <x v="0"/>
    <n v="3032.18"/>
    <x v="0"/>
    <x v="0"/>
  </r>
  <r>
    <x v="4"/>
    <x v="0"/>
    <x v="0"/>
    <x v="0"/>
    <x v="0"/>
    <n v="4758.17"/>
    <x v="0"/>
    <x v="0"/>
  </r>
  <r>
    <x v="4"/>
    <x v="0"/>
    <x v="1"/>
    <x v="0"/>
    <x v="0"/>
    <n v="538.17"/>
    <x v="0"/>
    <x v="0"/>
  </r>
  <r>
    <x v="4"/>
    <x v="0"/>
    <x v="0"/>
    <x v="0"/>
    <x v="0"/>
    <n v="3726.93"/>
    <x v="0"/>
    <x v="0"/>
  </r>
  <r>
    <x v="4"/>
    <x v="0"/>
    <x v="2"/>
    <x v="0"/>
    <x v="0"/>
    <n v="14368.08"/>
    <x v="0"/>
    <x v="0"/>
  </r>
  <r>
    <x v="4"/>
    <x v="0"/>
    <x v="0"/>
    <x v="0"/>
    <x v="0"/>
    <n v="6079.77"/>
    <x v="0"/>
    <x v="0"/>
  </r>
  <r>
    <x v="4"/>
    <x v="0"/>
    <x v="0"/>
    <x v="0"/>
    <x v="0"/>
    <n v="5274.02"/>
    <x v="0"/>
    <x v="0"/>
  </r>
  <r>
    <x v="4"/>
    <x v="0"/>
    <x v="0"/>
    <x v="0"/>
    <x v="0"/>
    <n v="6678.65"/>
    <x v="0"/>
    <x v="0"/>
  </r>
  <r>
    <x v="4"/>
    <x v="3"/>
    <x v="1"/>
    <x v="0"/>
    <x v="0"/>
    <n v="858.71"/>
    <x v="0"/>
    <x v="0"/>
  </r>
  <r>
    <x v="4"/>
    <x v="0"/>
    <x v="0"/>
    <x v="0"/>
    <x v="0"/>
    <n v="1405.7"/>
    <x v="0"/>
    <x v="0"/>
  </r>
  <r>
    <x v="4"/>
    <x v="0"/>
    <x v="0"/>
    <x v="0"/>
    <x v="0"/>
    <n v="2092.99"/>
    <x v="0"/>
    <x v="0"/>
  </r>
  <r>
    <x v="4"/>
    <x v="0"/>
    <x v="0"/>
    <x v="0"/>
    <x v="0"/>
    <n v="6324.03"/>
    <x v="0"/>
    <x v="0"/>
  </r>
  <r>
    <x v="4"/>
    <x v="0"/>
    <x v="0"/>
    <x v="0"/>
    <x v="0"/>
    <n v="2399.58"/>
    <x v="0"/>
    <x v="0"/>
  </r>
  <r>
    <x v="4"/>
    <x v="0"/>
    <x v="0"/>
    <x v="0"/>
    <x v="0"/>
    <n v="3044.66"/>
    <x v="0"/>
    <x v="0"/>
  </r>
  <r>
    <x v="4"/>
    <x v="3"/>
    <x v="0"/>
    <x v="0"/>
    <x v="0"/>
    <n v="4397.38"/>
    <x v="0"/>
    <x v="0"/>
  </r>
  <r>
    <x v="4"/>
    <x v="0"/>
    <x v="0"/>
    <x v="0"/>
    <x v="0"/>
    <n v="5304.33"/>
    <x v="0"/>
    <x v="0"/>
  </r>
  <r>
    <x v="4"/>
    <x v="0"/>
    <x v="0"/>
    <x v="0"/>
    <x v="0"/>
    <n v="5267.26"/>
    <x v="0"/>
    <x v="0"/>
  </r>
  <r>
    <x v="4"/>
    <x v="0"/>
    <x v="0"/>
    <x v="0"/>
    <x v="0"/>
    <n v="4826.29"/>
    <x v="0"/>
    <x v="0"/>
  </r>
  <r>
    <x v="4"/>
    <x v="0"/>
    <x v="1"/>
    <x v="0"/>
    <x v="0"/>
    <n v="227.6"/>
    <x v="0"/>
    <x v="0"/>
  </r>
  <r>
    <x v="4"/>
    <x v="0"/>
    <x v="2"/>
    <x v="0"/>
    <x v="0"/>
    <n v="15920.5"/>
    <x v="0"/>
    <x v="0"/>
  </r>
  <r>
    <x v="4"/>
    <x v="0"/>
    <x v="0"/>
    <x v="0"/>
    <x v="0"/>
    <n v="3646.47"/>
    <x v="0"/>
    <x v="0"/>
  </r>
  <r>
    <x v="4"/>
    <x v="0"/>
    <x v="0"/>
    <x v="0"/>
    <x v="0"/>
    <n v="1263.04"/>
    <x v="0"/>
    <x v="0"/>
  </r>
  <r>
    <x v="4"/>
    <x v="0"/>
    <x v="0"/>
    <x v="0"/>
    <x v="0"/>
    <n v="1808.31"/>
    <x v="0"/>
    <x v="0"/>
  </r>
  <r>
    <x v="4"/>
    <x v="0"/>
    <x v="0"/>
    <x v="0"/>
    <x v="0"/>
    <n v="8182.9"/>
    <x v="0"/>
    <x v="0"/>
  </r>
  <r>
    <x v="4"/>
    <x v="0"/>
    <x v="1"/>
    <x v="0"/>
    <x v="0"/>
    <n v="977.36"/>
    <x v="0"/>
    <x v="0"/>
  </r>
  <r>
    <x v="4"/>
    <x v="0"/>
    <x v="0"/>
    <x v="0"/>
    <x v="0"/>
    <n v="3617"/>
    <x v="0"/>
    <x v="0"/>
  </r>
  <r>
    <x v="4"/>
    <x v="3"/>
    <x v="0"/>
    <x v="0"/>
    <x v="0"/>
    <n v="2939.48"/>
    <x v="0"/>
    <x v="0"/>
  </r>
  <r>
    <x v="4"/>
    <x v="0"/>
    <x v="0"/>
    <x v="0"/>
    <x v="0"/>
    <n v="5288.3"/>
    <x v="0"/>
    <x v="0"/>
  </r>
  <r>
    <x v="4"/>
    <x v="0"/>
    <x v="0"/>
    <x v="0"/>
    <x v="0"/>
    <n v="2716.81"/>
    <x v="0"/>
    <x v="0"/>
  </r>
  <r>
    <x v="4"/>
    <x v="0"/>
    <x v="2"/>
    <x v="0"/>
    <x v="0"/>
    <n v="20563.52"/>
    <x v="0"/>
    <x v="0"/>
  </r>
  <r>
    <x v="4"/>
    <x v="0"/>
    <x v="2"/>
    <x v="0"/>
    <x v="0"/>
    <n v="15330.96"/>
    <x v="0"/>
    <x v="0"/>
  </r>
  <r>
    <x v="4"/>
    <x v="0"/>
    <x v="0"/>
    <x v="0"/>
    <x v="0"/>
    <n v="5435.76"/>
    <x v="0"/>
    <x v="0"/>
  </r>
  <r>
    <x v="4"/>
    <x v="0"/>
    <x v="0"/>
    <x v="0"/>
    <x v="0"/>
    <n v="9144.91"/>
    <x v="0"/>
    <x v="0"/>
  </r>
  <r>
    <x v="4"/>
    <x v="0"/>
    <x v="1"/>
    <x v="0"/>
    <x v="0"/>
    <n v="655.16"/>
    <x v="0"/>
    <x v="0"/>
  </r>
  <r>
    <x v="4"/>
    <x v="0"/>
    <x v="1"/>
    <x v="0"/>
    <x v="0"/>
    <n v="49.61"/>
    <x v="0"/>
    <x v="0"/>
  </r>
  <r>
    <x v="4"/>
    <x v="0"/>
    <x v="2"/>
    <x v="0"/>
    <x v="0"/>
    <n v="28765.49"/>
    <x v="0"/>
    <x v="0"/>
  </r>
  <r>
    <x v="4"/>
    <x v="0"/>
    <x v="2"/>
    <x v="0"/>
    <x v="0"/>
    <n v="42355.9"/>
    <x v="0"/>
    <x v="0"/>
  </r>
  <r>
    <x v="4"/>
    <x v="0"/>
    <x v="0"/>
    <x v="0"/>
    <x v="0"/>
    <n v="1119.39"/>
    <x v="0"/>
    <x v="0"/>
  </r>
  <r>
    <x v="4"/>
    <x v="0"/>
    <x v="2"/>
    <x v="0"/>
    <x v="0"/>
    <n v="32593.48"/>
    <x v="0"/>
    <x v="0"/>
  </r>
  <r>
    <x v="4"/>
    <x v="0"/>
    <x v="0"/>
    <x v="0"/>
    <x v="0"/>
    <n v="4121.51"/>
    <x v="0"/>
    <x v="0"/>
  </r>
  <r>
    <x v="4"/>
    <x v="0"/>
    <x v="2"/>
    <x v="0"/>
    <x v="0"/>
    <n v="16741.22"/>
    <x v="0"/>
    <x v="0"/>
  </r>
  <r>
    <x v="4"/>
    <x v="0"/>
    <x v="0"/>
    <x v="0"/>
    <x v="0"/>
    <n v="1220.13"/>
    <x v="0"/>
    <x v="0"/>
  </r>
  <r>
    <x v="4"/>
    <x v="0"/>
    <x v="2"/>
    <x v="0"/>
    <x v="0"/>
    <n v="12702.69"/>
    <x v="0"/>
    <x v="0"/>
  </r>
  <r>
    <x v="4"/>
    <x v="0"/>
    <x v="0"/>
    <x v="0"/>
    <x v="0"/>
    <n v="4187.93"/>
    <x v="0"/>
    <x v="0"/>
  </r>
  <r>
    <x v="4"/>
    <x v="0"/>
    <x v="0"/>
    <x v="0"/>
    <x v="0"/>
    <n v="4021.67"/>
    <x v="0"/>
    <x v="0"/>
  </r>
  <r>
    <x v="4"/>
    <x v="0"/>
    <x v="1"/>
    <x v="0"/>
    <x v="0"/>
    <n v="290.66"/>
    <x v="0"/>
    <x v="0"/>
  </r>
  <r>
    <x v="4"/>
    <x v="0"/>
    <x v="0"/>
    <x v="0"/>
    <x v="0"/>
    <n v="5290.34"/>
    <x v="0"/>
    <x v="0"/>
  </r>
  <r>
    <x v="4"/>
    <x v="0"/>
    <x v="0"/>
    <x v="0"/>
    <x v="0"/>
    <n v="3445.14"/>
    <x v="0"/>
    <x v="0"/>
  </r>
  <r>
    <x v="4"/>
    <x v="0"/>
    <x v="2"/>
    <x v="0"/>
    <x v="0"/>
    <n v="17975.9"/>
    <x v="0"/>
    <x v="0"/>
  </r>
  <r>
    <x v="4"/>
    <x v="0"/>
    <x v="0"/>
    <x v="0"/>
    <x v="0"/>
    <n v="4177.38"/>
    <x v="0"/>
    <x v="0"/>
  </r>
  <r>
    <x v="4"/>
    <x v="0"/>
    <x v="1"/>
    <x v="0"/>
    <x v="0"/>
    <n v="530.4"/>
    <x v="0"/>
    <x v="0"/>
  </r>
  <r>
    <x v="4"/>
    <x v="0"/>
    <x v="2"/>
    <x v="0"/>
    <x v="0"/>
    <n v="35994.44"/>
    <x v="0"/>
    <x v="0"/>
  </r>
  <r>
    <x v="4"/>
    <x v="0"/>
    <x v="2"/>
    <x v="0"/>
    <x v="0"/>
    <n v="16184.43"/>
    <x v="0"/>
    <x v="0"/>
  </r>
  <r>
    <x v="4"/>
    <x v="0"/>
    <x v="0"/>
    <x v="0"/>
    <x v="0"/>
    <n v="5909.55"/>
    <x v="0"/>
    <x v="0"/>
  </r>
  <r>
    <x v="4"/>
    <x v="0"/>
    <x v="0"/>
    <x v="0"/>
    <x v="0"/>
    <n v="5379.76"/>
    <x v="0"/>
    <x v="0"/>
  </r>
  <r>
    <x v="4"/>
    <x v="0"/>
    <x v="0"/>
    <x v="0"/>
    <x v="0"/>
    <n v="3592.05"/>
    <x v="0"/>
    <x v="0"/>
  </r>
  <r>
    <x v="4"/>
    <x v="0"/>
    <x v="0"/>
    <x v="0"/>
    <x v="0"/>
    <n v="7643.08"/>
    <x v="0"/>
    <x v="0"/>
  </r>
  <r>
    <x v="4"/>
    <x v="0"/>
    <x v="0"/>
    <x v="0"/>
    <x v="0"/>
    <n v="2098.34"/>
    <x v="0"/>
    <x v="0"/>
  </r>
  <r>
    <x v="4"/>
    <x v="0"/>
    <x v="0"/>
    <x v="0"/>
    <x v="0"/>
    <n v="5278.65"/>
    <x v="0"/>
    <x v="0"/>
  </r>
  <r>
    <x v="4"/>
    <x v="0"/>
    <x v="0"/>
    <x v="0"/>
    <x v="0"/>
    <n v="3674.62"/>
    <x v="0"/>
    <x v="0"/>
  </r>
  <r>
    <x v="4"/>
    <x v="0"/>
    <x v="1"/>
    <x v="0"/>
    <x v="0"/>
    <n v="4.36"/>
    <x v="0"/>
    <x v="0"/>
  </r>
  <r>
    <x v="4"/>
    <x v="0"/>
    <x v="0"/>
    <x v="0"/>
    <x v="0"/>
    <n v="1460.16"/>
    <x v="0"/>
    <x v="0"/>
  </r>
  <r>
    <x v="4"/>
    <x v="0"/>
    <x v="0"/>
    <x v="0"/>
    <x v="0"/>
    <n v="6130.56"/>
    <x v="0"/>
    <x v="0"/>
  </r>
  <r>
    <x v="4"/>
    <x v="0"/>
    <x v="0"/>
    <x v="0"/>
    <x v="0"/>
    <n v="7006.43"/>
    <x v="0"/>
    <x v="0"/>
  </r>
  <r>
    <x v="4"/>
    <x v="0"/>
    <x v="0"/>
    <x v="0"/>
    <x v="0"/>
    <n v="5379.9"/>
    <x v="0"/>
    <x v="0"/>
  </r>
  <r>
    <x v="4"/>
    <x v="0"/>
    <x v="0"/>
    <x v="0"/>
    <x v="0"/>
    <n v="3549.66"/>
    <x v="0"/>
    <x v="0"/>
  </r>
  <r>
    <x v="4"/>
    <x v="3"/>
    <x v="1"/>
    <x v="0"/>
    <x v="0"/>
    <n v="543.21"/>
    <x v="0"/>
    <x v="0"/>
  </r>
  <r>
    <x v="4"/>
    <x v="0"/>
    <x v="0"/>
    <x v="0"/>
    <x v="0"/>
    <n v="5073.8"/>
    <x v="0"/>
    <x v="0"/>
  </r>
  <r>
    <x v="4"/>
    <x v="0"/>
    <x v="0"/>
    <x v="0"/>
    <x v="0"/>
    <n v="2808.11"/>
    <x v="0"/>
    <x v="0"/>
  </r>
  <r>
    <x v="4"/>
    <x v="0"/>
    <x v="0"/>
    <x v="0"/>
    <x v="0"/>
    <n v="1292.63"/>
    <x v="0"/>
    <x v="0"/>
  </r>
  <r>
    <x v="4"/>
    <x v="0"/>
    <x v="0"/>
    <x v="0"/>
    <x v="0"/>
    <n v="5172.58"/>
    <x v="0"/>
    <x v="0"/>
  </r>
  <r>
    <x v="4"/>
    <x v="0"/>
    <x v="2"/>
    <x v="0"/>
    <x v="0"/>
    <n v="26891.86"/>
    <x v="0"/>
    <x v="0"/>
  </r>
  <r>
    <x v="4"/>
    <x v="0"/>
    <x v="0"/>
    <x v="0"/>
    <x v="0"/>
    <n v="7796.39"/>
    <x v="0"/>
    <x v="0"/>
  </r>
  <r>
    <x v="4"/>
    <x v="0"/>
    <x v="0"/>
    <x v="0"/>
    <x v="0"/>
    <n v="2588.64"/>
    <x v="0"/>
    <x v="0"/>
  </r>
  <r>
    <x v="4"/>
    <x v="0"/>
    <x v="0"/>
    <x v="0"/>
    <x v="0"/>
    <n v="6507.26"/>
    <x v="0"/>
    <x v="0"/>
  </r>
  <r>
    <x v="4"/>
    <x v="0"/>
    <x v="0"/>
    <x v="0"/>
    <x v="0"/>
    <n v="3600.19"/>
    <x v="0"/>
    <x v="0"/>
  </r>
  <r>
    <x v="4"/>
    <x v="0"/>
    <x v="0"/>
    <x v="0"/>
    <x v="0"/>
    <n v="1282.59"/>
    <x v="0"/>
    <x v="0"/>
  </r>
  <r>
    <x v="4"/>
    <x v="1"/>
    <x v="2"/>
    <x v="0"/>
    <x v="0"/>
    <n v="40975.4"/>
    <x v="0"/>
    <x v="0"/>
  </r>
  <r>
    <x v="4"/>
    <x v="0"/>
    <x v="0"/>
    <x v="0"/>
    <x v="0"/>
    <n v="1481.02"/>
    <x v="0"/>
    <x v="0"/>
  </r>
  <r>
    <x v="4"/>
    <x v="0"/>
    <x v="1"/>
    <x v="0"/>
    <x v="0"/>
    <n v="650.48"/>
    <x v="0"/>
    <x v="0"/>
  </r>
  <r>
    <x v="4"/>
    <x v="0"/>
    <x v="1"/>
    <x v="0"/>
    <x v="0"/>
    <n v="972.33"/>
    <x v="0"/>
    <x v="0"/>
  </r>
  <r>
    <x v="4"/>
    <x v="0"/>
    <x v="1"/>
    <x v="0"/>
    <x v="0"/>
    <n v="583.01"/>
    <x v="0"/>
    <x v="0"/>
  </r>
  <r>
    <x v="4"/>
    <x v="1"/>
    <x v="3"/>
    <x v="0"/>
    <x v="0"/>
    <n v="169448.37"/>
    <x v="0"/>
    <x v="0"/>
  </r>
  <r>
    <x v="4"/>
    <x v="0"/>
    <x v="0"/>
    <x v="0"/>
    <x v="0"/>
    <n v="3992.52"/>
    <x v="0"/>
    <x v="0"/>
  </r>
  <r>
    <x v="4"/>
    <x v="0"/>
    <x v="0"/>
    <x v="0"/>
    <x v="0"/>
    <n v="8169.21"/>
    <x v="0"/>
    <x v="0"/>
  </r>
  <r>
    <x v="4"/>
    <x v="0"/>
    <x v="0"/>
    <x v="0"/>
    <x v="0"/>
    <n v="4379.13"/>
    <x v="0"/>
    <x v="0"/>
  </r>
  <r>
    <x v="4"/>
    <x v="0"/>
    <x v="0"/>
    <x v="0"/>
    <x v="0"/>
    <n v="1130.38"/>
    <x v="0"/>
    <x v="0"/>
  </r>
  <r>
    <x v="4"/>
    <x v="0"/>
    <x v="0"/>
    <x v="0"/>
    <x v="0"/>
    <n v="9231.24"/>
    <x v="0"/>
    <x v="0"/>
  </r>
  <r>
    <x v="4"/>
    <x v="0"/>
    <x v="0"/>
    <x v="0"/>
    <x v="0"/>
    <n v="1859.1"/>
    <x v="0"/>
    <x v="0"/>
  </r>
  <r>
    <x v="4"/>
    <x v="0"/>
    <x v="0"/>
    <x v="0"/>
    <x v="0"/>
    <n v="1948.6"/>
    <x v="0"/>
    <x v="0"/>
  </r>
  <r>
    <x v="4"/>
    <x v="0"/>
    <x v="0"/>
    <x v="0"/>
    <x v="0"/>
    <n v="4727.31"/>
    <x v="0"/>
    <x v="0"/>
  </r>
  <r>
    <x v="4"/>
    <x v="2"/>
    <x v="3"/>
    <x v="0"/>
    <x v="0"/>
    <n v="142634.17"/>
    <x v="0"/>
    <x v="0"/>
  </r>
  <r>
    <x v="4"/>
    <x v="0"/>
    <x v="0"/>
    <x v="0"/>
    <x v="0"/>
    <n v="1123.06"/>
    <x v="0"/>
    <x v="0"/>
  </r>
  <r>
    <x v="4"/>
    <x v="0"/>
    <x v="0"/>
    <x v="0"/>
    <x v="0"/>
    <n v="1550.75"/>
    <x v="0"/>
    <x v="0"/>
  </r>
  <r>
    <x v="4"/>
    <x v="3"/>
    <x v="0"/>
    <x v="0"/>
    <x v="0"/>
    <n v="2503.29"/>
    <x v="0"/>
    <x v="0"/>
  </r>
  <r>
    <x v="4"/>
    <x v="1"/>
    <x v="2"/>
    <x v="0"/>
    <x v="0"/>
    <n v="71741.21"/>
    <x v="0"/>
    <x v="0"/>
  </r>
  <r>
    <x v="4"/>
    <x v="0"/>
    <x v="0"/>
    <x v="0"/>
    <x v="0"/>
    <n v="1627.82"/>
    <x v="0"/>
    <x v="0"/>
  </r>
  <r>
    <x v="4"/>
    <x v="0"/>
    <x v="0"/>
    <x v="0"/>
    <x v="0"/>
    <n v="3263.86"/>
    <x v="0"/>
    <x v="0"/>
  </r>
  <r>
    <x v="4"/>
    <x v="0"/>
    <x v="0"/>
    <x v="0"/>
    <x v="0"/>
    <n v="2283.56"/>
    <x v="0"/>
    <x v="0"/>
  </r>
  <r>
    <x v="4"/>
    <x v="0"/>
    <x v="0"/>
    <x v="0"/>
    <x v="0"/>
    <n v="5188.61"/>
    <x v="0"/>
    <x v="0"/>
  </r>
  <r>
    <x v="4"/>
    <x v="3"/>
    <x v="1"/>
    <x v="0"/>
    <x v="0"/>
    <n v="700.89"/>
    <x v="0"/>
    <x v="0"/>
  </r>
  <r>
    <x v="4"/>
    <x v="0"/>
    <x v="2"/>
    <x v="0"/>
    <x v="0"/>
    <n v="10940.74"/>
    <x v="0"/>
    <x v="0"/>
  </r>
  <r>
    <x v="4"/>
    <x v="1"/>
    <x v="2"/>
    <x v="0"/>
    <x v="0"/>
    <n v="43479.45"/>
    <x v="0"/>
    <x v="0"/>
  </r>
  <r>
    <x v="4"/>
    <x v="0"/>
    <x v="0"/>
    <x v="0"/>
    <x v="0"/>
    <n v="3509.48"/>
    <x v="0"/>
    <x v="0"/>
  </r>
  <r>
    <x v="4"/>
    <x v="0"/>
    <x v="0"/>
    <x v="0"/>
    <x v="0"/>
    <n v="2466.6"/>
    <x v="0"/>
    <x v="0"/>
  </r>
  <r>
    <x v="4"/>
    <x v="0"/>
    <x v="0"/>
    <x v="0"/>
    <x v="0"/>
    <n v="1871.25"/>
    <x v="0"/>
    <x v="0"/>
  </r>
  <r>
    <x v="4"/>
    <x v="0"/>
    <x v="0"/>
    <x v="0"/>
    <x v="0"/>
    <n v="2224.36"/>
    <x v="0"/>
    <x v="0"/>
  </r>
  <r>
    <x v="4"/>
    <x v="0"/>
    <x v="0"/>
    <x v="0"/>
    <x v="0"/>
    <n v="1315.93"/>
    <x v="0"/>
    <x v="0"/>
  </r>
  <r>
    <x v="4"/>
    <x v="3"/>
    <x v="0"/>
    <x v="0"/>
    <x v="0"/>
    <n v="1831.16"/>
    <x v="0"/>
    <x v="0"/>
  </r>
  <r>
    <x v="4"/>
    <x v="3"/>
    <x v="0"/>
    <x v="0"/>
    <x v="0"/>
    <n v="2329.14"/>
    <x v="0"/>
    <x v="0"/>
  </r>
  <r>
    <x v="4"/>
    <x v="0"/>
    <x v="0"/>
    <x v="0"/>
    <x v="0"/>
    <n v="1319.42"/>
    <x v="0"/>
    <x v="0"/>
  </r>
  <r>
    <x v="4"/>
    <x v="0"/>
    <x v="1"/>
    <x v="0"/>
    <x v="0"/>
    <n v="518.1"/>
    <x v="0"/>
    <x v="0"/>
  </r>
  <r>
    <x v="4"/>
    <x v="0"/>
    <x v="1"/>
    <x v="0"/>
    <x v="0"/>
    <n v="494.64"/>
    <x v="0"/>
    <x v="0"/>
  </r>
  <r>
    <x v="4"/>
    <x v="0"/>
    <x v="0"/>
    <x v="0"/>
    <x v="0"/>
    <n v="7873.13"/>
    <x v="0"/>
    <x v="0"/>
  </r>
  <r>
    <x v="4"/>
    <x v="0"/>
    <x v="0"/>
    <x v="0"/>
    <x v="0"/>
    <n v="4510.15"/>
    <x v="0"/>
    <x v="0"/>
  </r>
  <r>
    <x v="4"/>
    <x v="0"/>
    <x v="0"/>
    <x v="0"/>
    <x v="0"/>
    <n v="4426.72"/>
    <x v="0"/>
    <x v="0"/>
  </r>
  <r>
    <x v="4"/>
    <x v="0"/>
    <x v="0"/>
    <x v="0"/>
    <x v="0"/>
    <n v="3003.85"/>
    <x v="0"/>
    <x v="0"/>
  </r>
  <r>
    <x v="4"/>
    <x v="1"/>
    <x v="3"/>
    <x v="0"/>
    <x v="0"/>
    <n v="179651.4"/>
    <x v="0"/>
    <x v="0"/>
  </r>
  <r>
    <x v="4"/>
    <x v="0"/>
    <x v="2"/>
    <x v="0"/>
    <x v="0"/>
    <n v="18067.41"/>
    <x v="0"/>
    <x v="0"/>
  </r>
  <r>
    <x v="4"/>
    <x v="0"/>
    <x v="0"/>
    <x v="0"/>
    <x v="0"/>
    <n v="5666.41"/>
    <x v="0"/>
    <x v="0"/>
  </r>
  <r>
    <x v="4"/>
    <x v="0"/>
    <x v="0"/>
    <x v="0"/>
    <x v="0"/>
    <n v="7496.64"/>
    <x v="0"/>
    <x v="0"/>
  </r>
  <r>
    <x v="4"/>
    <x v="0"/>
    <x v="0"/>
    <x v="0"/>
    <x v="0"/>
    <n v="6902.52"/>
    <x v="0"/>
    <x v="0"/>
  </r>
  <r>
    <x v="4"/>
    <x v="0"/>
    <x v="0"/>
    <x v="0"/>
    <x v="0"/>
    <n v="6351.38"/>
    <x v="0"/>
    <x v="0"/>
  </r>
  <r>
    <x v="4"/>
    <x v="0"/>
    <x v="1"/>
    <x v="0"/>
    <x v="0"/>
    <n v="187.48"/>
    <x v="0"/>
    <x v="0"/>
  </r>
  <r>
    <x v="4"/>
    <x v="0"/>
    <x v="1"/>
    <x v="0"/>
    <x v="0"/>
    <n v="774.62"/>
    <x v="0"/>
    <x v="0"/>
  </r>
  <r>
    <x v="4"/>
    <x v="0"/>
    <x v="2"/>
    <x v="0"/>
    <x v="0"/>
    <n v="16475.34"/>
    <x v="0"/>
    <x v="0"/>
  </r>
  <r>
    <x v="4"/>
    <x v="0"/>
    <x v="2"/>
    <x v="0"/>
    <x v="0"/>
    <n v="10576.89"/>
    <x v="0"/>
    <x v="0"/>
  </r>
  <r>
    <x v="4"/>
    <x v="0"/>
    <x v="0"/>
    <x v="0"/>
    <x v="0"/>
    <n v="1553.21"/>
    <x v="0"/>
    <x v="0"/>
  </r>
  <r>
    <x v="4"/>
    <x v="0"/>
    <x v="0"/>
    <x v="0"/>
    <x v="0"/>
    <n v="3508.93"/>
    <x v="0"/>
    <x v="0"/>
  </r>
  <r>
    <x v="4"/>
    <x v="0"/>
    <x v="1"/>
    <x v="0"/>
    <x v="0"/>
    <n v="415.98"/>
    <x v="0"/>
    <x v="0"/>
  </r>
  <r>
    <x v="4"/>
    <x v="0"/>
    <x v="0"/>
    <x v="0"/>
    <x v="0"/>
    <n v="1281.34"/>
    <x v="0"/>
    <x v="0"/>
  </r>
  <r>
    <x v="4"/>
    <x v="0"/>
    <x v="1"/>
    <x v="0"/>
    <x v="0"/>
    <n v="462.23"/>
    <x v="0"/>
    <x v="0"/>
  </r>
  <r>
    <x v="4"/>
    <x v="2"/>
    <x v="3"/>
    <x v="0"/>
    <x v="0"/>
    <n v="173210.02"/>
    <x v="0"/>
    <x v="0"/>
  </r>
  <r>
    <x v="4"/>
    <x v="2"/>
    <x v="3"/>
    <x v="0"/>
    <x v="0"/>
    <n v="138480.68"/>
    <x v="0"/>
    <x v="0"/>
  </r>
  <r>
    <x v="4"/>
    <x v="0"/>
    <x v="1"/>
    <x v="0"/>
    <x v="0"/>
    <n v="774.48"/>
    <x v="0"/>
    <x v="0"/>
  </r>
  <r>
    <x v="4"/>
    <x v="0"/>
    <x v="0"/>
    <x v="0"/>
    <x v="0"/>
    <n v="9479.49"/>
    <x v="0"/>
    <x v="0"/>
  </r>
  <r>
    <x v="4"/>
    <x v="0"/>
    <x v="0"/>
    <x v="0"/>
    <x v="0"/>
    <n v="1438.63"/>
    <x v="0"/>
    <x v="0"/>
  </r>
  <r>
    <x v="4"/>
    <x v="0"/>
    <x v="0"/>
    <x v="0"/>
    <x v="0"/>
    <n v="1925.08"/>
    <x v="0"/>
    <x v="0"/>
  </r>
  <r>
    <x v="4"/>
    <x v="0"/>
    <x v="0"/>
    <x v="0"/>
    <x v="0"/>
    <n v="2057.11"/>
    <x v="0"/>
    <x v="0"/>
  </r>
  <r>
    <x v="4"/>
    <x v="0"/>
    <x v="0"/>
    <x v="0"/>
    <x v="0"/>
    <n v="2224.41"/>
    <x v="0"/>
    <x v="0"/>
  </r>
  <r>
    <x v="4"/>
    <x v="2"/>
    <x v="3"/>
    <x v="0"/>
    <x v="0"/>
    <n v="272045.87"/>
    <x v="0"/>
    <x v="0"/>
  </r>
  <r>
    <x v="4"/>
    <x v="0"/>
    <x v="0"/>
    <x v="0"/>
    <x v="0"/>
    <n v="2515.55"/>
    <x v="0"/>
    <x v="0"/>
  </r>
  <r>
    <x v="4"/>
    <x v="0"/>
    <x v="0"/>
    <x v="0"/>
    <x v="0"/>
    <n v="2803.61"/>
    <x v="0"/>
    <x v="0"/>
  </r>
  <r>
    <x v="4"/>
    <x v="0"/>
    <x v="0"/>
    <x v="0"/>
    <x v="0"/>
    <n v="8847.07"/>
    <x v="0"/>
    <x v="0"/>
  </r>
  <r>
    <x v="4"/>
    <x v="0"/>
    <x v="0"/>
    <x v="0"/>
    <x v="0"/>
    <n v="5089.69"/>
    <x v="0"/>
    <x v="0"/>
  </r>
  <r>
    <x v="4"/>
    <x v="0"/>
    <x v="2"/>
    <x v="0"/>
    <x v="0"/>
    <n v="27655.2"/>
    <x v="0"/>
    <x v="0"/>
  </r>
  <r>
    <x v="4"/>
    <x v="0"/>
    <x v="0"/>
    <x v="0"/>
    <x v="0"/>
    <n v="4754.82"/>
    <x v="0"/>
    <x v="0"/>
  </r>
  <r>
    <x v="4"/>
    <x v="1"/>
    <x v="3"/>
    <x v="0"/>
    <x v="0"/>
    <n v="132427.3"/>
    <x v="0"/>
    <x v="0"/>
  </r>
  <r>
    <x v="4"/>
    <x v="2"/>
    <x v="3"/>
    <x v="0"/>
    <x v="0"/>
    <n v="180009.7"/>
    <x v="0"/>
    <x v="0"/>
  </r>
  <r>
    <x v="4"/>
    <x v="0"/>
    <x v="1"/>
    <x v="0"/>
    <x v="0"/>
    <n v="852.95"/>
    <x v="0"/>
    <x v="0"/>
  </r>
  <r>
    <x v="4"/>
    <x v="0"/>
    <x v="0"/>
    <x v="0"/>
    <x v="0"/>
    <n v="4392.73"/>
    <x v="0"/>
    <x v="0"/>
  </r>
  <r>
    <x v="4"/>
    <x v="1"/>
    <x v="3"/>
    <x v="0"/>
    <x v="0"/>
    <n v="268571.64"/>
    <x v="0"/>
    <x v="0"/>
  </r>
  <r>
    <x v="4"/>
    <x v="0"/>
    <x v="0"/>
    <x v="0"/>
    <x v="0"/>
    <n v="8479.04"/>
    <x v="0"/>
    <x v="0"/>
  </r>
  <r>
    <x v="4"/>
    <x v="0"/>
    <x v="0"/>
    <x v="0"/>
    <x v="0"/>
    <n v="3833.36"/>
    <x v="0"/>
    <x v="0"/>
  </r>
  <r>
    <x v="4"/>
    <x v="1"/>
    <x v="3"/>
    <x v="0"/>
    <x v="0"/>
    <n v="134294.1"/>
    <x v="0"/>
    <x v="0"/>
  </r>
  <r>
    <x v="4"/>
    <x v="3"/>
    <x v="0"/>
    <x v="0"/>
    <x v="0"/>
    <n v="3092.94"/>
    <x v="0"/>
    <x v="0"/>
  </r>
  <r>
    <x v="4"/>
    <x v="0"/>
    <x v="2"/>
    <x v="0"/>
    <x v="0"/>
    <n v="30981.44"/>
    <x v="0"/>
    <x v="0"/>
  </r>
  <r>
    <x v="4"/>
    <x v="0"/>
    <x v="0"/>
    <x v="0"/>
    <x v="0"/>
    <n v="4532.37"/>
    <x v="0"/>
    <x v="0"/>
  </r>
  <r>
    <x v="4"/>
    <x v="0"/>
    <x v="0"/>
    <x v="0"/>
    <x v="0"/>
    <n v="3016.29"/>
    <x v="0"/>
    <x v="0"/>
  </r>
  <r>
    <x v="4"/>
    <x v="0"/>
    <x v="0"/>
    <x v="0"/>
    <x v="0"/>
    <n v="1903.52"/>
    <x v="0"/>
    <x v="0"/>
  </r>
  <r>
    <x v="4"/>
    <x v="1"/>
    <x v="2"/>
    <x v="0"/>
    <x v="0"/>
    <n v="72825.75"/>
    <x v="0"/>
    <x v="0"/>
  </r>
  <r>
    <x v="4"/>
    <x v="0"/>
    <x v="0"/>
    <x v="0"/>
    <x v="0"/>
    <n v="4026.05"/>
    <x v="0"/>
    <x v="0"/>
  </r>
  <r>
    <x v="4"/>
    <x v="3"/>
    <x v="0"/>
    <x v="0"/>
    <x v="0"/>
    <n v="2298.7"/>
    <x v="0"/>
    <x v="0"/>
  </r>
  <r>
    <x v="4"/>
    <x v="0"/>
    <x v="1"/>
    <x v="0"/>
    <x v="0"/>
    <n v="263.87"/>
    <x v="0"/>
    <x v="0"/>
  </r>
  <r>
    <x v="4"/>
    <x v="0"/>
    <x v="0"/>
    <x v="0"/>
    <x v="0"/>
    <n v="7798.4"/>
    <x v="0"/>
    <x v="0"/>
  </r>
  <r>
    <x v="4"/>
    <x v="0"/>
    <x v="0"/>
    <x v="0"/>
    <x v="0"/>
    <n v="4112.38"/>
    <x v="0"/>
    <x v="0"/>
  </r>
  <r>
    <x v="4"/>
    <x v="0"/>
    <x v="0"/>
    <x v="0"/>
    <x v="0"/>
    <n v="6204.45"/>
    <x v="0"/>
    <x v="0"/>
  </r>
  <r>
    <x v="4"/>
    <x v="0"/>
    <x v="0"/>
    <x v="0"/>
    <x v="0"/>
    <n v="1754.73"/>
    <x v="0"/>
    <x v="0"/>
  </r>
  <r>
    <x v="4"/>
    <x v="0"/>
    <x v="0"/>
    <x v="0"/>
    <x v="0"/>
    <n v="2976.65"/>
    <x v="0"/>
    <x v="0"/>
  </r>
  <r>
    <x v="4"/>
    <x v="0"/>
    <x v="0"/>
    <x v="0"/>
    <x v="0"/>
    <n v="3770.26"/>
    <x v="0"/>
    <x v="0"/>
  </r>
  <r>
    <x v="4"/>
    <x v="2"/>
    <x v="3"/>
    <x v="0"/>
    <x v="0"/>
    <n v="220070.01"/>
    <x v="0"/>
    <x v="0"/>
  </r>
  <r>
    <x v="4"/>
    <x v="0"/>
    <x v="0"/>
    <x v="0"/>
    <x v="0"/>
    <n v="4704"/>
    <x v="0"/>
    <x v="0"/>
  </r>
  <r>
    <x v="4"/>
    <x v="1"/>
    <x v="2"/>
    <x v="0"/>
    <x v="0"/>
    <n v="56471.48"/>
    <x v="0"/>
    <x v="0"/>
  </r>
  <r>
    <x v="4"/>
    <x v="0"/>
    <x v="0"/>
    <x v="0"/>
    <x v="0"/>
    <n v="1534.11"/>
    <x v="0"/>
    <x v="0"/>
  </r>
  <r>
    <x v="4"/>
    <x v="0"/>
    <x v="0"/>
    <x v="0"/>
    <x v="0"/>
    <n v="4562.21"/>
    <x v="0"/>
    <x v="0"/>
  </r>
  <r>
    <x v="4"/>
    <x v="0"/>
    <x v="0"/>
    <x v="0"/>
    <x v="0"/>
    <n v="1901.5"/>
    <x v="0"/>
    <x v="0"/>
  </r>
  <r>
    <x v="4"/>
    <x v="0"/>
    <x v="2"/>
    <x v="0"/>
    <x v="0"/>
    <n v="15211.91"/>
    <x v="0"/>
    <x v="0"/>
  </r>
  <r>
    <x v="4"/>
    <x v="0"/>
    <x v="2"/>
    <x v="0"/>
    <x v="0"/>
    <n v="32876.85"/>
    <x v="0"/>
    <x v="0"/>
  </r>
  <r>
    <x v="4"/>
    <x v="0"/>
    <x v="0"/>
    <x v="0"/>
    <x v="0"/>
    <n v="2883.1"/>
    <x v="0"/>
    <x v="0"/>
  </r>
  <r>
    <x v="4"/>
    <x v="0"/>
    <x v="2"/>
    <x v="0"/>
    <x v="0"/>
    <n v="38371.41"/>
    <x v="0"/>
    <x v="0"/>
  </r>
  <r>
    <x v="4"/>
    <x v="0"/>
    <x v="2"/>
    <x v="0"/>
    <x v="0"/>
    <n v="19561.11"/>
    <x v="0"/>
    <x v="0"/>
  </r>
  <r>
    <x v="4"/>
    <x v="0"/>
    <x v="0"/>
    <x v="0"/>
    <x v="0"/>
    <n v="9452.85"/>
    <x v="0"/>
    <x v="0"/>
  </r>
  <r>
    <x v="4"/>
    <x v="0"/>
    <x v="2"/>
    <x v="0"/>
    <x v="0"/>
    <n v="16780.75"/>
    <x v="0"/>
    <x v="0"/>
  </r>
  <r>
    <x v="4"/>
    <x v="0"/>
    <x v="2"/>
    <x v="0"/>
    <x v="0"/>
    <n v="20526.64"/>
    <x v="0"/>
    <x v="0"/>
  </r>
  <r>
    <x v="4"/>
    <x v="0"/>
    <x v="0"/>
    <x v="0"/>
    <x v="0"/>
    <n v="4477.03"/>
    <x v="0"/>
    <x v="0"/>
  </r>
  <r>
    <x v="4"/>
    <x v="0"/>
    <x v="2"/>
    <x v="0"/>
    <x v="0"/>
    <n v="17390.17"/>
    <x v="0"/>
    <x v="0"/>
  </r>
  <r>
    <x v="4"/>
    <x v="0"/>
    <x v="2"/>
    <x v="0"/>
    <x v="0"/>
    <n v="27401.26"/>
    <x v="0"/>
    <x v="0"/>
  </r>
  <r>
    <x v="4"/>
    <x v="0"/>
    <x v="0"/>
    <x v="0"/>
    <x v="0"/>
    <n v="7414.66"/>
    <x v="0"/>
    <x v="0"/>
  </r>
  <r>
    <x v="4"/>
    <x v="0"/>
    <x v="2"/>
    <x v="0"/>
    <x v="0"/>
    <n v="18850.92"/>
    <x v="0"/>
    <x v="0"/>
  </r>
  <r>
    <x v="4"/>
    <x v="0"/>
    <x v="2"/>
    <x v="0"/>
    <x v="0"/>
    <n v="11430.59"/>
    <x v="0"/>
    <x v="0"/>
  </r>
  <r>
    <x v="4"/>
    <x v="0"/>
    <x v="0"/>
    <x v="0"/>
    <x v="0"/>
    <n v="1766.71"/>
    <x v="0"/>
    <x v="0"/>
  </r>
  <r>
    <x v="4"/>
    <x v="0"/>
    <x v="0"/>
    <x v="0"/>
    <x v="0"/>
    <n v="7632.13"/>
    <x v="0"/>
    <x v="0"/>
  </r>
  <r>
    <x v="4"/>
    <x v="0"/>
    <x v="0"/>
    <x v="0"/>
    <x v="0"/>
    <n v="2261.59"/>
    <x v="0"/>
    <x v="0"/>
  </r>
  <r>
    <x v="4"/>
    <x v="0"/>
    <x v="1"/>
    <x v="0"/>
    <x v="0"/>
    <n v="3.75"/>
    <x v="0"/>
    <x v="0"/>
  </r>
  <r>
    <x v="4"/>
    <x v="0"/>
    <x v="0"/>
    <x v="0"/>
    <x v="0"/>
    <n v="4408.24"/>
    <x v="0"/>
    <x v="0"/>
  </r>
  <r>
    <x v="4"/>
    <x v="0"/>
    <x v="0"/>
    <x v="0"/>
    <x v="0"/>
    <n v="3117.04"/>
    <x v="0"/>
    <x v="0"/>
  </r>
  <r>
    <x v="4"/>
    <x v="2"/>
    <x v="2"/>
    <x v="0"/>
    <x v="0"/>
    <n v="55207.84"/>
    <x v="0"/>
    <x v="0"/>
  </r>
  <r>
    <x v="4"/>
    <x v="0"/>
    <x v="0"/>
    <x v="0"/>
    <x v="0"/>
    <n v="4962"/>
    <x v="0"/>
    <x v="0"/>
  </r>
  <r>
    <x v="4"/>
    <x v="0"/>
    <x v="2"/>
    <x v="0"/>
    <x v="0"/>
    <n v="12479.16"/>
    <x v="0"/>
    <x v="0"/>
  </r>
  <r>
    <x v="4"/>
    <x v="0"/>
    <x v="0"/>
    <x v="0"/>
    <x v="0"/>
    <n v="7464.54"/>
    <x v="0"/>
    <x v="0"/>
  </r>
  <r>
    <x v="4"/>
    <x v="0"/>
    <x v="0"/>
    <x v="0"/>
    <x v="0"/>
    <n v="5820.27"/>
    <x v="0"/>
    <x v="0"/>
  </r>
  <r>
    <x v="4"/>
    <x v="0"/>
    <x v="1"/>
    <x v="0"/>
    <x v="0"/>
    <n v="472.63"/>
    <x v="0"/>
    <x v="0"/>
  </r>
  <r>
    <x v="4"/>
    <x v="0"/>
    <x v="2"/>
    <x v="0"/>
    <x v="0"/>
    <n v="12986.85"/>
    <x v="0"/>
    <x v="0"/>
  </r>
  <r>
    <x v="4"/>
    <x v="0"/>
    <x v="0"/>
    <x v="0"/>
    <x v="0"/>
    <n v="3590.58"/>
    <x v="0"/>
    <x v="0"/>
  </r>
  <r>
    <x v="4"/>
    <x v="0"/>
    <x v="2"/>
    <x v="0"/>
    <x v="0"/>
    <n v="24921.84"/>
    <x v="0"/>
    <x v="0"/>
  </r>
  <r>
    <x v="4"/>
    <x v="1"/>
    <x v="3"/>
    <x v="0"/>
    <x v="0"/>
    <n v="145374.18"/>
    <x v="0"/>
    <x v="0"/>
  </r>
  <r>
    <x v="4"/>
    <x v="0"/>
    <x v="0"/>
    <x v="0"/>
    <x v="0"/>
    <n v="3401.12"/>
    <x v="0"/>
    <x v="0"/>
  </r>
  <r>
    <x v="4"/>
    <x v="0"/>
    <x v="0"/>
    <x v="0"/>
    <x v="0"/>
    <n v="9080.77"/>
    <x v="0"/>
    <x v="0"/>
  </r>
  <r>
    <x v="4"/>
    <x v="0"/>
    <x v="0"/>
    <x v="0"/>
    <x v="0"/>
    <n v="1648.13"/>
    <x v="0"/>
    <x v="0"/>
  </r>
  <r>
    <x v="4"/>
    <x v="0"/>
    <x v="0"/>
    <x v="0"/>
    <x v="0"/>
    <n v="7792.99"/>
    <x v="0"/>
    <x v="0"/>
  </r>
  <r>
    <x v="4"/>
    <x v="0"/>
    <x v="1"/>
    <x v="0"/>
    <x v="0"/>
    <n v="491.11"/>
    <x v="0"/>
    <x v="0"/>
  </r>
  <r>
    <x v="4"/>
    <x v="0"/>
    <x v="1"/>
    <x v="0"/>
    <x v="0"/>
    <n v="325.72"/>
    <x v="0"/>
    <x v="0"/>
  </r>
  <r>
    <x v="4"/>
    <x v="2"/>
    <x v="3"/>
    <x v="0"/>
    <x v="0"/>
    <n v="190944.55"/>
    <x v="0"/>
    <x v="0"/>
  </r>
  <r>
    <x v="4"/>
    <x v="3"/>
    <x v="0"/>
    <x v="0"/>
    <x v="0"/>
    <n v="2065.17"/>
    <x v="0"/>
    <x v="0"/>
  </r>
  <r>
    <x v="4"/>
    <x v="0"/>
    <x v="0"/>
    <x v="0"/>
    <x v="0"/>
    <n v="1894.12"/>
    <x v="0"/>
    <x v="0"/>
  </r>
  <r>
    <x v="4"/>
    <x v="0"/>
    <x v="1"/>
    <x v="0"/>
    <x v="0"/>
    <n v="437.22"/>
    <x v="0"/>
    <x v="0"/>
  </r>
  <r>
    <x v="4"/>
    <x v="0"/>
    <x v="0"/>
    <x v="0"/>
    <x v="0"/>
    <n v="5210.66"/>
    <x v="0"/>
    <x v="0"/>
  </r>
  <r>
    <x v="4"/>
    <x v="0"/>
    <x v="0"/>
    <x v="0"/>
    <x v="0"/>
    <n v="3897.56"/>
    <x v="0"/>
    <x v="0"/>
  </r>
  <r>
    <x v="4"/>
    <x v="0"/>
    <x v="1"/>
    <x v="0"/>
    <x v="0"/>
    <n v="25.08"/>
    <x v="0"/>
    <x v="0"/>
  </r>
  <r>
    <x v="4"/>
    <x v="0"/>
    <x v="0"/>
    <x v="0"/>
    <x v="0"/>
    <n v="2574.1"/>
    <x v="0"/>
    <x v="0"/>
  </r>
  <r>
    <x v="4"/>
    <x v="0"/>
    <x v="0"/>
    <x v="0"/>
    <x v="0"/>
    <n v="3920.64"/>
    <x v="0"/>
    <x v="0"/>
  </r>
  <r>
    <x v="4"/>
    <x v="0"/>
    <x v="0"/>
    <x v="0"/>
    <x v="0"/>
    <n v="1288.03"/>
    <x v="0"/>
    <x v="0"/>
  </r>
  <r>
    <x v="4"/>
    <x v="3"/>
    <x v="0"/>
    <x v="0"/>
    <x v="0"/>
    <n v="3768.1"/>
    <x v="0"/>
    <x v="0"/>
  </r>
  <r>
    <x v="4"/>
    <x v="0"/>
    <x v="1"/>
    <x v="0"/>
    <x v="0"/>
    <n v="905.86"/>
    <x v="0"/>
    <x v="0"/>
  </r>
  <r>
    <x v="4"/>
    <x v="0"/>
    <x v="0"/>
    <x v="0"/>
    <x v="0"/>
    <n v="1744.46"/>
    <x v="0"/>
    <x v="0"/>
  </r>
  <r>
    <x v="4"/>
    <x v="0"/>
    <x v="0"/>
    <x v="0"/>
    <x v="0"/>
    <n v="4433.42"/>
    <x v="0"/>
    <x v="0"/>
  </r>
  <r>
    <x v="4"/>
    <x v="0"/>
    <x v="2"/>
    <x v="0"/>
    <x v="0"/>
    <n v="29762.68"/>
    <x v="0"/>
    <x v="0"/>
  </r>
  <r>
    <x v="4"/>
    <x v="0"/>
    <x v="0"/>
    <x v="0"/>
    <x v="0"/>
    <n v="9531.19"/>
    <x v="0"/>
    <x v="0"/>
  </r>
  <r>
    <x v="4"/>
    <x v="0"/>
    <x v="1"/>
    <x v="0"/>
    <x v="0"/>
    <n v="628.34"/>
    <x v="0"/>
    <x v="0"/>
  </r>
  <r>
    <x v="4"/>
    <x v="0"/>
    <x v="2"/>
    <x v="0"/>
    <x v="0"/>
    <n v="10256.09"/>
    <x v="0"/>
    <x v="0"/>
  </r>
  <r>
    <x v="4"/>
    <x v="0"/>
    <x v="0"/>
    <x v="0"/>
    <x v="0"/>
    <n v="7587.2"/>
    <x v="0"/>
    <x v="0"/>
  </r>
  <r>
    <x v="4"/>
    <x v="2"/>
    <x v="2"/>
    <x v="0"/>
    <x v="0"/>
    <n v="78115.81"/>
    <x v="0"/>
    <x v="0"/>
  </r>
  <r>
    <x v="4"/>
    <x v="1"/>
    <x v="2"/>
    <x v="0"/>
    <x v="0"/>
    <n v="97661.94"/>
    <x v="0"/>
    <x v="0"/>
  </r>
  <r>
    <x v="4"/>
    <x v="0"/>
    <x v="0"/>
    <x v="0"/>
    <x v="0"/>
    <n v="4835.01"/>
    <x v="0"/>
    <x v="0"/>
  </r>
  <r>
    <x v="4"/>
    <x v="3"/>
    <x v="0"/>
    <x v="0"/>
    <x v="0"/>
    <n v="1857.79"/>
    <x v="0"/>
    <x v="0"/>
  </r>
  <r>
    <x v="4"/>
    <x v="0"/>
    <x v="0"/>
    <x v="0"/>
    <x v="0"/>
    <n v="5451.3"/>
    <x v="0"/>
    <x v="0"/>
  </r>
  <r>
    <x v="4"/>
    <x v="0"/>
    <x v="0"/>
    <x v="0"/>
    <x v="0"/>
    <n v="1021.03"/>
    <x v="0"/>
    <x v="0"/>
  </r>
  <r>
    <x v="4"/>
    <x v="0"/>
    <x v="0"/>
    <x v="0"/>
    <x v="0"/>
    <n v="5105.68"/>
    <x v="0"/>
    <x v="0"/>
  </r>
  <r>
    <x v="4"/>
    <x v="0"/>
    <x v="0"/>
    <x v="0"/>
    <x v="0"/>
    <n v="2750.32"/>
    <x v="0"/>
    <x v="0"/>
  </r>
  <r>
    <x v="4"/>
    <x v="0"/>
    <x v="0"/>
    <x v="0"/>
    <x v="0"/>
    <n v="7865.47"/>
    <x v="0"/>
    <x v="0"/>
  </r>
  <r>
    <x v="4"/>
    <x v="0"/>
    <x v="0"/>
    <x v="0"/>
    <x v="0"/>
    <n v="2813.24"/>
    <x v="0"/>
    <x v="0"/>
  </r>
  <r>
    <x v="4"/>
    <x v="0"/>
    <x v="2"/>
    <x v="0"/>
    <x v="0"/>
    <n v="13826.77"/>
    <x v="0"/>
    <x v="0"/>
  </r>
  <r>
    <x v="4"/>
    <x v="0"/>
    <x v="2"/>
    <x v="0"/>
    <x v="0"/>
    <n v="47001.52"/>
    <x v="0"/>
    <x v="0"/>
  </r>
  <r>
    <x v="4"/>
    <x v="0"/>
    <x v="2"/>
    <x v="0"/>
    <x v="0"/>
    <n v="11470.25"/>
    <x v="0"/>
    <x v="0"/>
  </r>
  <r>
    <x v="4"/>
    <x v="0"/>
    <x v="2"/>
    <x v="0"/>
    <x v="0"/>
    <n v="12417.59"/>
    <x v="0"/>
    <x v="0"/>
  </r>
  <r>
    <x v="4"/>
    <x v="0"/>
    <x v="0"/>
    <x v="0"/>
    <x v="0"/>
    <n v="9204.89"/>
    <x v="0"/>
    <x v="0"/>
  </r>
  <r>
    <x v="4"/>
    <x v="0"/>
    <x v="0"/>
    <x v="0"/>
    <x v="0"/>
    <n v="2014.68"/>
    <x v="0"/>
    <x v="0"/>
  </r>
  <r>
    <x v="4"/>
    <x v="0"/>
    <x v="0"/>
    <x v="0"/>
    <x v="0"/>
    <n v="9405.76"/>
    <x v="0"/>
    <x v="0"/>
  </r>
  <r>
    <x v="4"/>
    <x v="0"/>
    <x v="0"/>
    <x v="0"/>
    <x v="0"/>
    <n v="8020.86"/>
    <x v="0"/>
    <x v="0"/>
  </r>
  <r>
    <x v="4"/>
    <x v="0"/>
    <x v="0"/>
    <x v="0"/>
    <x v="0"/>
    <n v="5580.15"/>
    <x v="0"/>
    <x v="0"/>
  </r>
  <r>
    <x v="4"/>
    <x v="0"/>
    <x v="2"/>
    <x v="0"/>
    <x v="0"/>
    <n v="15150.82"/>
    <x v="0"/>
    <x v="0"/>
  </r>
  <r>
    <x v="4"/>
    <x v="0"/>
    <x v="0"/>
    <x v="0"/>
    <x v="0"/>
    <n v="5272.65"/>
    <x v="0"/>
    <x v="0"/>
  </r>
  <r>
    <x v="4"/>
    <x v="0"/>
    <x v="0"/>
    <x v="0"/>
    <x v="0"/>
    <n v="3265.5"/>
    <x v="0"/>
    <x v="0"/>
  </r>
  <r>
    <x v="4"/>
    <x v="0"/>
    <x v="0"/>
    <x v="0"/>
    <x v="0"/>
    <n v="2499.52"/>
    <x v="0"/>
    <x v="0"/>
  </r>
  <r>
    <x v="4"/>
    <x v="0"/>
    <x v="2"/>
    <x v="0"/>
    <x v="0"/>
    <n v="26672.44"/>
    <x v="0"/>
    <x v="0"/>
  </r>
  <r>
    <x v="4"/>
    <x v="0"/>
    <x v="0"/>
    <x v="0"/>
    <x v="0"/>
    <n v="3581.86"/>
    <x v="0"/>
    <x v="0"/>
  </r>
  <r>
    <x v="4"/>
    <x v="0"/>
    <x v="0"/>
    <x v="0"/>
    <x v="0"/>
    <n v="1324.06"/>
    <x v="0"/>
    <x v="0"/>
  </r>
  <r>
    <x v="4"/>
    <x v="0"/>
    <x v="0"/>
    <x v="0"/>
    <x v="0"/>
    <n v="3202.12"/>
    <x v="0"/>
    <x v="0"/>
  </r>
  <r>
    <x v="4"/>
    <x v="0"/>
    <x v="0"/>
    <x v="0"/>
    <x v="0"/>
    <n v="7269.69"/>
    <x v="0"/>
    <x v="0"/>
  </r>
  <r>
    <x v="4"/>
    <x v="0"/>
    <x v="0"/>
    <x v="0"/>
    <x v="0"/>
    <n v="6078.4"/>
    <x v="0"/>
    <x v="0"/>
  </r>
  <r>
    <x v="4"/>
    <x v="0"/>
    <x v="0"/>
    <x v="0"/>
    <x v="0"/>
    <n v="4871.03"/>
    <x v="0"/>
    <x v="0"/>
  </r>
  <r>
    <x v="4"/>
    <x v="0"/>
    <x v="2"/>
    <x v="0"/>
    <x v="0"/>
    <n v="14976.04"/>
    <x v="0"/>
    <x v="0"/>
  </r>
  <r>
    <x v="4"/>
    <x v="0"/>
    <x v="0"/>
    <x v="0"/>
    <x v="0"/>
    <n v="2315.6"/>
    <x v="0"/>
    <x v="0"/>
  </r>
  <r>
    <x v="4"/>
    <x v="0"/>
    <x v="0"/>
    <x v="0"/>
    <x v="0"/>
    <n v="3287.08"/>
    <x v="0"/>
    <x v="0"/>
  </r>
  <r>
    <x v="4"/>
    <x v="0"/>
    <x v="0"/>
    <x v="0"/>
    <x v="0"/>
    <n v="4235.23"/>
    <x v="0"/>
    <x v="0"/>
  </r>
  <r>
    <x v="4"/>
    <x v="2"/>
    <x v="3"/>
    <x v="0"/>
    <x v="0"/>
    <n v="101921.8"/>
    <x v="0"/>
    <x v="0"/>
  </r>
  <r>
    <x v="4"/>
    <x v="2"/>
    <x v="3"/>
    <x v="0"/>
    <x v="0"/>
    <n v="135550.07"/>
    <x v="0"/>
    <x v="0"/>
  </r>
  <r>
    <x v="4"/>
    <x v="0"/>
    <x v="0"/>
    <x v="0"/>
    <x v="0"/>
    <n v="4573.24"/>
    <x v="0"/>
    <x v="0"/>
  </r>
  <r>
    <x v="4"/>
    <x v="0"/>
    <x v="0"/>
    <x v="0"/>
    <x v="0"/>
    <n v="5905.54"/>
    <x v="0"/>
    <x v="0"/>
  </r>
  <r>
    <x v="4"/>
    <x v="3"/>
    <x v="1"/>
    <x v="0"/>
    <x v="0"/>
    <n v="665.37"/>
    <x v="0"/>
    <x v="0"/>
  </r>
  <r>
    <x v="4"/>
    <x v="3"/>
    <x v="0"/>
    <x v="0"/>
    <x v="0"/>
    <n v="1674.09"/>
    <x v="0"/>
    <x v="0"/>
  </r>
  <r>
    <x v="4"/>
    <x v="0"/>
    <x v="0"/>
    <x v="0"/>
    <x v="0"/>
    <n v="4762.15"/>
    <x v="0"/>
    <x v="0"/>
  </r>
  <r>
    <x v="4"/>
    <x v="0"/>
    <x v="1"/>
    <x v="0"/>
    <x v="0"/>
    <n v="307.63"/>
    <x v="0"/>
    <x v="0"/>
  </r>
  <r>
    <x v="4"/>
    <x v="0"/>
    <x v="0"/>
    <x v="0"/>
    <x v="0"/>
    <n v="3247.56"/>
    <x v="0"/>
    <x v="0"/>
  </r>
  <r>
    <x v="4"/>
    <x v="0"/>
    <x v="0"/>
    <x v="0"/>
    <x v="0"/>
    <n v="2949.77"/>
    <x v="0"/>
    <x v="0"/>
  </r>
  <r>
    <x v="4"/>
    <x v="0"/>
    <x v="0"/>
    <x v="0"/>
    <x v="0"/>
    <n v="4251.15"/>
    <x v="0"/>
    <x v="0"/>
  </r>
  <r>
    <x v="4"/>
    <x v="0"/>
    <x v="0"/>
    <x v="0"/>
    <x v="0"/>
    <n v="5200"/>
    <x v="0"/>
    <x v="0"/>
  </r>
  <r>
    <x v="4"/>
    <x v="0"/>
    <x v="0"/>
    <x v="0"/>
    <x v="0"/>
    <n v="3367.42"/>
    <x v="0"/>
    <x v="0"/>
  </r>
  <r>
    <x v="4"/>
    <x v="2"/>
    <x v="2"/>
    <x v="0"/>
    <x v="0"/>
    <n v="41624.47"/>
    <x v="0"/>
    <x v="0"/>
  </r>
  <r>
    <x v="4"/>
    <x v="0"/>
    <x v="0"/>
    <x v="0"/>
    <x v="0"/>
    <n v="3032.27"/>
    <x v="0"/>
    <x v="0"/>
  </r>
  <r>
    <x v="4"/>
    <x v="0"/>
    <x v="2"/>
    <x v="0"/>
    <x v="0"/>
    <n v="17410.74"/>
    <x v="0"/>
    <x v="0"/>
  </r>
  <r>
    <x v="4"/>
    <x v="0"/>
    <x v="0"/>
    <x v="0"/>
    <x v="0"/>
    <n v="8908.26"/>
    <x v="0"/>
    <x v="0"/>
  </r>
  <r>
    <x v="4"/>
    <x v="0"/>
    <x v="0"/>
    <x v="0"/>
    <x v="0"/>
    <n v="1122.73"/>
    <x v="0"/>
    <x v="0"/>
  </r>
  <r>
    <x v="4"/>
    <x v="0"/>
    <x v="2"/>
    <x v="0"/>
    <x v="0"/>
    <n v="17356.69"/>
    <x v="0"/>
    <x v="0"/>
  </r>
  <r>
    <x v="4"/>
    <x v="0"/>
    <x v="1"/>
    <x v="0"/>
    <x v="0"/>
    <n v="914.59"/>
    <x v="0"/>
    <x v="0"/>
  </r>
  <r>
    <x v="4"/>
    <x v="0"/>
    <x v="1"/>
    <x v="0"/>
    <x v="0"/>
    <n v="617.25"/>
    <x v="0"/>
    <x v="0"/>
  </r>
  <r>
    <x v="4"/>
    <x v="2"/>
    <x v="2"/>
    <x v="0"/>
    <x v="0"/>
    <n v="48516.52"/>
    <x v="0"/>
    <x v="0"/>
  </r>
  <r>
    <x v="4"/>
    <x v="2"/>
    <x v="3"/>
    <x v="0"/>
    <x v="0"/>
    <n v="305121.53"/>
    <x v="0"/>
    <x v="0"/>
  </r>
  <r>
    <x v="4"/>
    <x v="2"/>
    <x v="3"/>
    <x v="0"/>
    <x v="0"/>
    <n v="268894.02"/>
    <x v="0"/>
    <x v="0"/>
  </r>
  <r>
    <x v="4"/>
    <x v="2"/>
    <x v="3"/>
    <x v="0"/>
    <x v="0"/>
    <n v="233312.83"/>
    <x v="0"/>
    <x v="0"/>
  </r>
  <r>
    <x v="4"/>
    <x v="2"/>
    <x v="3"/>
    <x v="0"/>
    <x v="0"/>
    <n v="198384.26"/>
    <x v="0"/>
    <x v="0"/>
  </r>
  <r>
    <x v="4"/>
    <x v="2"/>
    <x v="3"/>
    <x v="0"/>
    <x v="0"/>
    <n v="311282.8"/>
    <x v="0"/>
    <x v="0"/>
  </r>
  <r>
    <x v="4"/>
    <x v="0"/>
    <x v="0"/>
    <x v="0"/>
    <x v="0"/>
    <n v="7654.41"/>
    <x v="0"/>
    <x v="0"/>
  </r>
  <r>
    <x v="4"/>
    <x v="0"/>
    <x v="0"/>
    <x v="0"/>
    <x v="0"/>
    <n v="2376.34"/>
    <x v="0"/>
    <x v="0"/>
  </r>
  <r>
    <x v="4"/>
    <x v="0"/>
    <x v="2"/>
    <x v="0"/>
    <x v="0"/>
    <n v="10122.53"/>
    <x v="0"/>
    <x v="0"/>
  </r>
  <r>
    <x v="4"/>
    <x v="1"/>
    <x v="2"/>
    <x v="1"/>
    <x v="0"/>
    <n v="10119.47"/>
    <x v="1"/>
    <x v="23"/>
  </r>
  <r>
    <x v="4"/>
    <x v="2"/>
    <x v="2"/>
    <x v="1"/>
    <x v="0"/>
    <n v="10119.47"/>
    <x v="1"/>
    <x v="23"/>
  </r>
  <r>
    <x v="4"/>
    <x v="0"/>
    <x v="0"/>
    <x v="0"/>
    <x v="0"/>
    <n v="4103.27"/>
    <x v="0"/>
    <x v="0"/>
  </r>
  <r>
    <x v="4"/>
    <x v="0"/>
    <x v="0"/>
    <x v="0"/>
    <x v="0"/>
    <n v="5835.81"/>
    <x v="0"/>
    <x v="0"/>
  </r>
  <r>
    <x v="4"/>
    <x v="0"/>
    <x v="1"/>
    <x v="0"/>
    <x v="0"/>
    <n v="925.48"/>
    <x v="0"/>
    <x v="0"/>
  </r>
  <r>
    <x v="4"/>
    <x v="0"/>
    <x v="0"/>
    <x v="0"/>
    <x v="0"/>
    <n v="7543.1"/>
    <x v="0"/>
    <x v="0"/>
  </r>
  <r>
    <x v="4"/>
    <x v="0"/>
    <x v="0"/>
    <x v="0"/>
    <x v="0"/>
    <n v="3159.86"/>
    <x v="0"/>
    <x v="0"/>
  </r>
  <r>
    <x v="4"/>
    <x v="0"/>
    <x v="1"/>
    <x v="0"/>
    <x v="0"/>
    <n v="240.78"/>
    <x v="0"/>
    <x v="0"/>
  </r>
  <r>
    <x v="4"/>
    <x v="2"/>
    <x v="3"/>
    <x v="0"/>
    <x v="0"/>
    <n v="366300.87"/>
    <x v="0"/>
    <x v="0"/>
  </r>
  <r>
    <x v="4"/>
    <x v="2"/>
    <x v="2"/>
    <x v="0"/>
    <x v="0"/>
    <n v="33985.61"/>
    <x v="0"/>
    <x v="0"/>
  </r>
  <r>
    <x v="4"/>
    <x v="2"/>
    <x v="3"/>
    <x v="0"/>
    <x v="0"/>
    <n v="439930.78"/>
    <x v="0"/>
    <x v="0"/>
  </r>
  <r>
    <x v="4"/>
    <x v="2"/>
    <x v="3"/>
    <x v="0"/>
    <x v="0"/>
    <n v="218549.38"/>
    <x v="0"/>
    <x v="0"/>
  </r>
  <r>
    <x v="4"/>
    <x v="2"/>
    <x v="3"/>
    <x v="0"/>
    <x v="0"/>
    <n v="498990.17"/>
    <x v="0"/>
    <x v="0"/>
  </r>
  <r>
    <x v="4"/>
    <x v="2"/>
    <x v="3"/>
    <x v="0"/>
    <x v="0"/>
    <n v="134175.79"/>
    <x v="0"/>
    <x v="0"/>
  </r>
  <r>
    <x v="4"/>
    <x v="2"/>
    <x v="2"/>
    <x v="0"/>
    <x v="0"/>
    <n v="70830.43"/>
    <x v="0"/>
    <x v="0"/>
  </r>
  <r>
    <x v="4"/>
    <x v="2"/>
    <x v="3"/>
    <x v="0"/>
    <x v="0"/>
    <n v="293520.06"/>
    <x v="0"/>
    <x v="0"/>
  </r>
  <r>
    <x v="4"/>
    <x v="2"/>
    <x v="3"/>
    <x v="0"/>
    <x v="0"/>
    <n v="247454.42"/>
    <x v="0"/>
    <x v="0"/>
  </r>
  <r>
    <x v="4"/>
    <x v="2"/>
    <x v="3"/>
    <x v="0"/>
    <x v="0"/>
    <n v="182374.61"/>
    <x v="0"/>
    <x v="0"/>
  </r>
  <r>
    <x v="4"/>
    <x v="2"/>
    <x v="3"/>
    <x v="0"/>
    <x v="0"/>
    <n v="183088.01"/>
    <x v="0"/>
    <x v="0"/>
  </r>
  <r>
    <x v="4"/>
    <x v="2"/>
    <x v="3"/>
    <x v="0"/>
    <x v="0"/>
    <n v="278809.45"/>
    <x v="0"/>
    <x v="0"/>
  </r>
  <r>
    <x v="4"/>
    <x v="2"/>
    <x v="2"/>
    <x v="0"/>
    <x v="0"/>
    <n v="83160.08"/>
    <x v="0"/>
    <x v="0"/>
  </r>
  <r>
    <x v="4"/>
    <x v="2"/>
    <x v="3"/>
    <x v="0"/>
    <x v="0"/>
    <n v="122729.64"/>
    <x v="0"/>
    <x v="0"/>
  </r>
  <r>
    <x v="4"/>
    <x v="2"/>
    <x v="3"/>
    <x v="0"/>
    <x v="0"/>
    <n v="127127.67"/>
    <x v="0"/>
    <x v="0"/>
  </r>
  <r>
    <x v="4"/>
    <x v="1"/>
    <x v="2"/>
    <x v="0"/>
    <x v="0"/>
    <n v="97544.43"/>
    <x v="0"/>
    <x v="0"/>
  </r>
  <r>
    <x v="4"/>
    <x v="0"/>
    <x v="0"/>
    <x v="0"/>
    <x v="0"/>
    <n v="3967.71"/>
    <x v="0"/>
    <x v="0"/>
  </r>
  <r>
    <x v="4"/>
    <x v="2"/>
    <x v="3"/>
    <x v="0"/>
    <x v="0"/>
    <n v="269130.7"/>
    <x v="0"/>
    <x v="0"/>
  </r>
  <r>
    <x v="4"/>
    <x v="2"/>
    <x v="2"/>
    <x v="0"/>
    <x v="0"/>
    <n v="31963.29"/>
    <x v="0"/>
    <x v="0"/>
  </r>
  <r>
    <x v="4"/>
    <x v="2"/>
    <x v="3"/>
    <x v="0"/>
    <x v="0"/>
    <n v="137497.97"/>
    <x v="0"/>
    <x v="0"/>
  </r>
  <r>
    <x v="4"/>
    <x v="2"/>
    <x v="2"/>
    <x v="0"/>
    <x v="0"/>
    <n v="89569.75"/>
    <x v="0"/>
    <x v="0"/>
  </r>
  <r>
    <x v="4"/>
    <x v="2"/>
    <x v="3"/>
    <x v="0"/>
    <x v="0"/>
    <n v="286878.98"/>
    <x v="0"/>
    <x v="0"/>
  </r>
  <r>
    <x v="4"/>
    <x v="2"/>
    <x v="3"/>
    <x v="0"/>
    <x v="0"/>
    <n v="521438.17"/>
    <x v="0"/>
    <x v="0"/>
  </r>
  <r>
    <x v="4"/>
    <x v="2"/>
    <x v="3"/>
    <x v="0"/>
    <x v="0"/>
    <n v="141799.28"/>
    <x v="0"/>
    <x v="0"/>
  </r>
  <r>
    <x v="4"/>
    <x v="2"/>
    <x v="3"/>
    <x v="0"/>
    <x v="0"/>
    <n v="101332.45"/>
    <x v="0"/>
    <x v="0"/>
  </r>
  <r>
    <x v="4"/>
    <x v="2"/>
    <x v="3"/>
    <x v="0"/>
    <x v="0"/>
    <n v="297734.01"/>
    <x v="0"/>
    <x v="0"/>
  </r>
  <r>
    <x v="4"/>
    <x v="2"/>
    <x v="3"/>
    <x v="0"/>
    <x v="0"/>
    <n v="105095.1"/>
    <x v="0"/>
    <x v="0"/>
  </r>
  <r>
    <x v="4"/>
    <x v="0"/>
    <x v="0"/>
    <x v="0"/>
    <x v="0"/>
    <n v="5830.2"/>
    <x v="0"/>
    <x v="0"/>
  </r>
  <r>
    <x v="4"/>
    <x v="0"/>
    <x v="1"/>
    <x v="0"/>
    <x v="0"/>
    <n v="612.19"/>
    <x v="0"/>
    <x v="0"/>
  </r>
  <r>
    <x v="4"/>
    <x v="0"/>
    <x v="1"/>
    <x v="0"/>
    <x v="0"/>
    <n v="920.12"/>
    <x v="0"/>
    <x v="0"/>
  </r>
  <r>
    <x v="5"/>
    <x v="0"/>
    <x v="0"/>
    <x v="0"/>
    <x v="0"/>
    <n v="4964.82"/>
    <x v="0"/>
    <x v="0"/>
  </r>
  <r>
    <x v="5"/>
    <x v="0"/>
    <x v="0"/>
    <x v="0"/>
    <x v="0"/>
    <n v="1993.69"/>
    <x v="0"/>
    <x v="0"/>
  </r>
  <r>
    <x v="5"/>
    <x v="0"/>
    <x v="0"/>
    <x v="0"/>
    <x v="0"/>
    <n v="4466.25"/>
    <x v="0"/>
    <x v="0"/>
  </r>
  <r>
    <x v="5"/>
    <x v="0"/>
    <x v="0"/>
    <x v="0"/>
    <x v="0"/>
    <n v="3092.92"/>
    <x v="0"/>
    <x v="0"/>
  </r>
  <r>
    <x v="5"/>
    <x v="0"/>
    <x v="0"/>
    <x v="0"/>
    <x v="0"/>
    <n v="3440.78"/>
    <x v="0"/>
    <x v="0"/>
  </r>
  <r>
    <x v="5"/>
    <x v="0"/>
    <x v="2"/>
    <x v="0"/>
    <x v="0"/>
    <n v="26643.14"/>
    <x v="0"/>
    <x v="0"/>
  </r>
  <r>
    <x v="5"/>
    <x v="0"/>
    <x v="2"/>
    <x v="0"/>
    <x v="0"/>
    <n v="12048.52"/>
    <x v="0"/>
    <x v="0"/>
  </r>
  <r>
    <x v="5"/>
    <x v="0"/>
    <x v="0"/>
    <x v="0"/>
    <x v="0"/>
    <n v="2125.09"/>
    <x v="0"/>
    <x v="0"/>
  </r>
  <r>
    <x v="5"/>
    <x v="2"/>
    <x v="3"/>
    <x v="0"/>
    <x v="0"/>
    <n v="229790.53"/>
    <x v="0"/>
    <x v="0"/>
  </r>
  <r>
    <x v="5"/>
    <x v="0"/>
    <x v="0"/>
    <x v="0"/>
    <x v="0"/>
    <n v="2892.49"/>
    <x v="0"/>
    <x v="0"/>
  </r>
  <r>
    <x v="5"/>
    <x v="0"/>
    <x v="0"/>
    <x v="0"/>
    <x v="0"/>
    <n v="8940.39"/>
    <x v="0"/>
    <x v="0"/>
  </r>
  <r>
    <x v="5"/>
    <x v="0"/>
    <x v="2"/>
    <x v="0"/>
    <x v="0"/>
    <n v="15455.85"/>
    <x v="0"/>
    <x v="0"/>
  </r>
  <r>
    <x v="5"/>
    <x v="0"/>
    <x v="2"/>
    <x v="0"/>
    <x v="0"/>
    <n v="12848.12"/>
    <x v="0"/>
    <x v="0"/>
  </r>
  <r>
    <x v="5"/>
    <x v="0"/>
    <x v="1"/>
    <x v="0"/>
    <x v="0"/>
    <n v="352.7"/>
    <x v="0"/>
    <x v="0"/>
  </r>
  <r>
    <x v="5"/>
    <x v="0"/>
    <x v="2"/>
    <x v="0"/>
    <x v="0"/>
    <n v="10296.83"/>
    <x v="0"/>
    <x v="0"/>
  </r>
  <r>
    <x v="5"/>
    <x v="0"/>
    <x v="2"/>
    <x v="0"/>
    <x v="0"/>
    <n v="13597.47"/>
    <x v="0"/>
    <x v="0"/>
  </r>
  <r>
    <x v="5"/>
    <x v="0"/>
    <x v="0"/>
    <x v="0"/>
    <x v="0"/>
    <n v="7341.98"/>
    <x v="0"/>
    <x v="0"/>
  </r>
  <r>
    <x v="5"/>
    <x v="3"/>
    <x v="0"/>
    <x v="0"/>
    <x v="0"/>
    <n v="1556.49"/>
    <x v="0"/>
    <x v="0"/>
  </r>
  <r>
    <x v="5"/>
    <x v="0"/>
    <x v="1"/>
    <x v="0"/>
    <x v="0"/>
    <n v="385.39"/>
    <x v="0"/>
    <x v="0"/>
  </r>
  <r>
    <x v="5"/>
    <x v="0"/>
    <x v="0"/>
    <x v="0"/>
    <x v="0"/>
    <n v="8545.54"/>
    <x v="0"/>
    <x v="0"/>
  </r>
  <r>
    <x v="5"/>
    <x v="0"/>
    <x v="0"/>
    <x v="0"/>
    <x v="0"/>
    <n v="7993.75"/>
    <x v="0"/>
    <x v="0"/>
  </r>
  <r>
    <x v="5"/>
    <x v="0"/>
    <x v="2"/>
    <x v="0"/>
    <x v="0"/>
    <n v="27202.42"/>
    <x v="0"/>
    <x v="0"/>
  </r>
  <r>
    <x v="5"/>
    <x v="0"/>
    <x v="2"/>
    <x v="0"/>
    <x v="0"/>
    <n v="18666.07"/>
    <x v="0"/>
    <x v="0"/>
  </r>
  <r>
    <x v="5"/>
    <x v="0"/>
    <x v="2"/>
    <x v="0"/>
    <x v="0"/>
    <n v="20112.79"/>
    <x v="0"/>
    <x v="0"/>
  </r>
  <r>
    <x v="5"/>
    <x v="0"/>
    <x v="2"/>
    <x v="0"/>
    <x v="0"/>
    <n v="16419.57"/>
    <x v="0"/>
    <x v="0"/>
  </r>
  <r>
    <x v="5"/>
    <x v="0"/>
    <x v="0"/>
    <x v="0"/>
    <x v="0"/>
    <n v="5060.44"/>
    <x v="0"/>
    <x v="0"/>
  </r>
  <r>
    <x v="5"/>
    <x v="0"/>
    <x v="0"/>
    <x v="0"/>
    <x v="0"/>
    <n v="1031.66"/>
    <x v="0"/>
    <x v="0"/>
  </r>
  <r>
    <x v="5"/>
    <x v="0"/>
    <x v="0"/>
    <x v="0"/>
    <x v="0"/>
    <n v="7285.68"/>
    <x v="0"/>
    <x v="0"/>
  </r>
  <r>
    <x v="5"/>
    <x v="0"/>
    <x v="0"/>
    <x v="0"/>
    <x v="0"/>
    <n v="1200.57"/>
    <x v="0"/>
    <x v="0"/>
  </r>
  <r>
    <x v="5"/>
    <x v="0"/>
    <x v="0"/>
    <x v="0"/>
    <x v="0"/>
    <n v="8335.65"/>
    <x v="0"/>
    <x v="0"/>
  </r>
  <r>
    <x v="5"/>
    <x v="0"/>
    <x v="2"/>
    <x v="0"/>
    <x v="0"/>
    <n v="12798.82"/>
    <x v="0"/>
    <x v="0"/>
  </r>
  <r>
    <x v="5"/>
    <x v="0"/>
    <x v="0"/>
    <x v="0"/>
    <x v="0"/>
    <n v="6771.54"/>
    <x v="0"/>
    <x v="0"/>
  </r>
  <r>
    <x v="5"/>
    <x v="0"/>
    <x v="0"/>
    <x v="0"/>
    <x v="0"/>
    <n v="2223.47"/>
    <x v="0"/>
    <x v="0"/>
  </r>
  <r>
    <x v="5"/>
    <x v="0"/>
    <x v="2"/>
    <x v="0"/>
    <x v="0"/>
    <n v="10219.4"/>
    <x v="0"/>
    <x v="0"/>
  </r>
  <r>
    <x v="5"/>
    <x v="0"/>
    <x v="2"/>
    <x v="0"/>
    <x v="0"/>
    <n v="24342.09"/>
    <x v="0"/>
    <x v="0"/>
  </r>
  <r>
    <x v="5"/>
    <x v="0"/>
    <x v="0"/>
    <x v="0"/>
    <x v="0"/>
    <n v="7338.27"/>
    <x v="0"/>
    <x v="0"/>
  </r>
  <r>
    <x v="5"/>
    <x v="0"/>
    <x v="0"/>
    <x v="0"/>
    <x v="0"/>
    <n v="1440.1"/>
    <x v="0"/>
    <x v="0"/>
  </r>
  <r>
    <x v="5"/>
    <x v="0"/>
    <x v="0"/>
    <x v="0"/>
    <x v="0"/>
    <n v="2824.15"/>
    <x v="0"/>
    <x v="0"/>
  </r>
  <r>
    <x v="5"/>
    <x v="0"/>
    <x v="0"/>
    <x v="0"/>
    <x v="0"/>
    <n v="7868.21"/>
    <x v="0"/>
    <x v="0"/>
  </r>
  <r>
    <x v="5"/>
    <x v="0"/>
    <x v="0"/>
    <x v="0"/>
    <x v="0"/>
    <n v="8069.14"/>
    <x v="0"/>
    <x v="0"/>
  </r>
  <r>
    <x v="5"/>
    <x v="0"/>
    <x v="0"/>
    <x v="0"/>
    <x v="0"/>
    <n v="4074.95"/>
    <x v="0"/>
    <x v="0"/>
  </r>
  <r>
    <x v="5"/>
    <x v="0"/>
    <x v="0"/>
    <x v="0"/>
    <x v="0"/>
    <n v="6445.27"/>
    <x v="0"/>
    <x v="0"/>
  </r>
  <r>
    <x v="5"/>
    <x v="4"/>
    <x v="2"/>
    <x v="0"/>
    <x v="0"/>
    <n v="93355.27"/>
    <x v="0"/>
    <x v="0"/>
  </r>
  <r>
    <x v="5"/>
    <x v="0"/>
    <x v="0"/>
    <x v="0"/>
    <x v="0"/>
    <n v="5580.15"/>
    <x v="0"/>
    <x v="0"/>
  </r>
  <r>
    <x v="5"/>
    <x v="0"/>
    <x v="2"/>
    <x v="0"/>
    <x v="0"/>
    <n v="11192.72"/>
    <x v="0"/>
    <x v="0"/>
  </r>
  <r>
    <x v="5"/>
    <x v="0"/>
    <x v="2"/>
    <x v="0"/>
    <x v="0"/>
    <n v="18540.96"/>
    <x v="0"/>
    <x v="0"/>
  </r>
  <r>
    <x v="5"/>
    <x v="0"/>
    <x v="2"/>
    <x v="0"/>
    <x v="0"/>
    <n v="32012.74"/>
    <x v="0"/>
    <x v="0"/>
  </r>
  <r>
    <x v="5"/>
    <x v="0"/>
    <x v="0"/>
    <x v="0"/>
    <x v="0"/>
    <n v="5393.37"/>
    <x v="0"/>
    <x v="0"/>
  </r>
  <r>
    <x v="5"/>
    <x v="0"/>
    <x v="2"/>
    <x v="0"/>
    <x v="0"/>
    <n v="30042.12"/>
    <x v="0"/>
    <x v="0"/>
  </r>
  <r>
    <x v="5"/>
    <x v="0"/>
    <x v="2"/>
    <x v="0"/>
    <x v="0"/>
    <n v="34209.42"/>
    <x v="0"/>
    <x v="0"/>
  </r>
  <r>
    <x v="5"/>
    <x v="0"/>
    <x v="2"/>
    <x v="0"/>
    <x v="0"/>
    <n v="11436.26"/>
    <x v="0"/>
    <x v="0"/>
  </r>
  <r>
    <x v="5"/>
    <x v="0"/>
    <x v="2"/>
    <x v="0"/>
    <x v="0"/>
    <n v="20463.42"/>
    <x v="0"/>
    <x v="0"/>
  </r>
  <r>
    <x v="5"/>
    <x v="0"/>
    <x v="0"/>
    <x v="0"/>
    <x v="0"/>
    <n v="8191.6"/>
    <x v="0"/>
    <x v="0"/>
  </r>
  <r>
    <x v="5"/>
    <x v="0"/>
    <x v="0"/>
    <x v="0"/>
    <x v="0"/>
    <n v="3648.44"/>
    <x v="0"/>
    <x v="0"/>
  </r>
  <r>
    <x v="5"/>
    <x v="1"/>
    <x v="2"/>
    <x v="1"/>
    <x v="0"/>
    <n v="33332.86"/>
    <x v="1"/>
    <x v="24"/>
  </r>
  <r>
    <x v="5"/>
    <x v="2"/>
    <x v="2"/>
    <x v="1"/>
    <x v="0"/>
    <n v="33332.86"/>
    <x v="1"/>
    <x v="24"/>
  </r>
  <r>
    <x v="5"/>
    <x v="0"/>
    <x v="0"/>
    <x v="0"/>
    <x v="0"/>
    <n v="5469.25"/>
    <x v="0"/>
    <x v="0"/>
  </r>
  <r>
    <x v="5"/>
    <x v="0"/>
    <x v="2"/>
    <x v="0"/>
    <x v="0"/>
    <n v="21248.82"/>
    <x v="0"/>
    <x v="0"/>
  </r>
  <r>
    <x v="5"/>
    <x v="0"/>
    <x v="0"/>
    <x v="0"/>
    <x v="0"/>
    <n v="1936.85"/>
    <x v="0"/>
    <x v="0"/>
  </r>
  <r>
    <x v="5"/>
    <x v="0"/>
    <x v="2"/>
    <x v="0"/>
    <x v="0"/>
    <n v="18083.03"/>
    <x v="0"/>
    <x v="0"/>
  </r>
  <r>
    <x v="5"/>
    <x v="0"/>
    <x v="0"/>
    <x v="0"/>
    <x v="0"/>
    <n v="1819.34"/>
    <x v="0"/>
    <x v="0"/>
  </r>
  <r>
    <x v="5"/>
    <x v="0"/>
    <x v="0"/>
    <x v="0"/>
    <x v="0"/>
    <n v="7302.26"/>
    <x v="0"/>
    <x v="0"/>
  </r>
  <r>
    <x v="5"/>
    <x v="0"/>
    <x v="2"/>
    <x v="0"/>
    <x v="0"/>
    <n v="28260.77"/>
    <x v="0"/>
    <x v="0"/>
  </r>
  <r>
    <x v="5"/>
    <x v="0"/>
    <x v="0"/>
    <x v="0"/>
    <x v="0"/>
    <n v="5815.23"/>
    <x v="0"/>
    <x v="0"/>
  </r>
  <r>
    <x v="5"/>
    <x v="1"/>
    <x v="3"/>
    <x v="0"/>
    <x v="0"/>
    <n v="118172.98"/>
    <x v="0"/>
    <x v="0"/>
  </r>
  <r>
    <x v="5"/>
    <x v="0"/>
    <x v="2"/>
    <x v="0"/>
    <x v="0"/>
    <n v="25765.4"/>
    <x v="0"/>
    <x v="0"/>
  </r>
  <r>
    <x v="5"/>
    <x v="0"/>
    <x v="0"/>
    <x v="0"/>
    <x v="0"/>
    <n v="5655.12"/>
    <x v="0"/>
    <x v="0"/>
  </r>
  <r>
    <x v="5"/>
    <x v="0"/>
    <x v="1"/>
    <x v="0"/>
    <x v="0"/>
    <n v="565.14"/>
    <x v="0"/>
    <x v="0"/>
  </r>
  <r>
    <x v="5"/>
    <x v="0"/>
    <x v="0"/>
    <x v="0"/>
    <x v="0"/>
    <n v="1056.8"/>
    <x v="0"/>
    <x v="0"/>
  </r>
  <r>
    <x v="5"/>
    <x v="0"/>
    <x v="1"/>
    <x v="0"/>
    <x v="0"/>
    <n v="243.62"/>
    <x v="0"/>
    <x v="0"/>
  </r>
  <r>
    <x v="5"/>
    <x v="0"/>
    <x v="0"/>
    <x v="0"/>
    <x v="0"/>
    <n v="7712.64"/>
    <x v="0"/>
    <x v="0"/>
  </r>
  <r>
    <x v="5"/>
    <x v="0"/>
    <x v="2"/>
    <x v="0"/>
    <x v="0"/>
    <n v="18726.7"/>
    <x v="0"/>
    <x v="0"/>
  </r>
  <r>
    <x v="5"/>
    <x v="0"/>
    <x v="2"/>
    <x v="0"/>
    <x v="0"/>
    <n v="20123.79"/>
    <x v="0"/>
    <x v="0"/>
  </r>
  <r>
    <x v="5"/>
    <x v="0"/>
    <x v="2"/>
    <x v="0"/>
    <x v="0"/>
    <n v="12703.55"/>
    <x v="0"/>
    <x v="0"/>
  </r>
  <r>
    <x v="5"/>
    <x v="0"/>
    <x v="0"/>
    <x v="0"/>
    <x v="0"/>
    <n v="4424.31"/>
    <x v="0"/>
    <x v="0"/>
  </r>
  <r>
    <x v="5"/>
    <x v="0"/>
    <x v="2"/>
    <x v="0"/>
    <x v="0"/>
    <n v="51752.59"/>
    <x v="0"/>
    <x v="0"/>
  </r>
  <r>
    <x v="5"/>
    <x v="1"/>
    <x v="3"/>
    <x v="0"/>
    <x v="0"/>
    <n v="627010.99"/>
    <x v="0"/>
    <x v="0"/>
  </r>
  <r>
    <x v="5"/>
    <x v="1"/>
    <x v="3"/>
    <x v="0"/>
    <x v="0"/>
    <n v="267962.57"/>
    <x v="0"/>
    <x v="0"/>
  </r>
  <r>
    <x v="5"/>
    <x v="0"/>
    <x v="2"/>
    <x v="0"/>
    <x v="0"/>
    <n v="17172.65"/>
    <x v="0"/>
    <x v="0"/>
  </r>
  <r>
    <x v="5"/>
    <x v="0"/>
    <x v="0"/>
    <x v="0"/>
    <x v="0"/>
    <n v="8481.77"/>
    <x v="0"/>
    <x v="0"/>
  </r>
  <r>
    <x v="5"/>
    <x v="0"/>
    <x v="0"/>
    <x v="0"/>
    <x v="0"/>
    <n v="3829"/>
    <x v="0"/>
    <x v="0"/>
  </r>
  <r>
    <x v="5"/>
    <x v="2"/>
    <x v="3"/>
    <x v="0"/>
    <x v="0"/>
    <n v="139845.98"/>
    <x v="0"/>
    <x v="0"/>
  </r>
  <r>
    <x v="5"/>
    <x v="0"/>
    <x v="0"/>
    <x v="0"/>
    <x v="0"/>
    <n v="9270.64"/>
    <x v="0"/>
    <x v="0"/>
  </r>
  <r>
    <x v="5"/>
    <x v="0"/>
    <x v="0"/>
    <x v="0"/>
    <x v="0"/>
    <n v="5912.08"/>
    <x v="0"/>
    <x v="0"/>
  </r>
  <r>
    <x v="5"/>
    <x v="2"/>
    <x v="3"/>
    <x v="0"/>
    <x v="0"/>
    <n v="191894.78"/>
    <x v="0"/>
    <x v="0"/>
  </r>
  <r>
    <x v="5"/>
    <x v="2"/>
    <x v="2"/>
    <x v="0"/>
    <x v="0"/>
    <n v="69603.22"/>
    <x v="0"/>
    <x v="0"/>
  </r>
  <r>
    <x v="5"/>
    <x v="0"/>
    <x v="0"/>
    <x v="0"/>
    <x v="0"/>
    <n v="1537.12"/>
    <x v="0"/>
    <x v="0"/>
  </r>
  <r>
    <x v="5"/>
    <x v="1"/>
    <x v="3"/>
    <x v="0"/>
    <x v="0"/>
    <n v="140243.54"/>
    <x v="0"/>
    <x v="0"/>
  </r>
  <r>
    <x v="5"/>
    <x v="0"/>
    <x v="0"/>
    <x v="0"/>
    <x v="0"/>
    <n v="7237.74"/>
    <x v="0"/>
    <x v="0"/>
  </r>
  <r>
    <x v="5"/>
    <x v="0"/>
    <x v="2"/>
    <x v="0"/>
    <x v="0"/>
    <n v="14883.76"/>
    <x v="0"/>
    <x v="0"/>
  </r>
  <r>
    <x v="5"/>
    <x v="0"/>
    <x v="2"/>
    <x v="0"/>
    <x v="0"/>
    <n v="17596.24"/>
    <x v="0"/>
    <x v="0"/>
  </r>
  <r>
    <x v="5"/>
    <x v="0"/>
    <x v="0"/>
    <x v="0"/>
    <x v="0"/>
    <n v="8017.96"/>
    <x v="0"/>
    <x v="0"/>
  </r>
  <r>
    <x v="5"/>
    <x v="0"/>
    <x v="0"/>
    <x v="0"/>
    <x v="0"/>
    <n v="4738.4"/>
    <x v="0"/>
    <x v="0"/>
  </r>
  <r>
    <x v="5"/>
    <x v="0"/>
    <x v="2"/>
    <x v="0"/>
    <x v="0"/>
    <n v="10438.03"/>
    <x v="0"/>
    <x v="0"/>
  </r>
  <r>
    <x v="5"/>
    <x v="0"/>
    <x v="2"/>
    <x v="0"/>
    <x v="0"/>
    <n v="45923.16"/>
    <x v="0"/>
    <x v="0"/>
  </r>
  <r>
    <x v="5"/>
    <x v="0"/>
    <x v="2"/>
    <x v="0"/>
    <x v="0"/>
    <n v="14479.12"/>
    <x v="0"/>
    <x v="0"/>
  </r>
  <r>
    <x v="5"/>
    <x v="0"/>
    <x v="2"/>
    <x v="0"/>
    <x v="0"/>
    <n v="16906.99"/>
    <x v="0"/>
    <x v="0"/>
  </r>
  <r>
    <x v="5"/>
    <x v="0"/>
    <x v="0"/>
    <x v="0"/>
    <x v="0"/>
    <n v="5435.22"/>
    <x v="0"/>
    <x v="0"/>
  </r>
  <r>
    <x v="5"/>
    <x v="0"/>
    <x v="2"/>
    <x v="0"/>
    <x v="0"/>
    <n v="23795"/>
    <x v="0"/>
    <x v="0"/>
  </r>
  <r>
    <x v="5"/>
    <x v="0"/>
    <x v="0"/>
    <x v="0"/>
    <x v="0"/>
    <n v="1861.63"/>
    <x v="0"/>
    <x v="0"/>
  </r>
  <r>
    <x v="5"/>
    <x v="0"/>
    <x v="0"/>
    <x v="0"/>
    <x v="0"/>
    <n v="6185.83"/>
    <x v="0"/>
    <x v="0"/>
  </r>
  <r>
    <x v="5"/>
    <x v="0"/>
    <x v="2"/>
    <x v="0"/>
    <x v="0"/>
    <n v="10701.92"/>
    <x v="0"/>
    <x v="0"/>
  </r>
  <r>
    <x v="5"/>
    <x v="0"/>
    <x v="2"/>
    <x v="0"/>
    <x v="0"/>
    <n v="20667.76"/>
    <x v="0"/>
    <x v="0"/>
  </r>
  <r>
    <x v="5"/>
    <x v="0"/>
    <x v="2"/>
    <x v="0"/>
    <x v="0"/>
    <n v="13268.31"/>
    <x v="0"/>
    <x v="0"/>
  </r>
  <r>
    <x v="5"/>
    <x v="0"/>
    <x v="0"/>
    <x v="0"/>
    <x v="0"/>
    <n v="1143.34"/>
    <x v="0"/>
    <x v="0"/>
  </r>
  <r>
    <x v="5"/>
    <x v="0"/>
    <x v="0"/>
    <x v="0"/>
    <x v="0"/>
    <n v="7658.66"/>
    <x v="0"/>
    <x v="0"/>
  </r>
  <r>
    <x v="5"/>
    <x v="0"/>
    <x v="0"/>
    <x v="0"/>
    <x v="0"/>
    <n v="3494.07"/>
    <x v="0"/>
    <x v="0"/>
  </r>
  <r>
    <x v="5"/>
    <x v="0"/>
    <x v="0"/>
    <x v="0"/>
    <x v="0"/>
    <n v="8534.32"/>
    <x v="0"/>
    <x v="0"/>
  </r>
  <r>
    <x v="5"/>
    <x v="0"/>
    <x v="0"/>
    <x v="0"/>
    <x v="0"/>
    <n v="7994.53"/>
    <x v="0"/>
    <x v="0"/>
  </r>
  <r>
    <x v="5"/>
    <x v="0"/>
    <x v="2"/>
    <x v="0"/>
    <x v="0"/>
    <n v="12770.33"/>
    <x v="0"/>
    <x v="0"/>
  </r>
  <r>
    <x v="5"/>
    <x v="3"/>
    <x v="0"/>
    <x v="0"/>
    <x v="0"/>
    <n v="3340.01"/>
    <x v="0"/>
    <x v="0"/>
  </r>
  <r>
    <x v="5"/>
    <x v="0"/>
    <x v="2"/>
    <x v="0"/>
    <x v="0"/>
    <n v="20206.61"/>
    <x v="0"/>
    <x v="0"/>
  </r>
  <r>
    <x v="5"/>
    <x v="0"/>
    <x v="2"/>
    <x v="0"/>
    <x v="0"/>
    <n v="14199.19"/>
    <x v="0"/>
    <x v="0"/>
  </r>
  <r>
    <x v="5"/>
    <x v="0"/>
    <x v="2"/>
    <x v="0"/>
    <x v="0"/>
    <n v="18557.06"/>
    <x v="0"/>
    <x v="0"/>
  </r>
  <r>
    <x v="5"/>
    <x v="0"/>
    <x v="2"/>
    <x v="0"/>
    <x v="0"/>
    <n v="19914.62"/>
    <x v="0"/>
    <x v="0"/>
  </r>
  <r>
    <x v="5"/>
    <x v="0"/>
    <x v="2"/>
    <x v="0"/>
    <x v="0"/>
    <n v="11184.15"/>
    <x v="0"/>
    <x v="0"/>
  </r>
  <r>
    <x v="5"/>
    <x v="0"/>
    <x v="0"/>
    <x v="0"/>
    <x v="0"/>
    <n v="6854.54"/>
    <x v="0"/>
    <x v="0"/>
  </r>
  <r>
    <x v="5"/>
    <x v="0"/>
    <x v="0"/>
    <x v="0"/>
    <x v="0"/>
    <n v="6736.46"/>
    <x v="0"/>
    <x v="0"/>
  </r>
  <r>
    <x v="5"/>
    <x v="0"/>
    <x v="2"/>
    <x v="0"/>
    <x v="0"/>
    <n v="21287.77"/>
    <x v="0"/>
    <x v="0"/>
  </r>
  <r>
    <x v="5"/>
    <x v="0"/>
    <x v="2"/>
    <x v="0"/>
    <x v="0"/>
    <n v="18791.59"/>
    <x v="0"/>
    <x v="0"/>
  </r>
  <r>
    <x v="5"/>
    <x v="1"/>
    <x v="3"/>
    <x v="0"/>
    <x v="0"/>
    <n v="381018.8"/>
    <x v="0"/>
    <x v="0"/>
  </r>
  <r>
    <x v="5"/>
    <x v="1"/>
    <x v="2"/>
    <x v="0"/>
    <x v="0"/>
    <n v="67316.99"/>
    <x v="0"/>
    <x v="0"/>
  </r>
  <r>
    <x v="5"/>
    <x v="1"/>
    <x v="3"/>
    <x v="0"/>
    <x v="0"/>
    <n v="564301.75"/>
    <x v="0"/>
    <x v="0"/>
  </r>
  <r>
    <x v="5"/>
    <x v="1"/>
    <x v="4"/>
    <x v="0"/>
    <x v="0"/>
    <n v="1221819.02"/>
    <x v="0"/>
    <x v="0"/>
  </r>
  <r>
    <x v="5"/>
    <x v="1"/>
    <x v="3"/>
    <x v="0"/>
    <x v="0"/>
    <n v="340473.03"/>
    <x v="0"/>
    <x v="0"/>
  </r>
  <r>
    <x v="5"/>
    <x v="1"/>
    <x v="4"/>
    <x v="0"/>
    <x v="0"/>
    <n v="1545681.21"/>
    <x v="0"/>
    <x v="0"/>
  </r>
  <r>
    <x v="5"/>
    <x v="1"/>
    <x v="3"/>
    <x v="0"/>
    <x v="0"/>
    <n v="484328.78"/>
    <x v="0"/>
    <x v="0"/>
  </r>
  <r>
    <x v="5"/>
    <x v="1"/>
    <x v="3"/>
    <x v="0"/>
    <x v="0"/>
    <n v="536060.03"/>
    <x v="0"/>
    <x v="0"/>
  </r>
  <r>
    <x v="5"/>
    <x v="1"/>
    <x v="2"/>
    <x v="0"/>
    <x v="0"/>
    <n v="66860.4"/>
    <x v="0"/>
    <x v="0"/>
  </r>
  <r>
    <x v="5"/>
    <x v="1"/>
    <x v="3"/>
    <x v="0"/>
    <x v="0"/>
    <n v="641213.85"/>
    <x v="0"/>
    <x v="0"/>
  </r>
  <r>
    <x v="5"/>
    <x v="1"/>
    <x v="3"/>
    <x v="0"/>
    <x v="0"/>
    <n v="487039.74"/>
    <x v="0"/>
    <x v="0"/>
  </r>
  <r>
    <x v="5"/>
    <x v="1"/>
    <x v="3"/>
    <x v="0"/>
    <x v="0"/>
    <n v="665949.93"/>
    <x v="0"/>
    <x v="0"/>
  </r>
  <r>
    <x v="5"/>
    <x v="1"/>
    <x v="3"/>
    <x v="0"/>
    <x v="0"/>
    <n v="185325.96"/>
    <x v="0"/>
    <x v="0"/>
  </r>
  <r>
    <x v="5"/>
    <x v="0"/>
    <x v="0"/>
    <x v="0"/>
    <x v="0"/>
    <n v="8817.89"/>
    <x v="0"/>
    <x v="0"/>
  </r>
  <r>
    <x v="5"/>
    <x v="0"/>
    <x v="0"/>
    <x v="0"/>
    <x v="0"/>
    <n v="3724.19"/>
    <x v="0"/>
    <x v="0"/>
  </r>
  <r>
    <x v="5"/>
    <x v="0"/>
    <x v="0"/>
    <x v="0"/>
    <x v="0"/>
    <n v="7235.23"/>
    <x v="0"/>
    <x v="0"/>
  </r>
  <r>
    <x v="5"/>
    <x v="0"/>
    <x v="0"/>
    <x v="0"/>
    <x v="0"/>
    <n v="3669.27"/>
    <x v="0"/>
    <x v="0"/>
  </r>
  <r>
    <x v="5"/>
    <x v="0"/>
    <x v="2"/>
    <x v="0"/>
    <x v="0"/>
    <n v="10787.1"/>
    <x v="0"/>
    <x v="0"/>
  </r>
  <r>
    <x v="5"/>
    <x v="0"/>
    <x v="2"/>
    <x v="0"/>
    <x v="0"/>
    <n v="16403.92"/>
    <x v="0"/>
    <x v="0"/>
  </r>
  <r>
    <x v="5"/>
    <x v="0"/>
    <x v="2"/>
    <x v="0"/>
    <x v="0"/>
    <n v="22187.74"/>
    <x v="0"/>
    <x v="0"/>
  </r>
  <r>
    <x v="5"/>
    <x v="0"/>
    <x v="2"/>
    <x v="0"/>
    <x v="0"/>
    <n v="25089.97"/>
    <x v="0"/>
    <x v="0"/>
  </r>
  <r>
    <x v="5"/>
    <x v="0"/>
    <x v="0"/>
    <x v="0"/>
    <x v="0"/>
    <n v="4147.08"/>
    <x v="0"/>
    <x v="0"/>
  </r>
  <r>
    <x v="5"/>
    <x v="2"/>
    <x v="2"/>
    <x v="0"/>
    <x v="0"/>
    <n v="33275.35"/>
    <x v="0"/>
    <x v="0"/>
  </r>
  <r>
    <x v="5"/>
    <x v="0"/>
    <x v="2"/>
    <x v="0"/>
    <x v="0"/>
    <n v="21137.84"/>
    <x v="0"/>
    <x v="0"/>
  </r>
  <r>
    <x v="5"/>
    <x v="0"/>
    <x v="1"/>
    <x v="0"/>
    <x v="0"/>
    <n v="600.58"/>
    <x v="0"/>
    <x v="0"/>
  </r>
  <r>
    <x v="5"/>
    <x v="0"/>
    <x v="1"/>
    <x v="0"/>
    <x v="0"/>
    <n v="332.52"/>
    <x v="0"/>
    <x v="0"/>
  </r>
  <r>
    <x v="5"/>
    <x v="2"/>
    <x v="3"/>
    <x v="0"/>
    <x v="0"/>
    <n v="196477.41"/>
    <x v="0"/>
    <x v="0"/>
  </r>
  <r>
    <x v="5"/>
    <x v="0"/>
    <x v="1"/>
    <x v="0"/>
    <x v="0"/>
    <n v="578.57"/>
    <x v="0"/>
    <x v="0"/>
  </r>
  <r>
    <x v="5"/>
    <x v="0"/>
    <x v="0"/>
    <x v="0"/>
    <x v="0"/>
    <n v="6469.74"/>
    <x v="0"/>
    <x v="0"/>
  </r>
  <r>
    <x v="5"/>
    <x v="0"/>
    <x v="0"/>
    <x v="0"/>
    <x v="0"/>
    <n v="7959.49"/>
    <x v="0"/>
    <x v="0"/>
  </r>
  <r>
    <x v="5"/>
    <x v="0"/>
    <x v="1"/>
    <x v="0"/>
    <x v="0"/>
    <n v="977.2"/>
    <x v="0"/>
    <x v="0"/>
  </r>
  <r>
    <x v="5"/>
    <x v="0"/>
    <x v="0"/>
    <x v="0"/>
    <x v="0"/>
    <n v="8325.8"/>
    <x v="0"/>
    <x v="0"/>
  </r>
  <r>
    <x v="5"/>
    <x v="0"/>
    <x v="2"/>
    <x v="0"/>
    <x v="0"/>
    <n v="10933.93"/>
    <x v="0"/>
    <x v="0"/>
  </r>
  <r>
    <x v="5"/>
    <x v="0"/>
    <x v="0"/>
    <x v="0"/>
    <x v="0"/>
    <n v="2564.44"/>
    <x v="0"/>
    <x v="0"/>
  </r>
  <r>
    <x v="5"/>
    <x v="0"/>
    <x v="2"/>
    <x v="0"/>
    <x v="0"/>
    <n v="29122.76"/>
    <x v="0"/>
    <x v="0"/>
  </r>
  <r>
    <x v="5"/>
    <x v="0"/>
    <x v="2"/>
    <x v="0"/>
    <x v="0"/>
    <n v="32013.7"/>
    <x v="0"/>
    <x v="0"/>
  </r>
  <r>
    <x v="5"/>
    <x v="0"/>
    <x v="2"/>
    <x v="0"/>
    <x v="0"/>
    <n v="13982.36"/>
    <x v="0"/>
    <x v="0"/>
  </r>
  <r>
    <x v="5"/>
    <x v="0"/>
    <x v="2"/>
    <x v="0"/>
    <x v="0"/>
    <n v="17110.72"/>
    <x v="0"/>
    <x v="0"/>
  </r>
  <r>
    <x v="5"/>
    <x v="0"/>
    <x v="0"/>
    <x v="0"/>
    <x v="0"/>
    <n v="8912.09"/>
    <x v="0"/>
    <x v="0"/>
  </r>
  <r>
    <x v="5"/>
    <x v="0"/>
    <x v="2"/>
    <x v="0"/>
    <x v="0"/>
    <n v="10019.61"/>
    <x v="0"/>
    <x v="0"/>
  </r>
  <r>
    <x v="5"/>
    <x v="0"/>
    <x v="2"/>
    <x v="0"/>
    <x v="0"/>
    <n v="21033.18"/>
    <x v="0"/>
    <x v="0"/>
  </r>
  <r>
    <x v="5"/>
    <x v="0"/>
    <x v="2"/>
    <x v="0"/>
    <x v="0"/>
    <n v="12174.55"/>
    <x v="0"/>
    <x v="0"/>
  </r>
  <r>
    <x v="5"/>
    <x v="0"/>
    <x v="0"/>
    <x v="0"/>
    <x v="0"/>
    <n v="9352.62"/>
    <x v="0"/>
    <x v="0"/>
  </r>
  <r>
    <x v="5"/>
    <x v="0"/>
    <x v="1"/>
    <x v="0"/>
    <x v="0"/>
    <n v="280.58"/>
    <x v="0"/>
    <x v="0"/>
  </r>
  <r>
    <x v="5"/>
    <x v="0"/>
    <x v="2"/>
    <x v="0"/>
    <x v="0"/>
    <n v="13101.5"/>
    <x v="0"/>
    <x v="0"/>
  </r>
  <r>
    <x v="5"/>
    <x v="4"/>
    <x v="3"/>
    <x v="0"/>
    <x v="0"/>
    <n v="143165.59"/>
    <x v="0"/>
    <x v="0"/>
  </r>
  <r>
    <x v="5"/>
    <x v="4"/>
    <x v="3"/>
    <x v="0"/>
    <x v="0"/>
    <n v="344436.64"/>
    <x v="0"/>
    <x v="0"/>
  </r>
  <r>
    <x v="5"/>
    <x v="4"/>
    <x v="3"/>
    <x v="0"/>
    <x v="0"/>
    <n v="291681.95"/>
    <x v="0"/>
    <x v="0"/>
  </r>
  <r>
    <x v="5"/>
    <x v="4"/>
    <x v="3"/>
    <x v="0"/>
    <x v="0"/>
    <n v="341884.94"/>
    <x v="0"/>
    <x v="0"/>
  </r>
  <r>
    <x v="5"/>
    <x v="4"/>
    <x v="3"/>
    <x v="0"/>
    <x v="0"/>
    <n v="300026.34"/>
    <x v="0"/>
    <x v="0"/>
  </r>
  <r>
    <x v="5"/>
    <x v="4"/>
    <x v="2"/>
    <x v="0"/>
    <x v="0"/>
    <n v="67248.4"/>
    <x v="0"/>
    <x v="0"/>
  </r>
  <r>
    <x v="5"/>
    <x v="4"/>
    <x v="3"/>
    <x v="0"/>
    <x v="0"/>
    <n v="396205.76"/>
    <x v="0"/>
    <x v="0"/>
  </r>
  <r>
    <x v="5"/>
    <x v="4"/>
    <x v="0"/>
    <x v="0"/>
    <x v="0"/>
    <n v="7159.95"/>
    <x v="0"/>
    <x v="0"/>
  </r>
  <r>
    <x v="5"/>
    <x v="4"/>
    <x v="3"/>
    <x v="0"/>
    <x v="0"/>
    <n v="243542.61"/>
    <x v="0"/>
    <x v="0"/>
  </r>
  <r>
    <x v="5"/>
    <x v="4"/>
    <x v="3"/>
    <x v="0"/>
    <x v="0"/>
    <n v="233628.2"/>
    <x v="0"/>
    <x v="0"/>
  </r>
  <r>
    <x v="5"/>
    <x v="4"/>
    <x v="3"/>
    <x v="0"/>
    <x v="0"/>
    <n v="424472.59"/>
    <x v="0"/>
    <x v="0"/>
  </r>
  <r>
    <x v="5"/>
    <x v="4"/>
    <x v="3"/>
    <x v="0"/>
    <x v="0"/>
    <n v="120910.43"/>
    <x v="0"/>
    <x v="0"/>
  </r>
  <r>
    <x v="5"/>
    <x v="4"/>
    <x v="3"/>
    <x v="0"/>
    <x v="0"/>
    <n v="220733.04"/>
    <x v="0"/>
    <x v="0"/>
  </r>
  <r>
    <x v="5"/>
    <x v="4"/>
    <x v="2"/>
    <x v="0"/>
    <x v="0"/>
    <n v="69196.27"/>
    <x v="0"/>
    <x v="0"/>
  </r>
  <r>
    <x v="5"/>
    <x v="4"/>
    <x v="3"/>
    <x v="0"/>
    <x v="0"/>
    <n v="138102.63"/>
    <x v="0"/>
    <x v="0"/>
  </r>
  <r>
    <x v="5"/>
    <x v="4"/>
    <x v="3"/>
    <x v="0"/>
    <x v="0"/>
    <n v="249043.84"/>
    <x v="0"/>
    <x v="0"/>
  </r>
  <r>
    <x v="5"/>
    <x v="4"/>
    <x v="3"/>
    <x v="0"/>
    <x v="0"/>
    <n v="282900.93"/>
    <x v="0"/>
    <x v="0"/>
  </r>
  <r>
    <x v="5"/>
    <x v="4"/>
    <x v="3"/>
    <x v="0"/>
    <x v="0"/>
    <n v="224547.42"/>
    <x v="0"/>
    <x v="0"/>
  </r>
  <r>
    <x v="5"/>
    <x v="4"/>
    <x v="3"/>
    <x v="0"/>
    <x v="0"/>
    <n v="114381.77"/>
    <x v="0"/>
    <x v="0"/>
  </r>
  <r>
    <x v="5"/>
    <x v="4"/>
    <x v="2"/>
    <x v="0"/>
    <x v="0"/>
    <n v="87371.77"/>
    <x v="0"/>
    <x v="0"/>
  </r>
  <r>
    <x v="5"/>
    <x v="4"/>
    <x v="0"/>
    <x v="0"/>
    <x v="0"/>
    <n v="4518.64"/>
    <x v="0"/>
    <x v="0"/>
  </r>
  <r>
    <x v="5"/>
    <x v="4"/>
    <x v="2"/>
    <x v="0"/>
    <x v="0"/>
    <n v="96300.34"/>
    <x v="0"/>
    <x v="0"/>
  </r>
  <r>
    <x v="5"/>
    <x v="4"/>
    <x v="3"/>
    <x v="0"/>
    <x v="0"/>
    <n v="106019.41"/>
    <x v="0"/>
    <x v="0"/>
  </r>
  <r>
    <x v="5"/>
    <x v="4"/>
    <x v="2"/>
    <x v="0"/>
    <x v="0"/>
    <n v="14768.26"/>
    <x v="0"/>
    <x v="0"/>
  </r>
  <r>
    <x v="5"/>
    <x v="4"/>
    <x v="3"/>
    <x v="0"/>
    <x v="0"/>
    <n v="434517.44"/>
    <x v="0"/>
    <x v="0"/>
  </r>
  <r>
    <x v="5"/>
    <x v="4"/>
    <x v="0"/>
    <x v="0"/>
    <x v="0"/>
    <n v="8887.01"/>
    <x v="0"/>
    <x v="0"/>
  </r>
  <r>
    <x v="5"/>
    <x v="4"/>
    <x v="2"/>
    <x v="0"/>
    <x v="0"/>
    <n v="95670.52"/>
    <x v="0"/>
    <x v="0"/>
  </r>
  <r>
    <x v="5"/>
    <x v="4"/>
    <x v="3"/>
    <x v="0"/>
    <x v="0"/>
    <n v="588327.76"/>
    <x v="0"/>
    <x v="0"/>
  </r>
  <r>
    <x v="5"/>
    <x v="4"/>
    <x v="3"/>
    <x v="0"/>
    <x v="0"/>
    <n v="290002.35"/>
    <x v="0"/>
    <x v="0"/>
  </r>
  <r>
    <x v="5"/>
    <x v="0"/>
    <x v="0"/>
    <x v="0"/>
    <x v="0"/>
    <n v="1161.92"/>
    <x v="0"/>
    <x v="0"/>
  </r>
  <r>
    <x v="5"/>
    <x v="3"/>
    <x v="0"/>
    <x v="0"/>
    <x v="0"/>
    <n v="7821.8"/>
    <x v="0"/>
    <x v="0"/>
  </r>
  <r>
    <x v="5"/>
    <x v="0"/>
    <x v="0"/>
    <x v="0"/>
    <x v="0"/>
    <n v="8567.57"/>
    <x v="0"/>
    <x v="0"/>
  </r>
  <r>
    <x v="5"/>
    <x v="0"/>
    <x v="2"/>
    <x v="0"/>
    <x v="0"/>
    <n v="38755.91"/>
    <x v="0"/>
    <x v="0"/>
  </r>
  <r>
    <x v="5"/>
    <x v="0"/>
    <x v="2"/>
    <x v="0"/>
    <x v="0"/>
    <n v="29426.86"/>
    <x v="0"/>
    <x v="0"/>
  </r>
  <r>
    <x v="5"/>
    <x v="0"/>
    <x v="2"/>
    <x v="0"/>
    <x v="0"/>
    <n v="22020.95"/>
    <x v="0"/>
    <x v="0"/>
  </r>
  <r>
    <x v="5"/>
    <x v="1"/>
    <x v="3"/>
    <x v="0"/>
    <x v="0"/>
    <n v="225464.91"/>
    <x v="0"/>
    <x v="0"/>
  </r>
  <r>
    <x v="5"/>
    <x v="0"/>
    <x v="2"/>
    <x v="0"/>
    <x v="0"/>
    <n v="32189.93"/>
    <x v="0"/>
    <x v="0"/>
  </r>
  <r>
    <x v="5"/>
    <x v="0"/>
    <x v="0"/>
    <x v="0"/>
    <x v="0"/>
    <n v="9557.31"/>
    <x v="0"/>
    <x v="0"/>
  </r>
  <r>
    <x v="5"/>
    <x v="0"/>
    <x v="0"/>
    <x v="0"/>
    <x v="0"/>
    <n v="9313.43"/>
    <x v="0"/>
    <x v="0"/>
  </r>
  <r>
    <x v="5"/>
    <x v="0"/>
    <x v="2"/>
    <x v="0"/>
    <x v="0"/>
    <n v="24261.25"/>
    <x v="0"/>
    <x v="0"/>
  </r>
  <r>
    <x v="5"/>
    <x v="0"/>
    <x v="0"/>
    <x v="0"/>
    <x v="0"/>
    <n v="7876.6"/>
    <x v="0"/>
    <x v="0"/>
  </r>
  <r>
    <x v="5"/>
    <x v="0"/>
    <x v="0"/>
    <x v="0"/>
    <x v="0"/>
    <n v="4103.11"/>
    <x v="0"/>
    <x v="0"/>
  </r>
  <r>
    <x v="5"/>
    <x v="0"/>
    <x v="2"/>
    <x v="0"/>
    <x v="0"/>
    <n v="50747.77"/>
    <x v="0"/>
    <x v="0"/>
  </r>
  <r>
    <x v="5"/>
    <x v="0"/>
    <x v="2"/>
    <x v="0"/>
    <x v="0"/>
    <n v="24417.76"/>
    <x v="0"/>
    <x v="0"/>
  </r>
  <r>
    <x v="5"/>
    <x v="0"/>
    <x v="2"/>
    <x v="0"/>
    <x v="0"/>
    <n v="34389.04"/>
    <x v="0"/>
    <x v="0"/>
  </r>
  <r>
    <x v="5"/>
    <x v="0"/>
    <x v="0"/>
    <x v="0"/>
    <x v="0"/>
    <n v="4856.8"/>
    <x v="0"/>
    <x v="0"/>
  </r>
  <r>
    <x v="5"/>
    <x v="0"/>
    <x v="2"/>
    <x v="0"/>
    <x v="0"/>
    <n v="25388.91"/>
    <x v="0"/>
    <x v="0"/>
  </r>
  <r>
    <x v="5"/>
    <x v="0"/>
    <x v="0"/>
    <x v="0"/>
    <x v="0"/>
    <n v="8564.52"/>
    <x v="0"/>
    <x v="0"/>
  </r>
  <r>
    <x v="5"/>
    <x v="0"/>
    <x v="0"/>
    <x v="0"/>
    <x v="0"/>
    <n v="7605.58"/>
    <x v="0"/>
    <x v="0"/>
  </r>
  <r>
    <x v="5"/>
    <x v="0"/>
    <x v="0"/>
    <x v="0"/>
    <x v="0"/>
    <n v="7798.05"/>
    <x v="0"/>
    <x v="0"/>
  </r>
  <r>
    <x v="5"/>
    <x v="0"/>
    <x v="0"/>
    <x v="0"/>
    <x v="0"/>
    <n v="4276.93"/>
    <x v="0"/>
    <x v="0"/>
  </r>
  <r>
    <x v="5"/>
    <x v="0"/>
    <x v="0"/>
    <x v="0"/>
    <x v="0"/>
    <n v="6034.16"/>
    <x v="0"/>
    <x v="0"/>
  </r>
  <r>
    <x v="5"/>
    <x v="0"/>
    <x v="2"/>
    <x v="0"/>
    <x v="0"/>
    <n v="21300.1"/>
    <x v="0"/>
    <x v="0"/>
  </r>
  <r>
    <x v="5"/>
    <x v="0"/>
    <x v="0"/>
    <x v="0"/>
    <x v="0"/>
    <n v="9470.18"/>
    <x v="0"/>
    <x v="0"/>
  </r>
  <r>
    <x v="5"/>
    <x v="0"/>
    <x v="2"/>
    <x v="0"/>
    <x v="0"/>
    <n v="21719.62"/>
    <x v="0"/>
    <x v="0"/>
  </r>
  <r>
    <x v="5"/>
    <x v="0"/>
    <x v="0"/>
    <x v="0"/>
    <x v="0"/>
    <n v="2186.82"/>
    <x v="0"/>
    <x v="0"/>
  </r>
  <r>
    <x v="5"/>
    <x v="0"/>
    <x v="0"/>
    <x v="0"/>
    <x v="0"/>
    <n v="9170"/>
    <x v="0"/>
    <x v="0"/>
  </r>
  <r>
    <x v="5"/>
    <x v="0"/>
    <x v="0"/>
    <x v="0"/>
    <x v="0"/>
    <n v="2471.23"/>
    <x v="0"/>
    <x v="0"/>
  </r>
  <r>
    <x v="5"/>
    <x v="0"/>
    <x v="0"/>
    <x v="0"/>
    <x v="0"/>
    <n v="3850.05"/>
    <x v="0"/>
    <x v="0"/>
  </r>
  <r>
    <x v="5"/>
    <x v="0"/>
    <x v="0"/>
    <x v="0"/>
    <x v="0"/>
    <n v="2496.08"/>
    <x v="0"/>
    <x v="0"/>
  </r>
  <r>
    <x v="5"/>
    <x v="0"/>
    <x v="0"/>
    <x v="0"/>
    <x v="0"/>
    <n v="4084.11"/>
    <x v="0"/>
    <x v="0"/>
  </r>
  <r>
    <x v="5"/>
    <x v="0"/>
    <x v="0"/>
    <x v="0"/>
    <x v="0"/>
    <n v="9158.69"/>
    <x v="0"/>
    <x v="0"/>
  </r>
  <r>
    <x v="5"/>
    <x v="0"/>
    <x v="0"/>
    <x v="0"/>
    <x v="0"/>
    <n v="3118.24"/>
    <x v="0"/>
    <x v="0"/>
  </r>
  <r>
    <x v="5"/>
    <x v="0"/>
    <x v="0"/>
    <x v="0"/>
    <x v="0"/>
    <n v="6119.49"/>
    <x v="0"/>
    <x v="0"/>
  </r>
  <r>
    <x v="5"/>
    <x v="0"/>
    <x v="0"/>
    <x v="0"/>
    <x v="0"/>
    <n v="9474.34"/>
    <x v="0"/>
    <x v="0"/>
  </r>
  <r>
    <x v="5"/>
    <x v="0"/>
    <x v="0"/>
    <x v="0"/>
    <x v="0"/>
    <n v="2006.1"/>
    <x v="0"/>
    <x v="0"/>
  </r>
  <r>
    <x v="5"/>
    <x v="0"/>
    <x v="2"/>
    <x v="0"/>
    <x v="0"/>
    <n v="33019.3"/>
    <x v="0"/>
    <x v="0"/>
  </r>
  <r>
    <x v="5"/>
    <x v="1"/>
    <x v="3"/>
    <x v="0"/>
    <x v="0"/>
    <n v="130145.62"/>
    <x v="0"/>
    <x v="0"/>
  </r>
  <r>
    <x v="5"/>
    <x v="0"/>
    <x v="0"/>
    <x v="0"/>
    <x v="0"/>
    <n v="8640.07"/>
    <x v="0"/>
    <x v="0"/>
  </r>
  <r>
    <x v="5"/>
    <x v="0"/>
    <x v="2"/>
    <x v="0"/>
    <x v="0"/>
    <n v="25691.16"/>
    <x v="0"/>
    <x v="0"/>
  </r>
  <r>
    <x v="5"/>
    <x v="0"/>
    <x v="2"/>
    <x v="0"/>
    <x v="0"/>
    <n v="11971.97"/>
    <x v="0"/>
    <x v="0"/>
  </r>
  <r>
    <x v="5"/>
    <x v="0"/>
    <x v="2"/>
    <x v="0"/>
    <x v="0"/>
    <n v="35551.62"/>
    <x v="0"/>
    <x v="0"/>
  </r>
  <r>
    <x v="5"/>
    <x v="0"/>
    <x v="0"/>
    <x v="0"/>
    <x v="0"/>
    <n v="1695.69"/>
    <x v="0"/>
    <x v="0"/>
  </r>
  <r>
    <x v="5"/>
    <x v="0"/>
    <x v="0"/>
    <x v="0"/>
    <x v="0"/>
    <n v="2933.1"/>
    <x v="0"/>
    <x v="0"/>
  </r>
  <r>
    <x v="5"/>
    <x v="0"/>
    <x v="0"/>
    <x v="0"/>
    <x v="0"/>
    <n v="4357.61"/>
    <x v="0"/>
    <x v="0"/>
  </r>
  <r>
    <x v="5"/>
    <x v="1"/>
    <x v="2"/>
    <x v="0"/>
    <x v="0"/>
    <n v="62574.57"/>
    <x v="0"/>
    <x v="0"/>
  </r>
  <r>
    <x v="5"/>
    <x v="0"/>
    <x v="2"/>
    <x v="0"/>
    <x v="0"/>
    <n v="14432.84"/>
    <x v="0"/>
    <x v="0"/>
  </r>
  <r>
    <x v="5"/>
    <x v="1"/>
    <x v="2"/>
    <x v="1"/>
    <x v="0"/>
    <n v="25975.86"/>
    <x v="1"/>
    <x v="25"/>
  </r>
  <r>
    <x v="5"/>
    <x v="2"/>
    <x v="2"/>
    <x v="1"/>
    <x v="0"/>
    <n v="25975.86"/>
    <x v="1"/>
    <x v="25"/>
  </r>
  <r>
    <x v="5"/>
    <x v="0"/>
    <x v="0"/>
    <x v="0"/>
    <x v="0"/>
    <n v="4699.12"/>
    <x v="0"/>
    <x v="0"/>
  </r>
  <r>
    <x v="5"/>
    <x v="2"/>
    <x v="2"/>
    <x v="0"/>
    <x v="0"/>
    <n v="11950.98"/>
    <x v="0"/>
    <x v="0"/>
  </r>
  <r>
    <x v="5"/>
    <x v="0"/>
    <x v="0"/>
    <x v="0"/>
    <x v="0"/>
    <n v="8927.92"/>
    <x v="0"/>
    <x v="0"/>
  </r>
  <r>
    <x v="5"/>
    <x v="0"/>
    <x v="0"/>
    <x v="0"/>
    <x v="0"/>
    <n v="1667.26"/>
    <x v="0"/>
    <x v="0"/>
  </r>
  <r>
    <x v="5"/>
    <x v="0"/>
    <x v="1"/>
    <x v="0"/>
    <x v="0"/>
    <n v="669.31"/>
    <x v="0"/>
    <x v="0"/>
  </r>
  <r>
    <x v="5"/>
    <x v="0"/>
    <x v="0"/>
    <x v="0"/>
    <x v="0"/>
    <n v="4204.86"/>
    <x v="0"/>
    <x v="0"/>
  </r>
  <r>
    <x v="5"/>
    <x v="0"/>
    <x v="2"/>
    <x v="0"/>
    <x v="0"/>
    <n v="17263.06"/>
    <x v="0"/>
    <x v="0"/>
  </r>
  <r>
    <x v="5"/>
    <x v="0"/>
    <x v="2"/>
    <x v="0"/>
    <x v="0"/>
    <n v="16865.33"/>
    <x v="0"/>
    <x v="0"/>
  </r>
  <r>
    <x v="5"/>
    <x v="0"/>
    <x v="2"/>
    <x v="0"/>
    <x v="0"/>
    <n v="19937.81"/>
    <x v="0"/>
    <x v="0"/>
  </r>
  <r>
    <x v="5"/>
    <x v="4"/>
    <x v="3"/>
    <x v="0"/>
    <x v="0"/>
    <n v="289490.08"/>
    <x v="0"/>
    <x v="0"/>
  </r>
  <r>
    <x v="5"/>
    <x v="4"/>
    <x v="3"/>
    <x v="0"/>
    <x v="0"/>
    <n v="302849.01"/>
    <x v="0"/>
    <x v="0"/>
  </r>
  <r>
    <x v="5"/>
    <x v="4"/>
    <x v="3"/>
    <x v="0"/>
    <x v="0"/>
    <n v="107980.36"/>
    <x v="0"/>
    <x v="0"/>
  </r>
  <r>
    <x v="5"/>
    <x v="4"/>
    <x v="3"/>
    <x v="0"/>
    <x v="0"/>
    <n v="139999.7"/>
    <x v="0"/>
    <x v="0"/>
  </r>
  <r>
    <x v="5"/>
    <x v="4"/>
    <x v="3"/>
    <x v="0"/>
    <x v="0"/>
    <n v="441551.13"/>
    <x v="0"/>
    <x v="0"/>
  </r>
  <r>
    <x v="5"/>
    <x v="4"/>
    <x v="2"/>
    <x v="0"/>
    <x v="0"/>
    <n v="18061.72"/>
    <x v="0"/>
    <x v="0"/>
  </r>
  <r>
    <x v="5"/>
    <x v="4"/>
    <x v="2"/>
    <x v="0"/>
    <x v="0"/>
    <n v="57520.64"/>
    <x v="0"/>
    <x v="0"/>
  </r>
  <r>
    <x v="5"/>
    <x v="4"/>
    <x v="2"/>
    <x v="0"/>
    <x v="0"/>
    <n v="44668.48"/>
    <x v="0"/>
    <x v="0"/>
  </r>
  <r>
    <x v="5"/>
    <x v="4"/>
    <x v="3"/>
    <x v="0"/>
    <x v="0"/>
    <n v="251401.67"/>
    <x v="0"/>
    <x v="0"/>
  </r>
  <r>
    <x v="5"/>
    <x v="4"/>
    <x v="3"/>
    <x v="0"/>
    <x v="0"/>
    <n v="176065.68"/>
    <x v="0"/>
    <x v="0"/>
  </r>
  <r>
    <x v="5"/>
    <x v="4"/>
    <x v="3"/>
    <x v="0"/>
    <x v="0"/>
    <n v="112251.47"/>
    <x v="0"/>
    <x v="0"/>
  </r>
  <r>
    <x v="5"/>
    <x v="4"/>
    <x v="3"/>
    <x v="0"/>
    <x v="0"/>
    <n v="182972.5"/>
    <x v="0"/>
    <x v="0"/>
  </r>
  <r>
    <x v="5"/>
    <x v="4"/>
    <x v="2"/>
    <x v="0"/>
    <x v="0"/>
    <n v="60660.98"/>
    <x v="0"/>
    <x v="0"/>
  </r>
  <r>
    <x v="5"/>
    <x v="4"/>
    <x v="2"/>
    <x v="0"/>
    <x v="0"/>
    <n v="98946.99"/>
    <x v="0"/>
    <x v="0"/>
  </r>
  <r>
    <x v="5"/>
    <x v="4"/>
    <x v="3"/>
    <x v="0"/>
    <x v="0"/>
    <n v="130580.16"/>
    <x v="0"/>
    <x v="0"/>
  </r>
  <r>
    <x v="5"/>
    <x v="4"/>
    <x v="3"/>
    <x v="0"/>
    <x v="0"/>
    <n v="112760.37"/>
    <x v="0"/>
    <x v="0"/>
  </r>
  <r>
    <x v="5"/>
    <x v="4"/>
    <x v="3"/>
    <x v="0"/>
    <x v="0"/>
    <n v="109513.36"/>
    <x v="0"/>
    <x v="0"/>
  </r>
  <r>
    <x v="5"/>
    <x v="4"/>
    <x v="3"/>
    <x v="0"/>
    <x v="0"/>
    <n v="515305.42"/>
    <x v="0"/>
    <x v="0"/>
  </r>
  <r>
    <x v="5"/>
    <x v="4"/>
    <x v="3"/>
    <x v="0"/>
    <x v="0"/>
    <n v="256430.45"/>
    <x v="0"/>
    <x v="0"/>
  </r>
  <r>
    <x v="5"/>
    <x v="4"/>
    <x v="3"/>
    <x v="0"/>
    <x v="0"/>
    <n v="202471.26"/>
    <x v="0"/>
    <x v="0"/>
  </r>
  <r>
    <x v="5"/>
    <x v="4"/>
    <x v="2"/>
    <x v="0"/>
    <x v="0"/>
    <n v="49495.09"/>
    <x v="0"/>
    <x v="0"/>
  </r>
  <r>
    <x v="5"/>
    <x v="4"/>
    <x v="2"/>
    <x v="0"/>
    <x v="0"/>
    <n v="91904.46"/>
    <x v="0"/>
    <x v="0"/>
  </r>
  <r>
    <x v="5"/>
    <x v="4"/>
    <x v="2"/>
    <x v="0"/>
    <x v="0"/>
    <n v="91867.6"/>
    <x v="0"/>
    <x v="0"/>
  </r>
  <r>
    <x v="5"/>
    <x v="4"/>
    <x v="2"/>
    <x v="0"/>
    <x v="0"/>
    <n v="25084.74"/>
    <x v="0"/>
    <x v="0"/>
  </r>
  <r>
    <x v="5"/>
    <x v="4"/>
    <x v="3"/>
    <x v="0"/>
    <x v="0"/>
    <n v="132375.3"/>
    <x v="0"/>
    <x v="0"/>
  </r>
  <r>
    <x v="5"/>
    <x v="4"/>
    <x v="3"/>
    <x v="0"/>
    <x v="0"/>
    <n v="239959.98"/>
    <x v="0"/>
    <x v="0"/>
  </r>
  <r>
    <x v="5"/>
    <x v="4"/>
    <x v="3"/>
    <x v="0"/>
    <x v="0"/>
    <n v="224632.6"/>
    <x v="0"/>
    <x v="0"/>
  </r>
  <r>
    <x v="5"/>
    <x v="4"/>
    <x v="3"/>
    <x v="0"/>
    <x v="0"/>
    <n v="100859.29"/>
    <x v="0"/>
    <x v="0"/>
  </r>
  <r>
    <x v="5"/>
    <x v="4"/>
    <x v="3"/>
    <x v="0"/>
    <x v="0"/>
    <n v="153949.46"/>
    <x v="0"/>
    <x v="0"/>
  </r>
  <r>
    <x v="5"/>
    <x v="4"/>
    <x v="3"/>
    <x v="0"/>
    <x v="0"/>
    <n v="239954.21"/>
    <x v="0"/>
    <x v="0"/>
  </r>
  <r>
    <x v="5"/>
    <x v="4"/>
    <x v="3"/>
    <x v="0"/>
    <x v="0"/>
    <n v="214224.63"/>
    <x v="0"/>
    <x v="0"/>
  </r>
  <r>
    <x v="5"/>
    <x v="4"/>
    <x v="3"/>
    <x v="0"/>
    <x v="0"/>
    <n v="176828.46"/>
    <x v="0"/>
    <x v="0"/>
  </r>
  <r>
    <x v="5"/>
    <x v="4"/>
    <x v="3"/>
    <x v="0"/>
    <x v="0"/>
    <n v="163042.17"/>
    <x v="0"/>
    <x v="0"/>
  </r>
  <r>
    <x v="5"/>
    <x v="4"/>
    <x v="2"/>
    <x v="0"/>
    <x v="0"/>
    <n v="68902"/>
    <x v="0"/>
    <x v="0"/>
  </r>
  <r>
    <x v="5"/>
    <x v="4"/>
    <x v="3"/>
    <x v="0"/>
    <x v="0"/>
    <n v="174123.67"/>
    <x v="0"/>
    <x v="0"/>
  </r>
  <r>
    <x v="5"/>
    <x v="4"/>
    <x v="3"/>
    <x v="0"/>
    <x v="0"/>
    <n v="158435.92"/>
    <x v="0"/>
    <x v="0"/>
  </r>
  <r>
    <x v="5"/>
    <x v="4"/>
    <x v="2"/>
    <x v="0"/>
    <x v="0"/>
    <n v="98239.33"/>
    <x v="0"/>
    <x v="0"/>
  </r>
  <r>
    <x v="5"/>
    <x v="4"/>
    <x v="3"/>
    <x v="0"/>
    <x v="0"/>
    <n v="167835.47"/>
    <x v="0"/>
    <x v="0"/>
  </r>
  <r>
    <x v="5"/>
    <x v="4"/>
    <x v="2"/>
    <x v="0"/>
    <x v="0"/>
    <n v="65214.03"/>
    <x v="0"/>
    <x v="0"/>
  </r>
  <r>
    <x v="5"/>
    <x v="4"/>
    <x v="2"/>
    <x v="0"/>
    <x v="0"/>
    <n v="75225.41"/>
    <x v="0"/>
    <x v="0"/>
  </r>
  <r>
    <x v="5"/>
    <x v="4"/>
    <x v="3"/>
    <x v="0"/>
    <x v="0"/>
    <n v="164319.6"/>
    <x v="0"/>
    <x v="0"/>
  </r>
  <r>
    <x v="5"/>
    <x v="4"/>
    <x v="3"/>
    <x v="0"/>
    <x v="0"/>
    <n v="321219.34"/>
    <x v="0"/>
    <x v="0"/>
  </r>
  <r>
    <x v="5"/>
    <x v="4"/>
    <x v="2"/>
    <x v="0"/>
    <x v="0"/>
    <n v="94628.7"/>
    <x v="0"/>
    <x v="0"/>
  </r>
  <r>
    <x v="5"/>
    <x v="4"/>
    <x v="3"/>
    <x v="0"/>
    <x v="0"/>
    <n v="164495.4"/>
    <x v="0"/>
    <x v="0"/>
  </r>
  <r>
    <x v="5"/>
    <x v="4"/>
    <x v="3"/>
    <x v="0"/>
    <x v="0"/>
    <n v="162478.57"/>
    <x v="0"/>
    <x v="0"/>
  </r>
  <r>
    <x v="5"/>
    <x v="4"/>
    <x v="2"/>
    <x v="0"/>
    <x v="0"/>
    <n v="51136.63"/>
    <x v="0"/>
    <x v="0"/>
  </r>
  <r>
    <x v="5"/>
    <x v="4"/>
    <x v="2"/>
    <x v="0"/>
    <x v="0"/>
    <n v="47687.62"/>
    <x v="0"/>
    <x v="0"/>
  </r>
  <r>
    <x v="5"/>
    <x v="4"/>
    <x v="0"/>
    <x v="0"/>
    <x v="0"/>
    <n v="5264.04"/>
    <x v="0"/>
    <x v="0"/>
  </r>
  <r>
    <x v="5"/>
    <x v="4"/>
    <x v="2"/>
    <x v="0"/>
    <x v="0"/>
    <n v="85068.86"/>
    <x v="0"/>
    <x v="0"/>
  </r>
  <r>
    <x v="5"/>
    <x v="4"/>
    <x v="3"/>
    <x v="0"/>
    <x v="0"/>
    <n v="133785.78"/>
    <x v="0"/>
    <x v="0"/>
  </r>
  <r>
    <x v="5"/>
    <x v="4"/>
    <x v="3"/>
    <x v="0"/>
    <x v="0"/>
    <n v="192005.11"/>
    <x v="0"/>
    <x v="0"/>
  </r>
  <r>
    <x v="5"/>
    <x v="4"/>
    <x v="2"/>
    <x v="0"/>
    <x v="0"/>
    <n v="42765.11"/>
    <x v="0"/>
    <x v="0"/>
  </r>
  <r>
    <x v="5"/>
    <x v="4"/>
    <x v="2"/>
    <x v="0"/>
    <x v="0"/>
    <n v="86835.95"/>
    <x v="0"/>
    <x v="0"/>
  </r>
  <r>
    <x v="5"/>
    <x v="4"/>
    <x v="2"/>
    <x v="0"/>
    <x v="0"/>
    <n v="55605.71"/>
    <x v="0"/>
    <x v="0"/>
  </r>
  <r>
    <x v="5"/>
    <x v="0"/>
    <x v="2"/>
    <x v="0"/>
    <x v="0"/>
    <n v="17757.06"/>
    <x v="0"/>
    <x v="0"/>
  </r>
  <r>
    <x v="5"/>
    <x v="0"/>
    <x v="2"/>
    <x v="0"/>
    <x v="0"/>
    <n v="21695.54"/>
    <x v="0"/>
    <x v="0"/>
  </r>
  <r>
    <x v="5"/>
    <x v="0"/>
    <x v="2"/>
    <x v="0"/>
    <x v="0"/>
    <n v="28306.8"/>
    <x v="0"/>
    <x v="0"/>
  </r>
  <r>
    <x v="5"/>
    <x v="4"/>
    <x v="3"/>
    <x v="0"/>
    <x v="0"/>
    <n v="221325.69"/>
    <x v="0"/>
    <x v="0"/>
  </r>
  <r>
    <x v="5"/>
    <x v="0"/>
    <x v="0"/>
    <x v="0"/>
    <x v="0"/>
    <n v="9690.1"/>
    <x v="0"/>
    <x v="0"/>
  </r>
  <r>
    <x v="5"/>
    <x v="1"/>
    <x v="3"/>
    <x v="0"/>
    <x v="0"/>
    <n v="436099.98"/>
    <x v="0"/>
    <x v="0"/>
  </r>
  <r>
    <x v="5"/>
    <x v="0"/>
    <x v="0"/>
    <x v="0"/>
    <x v="0"/>
    <n v="1485.32"/>
    <x v="0"/>
    <x v="0"/>
  </r>
  <r>
    <x v="5"/>
    <x v="0"/>
    <x v="2"/>
    <x v="0"/>
    <x v="0"/>
    <n v="13193.64"/>
    <x v="0"/>
    <x v="0"/>
  </r>
  <r>
    <x v="5"/>
    <x v="0"/>
    <x v="0"/>
    <x v="0"/>
    <x v="0"/>
    <n v="8945.23"/>
    <x v="0"/>
    <x v="0"/>
  </r>
  <r>
    <x v="5"/>
    <x v="0"/>
    <x v="0"/>
    <x v="0"/>
    <x v="0"/>
    <n v="6846.62"/>
    <x v="0"/>
    <x v="0"/>
  </r>
  <r>
    <x v="5"/>
    <x v="0"/>
    <x v="0"/>
    <x v="0"/>
    <x v="0"/>
    <n v="4315.05"/>
    <x v="0"/>
    <x v="0"/>
  </r>
  <r>
    <x v="5"/>
    <x v="0"/>
    <x v="0"/>
    <x v="0"/>
    <x v="0"/>
    <n v="5023.42"/>
    <x v="0"/>
    <x v="0"/>
  </r>
  <r>
    <x v="5"/>
    <x v="0"/>
    <x v="2"/>
    <x v="0"/>
    <x v="0"/>
    <n v="11985.99"/>
    <x v="0"/>
    <x v="0"/>
  </r>
  <r>
    <x v="5"/>
    <x v="0"/>
    <x v="1"/>
    <x v="0"/>
    <x v="0"/>
    <n v="233.28"/>
    <x v="0"/>
    <x v="0"/>
  </r>
  <r>
    <x v="5"/>
    <x v="0"/>
    <x v="2"/>
    <x v="0"/>
    <x v="0"/>
    <n v="13737.03"/>
    <x v="0"/>
    <x v="0"/>
  </r>
  <r>
    <x v="5"/>
    <x v="0"/>
    <x v="2"/>
    <x v="0"/>
    <x v="0"/>
    <n v="30269.19"/>
    <x v="0"/>
    <x v="0"/>
  </r>
  <r>
    <x v="5"/>
    <x v="0"/>
    <x v="0"/>
    <x v="0"/>
    <x v="0"/>
    <n v="4419.68"/>
    <x v="0"/>
    <x v="0"/>
  </r>
  <r>
    <x v="5"/>
    <x v="0"/>
    <x v="2"/>
    <x v="0"/>
    <x v="0"/>
    <n v="12757"/>
    <x v="0"/>
    <x v="0"/>
  </r>
  <r>
    <x v="5"/>
    <x v="0"/>
    <x v="2"/>
    <x v="0"/>
    <x v="0"/>
    <n v="32087.48"/>
    <x v="0"/>
    <x v="0"/>
  </r>
  <r>
    <x v="5"/>
    <x v="0"/>
    <x v="0"/>
    <x v="0"/>
    <x v="0"/>
    <n v="5885.13"/>
    <x v="0"/>
    <x v="0"/>
  </r>
  <r>
    <x v="5"/>
    <x v="0"/>
    <x v="0"/>
    <x v="0"/>
    <x v="0"/>
    <n v="6742.04"/>
    <x v="0"/>
    <x v="0"/>
  </r>
  <r>
    <x v="5"/>
    <x v="0"/>
    <x v="2"/>
    <x v="0"/>
    <x v="0"/>
    <n v="23869.55"/>
    <x v="0"/>
    <x v="0"/>
  </r>
  <r>
    <x v="5"/>
    <x v="1"/>
    <x v="2"/>
    <x v="0"/>
    <x v="0"/>
    <n v="19496.78"/>
    <x v="0"/>
    <x v="0"/>
  </r>
  <r>
    <x v="5"/>
    <x v="1"/>
    <x v="3"/>
    <x v="0"/>
    <x v="0"/>
    <n v="165344.97"/>
    <x v="0"/>
    <x v="0"/>
  </r>
  <r>
    <x v="5"/>
    <x v="0"/>
    <x v="0"/>
    <x v="0"/>
    <x v="0"/>
    <n v="7193.03"/>
    <x v="0"/>
    <x v="0"/>
  </r>
  <r>
    <x v="5"/>
    <x v="0"/>
    <x v="2"/>
    <x v="0"/>
    <x v="0"/>
    <n v="18266.81"/>
    <x v="0"/>
    <x v="0"/>
  </r>
  <r>
    <x v="5"/>
    <x v="0"/>
    <x v="2"/>
    <x v="0"/>
    <x v="0"/>
    <n v="16396.14"/>
    <x v="0"/>
    <x v="0"/>
  </r>
  <r>
    <x v="5"/>
    <x v="0"/>
    <x v="0"/>
    <x v="0"/>
    <x v="0"/>
    <n v="4218.37"/>
    <x v="0"/>
    <x v="0"/>
  </r>
  <r>
    <x v="5"/>
    <x v="0"/>
    <x v="2"/>
    <x v="0"/>
    <x v="0"/>
    <n v="23704.62"/>
    <x v="0"/>
    <x v="0"/>
  </r>
  <r>
    <x v="5"/>
    <x v="0"/>
    <x v="0"/>
    <x v="0"/>
    <x v="0"/>
    <n v="8527.96"/>
    <x v="0"/>
    <x v="0"/>
  </r>
  <r>
    <x v="5"/>
    <x v="0"/>
    <x v="0"/>
    <x v="0"/>
    <x v="0"/>
    <n v="3704.47"/>
    <x v="0"/>
    <x v="0"/>
  </r>
  <r>
    <x v="5"/>
    <x v="2"/>
    <x v="3"/>
    <x v="0"/>
    <x v="0"/>
    <n v="148971.75"/>
    <x v="0"/>
    <x v="0"/>
  </r>
  <r>
    <x v="5"/>
    <x v="4"/>
    <x v="3"/>
    <x v="0"/>
    <x v="0"/>
    <n v="385890.6"/>
    <x v="0"/>
    <x v="0"/>
  </r>
  <r>
    <x v="5"/>
    <x v="0"/>
    <x v="2"/>
    <x v="0"/>
    <x v="0"/>
    <n v="32168.72"/>
    <x v="0"/>
    <x v="0"/>
  </r>
  <r>
    <x v="5"/>
    <x v="0"/>
    <x v="2"/>
    <x v="0"/>
    <x v="0"/>
    <n v="28369.96"/>
    <x v="0"/>
    <x v="0"/>
  </r>
  <r>
    <x v="5"/>
    <x v="2"/>
    <x v="0"/>
    <x v="0"/>
    <x v="0"/>
    <n v="8013.4"/>
    <x v="0"/>
    <x v="0"/>
  </r>
  <r>
    <x v="5"/>
    <x v="0"/>
    <x v="2"/>
    <x v="0"/>
    <x v="0"/>
    <n v="28410.56"/>
    <x v="0"/>
    <x v="0"/>
  </r>
  <r>
    <x v="5"/>
    <x v="0"/>
    <x v="0"/>
    <x v="0"/>
    <x v="0"/>
    <n v="6909.4"/>
    <x v="0"/>
    <x v="0"/>
  </r>
  <r>
    <x v="5"/>
    <x v="0"/>
    <x v="2"/>
    <x v="0"/>
    <x v="0"/>
    <n v="13275.38"/>
    <x v="0"/>
    <x v="0"/>
  </r>
  <r>
    <x v="5"/>
    <x v="1"/>
    <x v="3"/>
    <x v="0"/>
    <x v="0"/>
    <n v="326538.62"/>
    <x v="0"/>
    <x v="0"/>
  </r>
  <r>
    <x v="5"/>
    <x v="0"/>
    <x v="2"/>
    <x v="0"/>
    <x v="0"/>
    <n v="11124.47"/>
    <x v="0"/>
    <x v="0"/>
  </r>
  <r>
    <x v="5"/>
    <x v="1"/>
    <x v="2"/>
    <x v="1"/>
    <x v="0"/>
    <n v="26768.5"/>
    <x v="1"/>
    <x v="26"/>
  </r>
  <r>
    <x v="5"/>
    <x v="2"/>
    <x v="2"/>
    <x v="1"/>
    <x v="0"/>
    <n v="26768.5"/>
    <x v="1"/>
    <x v="26"/>
  </r>
  <r>
    <x v="5"/>
    <x v="0"/>
    <x v="2"/>
    <x v="0"/>
    <x v="0"/>
    <n v="19481.86"/>
    <x v="0"/>
    <x v="0"/>
  </r>
  <r>
    <x v="5"/>
    <x v="0"/>
    <x v="0"/>
    <x v="0"/>
    <x v="0"/>
    <n v="7771.86"/>
    <x v="0"/>
    <x v="0"/>
  </r>
  <r>
    <x v="5"/>
    <x v="0"/>
    <x v="0"/>
    <x v="0"/>
    <x v="0"/>
    <n v="3249.87"/>
    <x v="0"/>
    <x v="0"/>
  </r>
  <r>
    <x v="5"/>
    <x v="0"/>
    <x v="2"/>
    <x v="0"/>
    <x v="0"/>
    <n v="24487.72"/>
    <x v="0"/>
    <x v="0"/>
  </r>
  <r>
    <x v="5"/>
    <x v="0"/>
    <x v="0"/>
    <x v="0"/>
    <x v="0"/>
    <n v="9976.7"/>
    <x v="0"/>
    <x v="0"/>
  </r>
  <r>
    <x v="5"/>
    <x v="0"/>
    <x v="2"/>
    <x v="0"/>
    <x v="0"/>
    <n v="14427.16"/>
    <x v="0"/>
    <x v="0"/>
  </r>
  <r>
    <x v="5"/>
    <x v="0"/>
    <x v="2"/>
    <x v="0"/>
    <x v="0"/>
    <n v="25203.75"/>
    <x v="0"/>
    <x v="0"/>
  </r>
  <r>
    <x v="5"/>
    <x v="0"/>
    <x v="2"/>
    <x v="0"/>
    <x v="0"/>
    <n v="11637.06"/>
    <x v="0"/>
    <x v="0"/>
  </r>
  <r>
    <x v="5"/>
    <x v="0"/>
    <x v="2"/>
    <x v="0"/>
    <x v="0"/>
    <n v="10656.7"/>
    <x v="0"/>
    <x v="0"/>
  </r>
  <r>
    <x v="5"/>
    <x v="0"/>
    <x v="2"/>
    <x v="0"/>
    <x v="0"/>
    <n v="23224.89"/>
    <x v="0"/>
    <x v="0"/>
  </r>
  <r>
    <x v="5"/>
    <x v="1"/>
    <x v="2"/>
    <x v="0"/>
    <x v="0"/>
    <n v="61464.3"/>
    <x v="0"/>
    <x v="0"/>
  </r>
  <r>
    <x v="5"/>
    <x v="0"/>
    <x v="1"/>
    <x v="0"/>
    <x v="0"/>
    <n v="741.93"/>
    <x v="0"/>
    <x v="0"/>
  </r>
  <r>
    <x v="5"/>
    <x v="0"/>
    <x v="2"/>
    <x v="0"/>
    <x v="0"/>
    <n v="14002.93"/>
    <x v="0"/>
    <x v="0"/>
  </r>
  <r>
    <x v="5"/>
    <x v="0"/>
    <x v="0"/>
    <x v="0"/>
    <x v="0"/>
    <n v="6284.58"/>
    <x v="0"/>
    <x v="0"/>
  </r>
  <r>
    <x v="5"/>
    <x v="0"/>
    <x v="0"/>
    <x v="0"/>
    <x v="0"/>
    <n v="4349.35"/>
    <x v="0"/>
    <x v="0"/>
  </r>
  <r>
    <x v="5"/>
    <x v="0"/>
    <x v="0"/>
    <x v="0"/>
    <x v="0"/>
    <n v="9598.37"/>
    <x v="0"/>
    <x v="0"/>
  </r>
  <r>
    <x v="5"/>
    <x v="0"/>
    <x v="0"/>
    <x v="0"/>
    <x v="0"/>
    <n v="5948.05"/>
    <x v="0"/>
    <x v="0"/>
  </r>
  <r>
    <x v="5"/>
    <x v="0"/>
    <x v="2"/>
    <x v="0"/>
    <x v="0"/>
    <n v="13098.63"/>
    <x v="0"/>
    <x v="0"/>
  </r>
  <r>
    <x v="5"/>
    <x v="0"/>
    <x v="2"/>
    <x v="0"/>
    <x v="0"/>
    <n v="12518.6"/>
    <x v="0"/>
    <x v="0"/>
  </r>
  <r>
    <x v="5"/>
    <x v="0"/>
    <x v="0"/>
    <x v="0"/>
    <x v="0"/>
    <n v="6430.69"/>
    <x v="0"/>
    <x v="0"/>
  </r>
  <r>
    <x v="5"/>
    <x v="0"/>
    <x v="2"/>
    <x v="0"/>
    <x v="0"/>
    <n v="11701.16"/>
    <x v="0"/>
    <x v="0"/>
  </r>
  <r>
    <x v="5"/>
    <x v="0"/>
    <x v="2"/>
    <x v="0"/>
    <x v="0"/>
    <n v="15960.23"/>
    <x v="0"/>
    <x v="0"/>
  </r>
  <r>
    <x v="5"/>
    <x v="0"/>
    <x v="0"/>
    <x v="0"/>
    <x v="0"/>
    <n v="1814.72"/>
    <x v="0"/>
    <x v="0"/>
  </r>
  <r>
    <x v="5"/>
    <x v="1"/>
    <x v="3"/>
    <x v="0"/>
    <x v="0"/>
    <n v="296250.01"/>
    <x v="0"/>
    <x v="0"/>
  </r>
  <r>
    <x v="5"/>
    <x v="1"/>
    <x v="4"/>
    <x v="0"/>
    <x v="0"/>
    <n v="1394793.88"/>
    <x v="0"/>
    <x v="0"/>
  </r>
  <r>
    <x v="5"/>
    <x v="1"/>
    <x v="3"/>
    <x v="0"/>
    <x v="0"/>
    <n v="495294.14"/>
    <x v="0"/>
    <x v="0"/>
  </r>
  <r>
    <x v="5"/>
    <x v="1"/>
    <x v="4"/>
    <x v="0"/>
    <x v="0"/>
    <n v="1095802.84"/>
    <x v="0"/>
    <x v="0"/>
  </r>
  <r>
    <x v="5"/>
    <x v="1"/>
    <x v="4"/>
    <x v="0"/>
    <x v="0"/>
    <n v="1408829.48"/>
    <x v="0"/>
    <x v="0"/>
  </r>
  <r>
    <x v="5"/>
    <x v="1"/>
    <x v="3"/>
    <x v="0"/>
    <x v="0"/>
    <n v="704242.78"/>
    <x v="0"/>
    <x v="0"/>
  </r>
  <r>
    <x v="5"/>
    <x v="1"/>
    <x v="4"/>
    <x v="0"/>
    <x v="0"/>
    <n v="2025330.83"/>
    <x v="0"/>
    <x v="0"/>
  </r>
  <r>
    <x v="5"/>
    <x v="1"/>
    <x v="4"/>
    <x v="0"/>
    <x v="0"/>
    <n v="1488547.68"/>
    <x v="0"/>
    <x v="0"/>
  </r>
  <r>
    <x v="5"/>
    <x v="1"/>
    <x v="3"/>
    <x v="0"/>
    <x v="0"/>
    <n v="604786.9"/>
    <x v="0"/>
    <x v="0"/>
  </r>
  <r>
    <x v="5"/>
    <x v="1"/>
    <x v="3"/>
    <x v="0"/>
    <x v="0"/>
    <n v="723954.54"/>
    <x v="0"/>
    <x v="0"/>
  </r>
  <r>
    <x v="5"/>
    <x v="1"/>
    <x v="3"/>
    <x v="0"/>
    <x v="0"/>
    <n v="442131.61"/>
    <x v="0"/>
    <x v="0"/>
  </r>
  <r>
    <x v="5"/>
    <x v="1"/>
    <x v="4"/>
    <x v="0"/>
    <x v="0"/>
    <n v="1627438.13"/>
    <x v="0"/>
    <x v="0"/>
  </r>
  <r>
    <x v="5"/>
    <x v="1"/>
    <x v="3"/>
    <x v="0"/>
    <x v="0"/>
    <n v="921268.93"/>
    <x v="0"/>
    <x v="0"/>
  </r>
  <r>
    <x v="5"/>
    <x v="1"/>
    <x v="3"/>
    <x v="0"/>
    <x v="0"/>
    <n v="184917.64"/>
    <x v="0"/>
    <x v="0"/>
  </r>
  <r>
    <x v="5"/>
    <x v="1"/>
    <x v="3"/>
    <x v="0"/>
    <x v="0"/>
    <n v="110132.46"/>
    <x v="0"/>
    <x v="0"/>
  </r>
  <r>
    <x v="5"/>
    <x v="1"/>
    <x v="2"/>
    <x v="0"/>
    <x v="0"/>
    <n v="30965.98"/>
    <x v="0"/>
    <x v="0"/>
  </r>
  <r>
    <x v="5"/>
    <x v="1"/>
    <x v="3"/>
    <x v="0"/>
    <x v="0"/>
    <n v="171092.94"/>
    <x v="0"/>
    <x v="0"/>
  </r>
  <r>
    <x v="5"/>
    <x v="0"/>
    <x v="0"/>
    <x v="0"/>
    <x v="0"/>
    <n v="5760.17"/>
    <x v="0"/>
    <x v="0"/>
  </r>
  <r>
    <x v="5"/>
    <x v="0"/>
    <x v="0"/>
    <x v="0"/>
    <x v="0"/>
    <n v="5335.39"/>
    <x v="0"/>
    <x v="0"/>
  </r>
  <r>
    <x v="5"/>
    <x v="0"/>
    <x v="2"/>
    <x v="0"/>
    <x v="0"/>
    <n v="14392.6"/>
    <x v="0"/>
    <x v="0"/>
  </r>
  <r>
    <x v="5"/>
    <x v="0"/>
    <x v="0"/>
    <x v="0"/>
    <x v="0"/>
    <n v="6926.11"/>
    <x v="0"/>
    <x v="0"/>
  </r>
  <r>
    <x v="5"/>
    <x v="0"/>
    <x v="0"/>
    <x v="0"/>
    <x v="0"/>
    <n v="7141.83"/>
    <x v="0"/>
    <x v="0"/>
  </r>
  <r>
    <x v="5"/>
    <x v="3"/>
    <x v="0"/>
    <x v="0"/>
    <x v="0"/>
    <n v="2762.82"/>
    <x v="0"/>
    <x v="0"/>
  </r>
  <r>
    <x v="5"/>
    <x v="0"/>
    <x v="0"/>
    <x v="0"/>
    <x v="0"/>
    <n v="8147.82"/>
    <x v="0"/>
    <x v="0"/>
  </r>
  <r>
    <x v="5"/>
    <x v="0"/>
    <x v="0"/>
    <x v="0"/>
    <x v="0"/>
    <n v="6869.52"/>
    <x v="0"/>
    <x v="0"/>
  </r>
  <r>
    <x v="5"/>
    <x v="1"/>
    <x v="3"/>
    <x v="0"/>
    <x v="0"/>
    <n v="296908.68"/>
    <x v="0"/>
    <x v="0"/>
  </r>
  <r>
    <x v="5"/>
    <x v="0"/>
    <x v="0"/>
    <x v="0"/>
    <x v="0"/>
    <n v="6342.6"/>
    <x v="0"/>
    <x v="0"/>
  </r>
  <r>
    <x v="5"/>
    <x v="0"/>
    <x v="0"/>
    <x v="0"/>
    <x v="0"/>
    <n v="2896.73"/>
    <x v="0"/>
    <x v="0"/>
  </r>
  <r>
    <x v="5"/>
    <x v="0"/>
    <x v="2"/>
    <x v="0"/>
    <x v="0"/>
    <n v="33416.51"/>
    <x v="0"/>
    <x v="0"/>
  </r>
  <r>
    <x v="5"/>
    <x v="1"/>
    <x v="3"/>
    <x v="0"/>
    <x v="0"/>
    <n v="225055.89"/>
    <x v="0"/>
    <x v="0"/>
  </r>
  <r>
    <x v="5"/>
    <x v="0"/>
    <x v="2"/>
    <x v="0"/>
    <x v="0"/>
    <n v="14639.45"/>
    <x v="0"/>
    <x v="0"/>
  </r>
  <r>
    <x v="5"/>
    <x v="0"/>
    <x v="2"/>
    <x v="0"/>
    <x v="0"/>
    <n v="23041.84"/>
    <x v="0"/>
    <x v="0"/>
  </r>
  <r>
    <x v="5"/>
    <x v="0"/>
    <x v="0"/>
    <x v="0"/>
    <x v="0"/>
    <n v="6104.22"/>
    <x v="0"/>
    <x v="0"/>
  </r>
  <r>
    <x v="5"/>
    <x v="0"/>
    <x v="2"/>
    <x v="0"/>
    <x v="0"/>
    <n v="11149.55"/>
    <x v="0"/>
    <x v="0"/>
  </r>
  <r>
    <x v="5"/>
    <x v="0"/>
    <x v="2"/>
    <x v="0"/>
    <x v="0"/>
    <n v="10302.69"/>
    <x v="0"/>
    <x v="0"/>
  </r>
  <r>
    <x v="5"/>
    <x v="0"/>
    <x v="2"/>
    <x v="0"/>
    <x v="0"/>
    <n v="21985.63"/>
    <x v="0"/>
    <x v="0"/>
  </r>
  <r>
    <x v="5"/>
    <x v="0"/>
    <x v="0"/>
    <x v="0"/>
    <x v="0"/>
    <n v="2964.71"/>
    <x v="0"/>
    <x v="0"/>
  </r>
  <r>
    <x v="5"/>
    <x v="0"/>
    <x v="0"/>
    <x v="0"/>
    <x v="0"/>
    <n v="8659.19"/>
    <x v="0"/>
    <x v="0"/>
  </r>
  <r>
    <x v="5"/>
    <x v="0"/>
    <x v="2"/>
    <x v="0"/>
    <x v="0"/>
    <n v="46856.97"/>
    <x v="0"/>
    <x v="0"/>
  </r>
  <r>
    <x v="5"/>
    <x v="0"/>
    <x v="0"/>
    <x v="0"/>
    <x v="0"/>
    <n v="7509.75"/>
    <x v="0"/>
    <x v="0"/>
  </r>
  <r>
    <x v="5"/>
    <x v="0"/>
    <x v="0"/>
    <x v="0"/>
    <x v="0"/>
    <n v="6068.6"/>
    <x v="0"/>
    <x v="0"/>
  </r>
  <r>
    <x v="5"/>
    <x v="0"/>
    <x v="2"/>
    <x v="0"/>
    <x v="0"/>
    <n v="13614.06"/>
    <x v="0"/>
    <x v="0"/>
  </r>
  <r>
    <x v="5"/>
    <x v="0"/>
    <x v="1"/>
    <x v="0"/>
    <x v="0"/>
    <n v="235.2"/>
    <x v="0"/>
    <x v="0"/>
  </r>
  <r>
    <x v="5"/>
    <x v="0"/>
    <x v="0"/>
    <x v="0"/>
    <x v="0"/>
    <n v="9455.53"/>
    <x v="0"/>
    <x v="0"/>
  </r>
  <r>
    <x v="5"/>
    <x v="2"/>
    <x v="3"/>
    <x v="0"/>
    <x v="0"/>
    <n v="184931.14"/>
    <x v="0"/>
    <x v="0"/>
  </r>
  <r>
    <x v="5"/>
    <x v="0"/>
    <x v="2"/>
    <x v="0"/>
    <x v="0"/>
    <n v="28115.43"/>
    <x v="0"/>
    <x v="0"/>
  </r>
  <r>
    <x v="5"/>
    <x v="0"/>
    <x v="2"/>
    <x v="0"/>
    <x v="0"/>
    <n v="12249.43"/>
    <x v="0"/>
    <x v="0"/>
  </r>
  <r>
    <x v="5"/>
    <x v="0"/>
    <x v="2"/>
    <x v="0"/>
    <x v="0"/>
    <n v="13309.49"/>
    <x v="0"/>
    <x v="0"/>
  </r>
  <r>
    <x v="5"/>
    <x v="0"/>
    <x v="2"/>
    <x v="0"/>
    <x v="0"/>
    <n v="14335.52"/>
    <x v="0"/>
    <x v="0"/>
  </r>
  <r>
    <x v="5"/>
    <x v="0"/>
    <x v="0"/>
    <x v="0"/>
    <x v="0"/>
    <n v="5487.19"/>
    <x v="0"/>
    <x v="0"/>
  </r>
  <r>
    <x v="5"/>
    <x v="0"/>
    <x v="1"/>
    <x v="0"/>
    <x v="0"/>
    <n v="920.85"/>
    <x v="0"/>
    <x v="0"/>
  </r>
  <r>
    <x v="5"/>
    <x v="0"/>
    <x v="0"/>
    <x v="0"/>
    <x v="0"/>
    <n v="1596.18"/>
    <x v="0"/>
    <x v="0"/>
  </r>
  <r>
    <x v="5"/>
    <x v="0"/>
    <x v="2"/>
    <x v="0"/>
    <x v="0"/>
    <n v="12773.5"/>
    <x v="0"/>
    <x v="0"/>
  </r>
  <r>
    <x v="5"/>
    <x v="0"/>
    <x v="2"/>
    <x v="0"/>
    <x v="0"/>
    <n v="16926.08"/>
    <x v="0"/>
    <x v="0"/>
  </r>
  <r>
    <x v="5"/>
    <x v="0"/>
    <x v="2"/>
    <x v="0"/>
    <x v="0"/>
    <n v="18432.04"/>
    <x v="0"/>
    <x v="0"/>
  </r>
  <r>
    <x v="5"/>
    <x v="0"/>
    <x v="2"/>
    <x v="0"/>
    <x v="0"/>
    <n v="10563.42"/>
    <x v="0"/>
    <x v="0"/>
  </r>
  <r>
    <x v="5"/>
    <x v="2"/>
    <x v="2"/>
    <x v="0"/>
    <x v="0"/>
    <n v="89698.27"/>
    <x v="0"/>
    <x v="0"/>
  </r>
  <r>
    <x v="5"/>
    <x v="0"/>
    <x v="2"/>
    <x v="0"/>
    <x v="0"/>
    <n v="28409.89"/>
    <x v="0"/>
    <x v="0"/>
  </r>
  <r>
    <x v="5"/>
    <x v="0"/>
    <x v="2"/>
    <x v="0"/>
    <x v="0"/>
    <n v="32001.6"/>
    <x v="0"/>
    <x v="0"/>
  </r>
  <r>
    <x v="5"/>
    <x v="0"/>
    <x v="2"/>
    <x v="0"/>
    <x v="0"/>
    <n v="26345.29"/>
    <x v="0"/>
    <x v="0"/>
  </r>
  <r>
    <x v="5"/>
    <x v="0"/>
    <x v="1"/>
    <x v="0"/>
    <x v="0"/>
    <n v="994.95"/>
    <x v="0"/>
    <x v="0"/>
  </r>
  <r>
    <x v="5"/>
    <x v="0"/>
    <x v="0"/>
    <x v="0"/>
    <x v="0"/>
    <n v="9587.91"/>
    <x v="0"/>
    <x v="0"/>
  </r>
  <r>
    <x v="5"/>
    <x v="0"/>
    <x v="2"/>
    <x v="0"/>
    <x v="0"/>
    <n v="14643.37"/>
    <x v="0"/>
    <x v="0"/>
  </r>
  <r>
    <x v="5"/>
    <x v="0"/>
    <x v="0"/>
    <x v="0"/>
    <x v="0"/>
    <n v="3354.28"/>
    <x v="0"/>
    <x v="0"/>
  </r>
  <r>
    <x v="5"/>
    <x v="0"/>
    <x v="0"/>
    <x v="0"/>
    <x v="0"/>
    <n v="7459.42"/>
    <x v="0"/>
    <x v="0"/>
  </r>
  <r>
    <x v="5"/>
    <x v="0"/>
    <x v="1"/>
    <x v="0"/>
    <x v="0"/>
    <n v="236.17"/>
    <x v="0"/>
    <x v="0"/>
  </r>
  <r>
    <x v="5"/>
    <x v="0"/>
    <x v="1"/>
    <x v="0"/>
    <x v="0"/>
    <n v="435.66"/>
    <x v="0"/>
    <x v="0"/>
  </r>
  <r>
    <x v="5"/>
    <x v="0"/>
    <x v="2"/>
    <x v="0"/>
    <x v="0"/>
    <n v="12937.75"/>
    <x v="0"/>
    <x v="0"/>
  </r>
  <r>
    <x v="5"/>
    <x v="0"/>
    <x v="1"/>
    <x v="0"/>
    <x v="0"/>
    <n v="831.53"/>
    <x v="0"/>
    <x v="0"/>
  </r>
  <r>
    <x v="5"/>
    <x v="0"/>
    <x v="2"/>
    <x v="0"/>
    <x v="0"/>
    <n v="10734.12"/>
    <x v="0"/>
    <x v="0"/>
  </r>
  <r>
    <x v="5"/>
    <x v="0"/>
    <x v="0"/>
    <x v="0"/>
    <x v="0"/>
    <n v="6133.67"/>
    <x v="0"/>
    <x v="0"/>
  </r>
  <r>
    <x v="5"/>
    <x v="0"/>
    <x v="0"/>
    <x v="0"/>
    <x v="0"/>
    <n v="3628.1"/>
    <x v="0"/>
    <x v="0"/>
  </r>
  <r>
    <x v="5"/>
    <x v="0"/>
    <x v="2"/>
    <x v="0"/>
    <x v="0"/>
    <n v="17993.08"/>
    <x v="0"/>
    <x v="0"/>
  </r>
  <r>
    <x v="5"/>
    <x v="0"/>
    <x v="2"/>
    <x v="0"/>
    <x v="0"/>
    <n v="21335.25"/>
    <x v="0"/>
    <x v="0"/>
  </r>
  <r>
    <x v="5"/>
    <x v="0"/>
    <x v="2"/>
    <x v="0"/>
    <x v="0"/>
    <n v="16812.61"/>
    <x v="0"/>
    <x v="0"/>
  </r>
  <r>
    <x v="5"/>
    <x v="0"/>
    <x v="0"/>
    <x v="0"/>
    <x v="0"/>
    <n v="3259.72"/>
    <x v="0"/>
    <x v="0"/>
  </r>
  <r>
    <x v="5"/>
    <x v="0"/>
    <x v="0"/>
    <x v="0"/>
    <x v="0"/>
    <n v="4749.74"/>
    <x v="0"/>
    <x v="0"/>
  </r>
  <r>
    <x v="5"/>
    <x v="0"/>
    <x v="0"/>
    <x v="0"/>
    <x v="0"/>
    <n v="9696.11"/>
    <x v="0"/>
    <x v="0"/>
  </r>
  <r>
    <x v="5"/>
    <x v="0"/>
    <x v="2"/>
    <x v="0"/>
    <x v="0"/>
    <n v="18007.93"/>
    <x v="0"/>
    <x v="0"/>
  </r>
  <r>
    <x v="5"/>
    <x v="3"/>
    <x v="0"/>
    <x v="0"/>
    <x v="0"/>
    <n v="3649.45"/>
    <x v="0"/>
    <x v="0"/>
  </r>
  <r>
    <x v="5"/>
    <x v="0"/>
    <x v="0"/>
    <x v="0"/>
    <x v="0"/>
    <n v="7257.38"/>
    <x v="0"/>
    <x v="0"/>
  </r>
  <r>
    <x v="5"/>
    <x v="0"/>
    <x v="0"/>
    <x v="0"/>
    <x v="0"/>
    <n v="5348.94"/>
    <x v="0"/>
    <x v="0"/>
  </r>
  <r>
    <x v="5"/>
    <x v="2"/>
    <x v="0"/>
    <x v="0"/>
    <x v="0"/>
    <n v="6683.95"/>
    <x v="0"/>
    <x v="0"/>
  </r>
  <r>
    <x v="5"/>
    <x v="0"/>
    <x v="0"/>
    <x v="0"/>
    <x v="0"/>
    <n v="1700.47"/>
    <x v="0"/>
    <x v="0"/>
  </r>
  <r>
    <x v="5"/>
    <x v="0"/>
    <x v="2"/>
    <x v="0"/>
    <x v="0"/>
    <n v="12293.9"/>
    <x v="0"/>
    <x v="0"/>
  </r>
  <r>
    <x v="5"/>
    <x v="0"/>
    <x v="0"/>
    <x v="0"/>
    <x v="0"/>
    <n v="2621.13"/>
    <x v="0"/>
    <x v="0"/>
  </r>
  <r>
    <x v="5"/>
    <x v="0"/>
    <x v="2"/>
    <x v="0"/>
    <x v="0"/>
    <n v="11342.04"/>
    <x v="0"/>
    <x v="0"/>
  </r>
  <r>
    <x v="5"/>
    <x v="1"/>
    <x v="3"/>
    <x v="0"/>
    <x v="0"/>
    <n v="102506.97"/>
    <x v="0"/>
    <x v="0"/>
  </r>
  <r>
    <x v="5"/>
    <x v="0"/>
    <x v="2"/>
    <x v="0"/>
    <x v="0"/>
    <n v="41853.65"/>
    <x v="0"/>
    <x v="0"/>
  </r>
  <r>
    <x v="5"/>
    <x v="0"/>
    <x v="2"/>
    <x v="0"/>
    <x v="0"/>
    <n v="15584.63"/>
    <x v="0"/>
    <x v="0"/>
  </r>
  <r>
    <x v="5"/>
    <x v="0"/>
    <x v="2"/>
    <x v="0"/>
    <x v="0"/>
    <n v="25224.88"/>
    <x v="0"/>
    <x v="0"/>
  </r>
  <r>
    <x v="5"/>
    <x v="0"/>
    <x v="0"/>
    <x v="0"/>
    <x v="0"/>
    <n v="3875.51"/>
    <x v="0"/>
    <x v="0"/>
  </r>
  <r>
    <x v="5"/>
    <x v="0"/>
    <x v="2"/>
    <x v="0"/>
    <x v="0"/>
    <n v="11420.91"/>
    <x v="0"/>
    <x v="0"/>
  </r>
  <r>
    <x v="5"/>
    <x v="0"/>
    <x v="2"/>
    <x v="0"/>
    <x v="0"/>
    <n v="16418.78"/>
    <x v="0"/>
    <x v="0"/>
  </r>
  <r>
    <x v="5"/>
    <x v="0"/>
    <x v="2"/>
    <x v="0"/>
    <x v="0"/>
    <n v="37311.65"/>
    <x v="0"/>
    <x v="0"/>
  </r>
  <r>
    <x v="5"/>
    <x v="2"/>
    <x v="2"/>
    <x v="0"/>
    <x v="0"/>
    <n v="49350.98"/>
    <x v="0"/>
    <x v="0"/>
  </r>
  <r>
    <x v="5"/>
    <x v="0"/>
    <x v="2"/>
    <x v="0"/>
    <x v="0"/>
    <n v="10529.72"/>
    <x v="0"/>
    <x v="0"/>
  </r>
  <r>
    <x v="5"/>
    <x v="0"/>
    <x v="0"/>
    <x v="0"/>
    <x v="0"/>
    <n v="9292.35"/>
    <x v="0"/>
    <x v="0"/>
  </r>
  <r>
    <x v="5"/>
    <x v="0"/>
    <x v="0"/>
    <x v="0"/>
    <x v="0"/>
    <n v="3392.46"/>
    <x v="0"/>
    <x v="0"/>
  </r>
  <r>
    <x v="5"/>
    <x v="1"/>
    <x v="2"/>
    <x v="0"/>
    <x v="0"/>
    <n v="18554.73"/>
    <x v="0"/>
    <x v="0"/>
  </r>
  <r>
    <x v="5"/>
    <x v="0"/>
    <x v="0"/>
    <x v="0"/>
    <x v="0"/>
    <n v="8453.39"/>
    <x v="0"/>
    <x v="0"/>
  </r>
  <r>
    <x v="5"/>
    <x v="0"/>
    <x v="0"/>
    <x v="0"/>
    <x v="0"/>
    <n v="8363.92"/>
    <x v="0"/>
    <x v="0"/>
  </r>
  <r>
    <x v="5"/>
    <x v="0"/>
    <x v="0"/>
    <x v="0"/>
    <x v="0"/>
    <n v="6931.4"/>
    <x v="0"/>
    <x v="0"/>
  </r>
  <r>
    <x v="5"/>
    <x v="0"/>
    <x v="2"/>
    <x v="0"/>
    <x v="0"/>
    <n v="13992.76"/>
    <x v="0"/>
    <x v="0"/>
  </r>
  <r>
    <x v="5"/>
    <x v="0"/>
    <x v="2"/>
    <x v="0"/>
    <x v="0"/>
    <n v="11829.72"/>
    <x v="0"/>
    <x v="0"/>
  </r>
  <r>
    <x v="5"/>
    <x v="0"/>
    <x v="0"/>
    <x v="0"/>
    <x v="0"/>
    <n v="3334.03"/>
    <x v="0"/>
    <x v="0"/>
  </r>
  <r>
    <x v="5"/>
    <x v="0"/>
    <x v="2"/>
    <x v="0"/>
    <x v="0"/>
    <n v="11621.62"/>
    <x v="0"/>
    <x v="0"/>
  </r>
  <r>
    <x v="5"/>
    <x v="0"/>
    <x v="0"/>
    <x v="0"/>
    <x v="0"/>
    <n v="3101.99"/>
    <x v="0"/>
    <x v="0"/>
  </r>
  <r>
    <x v="5"/>
    <x v="0"/>
    <x v="2"/>
    <x v="0"/>
    <x v="0"/>
    <n v="22976.16"/>
    <x v="0"/>
    <x v="0"/>
  </r>
  <r>
    <x v="5"/>
    <x v="1"/>
    <x v="3"/>
    <x v="0"/>
    <x v="0"/>
    <n v="157635.81"/>
    <x v="0"/>
    <x v="0"/>
  </r>
  <r>
    <x v="5"/>
    <x v="0"/>
    <x v="2"/>
    <x v="0"/>
    <x v="0"/>
    <n v="10827.05"/>
    <x v="0"/>
    <x v="0"/>
  </r>
  <r>
    <x v="5"/>
    <x v="1"/>
    <x v="3"/>
    <x v="0"/>
    <x v="0"/>
    <n v="368444.96"/>
    <x v="0"/>
    <x v="0"/>
  </r>
  <r>
    <x v="5"/>
    <x v="0"/>
    <x v="2"/>
    <x v="0"/>
    <x v="0"/>
    <n v="32339.19"/>
    <x v="0"/>
    <x v="0"/>
  </r>
  <r>
    <x v="5"/>
    <x v="0"/>
    <x v="2"/>
    <x v="0"/>
    <x v="0"/>
    <n v="18046.34"/>
    <x v="0"/>
    <x v="0"/>
  </r>
  <r>
    <x v="5"/>
    <x v="1"/>
    <x v="3"/>
    <x v="0"/>
    <x v="0"/>
    <n v="218698.72"/>
    <x v="0"/>
    <x v="0"/>
  </r>
  <r>
    <x v="5"/>
    <x v="0"/>
    <x v="2"/>
    <x v="0"/>
    <x v="0"/>
    <n v="13742.28"/>
    <x v="0"/>
    <x v="0"/>
  </r>
  <r>
    <x v="5"/>
    <x v="0"/>
    <x v="2"/>
    <x v="0"/>
    <x v="0"/>
    <n v="11506.17"/>
    <x v="0"/>
    <x v="0"/>
  </r>
  <r>
    <x v="5"/>
    <x v="1"/>
    <x v="2"/>
    <x v="1"/>
    <x v="0"/>
    <n v="30521.02"/>
    <x v="1"/>
    <x v="27"/>
  </r>
  <r>
    <x v="5"/>
    <x v="2"/>
    <x v="2"/>
    <x v="1"/>
    <x v="0"/>
    <n v="30521.02"/>
    <x v="1"/>
    <x v="27"/>
  </r>
  <r>
    <x v="5"/>
    <x v="0"/>
    <x v="0"/>
    <x v="0"/>
    <x v="0"/>
    <n v="5976.69"/>
    <x v="0"/>
    <x v="0"/>
  </r>
  <r>
    <x v="5"/>
    <x v="0"/>
    <x v="2"/>
    <x v="0"/>
    <x v="0"/>
    <n v="16056.03"/>
    <x v="0"/>
    <x v="0"/>
  </r>
  <r>
    <x v="5"/>
    <x v="0"/>
    <x v="2"/>
    <x v="0"/>
    <x v="0"/>
    <n v="12743.43"/>
    <x v="0"/>
    <x v="0"/>
  </r>
  <r>
    <x v="5"/>
    <x v="0"/>
    <x v="2"/>
    <x v="0"/>
    <x v="0"/>
    <n v="35236.35"/>
    <x v="0"/>
    <x v="0"/>
  </r>
  <r>
    <x v="5"/>
    <x v="0"/>
    <x v="2"/>
    <x v="0"/>
    <x v="0"/>
    <n v="27595.56"/>
    <x v="0"/>
    <x v="0"/>
  </r>
  <r>
    <x v="5"/>
    <x v="1"/>
    <x v="3"/>
    <x v="0"/>
    <x v="0"/>
    <n v="412579.72"/>
    <x v="0"/>
    <x v="0"/>
  </r>
  <r>
    <x v="5"/>
    <x v="1"/>
    <x v="3"/>
    <x v="0"/>
    <x v="0"/>
    <n v="113782.9"/>
    <x v="0"/>
    <x v="0"/>
  </r>
  <r>
    <x v="5"/>
    <x v="1"/>
    <x v="3"/>
    <x v="0"/>
    <x v="0"/>
    <n v="805550.98"/>
    <x v="0"/>
    <x v="0"/>
  </r>
  <r>
    <x v="5"/>
    <x v="1"/>
    <x v="3"/>
    <x v="0"/>
    <x v="0"/>
    <n v="168867.61"/>
    <x v="0"/>
    <x v="0"/>
  </r>
  <r>
    <x v="5"/>
    <x v="1"/>
    <x v="4"/>
    <x v="0"/>
    <x v="0"/>
    <n v="1781452.87"/>
    <x v="0"/>
    <x v="0"/>
  </r>
  <r>
    <x v="5"/>
    <x v="1"/>
    <x v="4"/>
    <x v="0"/>
    <x v="0"/>
    <n v="1490781.74"/>
    <x v="0"/>
    <x v="0"/>
  </r>
  <r>
    <x v="5"/>
    <x v="1"/>
    <x v="4"/>
    <x v="0"/>
    <x v="0"/>
    <n v="1595612.93"/>
    <x v="0"/>
    <x v="0"/>
  </r>
  <r>
    <x v="5"/>
    <x v="1"/>
    <x v="3"/>
    <x v="0"/>
    <x v="0"/>
    <n v="358736.5"/>
    <x v="0"/>
    <x v="0"/>
  </r>
  <r>
    <x v="5"/>
    <x v="1"/>
    <x v="3"/>
    <x v="0"/>
    <x v="0"/>
    <n v="626070.45"/>
    <x v="0"/>
    <x v="0"/>
  </r>
  <r>
    <x v="5"/>
    <x v="1"/>
    <x v="3"/>
    <x v="0"/>
    <x v="0"/>
    <n v="820399.29"/>
    <x v="0"/>
    <x v="0"/>
  </r>
  <r>
    <x v="5"/>
    <x v="1"/>
    <x v="3"/>
    <x v="0"/>
    <x v="0"/>
    <n v="488338.66"/>
    <x v="0"/>
    <x v="0"/>
  </r>
  <r>
    <x v="5"/>
    <x v="1"/>
    <x v="4"/>
    <x v="0"/>
    <x v="0"/>
    <n v="1168674.62"/>
    <x v="0"/>
    <x v="0"/>
  </r>
  <r>
    <x v="5"/>
    <x v="1"/>
    <x v="3"/>
    <x v="0"/>
    <x v="0"/>
    <n v="934479.64"/>
    <x v="0"/>
    <x v="0"/>
  </r>
  <r>
    <x v="5"/>
    <x v="1"/>
    <x v="3"/>
    <x v="0"/>
    <x v="0"/>
    <n v="258126.09"/>
    <x v="0"/>
    <x v="0"/>
  </r>
  <r>
    <x v="5"/>
    <x v="1"/>
    <x v="2"/>
    <x v="0"/>
    <x v="0"/>
    <n v="98781.87"/>
    <x v="0"/>
    <x v="0"/>
  </r>
  <r>
    <x v="5"/>
    <x v="1"/>
    <x v="3"/>
    <x v="0"/>
    <x v="0"/>
    <n v="204302.85"/>
    <x v="0"/>
    <x v="0"/>
  </r>
  <r>
    <x v="5"/>
    <x v="1"/>
    <x v="3"/>
    <x v="0"/>
    <x v="0"/>
    <n v="205253.3"/>
    <x v="0"/>
    <x v="0"/>
  </r>
  <r>
    <x v="5"/>
    <x v="1"/>
    <x v="3"/>
    <x v="0"/>
    <x v="0"/>
    <n v="833142.33"/>
    <x v="0"/>
    <x v="0"/>
  </r>
  <r>
    <x v="5"/>
    <x v="1"/>
    <x v="3"/>
    <x v="0"/>
    <x v="0"/>
    <n v="126085.63"/>
    <x v="0"/>
    <x v="0"/>
  </r>
  <r>
    <x v="5"/>
    <x v="0"/>
    <x v="0"/>
    <x v="0"/>
    <x v="0"/>
    <n v="5799.88"/>
    <x v="0"/>
    <x v="0"/>
  </r>
  <r>
    <x v="5"/>
    <x v="2"/>
    <x v="3"/>
    <x v="0"/>
    <x v="0"/>
    <n v="248203.85"/>
    <x v="0"/>
    <x v="0"/>
  </r>
  <r>
    <x v="5"/>
    <x v="2"/>
    <x v="3"/>
    <x v="0"/>
    <x v="0"/>
    <n v="295176.67"/>
    <x v="0"/>
    <x v="0"/>
  </r>
  <r>
    <x v="5"/>
    <x v="0"/>
    <x v="2"/>
    <x v="0"/>
    <x v="0"/>
    <n v="19027.76"/>
    <x v="0"/>
    <x v="0"/>
  </r>
  <r>
    <x v="5"/>
    <x v="3"/>
    <x v="0"/>
    <x v="0"/>
    <x v="0"/>
    <n v="3452.87"/>
    <x v="0"/>
    <x v="0"/>
  </r>
  <r>
    <x v="5"/>
    <x v="4"/>
    <x v="2"/>
    <x v="0"/>
    <x v="0"/>
    <n v="99040.28"/>
    <x v="0"/>
    <x v="0"/>
  </r>
  <r>
    <x v="5"/>
    <x v="4"/>
    <x v="3"/>
    <x v="0"/>
    <x v="0"/>
    <n v="114981.84"/>
    <x v="0"/>
    <x v="0"/>
  </r>
  <r>
    <x v="5"/>
    <x v="4"/>
    <x v="3"/>
    <x v="0"/>
    <x v="0"/>
    <n v="300516.87"/>
    <x v="0"/>
    <x v="0"/>
  </r>
  <r>
    <x v="5"/>
    <x v="4"/>
    <x v="0"/>
    <x v="0"/>
    <x v="0"/>
    <n v="9005.13"/>
    <x v="0"/>
    <x v="0"/>
  </r>
  <r>
    <x v="5"/>
    <x v="4"/>
    <x v="2"/>
    <x v="0"/>
    <x v="0"/>
    <n v="71416.65"/>
    <x v="0"/>
    <x v="0"/>
  </r>
  <r>
    <x v="5"/>
    <x v="4"/>
    <x v="3"/>
    <x v="0"/>
    <x v="0"/>
    <n v="144858.21"/>
    <x v="0"/>
    <x v="0"/>
  </r>
  <r>
    <x v="5"/>
    <x v="0"/>
    <x v="2"/>
    <x v="0"/>
    <x v="0"/>
    <n v="31337.01"/>
    <x v="0"/>
    <x v="0"/>
  </r>
  <r>
    <x v="5"/>
    <x v="0"/>
    <x v="2"/>
    <x v="0"/>
    <x v="0"/>
    <n v="43920.58"/>
    <x v="0"/>
    <x v="0"/>
  </r>
  <r>
    <x v="5"/>
    <x v="0"/>
    <x v="2"/>
    <x v="0"/>
    <x v="0"/>
    <n v="35758.01"/>
    <x v="0"/>
    <x v="0"/>
  </r>
  <r>
    <x v="5"/>
    <x v="0"/>
    <x v="2"/>
    <x v="0"/>
    <x v="0"/>
    <n v="17896.02"/>
    <x v="0"/>
    <x v="0"/>
  </r>
  <r>
    <x v="5"/>
    <x v="0"/>
    <x v="0"/>
    <x v="0"/>
    <x v="0"/>
    <n v="8800.31"/>
    <x v="0"/>
    <x v="0"/>
  </r>
  <r>
    <x v="5"/>
    <x v="0"/>
    <x v="1"/>
    <x v="0"/>
    <x v="0"/>
    <n v="552.85"/>
    <x v="0"/>
    <x v="0"/>
  </r>
  <r>
    <x v="5"/>
    <x v="0"/>
    <x v="0"/>
    <x v="0"/>
    <x v="0"/>
    <n v="3952.88"/>
    <x v="0"/>
    <x v="0"/>
  </r>
  <r>
    <x v="5"/>
    <x v="0"/>
    <x v="0"/>
    <x v="0"/>
    <x v="0"/>
    <n v="2855.16"/>
    <x v="0"/>
    <x v="0"/>
  </r>
  <r>
    <x v="5"/>
    <x v="0"/>
    <x v="0"/>
    <x v="0"/>
    <x v="0"/>
    <n v="7371.23"/>
    <x v="0"/>
    <x v="0"/>
  </r>
  <r>
    <x v="5"/>
    <x v="0"/>
    <x v="2"/>
    <x v="0"/>
    <x v="0"/>
    <n v="13080.98"/>
    <x v="0"/>
    <x v="0"/>
  </r>
  <r>
    <x v="5"/>
    <x v="0"/>
    <x v="0"/>
    <x v="0"/>
    <x v="0"/>
    <n v="3799.78"/>
    <x v="0"/>
    <x v="0"/>
  </r>
  <r>
    <x v="5"/>
    <x v="0"/>
    <x v="0"/>
    <x v="0"/>
    <x v="0"/>
    <n v="2563.99"/>
    <x v="0"/>
    <x v="0"/>
  </r>
  <r>
    <x v="5"/>
    <x v="2"/>
    <x v="2"/>
    <x v="0"/>
    <x v="0"/>
    <n v="98177.84"/>
    <x v="0"/>
    <x v="0"/>
  </r>
  <r>
    <x v="5"/>
    <x v="2"/>
    <x v="2"/>
    <x v="0"/>
    <x v="0"/>
    <n v="18923.09"/>
    <x v="0"/>
    <x v="0"/>
  </r>
  <r>
    <x v="5"/>
    <x v="0"/>
    <x v="2"/>
    <x v="0"/>
    <x v="0"/>
    <n v="25484.25"/>
    <x v="0"/>
    <x v="0"/>
  </r>
  <r>
    <x v="5"/>
    <x v="0"/>
    <x v="0"/>
    <x v="0"/>
    <x v="0"/>
    <n v="5998.69"/>
    <x v="0"/>
    <x v="0"/>
  </r>
  <r>
    <x v="5"/>
    <x v="0"/>
    <x v="2"/>
    <x v="0"/>
    <x v="0"/>
    <n v="26255.27"/>
    <x v="0"/>
    <x v="0"/>
  </r>
  <r>
    <x v="5"/>
    <x v="2"/>
    <x v="3"/>
    <x v="0"/>
    <x v="0"/>
    <n v="142268.91"/>
    <x v="0"/>
    <x v="0"/>
  </r>
  <r>
    <x v="5"/>
    <x v="0"/>
    <x v="0"/>
    <x v="0"/>
    <x v="0"/>
    <n v="9087.23"/>
    <x v="0"/>
    <x v="0"/>
  </r>
  <r>
    <x v="5"/>
    <x v="1"/>
    <x v="3"/>
    <x v="0"/>
    <x v="0"/>
    <n v="165969.93"/>
    <x v="0"/>
    <x v="0"/>
  </r>
  <r>
    <x v="5"/>
    <x v="0"/>
    <x v="0"/>
    <x v="0"/>
    <x v="0"/>
    <n v="2769.89"/>
    <x v="0"/>
    <x v="0"/>
  </r>
  <r>
    <x v="5"/>
    <x v="0"/>
    <x v="0"/>
    <x v="0"/>
    <x v="0"/>
    <n v="6202.41"/>
    <x v="0"/>
    <x v="0"/>
  </r>
  <r>
    <x v="5"/>
    <x v="0"/>
    <x v="2"/>
    <x v="0"/>
    <x v="0"/>
    <n v="13276.84"/>
    <x v="0"/>
    <x v="0"/>
  </r>
  <r>
    <x v="5"/>
    <x v="0"/>
    <x v="2"/>
    <x v="0"/>
    <x v="0"/>
    <n v="15770.62"/>
    <x v="0"/>
    <x v="0"/>
  </r>
  <r>
    <x v="5"/>
    <x v="0"/>
    <x v="0"/>
    <x v="0"/>
    <x v="0"/>
    <n v="1653.29"/>
    <x v="0"/>
    <x v="0"/>
  </r>
  <r>
    <x v="5"/>
    <x v="0"/>
    <x v="2"/>
    <x v="0"/>
    <x v="0"/>
    <n v="18661.6"/>
    <x v="0"/>
    <x v="0"/>
  </r>
  <r>
    <x v="5"/>
    <x v="0"/>
    <x v="2"/>
    <x v="0"/>
    <x v="0"/>
    <n v="15353.55"/>
    <x v="0"/>
    <x v="0"/>
  </r>
  <r>
    <x v="5"/>
    <x v="0"/>
    <x v="0"/>
    <x v="0"/>
    <x v="0"/>
    <n v="6205.29"/>
    <x v="0"/>
    <x v="0"/>
  </r>
  <r>
    <x v="5"/>
    <x v="0"/>
    <x v="2"/>
    <x v="0"/>
    <x v="0"/>
    <n v="14845.9"/>
    <x v="0"/>
    <x v="0"/>
  </r>
  <r>
    <x v="5"/>
    <x v="0"/>
    <x v="0"/>
    <x v="0"/>
    <x v="0"/>
    <n v="7569.28"/>
    <x v="0"/>
    <x v="0"/>
  </r>
  <r>
    <x v="5"/>
    <x v="0"/>
    <x v="2"/>
    <x v="0"/>
    <x v="0"/>
    <n v="24755.75"/>
    <x v="0"/>
    <x v="0"/>
  </r>
  <r>
    <x v="5"/>
    <x v="0"/>
    <x v="0"/>
    <x v="0"/>
    <x v="0"/>
    <n v="6574.18"/>
    <x v="0"/>
    <x v="0"/>
  </r>
  <r>
    <x v="5"/>
    <x v="2"/>
    <x v="3"/>
    <x v="0"/>
    <x v="0"/>
    <n v="244750.95"/>
    <x v="0"/>
    <x v="0"/>
  </r>
  <r>
    <x v="5"/>
    <x v="0"/>
    <x v="2"/>
    <x v="0"/>
    <x v="0"/>
    <n v="14956.56"/>
    <x v="0"/>
    <x v="0"/>
  </r>
  <r>
    <x v="5"/>
    <x v="2"/>
    <x v="3"/>
    <x v="0"/>
    <x v="0"/>
    <n v="185379.97"/>
    <x v="0"/>
    <x v="0"/>
  </r>
  <r>
    <x v="5"/>
    <x v="2"/>
    <x v="2"/>
    <x v="0"/>
    <x v="0"/>
    <n v="68264.98"/>
    <x v="0"/>
    <x v="0"/>
  </r>
  <r>
    <x v="5"/>
    <x v="2"/>
    <x v="0"/>
    <x v="0"/>
    <x v="0"/>
    <n v="9536.43"/>
    <x v="0"/>
    <x v="0"/>
  </r>
  <r>
    <x v="5"/>
    <x v="2"/>
    <x v="3"/>
    <x v="0"/>
    <x v="0"/>
    <n v="643767.43"/>
    <x v="0"/>
    <x v="0"/>
  </r>
  <r>
    <x v="5"/>
    <x v="2"/>
    <x v="3"/>
    <x v="0"/>
    <x v="0"/>
    <n v="482542.82"/>
    <x v="0"/>
    <x v="0"/>
  </r>
  <r>
    <x v="5"/>
    <x v="2"/>
    <x v="2"/>
    <x v="0"/>
    <x v="0"/>
    <n v="54095.79"/>
    <x v="0"/>
    <x v="0"/>
  </r>
  <r>
    <x v="5"/>
    <x v="2"/>
    <x v="3"/>
    <x v="0"/>
    <x v="0"/>
    <n v="248408.34"/>
    <x v="0"/>
    <x v="0"/>
  </r>
  <r>
    <x v="5"/>
    <x v="2"/>
    <x v="2"/>
    <x v="0"/>
    <x v="0"/>
    <n v="18979.27"/>
    <x v="0"/>
    <x v="0"/>
  </r>
  <r>
    <x v="5"/>
    <x v="2"/>
    <x v="2"/>
    <x v="0"/>
    <x v="0"/>
    <n v="49996.07"/>
    <x v="0"/>
    <x v="0"/>
  </r>
  <r>
    <x v="5"/>
    <x v="2"/>
    <x v="0"/>
    <x v="0"/>
    <x v="0"/>
    <n v="2657.5"/>
    <x v="0"/>
    <x v="0"/>
  </r>
  <r>
    <x v="5"/>
    <x v="2"/>
    <x v="3"/>
    <x v="0"/>
    <x v="0"/>
    <n v="547597.44"/>
    <x v="0"/>
    <x v="0"/>
  </r>
  <r>
    <x v="5"/>
    <x v="2"/>
    <x v="2"/>
    <x v="0"/>
    <x v="0"/>
    <n v="86520.54"/>
    <x v="0"/>
    <x v="0"/>
  </r>
  <r>
    <x v="5"/>
    <x v="0"/>
    <x v="0"/>
    <x v="0"/>
    <x v="0"/>
    <n v="2642.23"/>
    <x v="0"/>
    <x v="0"/>
  </r>
  <r>
    <x v="5"/>
    <x v="0"/>
    <x v="2"/>
    <x v="0"/>
    <x v="0"/>
    <n v="10070.84"/>
    <x v="0"/>
    <x v="0"/>
  </r>
  <r>
    <x v="5"/>
    <x v="1"/>
    <x v="3"/>
    <x v="0"/>
    <x v="0"/>
    <n v="248826.61"/>
    <x v="0"/>
    <x v="0"/>
  </r>
  <r>
    <x v="5"/>
    <x v="1"/>
    <x v="3"/>
    <x v="0"/>
    <x v="0"/>
    <n v="182524.92"/>
    <x v="0"/>
    <x v="0"/>
  </r>
  <r>
    <x v="5"/>
    <x v="0"/>
    <x v="2"/>
    <x v="0"/>
    <x v="0"/>
    <n v="16791.74"/>
    <x v="0"/>
    <x v="0"/>
  </r>
  <r>
    <x v="5"/>
    <x v="0"/>
    <x v="0"/>
    <x v="0"/>
    <x v="0"/>
    <n v="5105.25"/>
    <x v="0"/>
    <x v="0"/>
  </r>
  <r>
    <x v="5"/>
    <x v="0"/>
    <x v="2"/>
    <x v="0"/>
    <x v="0"/>
    <n v="13688.99"/>
    <x v="0"/>
    <x v="0"/>
  </r>
  <r>
    <x v="5"/>
    <x v="0"/>
    <x v="0"/>
    <x v="0"/>
    <x v="0"/>
    <n v="5972.35"/>
    <x v="0"/>
    <x v="0"/>
  </r>
  <r>
    <x v="5"/>
    <x v="0"/>
    <x v="0"/>
    <x v="0"/>
    <x v="0"/>
    <n v="7669.22"/>
    <x v="0"/>
    <x v="0"/>
  </r>
  <r>
    <x v="5"/>
    <x v="0"/>
    <x v="0"/>
    <x v="0"/>
    <x v="0"/>
    <n v="5791.67"/>
    <x v="0"/>
    <x v="0"/>
  </r>
  <r>
    <x v="5"/>
    <x v="0"/>
    <x v="2"/>
    <x v="0"/>
    <x v="0"/>
    <n v="16600.63"/>
    <x v="0"/>
    <x v="0"/>
  </r>
  <r>
    <x v="5"/>
    <x v="0"/>
    <x v="0"/>
    <x v="0"/>
    <x v="0"/>
    <n v="2792.6"/>
    <x v="0"/>
    <x v="0"/>
  </r>
  <r>
    <x v="5"/>
    <x v="0"/>
    <x v="2"/>
    <x v="0"/>
    <x v="0"/>
    <n v="17555.4"/>
    <x v="0"/>
    <x v="0"/>
  </r>
  <r>
    <x v="5"/>
    <x v="0"/>
    <x v="0"/>
    <x v="0"/>
    <x v="0"/>
    <n v="4560.11"/>
    <x v="0"/>
    <x v="0"/>
  </r>
  <r>
    <x v="5"/>
    <x v="0"/>
    <x v="0"/>
    <x v="0"/>
    <x v="0"/>
    <n v="8016.07"/>
    <x v="0"/>
    <x v="0"/>
  </r>
  <r>
    <x v="5"/>
    <x v="0"/>
    <x v="0"/>
    <x v="0"/>
    <x v="0"/>
    <n v="2273.94"/>
    <x v="0"/>
    <x v="0"/>
  </r>
  <r>
    <x v="5"/>
    <x v="0"/>
    <x v="0"/>
    <x v="0"/>
    <x v="0"/>
    <n v="7588.58"/>
    <x v="0"/>
    <x v="0"/>
  </r>
  <r>
    <x v="5"/>
    <x v="0"/>
    <x v="2"/>
    <x v="0"/>
    <x v="0"/>
    <n v="11758.27"/>
    <x v="0"/>
    <x v="0"/>
  </r>
  <r>
    <x v="5"/>
    <x v="0"/>
    <x v="2"/>
    <x v="0"/>
    <x v="0"/>
    <n v="22688.2"/>
    <x v="0"/>
    <x v="0"/>
  </r>
  <r>
    <x v="5"/>
    <x v="0"/>
    <x v="0"/>
    <x v="0"/>
    <x v="0"/>
    <n v="2908.53"/>
    <x v="0"/>
    <x v="0"/>
  </r>
  <r>
    <x v="5"/>
    <x v="0"/>
    <x v="0"/>
    <x v="0"/>
    <x v="0"/>
    <n v="7897.18"/>
    <x v="0"/>
    <x v="0"/>
  </r>
  <r>
    <x v="5"/>
    <x v="0"/>
    <x v="2"/>
    <x v="0"/>
    <x v="0"/>
    <n v="22344.15"/>
    <x v="0"/>
    <x v="0"/>
  </r>
  <r>
    <x v="5"/>
    <x v="4"/>
    <x v="3"/>
    <x v="0"/>
    <x v="0"/>
    <n v="318009.92"/>
    <x v="0"/>
    <x v="0"/>
  </r>
  <r>
    <x v="5"/>
    <x v="0"/>
    <x v="0"/>
    <x v="0"/>
    <x v="0"/>
    <n v="5045.02"/>
    <x v="0"/>
    <x v="0"/>
  </r>
  <r>
    <x v="5"/>
    <x v="0"/>
    <x v="2"/>
    <x v="0"/>
    <x v="0"/>
    <n v="27249.21"/>
    <x v="0"/>
    <x v="0"/>
  </r>
  <r>
    <x v="5"/>
    <x v="0"/>
    <x v="2"/>
    <x v="0"/>
    <x v="0"/>
    <n v="10421.18"/>
    <x v="0"/>
    <x v="0"/>
  </r>
  <r>
    <x v="5"/>
    <x v="1"/>
    <x v="2"/>
    <x v="0"/>
    <x v="0"/>
    <n v="50738.94"/>
    <x v="0"/>
    <x v="0"/>
  </r>
  <r>
    <x v="5"/>
    <x v="0"/>
    <x v="0"/>
    <x v="0"/>
    <x v="0"/>
    <n v="8886.57"/>
    <x v="0"/>
    <x v="0"/>
  </r>
  <r>
    <x v="5"/>
    <x v="2"/>
    <x v="3"/>
    <x v="0"/>
    <x v="0"/>
    <n v="148274.34"/>
    <x v="0"/>
    <x v="0"/>
  </r>
  <r>
    <x v="5"/>
    <x v="0"/>
    <x v="1"/>
    <x v="0"/>
    <x v="0"/>
    <n v="641.12"/>
    <x v="0"/>
    <x v="0"/>
  </r>
  <r>
    <x v="5"/>
    <x v="1"/>
    <x v="3"/>
    <x v="0"/>
    <x v="0"/>
    <n v="252567.83"/>
    <x v="0"/>
    <x v="0"/>
  </r>
  <r>
    <x v="5"/>
    <x v="0"/>
    <x v="2"/>
    <x v="0"/>
    <x v="0"/>
    <n v="15964.7"/>
    <x v="0"/>
    <x v="0"/>
  </r>
  <r>
    <x v="5"/>
    <x v="0"/>
    <x v="0"/>
    <x v="0"/>
    <x v="0"/>
    <n v="9948.64"/>
    <x v="0"/>
    <x v="0"/>
  </r>
  <r>
    <x v="5"/>
    <x v="0"/>
    <x v="2"/>
    <x v="0"/>
    <x v="0"/>
    <n v="13679.73"/>
    <x v="0"/>
    <x v="0"/>
  </r>
  <r>
    <x v="5"/>
    <x v="0"/>
    <x v="1"/>
    <x v="0"/>
    <x v="0"/>
    <n v="295.78"/>
    <x v="0"/>
    <x v="0"/>
  </r>
  <r>
    <x v="5"/>
    <x v="0"/>
    <x v="0"/>
    <x v="0"/>
    <x v="0"/>
    <n v="8090.16"/>
    <x v="0"/>
    <x v="0"/>
  </r>
  <r>
    <x v="5"/>
    <x v="0"/>
    <x v="2"/>
    <x v="0"/>
    <x v="0"/>
    <n v="14996.91"/>
    <x v="0"/>
    <x v="0"/>
  </r>
  <r>
    <x v="5"/>
    <x v="2"/>
    <x v="2"/>
    <x v="0"/>
    <x v="0"/>
    <n v="44874.82"/>
    <x v="0"/>
    <x v="0"/>
  </r>
  <r>
    <x v="5"/>
    <x v="0"/>
    <x v="0"/>
    <x v="0"/>
    <x v="0"/>
    <n v="1193.31"/>
    <x v="0"/>
    <x v="0"/>
  </r>
  <r>
    <x v="5"/>
    <x v="1"/>
    <x v="4"/>
    <x v="0"/>
    <x v="0"/>
    <n v="1390432.94"/>
    <x v="0"/>
    <x v="0"/>
  </r>
  <r>
    <x v="5"/>
    <x v="1"/>
    <x v="4"/>
    <x v="0"/>
    <x v="0"/>
    <n v="1280020.98"/>
    <x v="0"/>
    <x v="0"/>
  </r>
  <r>
    <x v="5"/>
    <x v="0"/>
    <x v="2"/>
    <x v="0"/>
    <x v="0"/>
    <n v="15088.92"/>
    <x v="0"/>
    <x v="0"/>
  </r>
  <r>
    <x v="5"/>
    <x v="0"/>
    <x v="2"/>
    <x v="0"/>
    <x v="0"/>
    <n v="31984.61"/>
    <x v="0"/>
    <x v="0"/>
  </r>
  <r>
    <x v="5"/>
    <x v="0"/>
    <x v="2"/>
    <x v="0"/>
    <x v="0"/>
    <n v="27241.79"/>
    <x v="0"/>
    <x v="0"/>
  </r>
  <r>
    <x v="5"/>
    <x v="0"/>
    <x v="0"/>
    <x v="0"/>
    <x v="0"/>
    <n v="7941.27"/>
    <x v="0"/>
    <x v="0"/>
  </r>
  <r>
    <x v="5"/>
    <x v="0"/>
    <x v="2"/>
    <x v="0"/>
    <x v="0"/>
    <n v="11097.96"/>
    <x v="0"/>
    <x v="0"/>
  </r>
  <r>
    <x v="5"/>
    <x v="0"/>
    <x v="0"/>
    <x v="0"/>
    <x v="0"/>
    <n v="9231.25"/>
    <x v="0"/>
    <x v="0"/>
  </r>
  <r>
    <x v="5"/>
    <x v="0"/>
    <x v="2"/>
    <x v="0"/>
    <x v="0"/>
    <n v="26539.83"/>
    <x v="0"/>
    <x v="0"/>
  </r>
  <r>
    <x v="5"/>
    <x v="0"/>
    <x v="0"/>
    <x v="0"/>
    <x v="0"/>
    <n v="1796.01"/>
    <x v="0"/>
    <x v="0"/>
  </r>
  <r>
    <x v="5"/>
    <x v="0"/>
    <x v="1"/>
    <x v="0"/>
    <x v="0"/>
    <n v="902.63"/>
    <x v="0"/>
    <x v="0"/>
  </r>
  <r>
    <x v="5"/>
    <x v="2"/>
    <x v="3"/>
    <x v="0"/>
    <x v="0"/>
    <n v="260604.69"/>
    <x v="0"/>
    <x v="0"/>
  </r>
  <r>
    <x v="5"/>
    <x v="0"/>
    <x v="2"/>
    <x v="0"/>
    <x v="0"/>
    <n v="27613.05"/>
    <x v="0"/>
    <x v="0"/>
  </r>
  <r>
    <x v="5"/>
    <x v="0"/>
    <x v="0"/>
    <x v="0"/>
    <x v="0"/>
    <n v="8486.59"/>
    <x v="0"/>
    <x v="0"/>
  </r>
  <r>
    <x v="5"/>
    <x v="0"/>
    <x v="2"/>
    <x v="0"/>
    <x v="0"/>
    <n v="20950.16"/>
    <x v="0"/>
    <x v="0"/>
  </r>
  <r>
    <x v="5"/>
    <x v="0"/>
    <x v="0"/>
    <x v="0"/>
    <x v="0"/>
    <n v="8737.34"/>
    <x v="0"/>
    <x v="0"/>
  </r>
  <r>
    <x v="5"/>
    <x v="0"/>
    <x v="2"/>
    <x v="0"/>
    <x v="0"/>
    <n v="10158.08"/>
    <x v="0"/>
    <x v="0"/>
  </r>
  <r>
    <x v="5"/>
    <x v="0"/>
    <x v="0"/>
    <x v="0"/>
    <x v="0"/>
    <n v="1942.26"/>
    <x v="0"/>
    <x v="0"/>
  </r>
  <r>
    <x v="5"/>
    <x v="0"/>
    <x v="2"/>
    <x v="0"/>
    <x v="0"/>
    <n v="19852.81"/>
    <x v="0"/>
    <x v="0"/>
  </r>
  <r>
    <x v="5"/>
    <x v="0"/>
    <x v="1"/>
    <x v="0"/>
    <x v="0"/>
    <n v="934.87"/>
    <x v="0"/>
    <x v="0"/>
  </r>
  <r>
    <x v="5"/>
    <x v="0"/>
    <x v="0"/>
    <x v="0"/>
    <x v="0"/>
    <n v="3043.29"/>
    <x v="0"/>
    <x v="0"/>
  </r>
  <r>
    <x v="5"/>
    <x v="1"/>
    <x v="2"/>
    <x v="0"/>
    <x v="0"/>
    <n v="66165.76"/>
    <x v="0"/>
    <x v="0"/>
  </r>
  <r>
    <x v="5"/>
    <x v="0"/>
    <x v="2"/>
    <x v="0"/>
    <x v="0"/>
    <n v="11730.13"/>
    <x v="0"/>
    <x v="0"/>
  </r>
  <r>
    <x v="5"/>
    <x v="0"/>
    <x v="0"/>
    <x v="0"/>
    <x v="0"/>
    <n v="1988.49"/>
    <x v="0"/>
    <x v="0"/>
  </r>
  <r>
    <x v="5"/>
    <x v="0"/>
    <x v="0"/>
    <x v="0"/>
    <x v="0"/>
    <n v="8375.58"/>
    <x v="0"/>
    <x v="0"/>
  </r>
  <r>
    <x v="5"/>
    <x v="0"/>
    <x v="2"/>
    <x v="0"/>
    <x v="0"/>
    <n v="32420.54"/>
    <x v="0"/>
    <x v="0"/>
  </r>
  <r>
    <x v="5"/>
    <x v="0"/>
    <x v="2"/>
    <x v="0"/>
    <x v="0"/>
    <n v="17277.16"/>
    <x v="0"/>
    <x v="0"/>
  </r>
  <r>
    <x v="5"/>
    <x v="0"/>
    <x v="2"/>
    <x v="0"/>
    <x v="0"/>
    <n v="21208.42"/>
    <x v="0"/>
    <x v="0"/>
  </r>
  <r>
    <x v="5"/>
    <x v="0"/>
    <x v="2"/>
    <x v="0"/>
    <x v="0"/>
    <n v="16592.88"/>
    <x v="0"/>
    <x v="0"/>
  </r>
  <r>
    <x v="5"/>
    <x v="1"/>
    <x v="3"/>
    <x v="0"/>
    <x v="0"/>
    <n v="370171.43"/>
    <x v="0"/>
    <x v="0"/>
  </r>
  <r>
    <x v="5"/>
    <x v="0"/>
    <x v="0"/>
    <x v="0"/>
    <x v="0"/>
    <n v="8527.67"/>
    <x v="0"/>
    <x v="0"/>
  </r>
  <r>
    <x v="5"/>
    <x v="0"/>
    <x v="2"/>
    <x v="0"/>
    <x v="0"/>
    <n v="17104.6"/>
    <x v="0"/>
    <x v="0"/>
  </r>
  <r>
    <x v="5"/>
    <x v="2"/>
    <x v="3"/>
    <x v="0"/>
    <x v="0"/>
    <n v="280481.6"/>
    <x v="0"/>
    <x v="0"/>
  </r>
  <r>
    <x v="5"/>
    <x v="2"/>
    <x v="3"/>
    <x v="0"/>
    <x v="0"/>
    <n v="122817.49"/>
    <x v="0"/>
    <x v="0"/>
  </r>
  <r>
    <x v="5"/>
    <x v="0"/>
    <x v="2"/>
    <x v="0"/>
    <x v="0"/>
    <n v="16549.58"/>
    <x v="0"/>
    <x v="0"/>
  </r>
  <r>
    <x v="5"/>
    <x v="0"/>
    <x v="2"/>
    <x v="0"/>
    <x v="0"/>
    <n v="19304.22"/>
    <x v="0"/>
    <x v="0"/>
  </r>
  <r>
    <x v="5"/>
    <x v="1"/>
    <x v="3"/>
    <x v="0"/>
    <x v="0"/>
    <n v="209374.09"/>
    <x v="0"/>
    <x v="0"/>
  </r>
  <r>
    <x v="5"/>
    <x v="0"/>
    <x v="0"/>
    <x v="0"/>
    <x v="0"/>
    <n v="2187.35"/>
    <x v="0"/>
    <x v="0"/>
  </r>
  <r>
    <x v="5"/>
    <x v="1"/>
    <x v="3"/>
    <x v="0"/>
    <x v="0"/>
    <n v="611049.17"/>
    <x v="0"/>
    <x v="0"/>
  </r>
  <r>
    <x v="5"/>
    <x v="0"/>
    <x v="1"/>
    <x v="0"/>
    <x v="0"/>
    <n v="646.63"/>
    <x v="0"/>
    <x v="0"/>
  </r>
  <r>
    <x v="5"/>
    <x v="0"/>
    <x v="0"/>
    <x v="0"/>
    <x v="0"/>
    <n v="4062.42"/>
    <x v="0"/>
    <x v="0"/>
  </r>
  <r>
    <x v="5"/>
    <x v="0"/>
    <x v="0"/>
    <x v="0"/>
    <x v="0"/>
    <n v="3997.02"/>
    <x v="0"/>
    <x v="0"/>
  </r>
  <r>
    <x v="5"/>
    <x v="0"/>
    <x v="0"/>
    <x v="0"/>
    <x v="0"/>
    <n v="6092.79"/>
    <x v="0"/>
    <x v="0"/>
  </r>
  <r>
    <x v="5"/>
    <x v="0"/>
    <x v="0"/>
    <x v="0"/>
    <x v="0"/>
    <n v="4126.67"/>
    <x v="0"/>
    <x v="0"/>
  </r>
  <r>
    <x v="5"/>
    <x v="0"/>
    <x v="2"/>
    <x v="0"/>
    <x v="0"/>
    <n v="16103.22"/>
    <x v="0"/>
    <x v="0"/>
  </r>
  <r>
    <x v="5"/>
    <x v="0"/>
    <x v="1"/>
    <x v="0"/>
    <x v="0"/>
    <n v="686.96"/>
    <x v="0"/>
    <x v="0"/>
  </r>
  <r>
    <x v="5"/>
    <x v="2"/>
    <x v="3"/>
    <x v="0"/>
    <x v="0"/>
    <n v="122377.68"/>
    <x v="0"/>
    <x v="0"/>
  </r>
  <r>
    <x v="5"/>
    <x v="0"/>
    <x v="2"/>
    <x v="0"/>
    <x v="0"/>
    <n v="12809.53"/>
    <x v="0"/>
    <x v="0"/>
  </r>
  <r>
    <x v="5"/>
    <x v="0"/>
    <x v="1"/>
    <x v="0"/>
    <x v="0"/>
    <n v="30.06"/>
    <x v="0"/>
    <x v="0"/>
  </r>
  <r>
    <x v="5"/>
    <x v="1"/>
    <x v="3"/>
    <x v="0"/>
    <x v="0"/>
    <n v="391057.91"/>
    <x v="0"/>
    <x v="0"/>
  </r>
  <r>
    <x v="5"/>
    <x v="0"/>
    <x v="1"/>
    <x v="0"/>
    <x v="0"/>
    <n v="327.97"/>
    <x v="0"/>
    <x v="0"/>
  </r>
  <r>
    <x v="5"/>
    <x v="1"/>
    <x v="3"/>
    <x v="0"/>
    <x v="0"/>
    <n v="109985.65"/>
    <x v="0"/>
    <x v="0"/>
  </r>
  <r>
    <x v="5"/>
    <x v="0"/>
    <x v="2"/>
    <x v="0"/>
    <x v="0"/>
    <n v="29478.3"/>
    <x v="0"/>
    <x v="0"/>
  </r>
  <r>
    <x v="5"/>
    <x v="0"/>
    <x v="0"/>
    <x v="0"/>
    <x v="0"/>
    <n v="7428.41"/>
    <x v="0"/>
    <x v="0"/>
  </r>
  <r>
    <x v="5"/>
    <x v="1"/>
    <x v="2"/>
    <x v="0"/>
    <x v="0"/>
    <n v="32925.72"/>
    <x v="0"/>
    <x v="0"/>
  </r>
  <r>
    <x v="5"/>
    <x v="0"/>
    <x v="0"/>
    <x v="0"/>
    <x v="0"/>
    <n v="6147.58"/>
    <x v="0"/>
    <x v="0"/>
  </r>
  <r>
    <x v="5"/>
    <x v="0"/>
    <x v="0"/>
    <x v="0"/>
    <x v="0"/>
    <n v="4347.43"/>
    <x v="0"/>
    <x v="0"/>
  </r>
  <r>
    <x v="5"/>
    <x v="0"/>
    <x v="0"/>
    <x v="0"/>
    <x v="0"/>
    <n v="8575.5"/>
    <x v="0"/>
    <x v="0"/>
  </r>
  <r>
    <x v="5"/>
    <x v="0"/>
    <x v="2"/>
    <x v="0"/>
    <x v="0"/>
    <n v="15185.01"/>
    <x v="0"/>
    <x v="0"/>
  </r>
  <r>
    <x v="5"/>
    <x v="0"/>
    <x v="0"/>
    <x v="0"/>
    <x v="0"/>
    <n v="5798.35"/>
    <x v="0"/>
    <x v="0"/>
  </r>
  <r>
    <x v="5"/>
    <x v="0"/>
    <x v="2"/>
    <x v="0"/>
    <x v="0"/>
    <n v="23855.7"/>
    <x v="0"/>
    <x v="0"/>
  </r>
  <r>
    <x v="5"/>
    <x v="2"/>
    <x v="2"/>
    <x v="0"/>
    <x v="0"/>
    <n v="66999.61"/>
    <x v="0"/>
    <x v="0"/>
  </r>
  <r>
    <x v="5"/>
    <x v="3"/>
    <x v="0"/>
    <x v="0"/>
    <x v="0"/>
    <n v="3525.54"/>
    <x v="0"/>
    <x v="0"/>
  </r>
  <r>
    <x v="5"/>
    <x v="0"/>
    <x v="2"/>
    <x v="0"/>
    <x v="0"/>
    <n v="12869.36"/>
    <x v="0"/>
    <x v="0"/>
  </r>
  <r>
    <x v="5"/>
    <x v="0"/>
    <x v="2"/>
    <x v="0"/>
    <x v="0"/>
    <n v="21864.82"/>
    <x v="0"/>
    <x v="0"/>
  </r>
  <r>
    <x v="5"/>
    <x v="0"/>
    <x v="0"/>
    <x v="0"/>
    <x v="0"/>
    <n v="8227.9"/>
    <x v="0"/>
    <x v="0"/>
  </r>
  <r>
    <x v="5"/>
    <x v="0"/>
    <x v="0"/>
    <x v="0"/>
    <x v="0"/>
    <n v="9614.11"/>
    <x v="0"/>
    <x v="0"/>
  </r>
  <r>
    <x v="5"/>
    <x v="0"/>
    <x v="2"/>
    <x v="0"/>
    <x v="0"/>
    <n v="18897.18"/>
    <x v="0"/>
    <x v="0"/>
  </r>
  <r>
    <x v="5"/>
    <x v="0"/>
    <x v="2"/>
    <x v="0"/>
    <x v="0"/>
    <n v="13297"/>
    <x v="0"/>
    <x v="0"/>
  </r>
  <r>
    <x v="5"/>
    <x v="1"/>
    <x v="2"/>
    <x v="0"/>
    <x v="0"/>
    <n v="53627.09"/>
    <x v="0"/>
    <x v="0"/>
  </r>
  <r>
    <x v="5"/>
    <x v="0"/>
    <x v="2"/>
    <x v="0"/>
    <x v="0"/>
    <n v="16123.97"/>
    <x v="0"/>
    <x v="0"/>
  </r>
  <r>
    <x v="5"/>
    <x v="0"/>
    <x v="0"/>
    <x v="0"/>
    <x v="0"/>
    <n v="1916.28"/>
    <x v="0"/>
    <x v="0"/>
  </r>
  <r>
    <x v="5"/>
    <x v="0"/>
    <x v="2"/>
    <x v="0"/>
    <x v="0"/>
    <n v="11393.18"/>
    <x v="0"/>
    <x v="0"/>
  </r>
  <r>
    <x v="5"/>
    <x v="0"/>
    <x v="2"/>
    <x v="0"/>
    <x v="0"/>
    <n v="13051.13"/>
    <x v="0"/>
    <x v="0"/>
  </r>
  <r>
    <x v="5"/>
    <x v="0"/>
    <x v="2"/>
    <x v="0"/>
    <x v="0"/>
    <n v="27497.16"/>
    <x v="0"/>
    <x v="0"/>
  </r>
  <r>
    <x v="5"/>
    <x v="0"/>
    <x v="1"/>
    <x v="0"/>
    <x v="0"/>
    <n v="938.1"/>
    <x v="0"/>
    <x v="0"/>
  </r>
  <r>
    <x v="5"/>
    <x v="0"/>
    <x v="0"/>
    <x v="0"/>
    <x v="0"/>
    <n v="7918.8"/>
    <x v="0"/>
    <x v="0"/>
  </r>
  <r>
    <x v="5"/>
    <x v="0"/>
    <x v="0"/>
    <x v="0"/>
    <x v="0"/>
    <n v="6921.69"/>
    <x v="0"/>
    <x v="0"/>
  </r>
  <r>
    <x v="5"/>
    <x v="0"/>
    <x v="0"/>
    <x v="0"/>
    <x v="0"/>
    <n v="8466.11"/>
    <x v="0"/>
    <x v="0"/>
  </r>
  <r>
    <x v="5"/>
    <x v="2"/>
    <x v="3"/>
    <x v="0"/>
    <x v="0"/>
    <n v="129835.8"/>
    <x v="0"/>
    <x v="0"/>
  </r>
  <r>
    <x v="5"/>
    <x v="2"/>
    <x v="2"/>
    <x v="0"/>
    <x v="0"/>
    <n v="37547.1"/>
    <x v="0"/>
    <x v="0"/>
  </r>
  <r>
    <x v="5"/>
    <x v="0"/>
    <x v="2"/>
    <x v="0"/>
    <x v="0"/>
    <n v="28925.25"/>
    <x v="0"/>
    <x v="0"/>
  </r>
  <r>
    <x v="5"/>
    <x v="0"/>
    <x v="2"/>
    <x v="0"/>
    <x v="0"/>
    <n v="12889.32"/>
    <x v="0"/>
    <x v="0"/>
  </r>
  <r>
    <x v="5"/>
    <x v="0"/>
    <x v="0"/>
    <x v="0"/>
    <x v="0"/>
    <n v="4192.58"/>
    <x v="0"/>
    <x v="0"/>
  </r>
  <r>
    <x v="5"/>
    <x v="1"/>
    <x v="0"/>
    <x v="0"/>
    <x v="0"/>
    <n v="4792.35"/>
    <x v="0"/>
    <x v="0"/>
  </r>
  <r>
    <x v="5"/>
    <x v="0"/>
    <x v="2"/>
    <x v="0"/>
    <x v="0"/>
    <n v="20036.57"/>
    <x v="0"/>
    <x v="0"/>
  </r>
  <r>
    <x v="5"/>
    <x v="1"/>
    <x v="0"/>
    <x v="0"/>
    <x v="0"/>
    <n v="3849.48"/>
    <x v="0"/>
    <x v="0"/>
  </r>
  <r>
    <x v="5"/>
    <x v="0"/>
    <x v="0"/>
    <x v="0"/>
    <x v="0"/>
    <n v="6964.22"/>
    <x v="0"/>
    <x v="0"/>
  </r>
  <r>
    <x v="5"/>
    <x v="0"/>
    <x v="2"/>
    <x v="0"/>
    <x v="0"/>
    <n v="20530.57"/>
    <x v="0"/>
    <x v="0"/>
  </r>
  <r>
    <x v="5"/>
    <x v="1"/>
    <x v="2"/>
    <x v="0"/>
    <x v="0"/>
    <n v="65843.72"/>
    <x v="0"/>
    <x v="0"/>
  </r>
  <r>
    <x v="5"/>
    <x v="1"/>
    <x v="4"/>
    <x v="0"/>
    <x v="0"/>
    <n v="1657667.44"/>
    <x v="0"/>
    <x v="0"/>
  </r>
  <r>
    <x v="5"/>
    <x v="0"/>
    <x v="2"/>
    <x v="0"/>
    <x v="0"/>
    <n v="21693.79"/>
    <x v="0"/>
    <x v="0"/>
  </r>
  <r>
    <x v="5"/>
    <x v="4"/>
    <x v="3"/>
    <x v="0"/>
    <x v="0"/>
    <n v="284459.99"/>
    <x v="0"/>
    <x v="0"/>
  </r>
  <r>
    <x v="5"/>
    <x v="4"/>
    <x v="3"/>
    <x v="0"/>
    <x v="0"/>
    <n v="305475.51"/>
    <x v="0"/>
    <x v="0"/>
  </r>
  <r>
    <x v="5"/>
    <x v="0"/>
    <x v="2"/>
    <x v="0"/>
    <x v="0"/>
    <n v="18256.2"/>
    <x v="0"/>
    <x v="0"/>
  </r>
  <r>
    <x v="5"/>
    <x v="4"/>
    <x v="3"/>
    <x v="0"/>
    <x v="0"/>
    <n v="219369.77"/>
    <x v="0"/>
    <x v="0"/>
  </r>
  <r>
    <x v="5"/>
    <x v="4"/>
    <x v="3"/>
    <x v="0"/>
    <x v="0"/>
    <n v="257380.58"/>
    <x v="0"/>
    <x v="0"/>
  </r>
  <r>
    <x v="5"/>
    <x v="3"/>
    <x v="0"/>
    <x v="0"/>
    <x v="0"/>
    <n v="1135.09"/>
    <x v="0"/>
    <x v="0"/>
  </r>
  <r>
    <x v="5"/>
    <x v="0"/>
    <x v="0"/>
    <x v="0"/>
    <x v="0"/>
    <n v="8603.1"/>
    <x v="0"/>
    <x v="0"/>
  </r>
  <r>
    <x v="5"/>
    <x v="0"/>
    <x v="1"/>
    <x v="0"/>
    <x v="0"/>
    <n v="501.27"/>
    <x v="0"/>
    <x v="0"/>
  </r>
  <r>
    <x v="5"/>
    <x v="0"/>
    <x v="0"/>
    <x v="0"/>
    <x v="0"/>
    <n v="6804.77"/>
    <x v="0"/>
    <x v="0"/>
  </r>
  <r>
    <x v="5"/>
    <x v="0"/>
    <x v="0"/>
    <x v="0"/>
    <x v="0"/>
    <n v="1059.81"/>
    <x v="0"/>
    <x v="0"/>
  </r>
  <r>
    <x v="5"/>
    <x v="0"/>
    <x v="0"/>
    <x v="0"/>
    <x v="0"/>
    <n v="4283.98"/>
    <x v="0"/>
    <x v="0"/>
  </r>
  <r>
    <x v="5"/>
    <x v="0"/>
    <x v="1"/>
    <x v="0"/>
    <x v="0"/>
    <n v="230.13"/>
    <x v="0"/>
    <x v="0"/>
  </r>
  <r>
    <x v="5"/>
    <x v="0"/>
    <x v="2"/>
    <x v="0"/>
    <x v="0"/>
    <n v="17482.76"/>
    <x v="0"/>
    <x v="0"/>
  </r>
  <r>
    <x v="5"/>
    <x v="0"/>
    <x v="2"/>
    <x v="0"/>
    <x v="0"/>
    <n v="10665.1"/>
    <x v="0"/>
    <x v="0"/>
  </r>
  <r>
    <x v="5"/>
    <x v="0"/>
    <x v="2"/>
    <x v="0"/>
    <x v="0"/>
    <n v="25627.15"/>
    <x v="0"/>
    <x v="0"/>
  </r>
  <r>
    <x v="5"/>
    <x v="0"/>
    <x v="0"/>
    <x v="0"/>
    <x v="0"/>
    <n v="9957.91"/>
    <x v="0"/>
    <x v="0"/>
  </r>
  <r>
    <x v="5"/>
    <x v="0"/>
    <x v="2"/>
    <x v="0"/>
    <x v="0"/>
    <n v="13527.67"/>
    <x v="0"/>
    <x v="0"/>
  </r>
  <r>
    <x v="5"/>
    <x v="0"/>
    <x v="2"/>
    <x v="0"/>
    <x v="0"/>
    <n v="15734"/>
    <x v="0"/>
    <x v="0"/>
  </r>
  <r>
    <x v="5"/>
    <x v="0"/>
    <x v="2"/>
    <x v="0"/>
    <x v="0"/>
    <n v="20910.03"/>
    <x v="0"/>
    <x v="0"/>
  </r>
  <r>
    <x v="5"/>
    <x v="0"/>
    <x v="0"/>
    <x v="0"/>
    <x v="0"/>
    <n v="8794.79"/>
    <x v="0"/>
    <x v="0"/>
  </r>
  <r>
    <x v="5"/>
    <x v="0"/>
    <x v="2"/>
    <x v="0"/>
    <x v="0"/>
    <n v="13472.81"/>
    <x v="0"/>
    <x v="0"/>
  </r>
  <r>
    <x v="5"/>
    <x v="0"/>
    <x v="0"/>
    <x v="0"/>
    <x v="0"/>
    <n v="9381.55"/>
    <x v="0"/>
    <x v="0"/>
  </r>
  <r>
    <x v="5"/>
    <x v="0"/>
    <x v="0"/>
    <x v="0"/>
    <x v="0"/>
    <n v="8793.16"/>
    <x v="0"/>
    <x v="0"/>
  </r>
  <r>
    <x v="5"/>
    <x v="0"/>
    <x v="0"/>
    <x v="0"/>
    <x v="0"/>
    <n v="1217.22"/>
    <x v="0"/>
    <x v="0"/>
  </r>
  <r>
    <x v="5"/>
    <x v="0"/>
    <x v="1"/>
    <x v="0"/>
    <x v="0"/>
    <n v="125.6"/>
    <x v="0"/>
    <x v="0"/>
  </r>
  <r>
    <x v="5"/>
    <x v="0"/>
    <x v="2"/>
    <x v="0"/>
    <x v="0"/>
    <n v="13604"/>
    <x v="0"/>
    <x v="0"/>
  </r>
  <r>
    <x v="5"/>
    <x v="0"/>
    <x v="0"/>
    <x v="0"/>
    <x v="0"/>
    <n v="9899.27"/>
    <x v="0"/>
    <x v="0"/>
  </r>
  <r>
    <x v="5"/>
    <x v="0"/>
    <x v="2"/>
    <x v="0"/>
    <x v="0"/>
    <n v="22206.33"/>
    <x v="0"/>
    <x v="0"/>
  </r>
  <r>
    <x v="5"/>
    <x v="0"/>
    <x v="2"/>
    <x v="0"/>
    <x v="0"/>
    <n v="30807.35"/>
    <x v="0"/>
    <x v="0"/>
  </r>
  <r>
    <x v="5"/>
    <x v="0"/>
    <x v="2"/>
    <x v="0"/>
    <x v="0"/>
    <n v="12738.66"/>
    <x v="0"/>
    <x v="0"/>
  </r>
  <r>
    <x v="5"/>
    <x v="0"/>
    <x v="0"/>
    <x v="0"/>
    <x v="0"/>
    <n v="8349.68"/>
    <x v="0"/>
    <x v="0"/>
  </r>
  <r>
    <x v="5"/>
    <x v="0"/>
    <x v="0"/>
    <x v="0"/>
    <x v="0"/>
    <n v="2156.86"/>
    <x v="0"/>
    <x v="0"/>
  </r>
  <r>
    <x v="5"/>
    <x v="3"/>
    <x v="0"/>
    <x v="0"/>
    <x v="0"/>
    <n v="1322.22"/>
    <x v="0"/>
    <x v="0"/>
  </r>
  <r>
    <x v="5"/>
    <x v="1"/>
    <x v="3"/>
    <x v="0"/>
    <x v="0"/>
    <n v="587264.44"/>
    <x v="0"/>
    <x v="0"/>
  </r>
  <r>
    <x v="5"/>
    <x v="0"/>
    <x v="1"/>
    <x v="0"/>
    <x v="0"/>
    <n v="624.02"/>
    <x v="0"/>
    <x v="0"/>
  </r>
  <r>
    <x v="5"/>
    <x v="0"/>
    <x v="0"/>
    <x v="0"/>
    <x v="0"/>
    <n v="1747.13"/>
    <x v="0"/>
    <x v="0"/>
  </r>
  <r>
    <x v="5"/>
    <x v="0"/>
    <x v="2"/>
    <x v="0"/>
    <x v="0"/>
    <n v="21795.98"/>
    <x v="0"/>
    <x v="0"/>
  </r>
  <r>
    <x v="5"/>
    <x v="0"/>
    <x v="2"/>
    <x v="0"/>
    <x v="0"/>
    <n v="11329.53"/>
    <x v="0"/>
    <x v="0"/>
  </r>
  <r>
    <x v="5"/>
    <x v="1"/>
    <x v="2"/>
    <x v="0"/>
    <x v="0"/>
    <n v="21437.62"/>
    <x v="0"/>
    <x v="0"/>
  </r>
  <r>
    <x v="5"/>
    <x v="1"/>
    <x v="3"/>
    <x v="0"/>
    <x v="0"/>
    <n v="128294.6"/>
    <x v="0"/>
    <x v="0"/>
  </r>
  <r>
    <x v="5"/>
    <x v="0"/>
    <x v="0"/>
    <x v="0"/>
    <x v="0"/>
    <n v="2916.14"/>
    <x v="0"/>
    <x v="0"/>
  </r>
  <r>
    <x v="5"/>
    <x v="0"/>
    <x v="2"/>
    <x v="0"/>
    <x v="0"/>
    <n v="16461.41"/>
    <x v="0"/>
    <x v="0"/>
  </r>
  <r>
    <x v="5"/>
    <x v="0"/>
    <x v="0"/>
    <x v="0"/>
    <x v="0"/>
    <n v="6682.06"/>
    <x v="0"/>
    <x v="0"/>
  </r>
  <r>
    <x v="5"/>
    <x v="0"/>
    <x v="2"/>
    <x v="0"/>
    <x v="0"/>
    <n v="13898.22"/>
    <x v="0"/>
    <x v="0"/>
  </r>
  <r>
    <x v="5"/>
    <x v="0"/>
    <x v="0"/>
    <x v="0"/>
    <x v="0"/>
    <n v="2002.96"/>
    <x v="0"/>
    <x v="0"/>
  </r>
  <r>
    <x v="5"/>
    <x v="0"/>
    <x v="0"/>
    <x v="0"/>
    <x v="0"/>
    <n v="3707.39"/>
    <x v="0"/>
    <x v="0"/>
  </r>
  <r>
    <x v="5"/>
    <x v="1"/>
    <x v="3"/>
    <x v="0"/>
    <x v="0"/>
    <n v="106174.75"/>
    <x v="0"/>
    <x v="0"/>
  </r>
  <r>
    <x v="5"/>
    <x v="0"/>
    <x v="0"/>
    <x v="0"/>
    <x v="0"/>
    <n v="5735.28"/>
    <x v="0"/>
    <x v="0"/>
  </r>
  <r>
    <x v="5"/>
    <x v="1"/>
    <x v="3"/>
    <x v="0"/>
    <x v="0"/>
    <n v="259992.93"/>
    <x v="0"/>
    <x v="0"/>
  </r>
  <r>
    <x v="5"/>
    <x v="0"/>
    <x v="0"/>
    <x v="0"/>
    <x v="0"/>
    <n v="1399.52"/>
    <x v="0"/>
    <x v="0"/>
  </r>
  <r>
    <x v="5"/>
    <x v="1"/>
    <x v="3"/>
    <x v="0"/>
    <x v="0"/>
    <n v="694967.26"/>
    <x v="0"/>
    <x v="0"/>
  </r>
  <r>
    <x v="5"/>
    <x v="0"/>
    <x v="0"/>
    <x v="0"/>
    <x v="0"/>
    <n v="7682.09"/>
    <x v="0"/>
    <x v="0"/>
  </r>
  <r>
    <x v="5"/>
    <x v="0"/>
    <x v="0"/>
    <x v="0"/>
    <x v="0"/>
    <n v="2188"/>
    <x v="0"/>
    <x v="0"/>
  </r>
  <r>
    <x v="5"/>
    <x v="0"/>
    <x v="2"/>
    <x v="0"/>
    <x v="0"/>
    <n v="20192.75"/>
    <x v="0"/>
    <x v="0"/>
  </r>
  <r>
    <x v="5"/>
    <x v="0"/>
    <x v="0"/>
    <x v="0"/>
    <x v="0"/>
    <n v="2654.07"/>
    <x v="0"/>
    <x v="0"/>
  </r>
  <r>
    <x v="5"/>
    <x v="0"/>
    <x v="2"/>
    <x v="0"/>
    <x v="0"/>
    <n v="25708.21"/>
    <x v="0"/>
    <x v="0"/>
  </r>
  <r>
    <x v="5"/>
    <x v="0"/>
    <x v="0"/>
    <x v="0"/>
    <x v="0"/>
    <n v="3175.28"/>
    <x v="0"/>
    <x v="0"/>
  </r>
  <r>
    <x v="5"/>
    <x v="0"/>
    <x v="2"/>
    <x v="0"/>
    <x v="0"/>
    <n v="11136.27"/>
    <x v="0"/>
    <x v="0"/>
  </r>
  <r>
    <x v="5"/>
    <x v="3"/>
    <x v="0"/>
    <x v="0"/>
    <x v="0"/>
    <n v="1162.19"/>
    <x v="0"/>
    <x v="0"/>
  </r>
  <r>
    <x v="5"/>
    <x v="0"/>
    <x v="2"/>
    <x v="0"/>
    <x v="0"/>
    <n v="24105.64"/>
    <x v="0"/>
    <x v="0"/>
  </r>
  <r>
    <x v="5"/>
    <x v="0"/>
    <x v="0"/>
    <x v="0"/>
    <x v="0"/>
    <n v="8618.23"/>
    <x v="0"/>
    <x v="0"/>
  </r>
  <r>
    <x v="5"/>
    <x v="0"/>
    <x v="2"/>
    <x v="0"/>
    <x v="0"/>
    <n v="22571.41"/>
    <x v="0"/>
    <x v="0"/>
  </r>
  <r>
    <x v="5"/>
    <x v="0"/>
    <x v="0"/>
    <x v="0"/>
    <x v="0"/>
    <n v="9644.43"/>
    <x v="0"/>
    <x v="0"/>
  </r>
  <r>
    <x v="5"/>
    <x v="0"/>
    <x v="0"/>
    <x v="0"/>
    <x v="0"/>
    <n v="3130.97"/>
    <x v="0"/>
    <x v="0"/>
  </r>
  <r>
    <x v="5"/>
    <x v="0"/>
    <x v="2"/>
    <x v="0"/>
    <x v="0"/>
    <n v="19471.74"/>
    <x v="0"/>
    <x v="0"/>
  </r>
  <r>
    <x v="5"/>
    <x v="0"/>
    <x v="2"/>
    <x v="0"/>
    <x v="0"/>
    <n v="12249.78"/>
    <x v="0"/>
    <x v="0"/>
  </r>
  <r>
    <x v="5"/>
    <x v="0"/>
    <x v="0"/>
    <x v="0"/>
    <x v="0"/>
    <n v="7390.28"/>
    <x v="0"/>
    <x v="0"/>
  </r>
  <r>
    <x v="5"/>
    <x v="1"/>
    <x v="2"/>
    <x v="0"/>
    <x v="0"/>
    <n v="45447.1"/>
    <x v="0"/>
    <x v="0"/>
  </r>
  <r>
    <x v="5"/>
    <x v="4"/>
    <x v="3"/>
    <x v="0"/>
    <x v="0"/>
    <n v="153670.12"/>
    <x v="0"/>
    <x v="0"/>
  </r>
  <r>
    <x v="5"/>
    <x v="0"/>
    <x v="0"/>
    <x v="0"/>
    <x v="0"/>
    <n v="9927.74"/>
    <x v="0"/>
    <x v="0"/>
  </r>
  <r>
    <x v="5"/>
    <x v="0"/>
    <x v="1"/>
    <x v="0"/>
    <x v="0"/>
    <n v="951"/>
    <x v="0"/>
    <x v="0"/>
  </r>
  <r>
    <x v="5"/>
    <x v="0"/>
    <x v="0"/>
    <x v="0"/>
    <x v="0"/>
    <n v="9083.33"/>
    <x v="0"/>
    <x v="0"/>
  </r>
  <r>
    <x v="5"/>
    <x v="2"/>
    <x v="3"/>
    <x v="0"/>
    <x v="0"/>
    <n v="376292.35"/>
    <x v="0"/>
    <x v="0"/>
  </r>
  <r>
    <x v="5"/>
    <x v="1"/>
    <x v="2"/>
    <x v="0"/>
    <x v="0"/>
    <n v="30538.26"/>
    <x v="0"/>
    <x v="0"/>
  </r>
  <r>
    <x v="5"/>
    <x v="2"/>
    <x v="3"/>
    <x v="0"/>
    <x v="0"/>
    <n v="169614.88"/>
    <x v="0"/>
    <x v="0"/>
  </r>
  <r>
    <x v="5"/>
    <x v="0"/>
    <x v="2"/>
    <x v="0"/>
    <x v="0"/>
    <n v="11218.96"/>
    <x v="0"/>
    <x v="0"/>
  </r>
  <r>
    <x v="5"/>
    <x v="3"/>
    <x v="1"/>
    <x v="0"/>
    <x v="0"/>
    <n v="905.2"/>
    <x v="0"/>
    <x v="0"/>
  </r>
  <r>
    <x v="5"/>
    <x v="0"/>
    <x v="0"/>
    <x v="0"/>
    <x v="0"/>
    <n v="4457.68"/>
    <x v="0"/>
    <x v="0"/>
  </r>
  <r>
    <x v="5"/>
    <x v="0"/>
    <x v="0"/>
    <x v="0"/>
    <x v="0"/>
    <n v="2508.64"/>
    <x v="0"/>
    <x v="0"/>
  </r>
  <r>
    <x v="5"/>
    <x v="0"/>
    <x v="0"/>
    <x v="0"/>
    <x v="0"/>
    <n v="2571.94"/>
    <x v="0"/>
    <x v="0"/>
  </r>
  <r>
    <x v="5"/>
    <x v="0"/>
    <x v="2"/>
    <x v="0"/>
    <x v="0"/>
    <n v="16998.22"/>
    <x v="0"/>
    <x v="0"/>
  </r>
  <r>
    <x v="5"/>
    <x v="0"/>
    <x v="1"/>
    <x v="0"/>
    <x v="0"/>
    <n v="170.22"/>
    <x v="0"/>
    <x v="0"/>
  </r>
  <r>
    <x v="5"/>
    <x v="0"/>
    <x v="2"/>
    <x v="0"/>
    <x v="0"/>
    <n v="10460.53"/>
    <x v="0"/>
    <x v="0"/>
  </r>
  <r>
    <x v="5"/>
    <x v="0"/>
    <x v="0"/>
    <x v="0"/>
    <x v="0"/>
    <n v="9909.88"/>
    <x v="0"/>
    <x v="0"/>
  </r>
  <r>
    <x v="5"/>
    <x v="0"/>
    <x v="2"/>
    <x v="0"/>
    <x v="0"/>
    <n v="32064.62"/>
    <x v="0"/>
    <x v="0"/>
  </r>
  <r>
    <x v="5"/>
    <x v="2"/>
    <x v="2"/>
    <x v="0"/>
    <x v="0"/>
    <n v="37393.74"/>
    <x v="0"/>
    <x v="0"/>
  </r>
  <r>
    <x v="5"/>
    <x v="0"/>
    <x v="0"/>
    <x v="0"/>
    <x v="0"/>
    <n v="5570.02"/>
    <x v="0"/>
    <x v="0"/>
  </r>
  <r>
    <x v="5"/>
    <x v="0"/>
    <x v="2"/>
    <x v="0"/>
    <x v="0"/>
    <n v="10541.14"/>
    <x v="0"/>
    <x v="0"/>
  </r>
  <r>
    <x v="5"/>
    <x v="0"/>
    <x v="0"/>
    <x v="0"/>
    <x v="0"/>
    <n v="6559.64"/>
    <x v="0"/>
    <x v="0"/>
  </r>
  <r>
    <x v="5"/>
    <x v="0"/>
    <x v="0"/>
    <x v="0"/>
    <x v="0"/>
    <n v="4570.77"/>
    <x v="0"/>
    <x v="0"/>
  </r>
  <r>
    <x v="5"/>
    <x v="2"/>
    <x v="3"/>
    <x v="0"/>
    <x v="0"/>
    <n v="228693.31"/>
    <x v="0"/>
    <x v="0"/>
  </r>
  <r>
    <x v="5"/>
    <x v="3"/>
    <x v="0"/>
    <x v="0"/>
    <x v="0"/>
    <n v="3466.15"/>
    <x v="0"/>
    <x v="0"/>
  </r>
  <r>
    <x v="5"/>
    <x v="0"/>
    <x v="1"/>
    <x v="0"/>
    <x v="0"/>
    <n v="795.78"/>
    <x v="0"/>
    <x v="0"/>
  </r>
  <r>
    <x v="5"/>
    <x v="1"/>
    <x v="2"/>
    <x v="0"/>
    <x v="0"/>
    <n v="98830.07"/>
    <x v="0"/>
    <x v="0"/>
  </r>
  <r>
    <x v="5"/>
    <x v="0"/>
    <x v="0"/>
    <x v="0"/>
    <x v="0"/>
    <n v="7930.71"/>
    <x v="0"/>
    <x v="0"/>
  </r>
  <r>
    <x v="5"/>
    <x v="0"/>
    <x v="2"/>
    <x v="0"/>
    <x v="0"/>
    <n v="12692.77"/>
    <x v="0"/>
    <x v="0"/>
  </r>
  <r>
    <x v="5"/>
    <x v="0"/>
    <x v="2"/>
    <x v="0"/>
    <x v="0"/>
    <n v="33410.82"/>
    <x v="0"/>
    <x v="0"/>
  </r>
  <r>
    <x v="5"/>
    <x v="0"/>
    <x v="2"/>
    <x v="0"/>
    <x v="0"/>
    <n v="12077.53"/>
    <x v="0"/>
    <x v="0"/>
  </r>
  <r>
    <x v="5"/>
    <x v="0"/>
    <x v="0"/>
    <x v="0"/>
    <x v="0"/>
    <n v="7377.42"/>
    <x v="0"/>
    <x v="0"/>
  </r>
  <r>
    <x v="5"/>
    <x v="0"/>
    <x v="2"/>
    <x v="0"/>
    <x v="0"/>
    <n v="44542.15"/>
    <x v="0"/>
    <x v="0"/>
  </r>
  <r>
    <x v="5"/>
    <x v="0"/>
    <x v="0"/>
    <x v="0"/>
    <x v="0"/>
    <n v="8802.64"/>
    <x v="0"/>
    <x v="0"/>
  </r>
  <r>
    <x v="5"/>
    <x v="0"/>
    <x v="2"/>
    <x v="0"/>
    <x v="0"/>
    <n v="10335.09"/>
    <x v="0"/>
    <x v="0"/>
  </r>
  <r>
    <x v="5"/>
    <x v="0"/>
    <x v="2"/>
    <x v="0"/>
    <x v="0"/>
    <n v="10288.63"/>
    <x v="0"/>
    <x v="0"/>
  </r>
  <r>
    <x v="5"/>
    <x v="0"/>
    <x v="2"/>
    <x v="0"/>
    <x v="0"/>
    <n v="17202.8"/>
    <x v="0"/>
    <x v="0"/>
  </r>
  <r>
    <x v="5"/>
    <x v="0"/>
    <x v="2"/>
    <x v="0"/>
    <x v="0"/>
    <n v="25828.32"/>
    <x v="0"/>
    <x v="0"/>
  </r>
  <r>
    <x v="5"/>
    <x v="0"/>
    <x v="0"/>
    <x v="0"/>
    <x v="0"/>
    <n v="4669.49"/>
    <x v="0"/>
    <x v="0"/>
  </r>
  <r>
    <x v="5"/>
    <x v="0"/>
    <x v="2"/>
    <x v="0"/>
    <x v="0"/>
    <n v="24213.27"/>
    <x v="0"/>
    <x v="0"/>
  </r>
  <r>
    <x v="5"/>
    <x v="0"/>
    <x v="1"/>
    <x v="0"/>
    <x v="0"/>
    <n v="529.53"/>
    <x v="0"/>
    <x v="0"/>
  </r>
  <r>
    <x v="5"/>
    <x v="0"/>
    <x v="0"/>
    <x v="0"/>
    <x v="0"/>
    <n v="8715.69"/>
    <x v="0"/>
    <x v="0"/>
  </r>
  <r>
    <x v="5"/>
    <x v="0"/>
    <x v="2"/>
    <x v="0"/>
    <x v="0"/>
    <n v="24978.31"/>
    <x v="0"/>
    <x v="0"/>
  </r>
  <r>
    <x v="5"/>
    <x v="0"/>
    <x v="2"/>
    <x v="0"/>
    <x v="0"/>
    <n v="11510.71"/>
    <x v="0"/>
    <x v="0"/>
  </r>
  <r>
    <x v="5"/>
    <x v="0"/>
    <x v="2"/>
    <x v="0"/>
    <x v="0"/>
    <n v="13999.1"/>
    <x v="0"/>
    <x v="0"/>
  </r>
  <r>
    <x v="5"/>
    <x v="0"/>
    <x v="1"/>
    <x v="0"/>
    <x v="0"/>
    <n v="87.34"/>
    <x v="0"/>
    <x v="0"/>
  </r>
  <r>
    <x v="5"/>
    <x v="0"/>
    <x v="2"/>
    <x v="0"/>
    <x v="0"/>
    <n v="19030.46"/>
    <x v="0"/>
    <x v="0"/>
  </r>
  <r>
    <x v="5"/>
    <x v="1"/>
    <x v="3"/>
    <x v="0"/>
    <x v="0"/>
    <n v="274324.05"/>
    <x v="0"/>
    <x v="0"/>
  </r>
  <r>
    <x v="5"/>
    <x v="2"/>
    <x v="2"/>
    <x v="0"/>
    <x v="0"/>
    <n v="43410.17"/>
    <x v="0"/>
    <x v="0"/>
  </r>
  <r>
    <x v="5"/>
    <x v="2"/>
    <x v="3"/>
    <x v="0"/>
    <x v="0"/>
    <n v="275905.67"/>
    <x v="0"/>
    <x v="0"/>
  </r>
  <r>
    <x v="5"/>
    <x v="2"/>
    <x v="3"/>
    <x v="0"/>
    <x v="0"/>
    <n v="246039.31"/>
    <x v="0"/>
    <x v="0"/>
  </r>
  <r>
    <x v="5"/>
    <x v="2"/>
    <x v="3"/>
    <x v="0"/>
    <x v="0"/>
    <n v="222863.57"/>
    <x v="0"/>
    <x v="0"/>
  </r>
  <r>
    <x v="5"/>
    <x v="2"/>
    <x v="3"/>
    <x v="0"/>
    <x v="0"/>
    <n v="147459.35"/>
    <x v="0"/>
    <x v="0"/>
  </r>
  <r>
    <x v="5"/>
    <x v="2"/>
    <x v="3"/>
    <x v="0"/>
    <x v="0"/>
    <n v="529296.76"/>
    <x v="0"/>
    <x v="0"/>
  </r>
  <r>
    <x v="5"/>
    <x v="2"/>
    <x v="3"/>
    <x v="0"/>
    <x v="0"/>
    <n v="132163.7"/>
    <x v="0"/>
    <x v="0"/>
  </r>
  <r>
    <x v="5"/>
    <x v="2"/>
    <x v="3"/>
    <x v="0"/>
    <x v="0"/>
    <n v="517419.65"/>
    <x v="0"/>
    <x v="0"/>
  </r>
  <r>
    <x v="5"/>
    <x v="2"/>
    <x v="3"/>
    <x v="0"/>
    <x v="0"/>
    <n v="430990.31"/>
    <x v="0"/>
    <x v="0"/>
  </r>
  <r>
    <x v="5"/>
    <x v="2"/>
    <x v="3"/>
    <x v="0"/>
    <x v="0"/>
    <n v="251617.52"/>
    <x v="0"/>
    <x v="0"/>
  </r>
  <r>
    <x v="5"/>
    <x v="2"/>
    <x v="3"/>
    <x v="0"/>
    <x v="0"/>
    <n v="206890.25"/>
    <x v="0"/>
    <x v="0"/>
  </r>
  <r>
    <x v="5"/>
    <x v="2"/>
    <x v="3"/>
    <x v="0"/>
    <x v="0"/>
    <n v="236200.44"/>
    <x v="0"/>
    <x v="0"/>
  </r>
  <r>
    <x v="5"/>
    <x v="0"/>
    <x v="0"/>
    <x v="0"/>
    <x v="0"/>
    <n v="3219.24"/>
    <x v="0"/>
    <x v="0"/>
  </r>
  <r>
    <x v="5"/>
    <x v="0"/>
    <x v="2"/>
    <x v="0"/>
    <x v="0"/>
    <n v="19521.96"/>
    <x v="0"/>
    <x v="0"/>
  </r>
  <r>
    <x v="5"/>
    <x v="4"/>
    <x v="2"/>
    <x v="0"/>
    <x v="0"/>
    <n v="13061.25"/>
    <x v="0"/>
    <x v="0"/>
  </r>
  <r>
    <x v="5"/>
    <x v="4"/>
    <x v="3"/>
    <x v="0"/>
    <x v="0"/>
    <n v="209467.79"/>
    <x v="0"/>
    <x v="0"/>
  </r>
  <r>
    <x v="5"/>
    <x v="4"/>
    <x v="3"/>
    <x v="0"/>
    <x v="0"/>
    <n v="214376.36"/>
    <x v="0"/>
    <x v="0"/>
  </r>
  <r>
    <x v="5"/>
    <x v="4"/>
    <x v="2"/>
    <x v="0"/>
    <x v="0"/>
    <n v="38739.05"/>
    <x v="0"/>
    <x v="0"/>
  </r>
  <r>
    <x v="5"/>
    <x v="4"/>
    <x v="3"/>
    <x v="0"/>
    <x v="0"/>
    <n v="553080.97"/>
    <x v="0"/>
    <x v="0"/>
  </r>
  <r>
    <x v="5"/>
    <x v="4"/>
    <x v="3"/>
    <x v="0"/>
    <x v="0"/>
    <n v="273146.4"/>
    <x v="0"/>
    <x v="0"/>
  </r>
  <r>
    <x v="5"/>
    <x v="4"/>
    <x v="3"/>
    <x v="0"/>
    <x v="0"/>
    <n v="262976.08"/>
    <x v="0"/>
    <x v="0"/>
  </r>
  <r>
    <x v="5"/>
    <x v="4"/>
    <x v="3"/>
    <x v="0"/>
    <x v="0"/>
    <n v="213304.63"/>
    <x v="0"/>
    <x v="0"/>
  </r>
  <r>
    <x v="5"/>
    <x v="4"/>
    <x v="3"/>
    <x v="0"/>
    <x v="0"/>
    <n v="421361.07"/>
    <x v="0"/>
    <x v="0"/>
  </r>
  <r>
    <x v="5"/>
    <x v="4"/>
    <x v="3"/>
    <x v="0"/>
    <x v="0"/>
    <n v="162671.15"/>
    <x v="0"/>
    <x v="0"/>
  </r>
  <r>
    <x v="5"/>
    <x v="4"/>
    <x v="2"/>
    <x v="0"/>
    <x v="0"/>
    <n v="10325.88"/>
    <x v="0"/>
    <x v="0"/>
  </r>
  <r>
    <x v="5"/>
    <x v="4"/>
    <x v="2"/>
    <x v="0"/>
    <x v="0"/>
    <n v="69293.41"/>
    <x v="0"/>
    <x v="0"/>
  </r>
  <r>
    <x v="5"/>
    <x v="4"/>
    <x v="2"/>
    <x v="0"/>
    <x v="0"/>
    <n v="99494.58"/>
    <x v="0"/>
    <x v="0"/>
  </r>
  <r>
    <x v="5"/>
    <x v="4"/>
    <x v="3"/>
    <x v="0"/>
    <x v="0"/>
    <n v="227478.35"/>
    <x v="0"/>
    <x v="0"/>
  </r>
  <r>
    <x v="5"/>
    <x v="4"/>
    <x v="2"/>
    <x v="0"/>
    <x v="0"/>
    <n v="94008.7"/>
    <x v="0"/>
    <x v="0"/>
  </r>
  <r>
    <x v="5"/>
    <x v="4"/>
    <x v="2"/>
    <x v="0"/>
    <x v="0"/>
    <n v="53212.23"/>
    <x v="0"/>
    <x v="0"/>
  </r>
  <r>
    <x v="5"/>
    <x v="4"/>
    <x v="3"/>
    <x v="0"/>
    <x v="0"/>
    <n v="258203.07"/>
    <x v="0"/>
    <x v="0"/>
  </r>
  <r>
    <x v="5"/>
    <x v="4"/>
    <x v="3"/>
    <x v="0"/>
    <x v="0"/>
    <n v="608716.97"/>
    <x v="0"/>
    <x v="0"/>
  </r>
  <r>
    <x v="5"/>
    <x v="4"/>
    <x v="3"/>
    <x v="0"/>
    <x v="0"/>
    <n v="273342.27"/>
    <x v="0"/>
    <x v="0"/>
  </r>
  <r>
    <x v="5"/>
    <x v="4"/>
    <x v="2"/>
    <x v="0"/>
    <x v="0"/>
    <n v="22413.11"/>
    <x v="0"/>
    <x v="0"/>
  </r>
  <r>
    <x v="5"/>
    <x v="4"/>
    <x v="2"/>
    <x v="0"/>
    <x v="0"/>
    <n v="28653.61"/>
    <x v="0"/>
    <x v="0"/>
  </r>
  <r>
    <x v="5"/>
    <x v="4"/>
    <x v="3"/>
    <x v="0"/>
    <x v="0"/>
    <n v="100059.16"/>
    <x v="0"/>
    <x v="0"/>
  </r>
  <r>
    <x v="5"/>
    <x v="4"/>
    <x v="3"/>
    <x v="0"/>
    <x v="0"/>
    <n v="101000.39"/>
    <x v="0"/>
    <x v="0"/>
  </r>
  <r>
    <x v="5"/>
    <x v="4"/>
    <x v="2"/>
    <x v="0"/>
    <x v="0"/>
    <n v="48275.89"/>
    <x v="0"/>
    <x v="0"/>
  </r>
  <r>
    <x v="5"/>
    <x v="4"/>
    <x v="2"/>
    <x v="0"/>
    <x v="0"/>
    <n v="13437.7"/>
    <x v="0"/>
    <x v="0"/>
  </r>
  <r>
    <x v="5"/>
    <x v="4"/>
    <x v="3"/>
    <x v="0"/>
    <x v="0"/>
    <n v="189057.7"/>
    <x v="0"/>
    <x v="0"/>
  </r>
  <r>
    <x v="5"/>
    <x v="4"/>
    <x v="2"/>
    <x v="0"/>
    <x v="0"/>
    <n v="46002.88"/>
    <x v="0"/>
    <x v="0"/>
  </r>
  <r>
    <x v="5"/>
    <x v="4"/>
    <x v="3"/>
    <x v="0"/>
    <x v="0"/>
    <n v="163639.7"/>
    <x v="0"/>
    <x v="0"/>
  </r>
  <r>
    <x v="5"/>
    <x v="4"/>
    <x v="2"/>
    <x v="0"/>
    <x v="0"/>
    <n v="33244.29"/>
    <x v="0"/>
    <x v="0"/>
  </r>
  <r>
    <x v="5"/>
    <x v="4"/>
    <x v="2"/>
    <x v="0"/>
    <x v="0"/>
    <n v="56799.45"/>
    <x v="0"/>
    <x v="0"/>
  </r>
  <r>
    <x v="5"/>
    <x v="4"/>
    <x v="3"/>
    <x v="0"/>
    <x v="0"/>
    <n v="112768.11"/>
    <x v="0"/>
    <x v="0"/>
  </r>
  <r>
    <x v="5"/>
    <x v="4"/>
    <x v="3"/>
    <x v="0"/>
    <x v="0"/>
    <n v="253967.93"/>
    <x v="0"/>
    <x v="0"/>
  </r>
  <r>
    <x v="5"/>
    <x v="4"/>
    <x v="3"/>
    <x v="0"/>
    <x v="0"/>
    <n v="218225.2"/>
    <x v="0"/>
    <x v="0"/>
  </r>
  <r>
    <x v="5"/>
    <x v="4"/>
    <x v="3"/>
    <x v="0"/>
    <x v="0"/>
    <n v="262198.19"/>
    <x v="0"/>
    <x v="0"/>
  </r>
  <r>
    <x v="5"/>
    <x v="4"/>
    <x v="3"/>
    <x v="0"/>
    <x v="0"/>
    <n v="169408.46"/>
    <x v="0"/>
    <x v="0"/>
  </r>
  <r>
    <x v="5"/>
    <x v="4"/>
    <x v="2"/>
    <x v="0"/>
    <x v="0"/>
    <n v="74554.42"/>
    <x v="0"/>
    <x v="0"/>
  </r>
  <r>
    <x v="5"/>
    <x v="4"/>
    <x v="3"/>
    <x v="0"/>
    <x v="0"/>
    <n v="115572.56"/>
    <x v="0"/>
    <x v="0"/>
  </r>
  <r>
    <x v="5"/>
    <x v="4"/>
    <x v="3"/>
    <x v="0"/>
    <x v="0"/>
    <n v="348217.27"/>
    <x v="0"/>
    <x v="0"/>
  </r>
  <r>
    <x v="5"/>
    <x v="4"/>
    <x v="3"/>
    <x v="0"/>
    <x v="0"/>
    <n v="226907.99"/>
    <x v="0"/>
    <x v="0"/>
  </r>
  <r>
    <x v="5"/>
    <x v="4"/>
    <x v="3"/>
    <x v="0"/>
    <x v="0"/>
    <n v="390456.9"/>
    <x v="0"/>
    <x v="0"/>
  </r>
  <r>
    <x v="5"/>
    <x v="4"/>
    <x v="0"/>
    <x v="0"/>
    <x v="0"/>
    <n v="4946.45"/>
    <x v="0"/>
    <x v="0"/>
  </r>
  <r>
    <x v="5"/>
    <x v="4"/>
    <x v="2"/>
    <x v="0"/>
    <x v="0"/>
    <n v="59985.7"/>
    <x v="0"/>
    <x v="0"/>
  </r>
  <r>
    <x v="5"/>
    <x v="4"/>
    <x v="2"/>
    <x v="0"/>
    <x v="0"/>
    <n v="72106.27"/>
    <x v="0"/>
    <x v="0"/>
  </r>
  <r>
    <x v="5"/>
    <x v="4"/>
    <x v="2"/>
    <x v="0"/>
    <x v="0"/>
    <n v="16798.63"/>
    <x v="0"/>
    <x v="0"/>
  </r>
  <r>
    <x v="5"/>
    <x v="4"/>
    <x v="3"/>
    <x v="0"/>
    <x v="0"/>
    <n v="107421.12"/>
    <x v="0"/>
    <x v="0"/>
  </r>
  <r>
    <x v="5"/>
    <x v="0"/>
    <x v="0"/>
    <x v="0"/>
    <x v="0"/>
    <n v="3788.69"/>
    <x v="0"/>
    <x v="0"/>
  </r>
  <r>
    <x v="5"/>
    <x v="2"/>
    <x v="3"/>
    <x v="0"/>
    <x v="0"/>
    <n v="233776.61"/>
    <x v="0"/>
    <x v="0"/>
  </r>
  <r>
    <x v="5"/>
    <x v="2"/>
    <x v="3"/>
    <x v="0"/>
    <x v="0"/>
    <n v="359241.43"/>
    <x v="0"/>
    <x v="0"/>
  </r>
  <r>
    <x v="5"/>
    <x v="0"/>
    <x v="2"/>
    <x v="0"/>
    <x v="0"/>
    <n v="15238.97"/>
    <x v="0"/>
    <x v="0"/>
  </r>
  <r>
    <x v="5"/>
    <x v="2"/>
    <x v="2"/>
    <x v="0"/>
    <x v="0"/>
    <n v="80710.33"/>
    <x v="0"/>
    <x v="0"/>
  </r>
  <r>
    <x v="5"/>
    <x v="0"/>
    <x v="0"/>
    <x v="0"/>
    <x v="0"/>
    <n v="3643.09"/>
    <x v="0"/>
    <x v="0"/>
  </r>
  <r>
    <x v="5"/>
    <x v="0"/>
    <x v="2"/>
    <x v="0"/>
    <x v="0"/>
    <n v="16073.13"/>
    <x v="0"/>
    <x v="0"/>
  </r>
  <r>
    <x v="5"/>
    <x v="0"/>
    <x v="2"/>
    <x v="0"/>
    <x v="0"/>
    <n v="17849.56"/>
    <x v="0"/>
    <x v="0"/>
  </r>
  <r>
    <x v="5"/>
    <x v="0"/>
    <x v="2"/>
    <x v="0"/>
    <x v="0"/>
    <n v="26772.7"/>
    <x v="0"/>
    <x v="0"/>
  </r>
  <r>
    <x v="5"/>
    <x v="0"/>
    <x v="2"/>
    <x v="0"/>
    <x v="0"/>
    <n v="19346.62"/>
    <x v="0"/>
    <x v="0"/>
  </r>
  <r>
    <x v="5"/>
    <x v="0"/>
    <x v="1"/>
    <x v="0"/>
    <x v="0"/>
    <n v="379.9"/>
    <x v="0"/>
    <x v="0"/>
  </r>
  <r>
    <x v="5"/>
    <x v="0"/>
    <x v="2"/>
    <x v="0"/>
    <x v="0"/>
    <n v="34795.88"/>
    <x v="0"/>
    <x v="0"/>
  </r>
  <r>
    <x v="5"/>
    <x v="2"/>
    <x v="3"/>
    <x v="0"/>
    <x v="0"/>
    <n v="114634.43"/>
    <x v="0"/>
    <x v="0"/>
  </r>
  <r>
    <x v="5"/>
    <x v="2"/>
    <x v="3"/>
    <x v="0"/>
    <x v="0"/>
    <n v="183083.93"/>
    <x v="0"/>
    <x v="0"/>
  </r>
  <r>
    <x v="5"/>
    <x v="2"/>
    <x v="0"/>
    <x v="0"/>
    <x v="0"/>
    <n v="7106.23"/>
    <x v="0"/>
    <x v="0"/>
  </r>
  <r>
    <x v="5"/>
    <x v="2"/>
    <x v="3"/>
    <x v="0"/>
    <x v="0"/>
    <n v="400794.34"/>
    <x v="0"/>
    <x v="0"/>
  </r>
  <r>
    <x v="5"/>
    <x v="2"/>
    <x v="2"/>
    <x v="0"/>
    <x v="0"/>
    <n v="21476.23"/>
    <x v="0"/>
    <x v="0"/>
  </r>
  <r>
    <x v="5"/>
    <x v="2"/>
    <x v="3"/>
    <x v="0"/>
    <x v="0"/>
    <n v="155270.31"/>
    <x v="0"/>
    <x v="0"/>
  </r>
  <r>
    <x v="5"/>
    <x v="2"/>
    <x v="3"/>
    <x v="0"/>
    <x v="0"/>
    <n v="245086.32"/>
    <x v="0"/>
    <x v="0"/>
  </r>
  <r>
    <x v="5"/>
    <x v="2"/>
    <x v="3"/>
    <x v="0"/>
    <x v="0"/>
    <n v="191375.55"/>
    <x v="0"/>
    <x v="0"/>
  </r>
  <r>
    <x v="5"/>
    <x v="2"/>
    <x v="2"/>
    <x v="0"/>
    <x v="0"/>
    <n v="60311.86"/>
    <x v="0"/>
    <x v="0"/>
  </r>
  <r>
    <x v="5"/>
    <x v="2"/>
    <x v="2"/>
    <x v="0"/>
    <x v="0"/>
    <n v="39267.55"/>
    <x v="0"/>
    <x v="0"/>
  </r>
  <r>
    <x v="5"/>
    <x v="2"/>
    <x v="0"/>
    <x v="0"/>
    <x v="0"/>
    <n v="7323.56"/>
    <x v="0"/>
    <x v="0"/>
  </r>
  <r>
    <x v="5"/>
    <x v="2"/>
    <x v="3"/>
    <x v="0"/>
    <x v="0"/>
    <n v="280736.2"/>
    <x v="0"/>
    <x v="0"/>
  </r>
  <r>
    <x v="5"/>
    <x v="2"/>
    <x v="2"/>
    <x v="0"/>
    <x v="0"/>
    <n v="77347.46"/>
    <x v="0"/>
    <x v="0"/>
  </r>
  <r>
    <x v="5"/>
    <x v="2"/>
    <x v="3"/>
    <x v="0"/>
    <x v="0"/>
    <n v="138895.43"/>
    <x v="0"/>
    <x v="0"/>
  </r>
  <r>
    <x v="5"/>
    <x v="2"/>
    <x v="2"/>
    <x v="0"/>
    <x v="0"/>
    <n v="14162.57"/>
    <x v="0"/>
    <x v="0"/>
  </r>
  <r>
    <x v="5"/>
    <x v="2"/>
    <x v="2"/>
    <x v="0"/>
    <x v="0"/>
    <n v="10147.22"/>
    <x v="0"/>
    <x v="0"/>
  </r>
  <r>
    <x v="5"/>
    <x v="2"/>
    <x v="2"/>
    <x v="0"/>
    <x v="0"/>
    <n v="26222.49"/>
    <x v="0"/>
    <x v="0"/>
  </r>
  <r>
    <x v="5"/>
    <x v="2"/>
    <x v="3"/>
    <x v="0"/>
    <x v="0"/>
    <n v="349474.53"/>
    <x v="0"/>
    <x v="0"/>
  </r>
  <r>
    <x v="5"/>
    <x v="2"/>
    <x v="2"/>
    <x v="0"/>
    <x v="0"/>
    <n v="27425.99"/>
    <x v="0"/>
    <x v="0"/>
  </r>
  <r>
    <x v="5"/>
    <x v="2"/>
    <x v="1"/>
    <x v="0"/>
    <x v="0"/>
    <n v="71.29"/>
    <x v="0"/>
    <x v="0"/>
  </r>
  <r>
    <x v="5"/>
    <x v="2"/>
    <x v="2"/>
    <x v="0"/>
    <x v="0"/>
    <n v="21126.93"/>
    <x v="0"/>
    <x v="0"/>
  </r>
  <r>
    <x v="5"/>
    <x v="2"/>
    <x v="3"/>
    <x v="0"/>
    <x v="0"/>
    <n v="118961.45"/>
    <x v="0"/>
    <x v="0"/>
  </r>
  <r>
    <x v="5"/>
    <x v="2"/>
    <x v="3"/>
    <x v="0"/>
    <x v="0"/>
    <n v="117182.34"/>
    <x v="0"/>
    <x v="0"/>
  </r>
  <r>
    <x v="5"/>
    <x v="2"/>
    <x v="3"/>
    <x v="0"/>
    <x v="0"/>
    <n v="109571.37"/>
    <x v="0"/>
    <x v="0"/>
  </r>
  <r>
    <x v="5"/>
    <x v="2"/>
    <x v="3"/>
    <x v="0"/>
    <x v="0"/>
    <n v="337588.8"/>
    <x v="0"/>
    <x v="0"/>
  </r>
  <r>
    <x v="5"/>
    <x v="2"/>
    <x v="3"/>
    <x v="0"/>
    <x v="0"/>
    <n v="306866.06"/>
    <x v="0"/>
    <x v="0"/>
  </r>
  <r>
    <x v="5"/>
    <x v="2"/>
    <x v="3"/>
    <x v="0"/>
    <x v="0"/>
    <n v="259080.76"/>
    <x v="0"/>
    <x v="0"/>
  </r>
  <r>
    <x v="5"/>
    <x v="2"/>
    <x v="3"/>
    <x v="0"/>
    <x v="0"/>
    <n v="178391.81"/>
    <x v="0"/>
    <x v="0"/>
  </r>
  <r>
    <x v="5"/>
    <x v="2"/>
    <x v="3"/>
    <x v="0"/>
    <x v="0"/>
    <n v="121885.87"/>
    <x v="0"/>
    <x v="0"/>
  </r>
  <r>
    <x v="5"/>
    <x v="2"/>
    <x v="3"/>
    <x v="0"/>
    <x v="0"/>
    <n v="445270.15"/>
    <x v="0"/>
    <x v="0"/>
  </r>
  <r>
    <x v="5"/>
    <x v="0"/>
    <x v="0"/>
    <x v="0"/>
    <x v="0"/>
    <n v="3328.38"/>
    <x v="0"/>
    <x v="0"/>
  </r>
  <r>
    <x v="5"/>
    <x v="0"/>
    <x v="0"/>
    <x v="0"/>
    <x v="0"/>
    <n v="4081.19"/>
    <x v="0"/>
    <x v="0"/>
  </r>
  <r>
    <x v="5"/>
    <x v="0"/>
    <x v="1"/>
    <x v="0"/>
    <x v="0"/>
    <n v="917.06"/>
    <x v="0"/>
    <x v="0"/>
  </r>
  <r>
    <x v="5"/>
    <x v="0"/>
    <x v="1"/>
    <x v="0"/>
    <x v="0"/>
    <n v="114.16"/>
    <x v="0"/>
    <x v="0"/>
  </r>
  <r>
    <x v="5"/>
    <x v="0"/>
    <x v="2"/>
    <x v="0"/>
    <x v="0"/>
    <n v="13817.6"/>
    <x v="0"/>
    <x v="0"/>
  </r>
  <r>
    <x v="5"/>
    <x v="0"/>
    <x v="0"/>
    <x v="0"/>
    <x v="0"/>
    <n v="3919.09"/>
    <x v="0"/>
    <x v="0"/>
  </r>
  <r>
    <x v="5"/>
    <x v="0"/>
    <x v="2"/>
    <x v="0"/>
    <x v="0"/>
    <n v="10520.87"/>
    <x v="0"/>
    <x v="0"/>
  </r>
  <r>
    <x v="5"/>
    <x v="0"/>
    <x v="2"/>
    <x v="0"/>
    <x v="0"/>
    <n v="10810.96"/>
    <x v="0"/>
    <x v="0"/>
  </r>
  <r>
    <x v="5"/>
    <x v="0"/>
    <x v="2"/>
    <x v="0"/>
    <x v="0"/>
    <n v="30405.26"/>
    <x v="0"/>
    <x v="0"/>
  </r>
  <r>
    <x v="5"/>
    <x v="0"/>
    <x v="2"/>
    <x v="0"/>
    <x v="0"/>
    <n v="15037.88"/>
    <x v="0"/>
    <x v="0"/>
  </r>
  <r>
    <x v="5"/>
    <x v="0"/>
    <x v="0"/>
    <x v="0"/>
    <x v="0"/>
    <n v="3485.75"/>
    <x v="0"/>
    <x v="0"/>
  </r>
  <r>
    <x v="5"/>
    <x v="0"/>
    <x v="2"/>
    <x v="0"/>
    <x v="0"/>
    <n v="26719.22"/>
    <x v="0"/>
    <x v="0"/>
  </r>
  <r>
    <x v="5"/>
    <x v="4"/>
    <x v="3"/>
    <x v="0"/>
    <x v="0"/>
    <n v="597329.41"/>
    <x v="0"/>
    <x v="0"/>
  </r>
  <r>
    <x v="5"/>
    <x v="1"/>
    <x v="3"/>
    <x v="0"/>
    <x v="0"/>
    <n v="189072.94"/>
    <x v="0"/>
    <x v="0"/>
  </r>
  <r>
    <x v="5"/>
    <x v="2"/>
    <x v="3"/>
    <x v="0"/>
    <x v="0"/>
    <n v="105165.25"/>
    <x v="0"/>
    <x v="0"/>
  </r>
  <r>
    <x v="5"/>
    <x v="2"/>
    <x v="2"/>
    <x v="0"/>
    <x v="0"/>
    <n v="63967.63"/>
    <x v="0"/>
    <x v="0"/>
  </r>
  <r>
    <x v="5"/>
    <x v="0"/>
    <x v="0"/>
    <x v="0"/>
    <x v="0"/>
    <n v="4445.7"/>
    <x v="0"/>
    <x v="0"/>
  </r>
  <r>
    <x v="5"/>
    <x v="0"/>
    <x v="0"/>
    <x v="0"/>
    <x v="0"/>
    <n v="5034.25"/>
    <x v="0"/>
    <x v="0"/>
  </r>
  <r>
    <x v="5"/>
    <x v="1"/>
    <x v="2"/>
    <x v="0"/>
    <x v="0"/>
    <n v="72875.23"/>
    <x v="0"/>
    <x v="0"/>
  </r>
  <r>
    <x v="5"/>
    <x v="0"/>
    <x v="0"/>
    <x v="0"/>
    <x v="0"/>
    <n v="9069.15"/>
    <x v="0"/>
    <x v="0"/>
  </r>
  <r>
    <x v="5"/>
    <x v="0"/>
    <x v="0"/>
    <x v="0"/>
    <x v="0"/>
    <n v="9380.69"/>
    <x v="0"/>
    <x v="0"/>
  </r>
  <r>
    <x v="5"/>
    <x v="0"/>
    <x v="0"/>
    <x v="0"/>
    <x v="0"/>
    <n v="3485.42"/>
    <x v="0"/>
    <x v="0"/>
  </r>
  <r>
    <x v="5"/>
    <x v="2"/>
    <x v="3"/>
    <x v="0"/>
    <x v="0"/>
    <n v="199682.99"/>
    <x v="0"/>
    <x v="0"/>
  </r>
  <r>
    <x v="5"/>
    <x v="0"/>
    <x v="2"/>
    <x v="0"/>
    <x v="0"/>
    <n v="10663.61"/>
    <x v="0"/>
    <x v="0"/>
  </r>
  <r>
    <x v="5"/>
    <x v="3"/>
    <x v="0"/>
    <x v="0"/>
    <x v="0"/>
    <n v="2279.48"/>
    <x v="0"/>
    <x v="0"/>
  </r>
  <r>
    <x v="5"/>
    <x v="0"/>
    <x v="2"/>
    <x v="0"/>
    <x v="0"/>
    <n v="13778.41"/>
    <x v="0"/>
    <x v="0"/>
  </r>
  <r>
    <x v="5"/>
    <x v="0"/>
    <x v="0"/>
    <x v="0"/>
    <x v="0"/>
    <n v="2740.41"/>
    <x v="0"/>
    <x v="0"/>
  </r>
  <r>
    <x v="5"/>
    <x v="0"/>
    <x v="0"/>
    <x v="0"/>
    <x v="0"/>
    <n v="2829.15"/>
    <x v="0"/>
    <x v="0"/>
  </r>
  <r>
    <x v="5"/>
    <x v="0"/>
    <x v="2"/>
    <x v="0"/>
    <x v="0"/>
    <n v="26393.7"/>
    <x v="0"/>
    <x v="0"/>
  </r>
  <r>
    <x v="5"/>
    <x v="1"/>
    <x v="3"/>
    <x v="0"/>
    <x v="0"/>
    <n v="227653.62"/>
    <x v="0"/>
    <x v="0"/>
  </r>
  <r>
    <x v="5"/>
    <x v="1"/>
    <x v="3"/>
    <x v="0"/>
    <x v="0"/>
    <n v="556849.49"/>
    <x v="0"/>
    <x v="0"/>
  </r>
  <r>
    <x v="5"/>
    <x v="1"/>
    <x v="3"/>
    <x v="0"/>
    <x v="0"/>
    <n v="714579.59"/>
    <x v="0"/>
    <x v="0"/>
  </r>
  <r>
    <x v="5"/>
    <x v="1"/>
    <x v="4"/>
    <x v="0"/>
    <x v="0"/>
    <n v="1566574.37"/>
    <x v="0"/>
    <x v="0"/>
  </r>
  <r>
    <x v="5"/>
    <x v="1"/>
    <x v="4"/>
    <x v="0"/>
    <x v="0"/>
    <n v="2062692.94"/>
    <x v="0"/>
    <x v="0"/>
  </r>
  <r>
    <x v="5"/>
    <x v="1"/>
    <x v="3"/>
    <x v="0"/>
    <x v="0"/>
    <n v="831878.75"/>
    <x v="0"/>
    <x v="0"/>
  </r>
  <r>
    <x v="5"/>
    <x v="1"/>
    <x v="3"/>
    <x v="0"/>
    <x v="0"/>
    <n v="595893.92"/>
    <x v="0"/>
    <x v="0"/>
  </r>
  <r>
    <x v="5"/>
    <x v="1"/>
    <x v="3"/>
    <x v="0"/>
    <x v="0"/>
    <n v="548556.51"/>
    <x v="0"/>
    <x v="0"/>
  </r>
  <r>
    <x v="5"/>
    <x v="1"/>
    <x v="3"/>
    <x v="0"/>
    <x v="0"/>
    <n v="212357.06"/>
    <x v="0"/>
    <x v="0"/>
  </r>
  <r>
    <x v="5"/>
    <x v="1"/>
    <x v="3"/>
    <x v="0"/>
    <x v="0"/>
    <n v="622552.15"/>
    <x v="0"/>
    <x v="0"/>
  </r>
  <r>
    <x v="5"/>
    <x v="1"/>
    <x v="4"/>
    <x v="0"/>
    <x v="0"/>
    <n v="1805520.31"/>
    <x v="0"/>
    <x v="0"/>
  </r>
  <r>
    <x v="5"/>
    <x v="1"/>
    <x v="3"/>
    <x v="0"/>
    <x v="0"/>
    <n v="412254.84"/>
    <x v="0"/>
    <x v="0"/>
  </r>
  <r>
    <x v="5"/>
    <x v="1"/>
    <x v="3"/>
    <x v="0"/>
    <x v="0"/>
    <n v="942403.4"/>
    <x v="0"/>
    <x v="0"/>
  </r>
  <r>
    <x v="5"/>
    <x v="1"/>
    <x v="3"/>
    <x v="0"/>
    <x v="0"/>
    <n v="999702.92"/>
    <x v="0"/>
    <x v="0"/>
  </r>
  <r>
    <x v="5"/>
    <x v="1"/>
    <x v="3"/>
    <x v="0"/>
    <x v="0"/>
    <n v="903968.72"/>
    <x v="0"/>
    <x v="0"/>
  </r>
  <r>
    <x v="5"/>
    <x v="1"/>
    <x v="3"/>
    <x v="0"/>
    <x v="0"/>
    <n v="205857.25"/>
    <x v="0"/>
    <x v="0"/>
  </r>
  <r>
    <x v="5"/>
    <x v="1"/>
    <x v="3"/>
    <x v="0"/>
    <x v="0"/>
    <n v="401863.05"/>
    <x v="0"/>
    <x v="0"/>
  </r>
  <r>
    <x v="5"/>
    <x v="1"/>
    <x v="3"/>
    <x v="0"/>
    <x v="0"/>
    <n v="330922.7"/>
    <x v="0"/>
    <x v="0"/>
  </r>
  <r>
    <x v="5"/>
    <x v="0"/>
    <x v="2"/>
    <x v="0"/>
    <x v="0"/>
    <n v="12274.76"/>
    <x v="0"/>
    <x v="0"/>
  </r>
  <r>
    <x v="5"/>
    <x v="3"/>
    <x v="1"/>
    <x v="0"/>
    <x v="0"/>
    <n v="149.11"/>
    <x v="0"/>
    <x v="0"/>
  </r>
  <r>
    <x v="5"/>
    <x v="0"/>
    <x v="0"/>
    <x v="0"/>
    <x v="0"/>
    <n v="5414.15"/>
    <x v="0"/>
    <x v="0"/>
  </r>
  <r>
    <x v="5"/>
    <x v="0"/>
    <x v="0"/>
    <x v="0"/>
    <x v="0"/>
    <n v="9396"/>
    <x v="0"/>
    <x v="0"/>
  </r>
  <r>
    <x v="5"/>
    <x v="0"/>
    <x v="0"/>
    <x v="0"/>
    <x v="0"/>
    <n v="4968.73"/>
    <x v="0"/>
    <x v="0"/>
  </r>
  <r>
    <x v="5"/>
    <x v="0"/>
    <x v="2"/>
    <x v="0"/>
    <x v="0"/>
    <n v="22850.11"/>
    <x v="0"/>
    <x v="0"/>
  </r>
  <r>
    <x v="5"/>
    <x v="0"/>
    <x v="0"/>
    <x v="0"/>
    <x v="0"/>
    <n v="2522.56"/>
    <x v="0"/>
    <x v="0"/>
  </r>
  <r>
    <x v="5"/>
    <x v="0"/>
    <x v="0"/>
    <x v="0"/>
    <x v="0"/>
    <n v="1961.03"/>
    <x v="0"/>
    <x v="0"/>
  </r>
  <r>
    <x v="5"/>
    <x v="0"/>
    <x v="0"/>
    <x v="0"/>
    <x v="0"/>
    <n v="7905.37"/>
    <x v="0"/>
    <x v="0"/>
  </r>
  <r>
    <x v="5"/>
    <x v="2"/>
    <x v="3"/>
    <x v="0"/>
    <x v="0"/>
    <n v="160356.26"/>
    <x v="0"/>
    <x v="0"/>
  </r>
  <r>
    <x v="5"/>
    <x v="1"/>
    <x v="3"/>
    <x v="0"/>
    <x v="0"/>
    <n v="125968.11"/>
    <x v="0"/>
    <x v="0"/>
  </r>
  <r>
    <x v="5"/>
    <x v="0"/>
    <x v="2"/>
    <x v="0"/>
    <x v="0"/>
    <n v="10695.07"/>
    <x v="0"/>
    <x v="0"/>
  </r>
  <r>
    <x v="5"/>
    <x v="0"/>
    <x v="2"/>
    <x v="0"/>
    <x v="0"/>
    <n v="31153.57"/>
    <x v="0"/>
    <x v="0"/>
  </r>
  <r>
    <x v="5"/>
    <x v="0"/>
    <x v="2"/>
    <x v="0"/>
    <x v="0"/>
    <n v="27652.32"/>
    <x v="0"/>
    <x v="0"/>
  </r>
  <r>
    <x v="5"/>
    <x v="0"/>
    <x v="0"/>
    <x v="0"/>
    <x v="0"/>
    <n v="9325.19"/>
    <x v="0"/>
    <x v="0"/>
  </r>
  <r>
    <x v="5"/>
    <x v="0"/>
    <x v="0"/>
    <x v="0"/>
    <x v="0"/>
    <n v="7135.37"/>
    <x v="0"/>
    <x v="0"/>
  </r>
  <r>
    <x v="5"/>
    <x v="0"/>
    <x v="0"/>
    <x v="0"/>
    <x v="0"/>
    <n v="5057.25"/>
    <x v="0"/>
    <x v="0"/>
  </r>
  <r>
    <x v="5"/>
    <x v="0"/>
    <x v="2"/>
    <x v="0"/>
    <x v="0"/>
    <n v="12327.31"/>
    <x v="0"/>
    <x v="0"/>
  </r>
  <r>
    <x v="5"/>
    <x v="0"/>
    <x v="2"/>
    <x v="0"/>
    <x v="0"/>
    <n v="30168.17"/>
    <x v="0"/>
    <x v="0"/>
  </r>
  <r>
    <x v="5"/>
    <x v="0"/>
    <x v="2"/>
    <x v="0"/>
    <x v="0"/>
    <n v="19150.12"/>
    <x v="0"/>
    <x v="0"/>
  </r>
  <r>
    <x v="5"/>
    <x v="0"/>
    <x v="2"/>
    <x v="0"/>
    <x v="0"/>
    <n v="42621.98"/>
    <x v="0"/>
    <x v="0"/>
  </r>
  <r>
    <x v="5"/>
    <x v="0"/>
    <x v="2"/>
    <x v="0"/>
    <x v="0"/>
    <n v="34594.65"/>
    <x v="0"/>
    <x v="0"/>
  </r>
  <r>
    <x v="5"/>
    <x v="0"/>
    <x v="0"/>
    <x v="0"/>
    <x v="0"/>
    <n v="4044.24"/>
    <x v="0"/>
    <x v="0"/>
  </r>
  <r>
    <x v="5"/>
    <x v="0"/>
    <x v="0"/>
    <x v="0"/>
    <x v="0"/>
    <n v="5372.6"/>
    <x v="0"/>
    <x v="0"/>
  </r>
  <r>
    <x v="5"/>
    <x v="0"/>
    <x v="2"/>
    <x v="0"/>
    <x v="0"/>
    <n v="12897.36"/>
    <x v="0"/>
    <x v="0"/>
  </r>
  <r>
    <x v="5"/>
    <x v="0"/>
    <x v="2"/>
    <x v="0"/>
    <x v="0"/>
    <n v="16721.01"/>
    <x v="0"/>
    <x v="0"/>
  </r>
  <r>
    <x v="5"/>
    <x v="0"/>
    <x v="0"/>
    <x v="0"/>
    <x v="0"/>
    <n v="9282.6"/>
    <x v="0"/>
    <x v="0"/>
  </r>
  <r>
    <x v="5"/>
    <x v="0"/>
    <x v="0"/>
    <x v="0"/>
    <x v="0"/>
    <n v="7887.71"/>
    <x v="0"/>
    <x v="0"/>
  </r>
  <r>
    <x v="5"/>
    <x v="0"/>
    <x v="1"/>
    <x v="0"/>
    <x v="0"/>
    <n v="487.15"/>
    <x v="0"/>
    <x v="0"/>
  </r>
  <r>
    <x v="5"/>
    <x v="0"/>
    <x v="0"/>
    <x v="0"/>
    <x v="0"/>
    <n v="2400.47"/>
    <x v="0"/>
    <x v="0"/>
  </r>
  <r>
    <x v="5"/>
    <x v="0"/>
    <x v="0"/>
    <x v="0"/>
    <x v="0"/>
    <n v="7131.82"/>
    <x v="0"/>
    <x v="0"/>
  </r>
  <r>
    <x v="5"/>
    <x v="0"/>
    <x v="0"/>
    <x v="0"/>
    <x v="0"/>
    <n v="9690.19"/>
    <x v="0"/>
    <x v="0"/>
  </r>
  <r>
    <x v="5"/>
    <x v="0"/>
    <x v="2"/>
    <x v="0"/>
    <x v="0"/>
    <n v="30632.31"/>
    <x v="0"/>
    <x v="0"/>
  </r>
  <r>
    <x v="5"/>
    <x v="0"/>
    <x v="1"/>
    <x v="0"/>
    <x v="0"/>
    <n v="476.55"/>
    <x v="0"/>
    <x v="0"/>
  </r>
  <r>
    <x v="5"/>
    <x v="0"/>
    <x v="0"/>
    <x v="0"/>
    <x v="0"/>
    <n v="3627.87"/>
    <x v="0"/>
    <x v="0"/>
  </r>
  <r>
    <x v="5"/>
    <x v="0"/>
    <x v="0"/>
    <x v="0"/>
    <x v="0"/>
    <n v="1016.37"/>
    <x v="0"/>
    <x v="0"/>
  </r>
  <r>
    <x v="5"/>
    <x v="0"/>
    <x v="2"/>
    <x v="0"/>
    <x v="0"/>
    <n v="11654.37"/>
    <x v="0"/>
    <x v="0"/>
  </r>
  <r>
    <x v="5"/>
    <x v="0"/>
    <x v="0"/>
    <x v="0"/>
    <x v="0"/>
    <n v="3450.71"/>
    <x v="0"/>
    <x v="0"/>
  </r>
  <r>
    <x v="5"/>
    <x v="0"/>
    <x v="2"/>
    <x v="0"/>
    <x v="0"/>
    <n v="15085.17"/>
    <x v="0"/>
    <x v="0"/>
  </r>
  <r>
    <x v="5"/>
    <x v="3"/>
    <x v="0"/>
    <x v="0"/>
    <x v="0"/>
    <n v="4747.29"/>
    <x v="0"/>
    <x v="0"/>
  </r>
  <r>
    <x v="5"/>
    <x v="2"/>
    <x v="3"/>
    <x v="0"/>
    <x v="0"/>
    <n v="200910.66"/>
    <x v="0"/>
    <x v="0"/>
  </r>
  <r>
    <x v="5"/>
    <x v="0"/>
    <x v="0"/>
    <x v="0"/>
    <x v="0"/>
    <n v="8096.68"/>
    <x v="0"/>
    <x v="0"/>
  </r>
  <r>
    <x v="5"/>
    <x v="2"/>
    <x v="2"/>
    <x v="0"/>
    <x v="0"/>
    <n v="56195.07"/>
    <x v="0"/>
    <x v="0"/>
  </r>
  <r>
    <x v="5"/>
    <x v="2"/>
    <x v="3"/>
    <x v="0"/>
    <x v="0"/>
    <n v="165777.06"/>
    <x v="0"/>
    <x v="0"/>
  </r>
  <r>
    <x v="5"/>
    <x v="2"/>
    <x v="3"/>
    <x v="0"/>
    <x v="0"/>
    <n v="361748.99"/>
    <x v="0"/>
    <x v="0"/>
  </r>
  <r>
    <x v="5"/>
    <x v="2"/>
    <x v="3"/>
    <x v="0"/>
    <x v="0"/>
    <n v="381343.16"/>
    <x v="0"/>
    <x v="0"/>
  </r>
  <r>
    <x v="5"/>
    <x v="2"/>
    <x v="3"/>
    <x v="0"/>
    <x v="0"/>
    <n v="206187.66"/>
    <x v="0"/>
    <x v="0"/>
  </r>
  <r>
    <x v="5"/>
    <x v="2"/>
    <x v="3"/>
    <x v="0"/>
    <x v="0"/>
    <n v="419260.55"/>
    <x v="0"/>
    <x v="0"/>
  </r>
  <r>
    <x v="5"/>
    <x v="2"/>
    <x v="3"/>
    <x v="0"/>
    <x v="0"/>
    <n v="340369.3"/>
    <x v="0"/>
    <x v="0"/>
  </r>
  <r>
    <x v="5"/>
    <x v="2"/>
    <x v="0"/>
    <x v="0"/>
    <x v="0"/>
    <n v="9300.22"/>
    <x v="0"/>
    <x v="0"/>
  </r>
  <r>
    <x v="5"/>
    <x v="2"/>
    <x v="3"/>
    <x v="0"/>
    <x v="0"/>
    <n v="180572.73"/>
    <x v="0"/>
    <x v="0"/>
  </r>
  <r>
    <x v="5"/>
    <x v="2"/>
    <x v="2"/>
    <x v="0"/>
    <x v="0"/>
    <n v="62959.29"/>
    <x v="0"/>
    <x v="0"/>
  </r>
  <r>
    <x v="5"/>
    <x v="2"/>
    <x v="3"/>
    <x v="0"/>
    <x v="0"/>
    <n v="267379.89"/>
    <x v="0"/>
    <x v="0"/>
  </r>
  <r>
    <x v="5"/>
    <x v="2"/>
    <x v="3"/>
    <x v="0"/>
    <x v="0"/>
    <n v="178505.6"/>
    <x v="0"/>
    <x v="0"/>
  </r>
  <r>
    <x v="5"/>
    <x v="2"/>
    <x v="2"/>
    <x v="0"/>
    <x v="0"/>
    <n v="54933.79"/>
    <x v="0"/>
    <x v="0"/>
  </r>
  <r>
    <x v="5"/>
    <x v="2"/>
    <x v="3"/>
    <x v="0"/>
    <x v="0"/>
    <n v="184679.97"/>
    <x v="0"/>
    <x v="0"/>
  </r>
  <r>
    <x v="5"/>
    <x v="2"/>
    <x v="3"/>
    <x v="0"/>
    <x v="0"/>
    <n v="100729.18"/>
    <x v="0"/>
    <x v="0"/>
  </r>
  <r>
    <x v="5"/>
    <x v="2"/>
    <x v="3"/>
    <x v="0"/>
    <x v="0"/>
    <n v="116951.71"/>
    <x v="0"/>
    <x v="0"/>
  </r>
  <r>
    <x v="5"/>
    <x v="0"/>
    <x v="0"/>
    <x v="0"/>
    <x v="0"/>
    <n v="2555.12"/>
    <x v="0"/>
    <x v="0"/>
  </r>
  <r>
    <x v="5"/>
    <x v="0"/>
    <x v="0"/>
    <x v="0"/>
    <x v="0"/>
    <n v="7350.01"/>
    <x v="0"/>
    <x v="0"/>
  </r>
  <r>
    <x v="5"/>
    <x v="0"/>
    <x v="2"/>
    <x v="0"/>
    <x v="0"/>
    <n v="13709.48"/>
    <x v="0"/>
    <x v="0"/>
  </r>
  <r>
    <x v="5"/>
    <x v="0"/>
    <x v="0"/>
    <x v="0"/>
    <x v="0"/>
    <n v="8808.05"/>
    <x v="0"/>
    <x v="0"/>
  </r>
  <r>
    <x v="5"/>
    <x v="0"/>
    <x v="0"/>
    <x v="0"/>
    <x v="0"/>
    <n v="9183.25"/>
    <x v="0"/>
    <x v="0"/>
  </r>
  <r>
    <x v="5"/>
    <x v="2"/>
    <x v="3"/>
    <x v="0"/>
    <x v="0"/>
    <n v="533164.85"/>
    <x v="0"/>
    <x v="0"/>
  </r>
  <r>
    <x v="5"/>
    <x v="0"/>
    <x v="0"/>
    <x v="0"/>
    <x v="0"/>
    <n v="3169.28"/>
    <x v="0"/>
    <x v="0"/>
  </r>
  <r>
    <x v="5"/>
    <x v="0"/>
    <x v="2"/>
    <x v="0"/>
    <x v="0"/>
    <n v="12371.83"/>
    <x v="0"/>
    <x v="0"/>
  </r>
  <r>
    <x v="5"/>
    <x v="0"/>
    <x v="0"/>
    <x v="0"/>
    <x v="0"/>
    <n v="5047.89"/>
    <x v="0"/>
    <x v="0"/>
  </r>
  <r>
    <x v="5"/>
    <x v="0"/>
    <x v="2"/>
    <x v="0"/>
    <x v="0"/>
    <n v="21100.42"/>
    <x v="0"/>
    <x v="0"/>
  </r>
  <r>
    <x v="5"/>
    <x v="1"/>
    <x v="3"/>
    <x v="0"/>
    <x v="0"/>
    <n v="351690.17"/>
    <x v="0"/>
    <x v="0"/>
  </r>
  <r>
    <x v="5"/>
    <x v="0"/>
    <x v="2"/>
    <x v="0"/>
    <x v="0"/>
    <n v="10953.04"/>
    <x v="0"/>
    <x v="0"/>
  </r>
  <r>
    <x v="5"/>
    <x v="0"/>
    <x v="2"/>
    <x v="0"/>
    <x v="0"/>
    <n v="26164.54"/>
    <x v="0"/>
    <x v="0"/>
  </r>
  <r>
    <x v="5"/>
    <x v="0"/>
    <x v="0"/>
    <x v="0"/>
    <x v="0"/>
    <n v="1895.14"/>
    <x v="0"/>
    <x v="0"/>
  </r>
  <r>
    <x v="5"/>
    <x v="0"/>
    <x v="0"/>
    <x v="0"/>
    <x v="0"/>
    <n v="7019.85"/>
    <x v="0"/>
    <x v="0"/>
  </r>
  <r>
    <x v="5"/>
    <x v="4"/>
    <x v="3"/>
    <x v="0"/>
    <x v="0"/>
    <n v="204371.41"/>
    <x v="0"/>
    <x v="0"/>
  </r>
  <r>
    <x v="5"/>
    <x v="4"/>
    <x v="2"/>
    <x v="0"/>
    <x v="0"/>
    <n v="72770.85"/>
    <x v="0"/>
    <x v="0"/>
  </r>
  <r>
    <x v="5"/>
    <x v="4"/>
    <x v="3"/>
    <x v="0"/>
    <x v="0"/>
    <n v="171495.96"/>
    <x v="0"/>
    <x v="0"/>
  </r>
  <r>
    <x v="5"/>
    <x v="4"/>
    <x v="3"/>
    <x v="0"/>
    <x v="0"/>
    <n v="359532.76"/>
    <x v="0"/>
    <x v="0"/>
  </r>
  <r>
    <x v="5"/>
    <x v="4"/>
    <x v="3"/>
    <x v="0"/>
    <x v="0"/>
    <n v="430086.7"/>
    <x v="0"/>
    <x v="0"/>
  </r>
  <r>
    <x v="5"/>
    <x v="4"/>
    <x v="3"/>
    <x v="0"/>
    <x v="0"/>
    <n v="346727.71"/>
    <x v="0"/>
    <x v="0"/>
  </r>
  <r>
    <x v="5"/>
    <x v="4"/>
    <x v="3"/>
    <x v="0"/>
    <x v="0"/>
    <n v="261519.42"/>
    <x v="0"/>
    <x v="0"/>
  </r>
  <r>
    <x v="5"/>
    <x v="4"/>
    <x v="3"/>
    <x v="0"/>
    <x v="0"/>
    <n v="135807.95"/>
    <x v="0"/>
    <x v="0"/>
  </r>
  <r>
    <x v="5"/>
    <x v="4"/>
    <x v="3"/>
    <x v="0"/>
    <x v="0"/>
    <n v="330293.92"/>
    <x v="0"/>
    <x v="0"/>
  </r>
  <r>
    <x v="5"/>
    <x v="4"/>
    <x v="2"/>
    <x v="0"/>
    <x v="0"/>
    <n v="54182.33"/>
    <x v="0"/>
    <x v="0"/>
  </r>
  <r>
    <x v="5"/>
    <x v="4"/>
    <x v="3"/>
    <x v="0"/>
    <x v="0"/>
    <n v="451688.56"/>
    <x v="0"/>
    <x v="0"/>
  </r>
  <r>
    <x v="5"/>
    <x v="4"/>
    <x v="3"/>
    <x v="0"/>
    <x v="0"/>
    <n v="181483.46"/>
    <x v="0"/>
    <x v="0"/>
  </r>
  <r>
    <x v="5"/>
    <x v="4"/>
    <x v="3"/>
    <x v="0"/>
    <x v="0"/>
    <n v="163607.02"/>
    <x v="0"/>
    <x v="0"/>
  </r>
  <r>
    <x v="5"/>
    <x v="4"/>
    <x v="3"/>
    <x v="0"/>
    <x v="0"/>
    <n v="184347.18"/>
    <x v="0"/>
    <x v="0"/>
  </r>
  <r>
    <x v="5"/>
    <x v="4"/>
    <x v="2"/>
    <x v="0"/>
    <x v="0"/>
    <n v="90264.51"/>
    <x v="0"/>
    <x v="0"/>
  </r>
  <r>
    <x v="5"/>
    <x v="4"/>
    <x v="2"/>
    <x v="0"/>
    <x v="0"/>
    <n v="14574.01"/>
    <x v="0"/>
    <x v="0"/>
  </r>
  <r>
    <x v="5"/>
    <x v="4"/>
    <x v="3"/>
    <x v="0"/>
    <x v="0"/>
    <n v="201937.2"/>
    <x v="0"/>
    <x v="0"/>
  </r>
  <r>
    <x v="5"/>
    <x v="0"/>
    <x v="0"/>
    <x v="0"/>
    <x v="0"/>
    <n v="2871.18"/>
    <x v="0"/>
    <x v="0"/>
  </r>
  <r>
    <x v="5"/>
    <x v="1"/>
    <x v="3"/>
    <x v="0"/>
    <x v="0"/>
    <n v="179341.27"/>
    <x v="0"/>
    <x v="0"/>
  </r>
  <r>
    <x v="5"/>
    <x v="0"/>
    <x v="2"/>
    <x v="0"/>
    <x v="0"/>
    <n v="12135.69"/>
    <x v="0"/>
    <x v="0"/>
  </r>
  <r>
    <x v="5"/>
    <x v="0"/>
    <x v="2"/>
    <x v="0"/>
    <x v="0"/>
    <n v="12989.69"/>
    <x v="0"/>
    <x v="0"/>
  </r>
  <r>
    <x v="5"/>
    <x v="0"/>
    <x v="2"/>
    <x v="0"/>
    <x v="0"/>
    <n v="19642.29"/>
    <x v="0"/>
    <x v="0"/>
  </r>
  <r>
    <x v="5"/>
    <x v="0"/>
    <x v="0"/>
    <x v="0"/>
    <x v="0"/>
    <n v="5017.33"/>
    <x v="0"/>
    <x v="0"/>
  </r>
  <r>
    <x v="5"/>
    <x v="0"/>
    <x v="2"/>
    <x v="0"/>
    <x v="0"/>
    <n v="13498.44"/>
    <x v="0"/>
    <x v="0"/>
  </r>
  <r>
    <x v="5"/>
    <x v="0"/>
    <x v="2"/>
    <x v="0"/>
    <x v="0"/>
    <n v="12742.65"/>
    <x v="0"/>
    <x v="0"/>
  </r>
  <r>
    <x v="5"/>
    <x v="0"/>
    <x v="2"/>
    <x v="0"/>
    <x v="0"/>
    <n v="16200.08"/>
    <x v="0"/>
    <x v="0"/>
  </r>
  <r>
    <x v="5"/>
    <x v="0"/>
    <x v="2"/>
    <x v="0"/>
    <x v="0"/>
    <n v="10353.67"/>
    <x v="0"/>
    <x v="0"/>
  </r>
  <r>
    <x v="5"/>
    <x v="0"/>
    <x v="0"/>
    <x v="0"/>
    <x v="0"/>
    <n v="2615.73"/>
    <x v="0"/>
    <x v="0"/>
  </r>
  <r>
    <x v="5"/>
    <x v="2"/>
    <x v="3"/>
    <x v="0"/>
    <x v="0"/>
    <n v="274406.81"/>
    <x v="0"/>
    <x v="0"/>
  </r>
  <r>
    <x v="5"/>
    <x v="0"/>
    <x v="0"/>
    <x v="0"/>
    <x v="0"/>
    <n v="2607.64"/>
    <x v="0"/>
    <x v="0"/>
  </r>
  <r>
    <x v="5"/>
    <x v="2"/>
    <x v="3"/>
    <x v="0"/>
    <x v="0"/>
    <n v="570941.46"/>
    <x v="0"/>
    <x v="0"/>
  </r>
  <r>
    <x v="5"/>
    <x v="0"/>
    <x v="2"/>
    <x v="0"/>
    <x v="0"/>
    <n v="21404.44"/>
    <x v="0"/>
    <x v="0"/>
  </r>
  <r>
    <x v="5"/>
    <x v="0"/>
    <x v="2"/>
    <x v="0"/>
    <x v="0"/>
    <n v="15889.95"/>
    <x v="0"/>
    <x v="0"/>
  </r>
  <r>
    <x v="5"/>
    <x v="0"/>
    <x v="2"/>
    <x v="0"/>
    <x v="0"/>
    <n v="10310.77"/>
    <x v="0"/>
    <x v="0"/>
  </r>
  <r>
    <x v="5"/>
    <x v="2"/>
    <x v="3"/>
    <x v="0"/>
    <x v="0"/>
    <n v="308384.4"/>
    <x v="0"/>
    <x v="0"/>
  </r>
  <r>
    <x v="5"/>
    <x v="0"/>
    <x v="2"/>
    <x v="0"/>
    <x v="0"/>
    <n v="13268.13"/>
    <x v="0"/>
    <x v="0"/>
  </r>
  <r>
    <x v="5"/>
    <x v="0"/>
    <x v="1"/>
    <x v="0"/>
    <x v="0"/>
    <n v="980.14"/>
    <x v="0"/>
    <x v="0"/>
  </r>
  <r>
    <x v="5"/>
    <x v="2"/>
    <x v="2"/>
    <x v="0"/>
    <x v="0"/>
    <n v="84326.18"/>
    <x v="0"/>
    <x v="0"/>
  </r>
  <r>
    <x v="5"/>
    <x v="2"/>
    <x v="3"/>
    <x v="0"/>
    <x v="0"/>
    <n v="261488.06"/>
    <x v="0"/>
    <x v="0"/>
  </r>
  <r>
    <x v="5"/>
    <x v="1"/>
    <x v="3"/>
    <x v="1"/>
    <x v="0"/>
    <n v="216422"/>
    <x v="1"/>
    <x v="28"/>
  </r>
  <r>
    <x v="5"/>
    <x v="2"/>
    <x v="3"/>
    <x v="1"/>
    <x v="0"/>
    <n v="216422"/>
    <x v="1"/>
    <x v="28"/>
  </r>
  <r>
    <x v="5"/>
    <x v="0"/>
    <x v="0"/>
    <x v="0"/>
    <x v="0"/>
    <n v="9584.44"/>
    <x v="0"/>
    <x v="0"/>
  </r>
  <r>
    <x v="5"/>
    <x v="2"/>
    <x v="3"/>
    <x v="0"/>
    <x v="0"/>
    <n v="122380.82"/>
    <x v="0"/>
    <x v="0"/>
  </r>
  <r>
    <x v="5"/>
    <x v="2"/>
    <x v="2"/>
    <x v="0"/>
    <x v="0"/>
    <n v="65938.21"/>
    <x v="0"/>
    <x v="0"/>
  </r>
  <r>
    <x v="5"/>
    <x v="2"/>
    <x v="3"/>
    <x v="0"/>
    <x v="0"/>
    <n v="142435.75"/>
    <x v="0"/>
    <x v="0"/>
  </r>
  <r>
    <x v="5"/>
    <x v="2"/>
    <x v="2"/>
    <x v="0"/>
    <x v="0"/>
    <n v="86821.76"/>
    <x v="0"/>
    <x v="0"/>
  </r>
  <r>
    <x v="5"/>
    <x v="2"/>
    <x v="2"/>
    <x v="0"/>
    <x v="0"/>
    <n v="85074.07"/>
    <x v="0"/>
    <x v="0"/>
  </r>
  <r>
    <x v="5"/>
    <x v="2"/>
    <x v="2"/>
    <x v="0"/>
    <x v="0"/>
    <n v="21696.81"/>
    <x v="0"/>
    <x v="0"/>
  </r>
  <r>
    <x v="5"/>
    <x v="2"/>
    <x v="3"/>
    <x v="0"/>
    <x v="0"/>
    <n v="206666.36"/>
    <x v="0"/>
    <x v="0"/>
  </r>
  <r>
    <x v="5"/>
    <x v="2"/>
    <x v="2"/>
    <x v="0"/>
    <x v="0"/>
    <n v="15674.27"/>
    <x v="0"/>
    <x v="0"/>
  </r>
  <r>
    <x v="5"/>
    <x v="2"/>
    <x v="3"/>
    <x v="0"/>
    <x v="0"/>
    <n v="200095.94"/>
    <x v="0"/>
    <x v="0"/>
  </r>
  <r>
    <x v="5"/>
    <x v="2"/>
    <x v="3"/>
    <x v="0"/>
    <x v="0"/>
    <n v="203376.02"/>
    <x v="0"/>
    <x v="0"/>
  </r>
  <r>
    <x v="5"/>
    <x v="2"/>
    <x v="3"/>
    <x v="0"/>
    <x v="0"/>
    <n v="207796.54"/>
    <x v="0"/>
    <x v="0"/>
  </r>
  <r>
    <x v="5"/>
    <x v="0"/>
    <x v="2"/>
    <x v="0"/>
    <x v="0"/>
    <n v="10854.35"/>
    <x v="0"/>
    <x v="0"/>
  </r>
  <r>
    <x v="5"/>
    <x v="1"/>
    <x v="3"/>
    <x v="0"/>
    <x v="0"/>
    <n v="308882.21"/>
    <x v="0"/>
    <x v="0"/>
  </r>
  <r>
    <x v="5"/>
    <x v="0"/>
    <x v="2"/>
    <x v="0"/>
    <x v="0"/>
    <n v="17575.98"/>
    <x v="0"/>
    <x v="0"/>
  </r>
  <r>
    <x v="5"/>
    <x v="0"/>
    <x v="2"/>
    <x v="0"/>
    <x v="0"/>
    <n v="20601.02"/>
    <x v="0"/>
    <x v="0"/>
  </r>
  <r>
    <x v="5"/>
    <x v="0"/>
    <x v="2"/>
    <x v="0"/>
    <x v="0"/>
    <n v="16175.39"/>
    <x v="0"/>
    <x v="0"/>
  </r>
  <r>
    <x v="5"/>
    <x v="0"/>
    <x v="2"/>
    <x v="0"/>
    <x v="0"/>
    <n v="25594.04"/>
    <x v="0"/>
    <x v="0"/>
  </r>
  <r>
    <x v="5"/>
    <x v="0"/>
    <x v="0"/>
    <x v="0"/>
    <x v="0"/>
    <n v="9766.07"/>
    <x v="0"/>
    <x v="0"/>
  </r>
  <r>
    <x v="5"/>
    <x v="0"/>
    <x v="1"/>
    <x v="0"/>
    <x v="0"/>
    <n v="779.76"/>
    <x v="0"/>
    <x v="0"/>
  </r>
  <r>
    <x v="5"/>
    <x v="0"/>
    <x v="2"/>
    <x v="0"/>
    <x v="0"/>
    <n v="22802.84"/>
    <x v="0"/>
    <x v="0"/>
  </r>
  <r>
    <x v="5"/>
    <x v="0"/>
    <x v="1"/>
    <x v="0"/>
    <x v="0"/>
    <n v="816.44"/>
    <x v="0"/>
    <x v="0"/>
  </r>
  <r>
    <x v="5"/>
    <x v="0"/>
    <x v="0"/>
    <x v="0"/>
    <x v="0"/>
    <n v="2181.44"/>
    <x v="0"/>
    <x v="0"/>
  </r>
  <r>
    <x v="5"/>
    <x v="0"/>
    <x v="2"/>
    <x v="0"/>
    <x v="0"/>
    <n v="36774.88"/>
    <x v="0"/>
    <x v="0"/>
  </r>
  <r>
    <x v="5"/>
    <x v="0"/>
    <x v="2"/>
    <x v="0"/>
    <x v="0"/>
    <n v="18278.65"/>
    <x v="0"/>
    <x v="0"/>
  </r>
  <r>
    <x v="5"/>
    <x v="3"/>
    <x v="0"/>
    <x v="0"/>
    <x v="0"/>
    <n v="4599.02"/>
    <x v="0"/>
    <x v="0"/>
  </r>
  <r>
    <x v="5"/>
    <x v="0"/>
    <x v="2"/>
    <x v="0"/>
    <x v="0"/>
    <n v="11011.74"/>
    <x v="0"/>
    <x v="0"/>
  </r>
  <r>
    <x v="5"/>
    <x v="0"/>
    <x v="2"/>
    <x v="0"/>
    <x v="0"/>
    <n v="18541.02"/>
    <x v="0"/>
    <x v="0"/>
  </r>
  <r>
    <x v="5"/>
    <x v="0"/>
    <x v="2"/>
    <x v="0"/>
    <x v="0"/>
    <n v="20385.69"/>
    <x v="0"/>
    <x v="0"/>
  </r>
  <r>
    <x v="5"/>
    <x v="1"/>
    <x v="3"/>
    <x v="0"/>
    <x v="0"/>
    <n v="199873.41"/>
    <x v="0"/>
    <x v="0"/>
  </r>
  <r>
    <x v="5"/>
    <x v="2"/>
    <x v="3"/>
    <x v="0"/>
    <x v="0"/>
    <n v="273120.84"/>
    <x v="0"/>
    <x v="0"/>
  </r>
  <r>
    <x v="5"/>
    <x v="0"/>
    <x v="2"/>
    <x v="0"/>
    <x v="0"/>
    <n v="17871.32"/>
    <x v="0"/>
    <x v="0"/>
  </r>
  <r>
    <x v="5"/>
    <x v="0"/>
    <x v="2"/>
    <x v="0"/>
    <x v="0"/>
    <n v="13836.66"/>
    <x v="0"/>
    <x v="0"/>
  </r>
  <r>
    <x v="5"/>
    <x v="0"/>
    <x v="2"/>
    <x v="0"/>
    <x v="0"/>
    <n v="25448.45"/>
    <x v="0"/>
    <x v="0"/>
  </r>
  <r>
    <x v="5"/>
    <x v="0"/>
    <x v="2"/>
    <x v="0"/>
    <x v="0"/>
    <n v="22547.2"/>
    <x v="0"/>
    <x v="0"/>
  </r>
  <r>
    <x v="5"/>
    <x v="0"/>
    <x v="0"/>
    <x v="0"/>
    <x v="0"/>
    <n v="9555.32"/>
    <x v="0"/>
    <x v="0"/>
  </r>
  <r>
    <x v="5"/>
    <x v="0"/>
    <x v="2"/>
    <x v="0"/>
    <x v="0"/>
    <n v="15983.15"/>
    <x v="0"/>
    <x v="0"/>
  </r>
  <r>
    <x v="5"/>
    <x v="4"/>
    <x v="3"/>
    <x v="0"/>
    <x v="0"/>
    <n v="283889"/>
    <x v="0"/>
    <x v="0"/>
  </r>
  <r>
    <x v="5"/>
    <x v="4"/>
    <x v="2"/>
    <x v="0"/>
    <x v="0"/>
    <n v="24492.49"/>
    <x v="0"/>
    <x v="0"/>
  </r>
  <r>
    <x v="5"/>
    <x v="4"/>
    <x v="3"/>
    <x v="0"/>
    <x v="0"/>
    <n v="420269.82"/>
    <x v="0"/>
    <x v="0"/>
  </r>
  <r>
    <x v="5"/>
    <x v="4"/>
    <x v="3"/>
    <x v="0"/>
    <x v="0"/>
    <n v="174806.05"/>
    <x v="0"/>
    <x v="0"/>
  </r>
  <r>
    <x v="5"/>
    <x v="4"/>
    <x v="2"/>
    <x v="0"/>
    <x v="0"/>
    <n v="78155.56"/>
    <x v="0"/>
    <x v="0"/>
  </r>
  <r>
    <x v="5"/>
    <x v="4"/>
    <x v="2"/>
    <x v="0"/>
    <x v="0"/>
    <n v="55503.1"/>
    <x v="0"/>
    <x v="0"/>
  </r>
  <r>
    <x v="5"/>
    <x v="4"/>
    <x v="3"/>
    <x v="0"/>
    <x v="0"/>
    <n v="271184.55"/>
    <x v="0"/>
    <x v="0"/>
  </r>
  <r>
    <x v="5"/>
    <x v="4"/>
    <x v="3"/>
    <x v="0"/>
    <x v="0"/>
    <n v="232498.27"/>
    <x v="0"/>
    <x v="0"/>
  </r>
  <r>
    <x v="5"/>
    <x v="4"/>
    <x v="3"/>
    <x v="0"/>
    <x v="0"/>
    <n v="357726.65"/>
    <x v="0"/>
    <x v="0"/>
  </r>
  <r>
    <x v="5"/>
    <x v="4"/>
    <x v="3"/>
    <x v="0"/>
    <x v="0"/>
    <n v="135998.76"/>
    <x v="0"/>
    <x v="0"/>
  </r>
  <r>
    <x v="5"/>
    <x v="4"/>
    <x v="3"/>
    <x v="0"/>
    <x v="0"/>
    <n v="153512.92"/>
    <x v="0"/>
    <x v="0"/>
  </r>
  <r>
    <x v="5"/>
    <x v="4"/>
    <x v="2"/>
    <x v="0"/>
    <x v="0"/>
    <n v="12245.34"/>
    <x v="0"/>
    <x v="0"/>
  </r>
  <r>
    <x v="5"/>
    <x v="4"/>
    <x v="3"/>
    <x v="0"/>
    <x v="0"/>
    <n v="253419.13"/>
    <x v="0"/>
    <x v="0"/>
  </r>
  <r>
    <x v="5"/>
    <x v="4"/>
    <x v="3"/>
    <x v="0"/>
    <x v="0"/>
    <n v="111460.82"/>
    <x v="0"/>
    <x v="0"/>
  </r>
  <r>
    <x v="5"/>
    <x v="4"/>
    <x v="3"/>
    <x v="0"/>
    <x v="0"/>
    <n v="186841.67"/>
    <x v="0"/>
    <x v="0"/>
  </r>
  <r>
    <x v="5"/>
    <x v="4"/>
    <x v="3"/>
    <x v="0"/>
    <x v="0"/>
    <n v="133663.18"/>
    <x v="0"/>
    <x v="0"/>
  </r>
  <r>
    <x v="5"/>
    <x v="4"/>
    <x v="3"/>
    <x v="0"/>
    <x v="0"/>
    <n v="159689.6"/>
    <x v="0"/>
    <x v="0"/>
  </r>
  <r>
    <x v="5"/>
    <x v="4"/>
    <x v="3"/>
    <x v="0"/>
    <x v="0"/>
    <n v="561808.58"/>
    <x v="0"/>
    <x v="0"/>
  </r>
  <r>
    <x v="5"/>
    <x v="4"/>
    <x v="3"/>
    <x v="0"/>
    <x v="0"/>
    <n v="502514.81"/>
    <x v="0"/>
    <x v="0"/>
  </r>
  <r>
    <x v="5"/>
    <x v="4"/>
    <x v="3"/>
    <x v="0"/>
    <x v="0"/>
    <n v="115359.35"/>
    <x v="0"/>
    <x v="0"/>
  </r>
  <r>
    <x v="5"/>
    <x v="4"/>
    <x v="2"/>
    <x v="0"/>
    <x v="0"/>
    <n v="26531.35"/>
    <x v="0"/>
    <x v="0"/>
  </r>
  <r>
    <x v="5"/>
    <x v="4"/>
    <x v="2"/>
    <x v="0"/>
    <x v="0"/>
    <n v="30416"/>
    <x v="0"/>
    <x v="0"/>
  </r>
  <r>
    <x v="5"/>
    <x v="4"/>
    <x v="2"/>
    <x v="0"/>
    <x v="0"/>
    <n v="58538.76"/>
    <x v="0"/>
    <x v="0"/>
  </r>
  <r>
    <x v="5"/>
    <x v="4"/>
    <x v="2"/>
    <x v="0"/>
    <x v="0"/>
    <n v="41116.29"/>
    <x v="0"/>
    <x v="0"/>
  </r>
  <r>
    <x v="5"/>
    <x v="4"/>
    <x v="3"/>
    <x v="0"/>
    <x v="0"/>
    <n v="164197.03"/>
    <x v="0"/>
    <x v="0"/>
  </r>
  <r>
    <x v="5"/>
    <x v="4"/>
    <x v="3"/>
    <x v="0"/>
    <x v="0"/>
    <n v="308177.51"/>
    <x v="0"/>
    <x v="0"/>
  </r>
  <r>
    <x v="5"/>
    <x v="4"/>
    <x v="2"/>
    <x v="0"/>
    <x v="0"/>
    <n v="52997.24"/>
    <x v="0"/>
    <x v="0"/>
  </r>
  <r>
    <x v="5"/>
    <x v="4"/>
    <x v="3"/>
    <x v="0"/>
    <x v="0"/>
    <n v="103082.13"/>
    <x v="0"/>
    <x v="0"/>
  </r>
  <r>
    <x v="5"/>
    <x v="4"/>
    <x v="3"/>
    <x v="0"/>
    <x v="0"/>
    <n v="214086.09"/>
    <x v="0"/>
    <x v="0"/>
  </r>
  <r>
    <x v="5"/>
    <x v="4"/>
    <x v="3"/>
    <x v="0"/>
    <x v="0"/>
    <n v="263027.96"/>
    <x v="0"/>
    <x v="0"/>
  </r>
  <r>
    <x v="5"/>
    <x v="4"/>
    <x v="3"/>
    <x v="0"/>
    <x v="0"/>
    <n v="352360.67"/>
    <x v="0"/>
    <x v="0"/>
  </r>
  <r>
    <x v="5"/>
    <x v="4"/>
    <x v="3"/>
    <x v="0"/>
    <x v="0"/>
    <n v="224527.63"/>
    <x v="0"/>
    <x v="0"/>
  </r>
  <r>
    <x v="5"/>
    <x v="4"/>
    <x v="3"/>
    <x v="0"/>
    <x v="0"/>
    <n v="249972.42"/>
    <x v="0"/>
    <x v="0"/>
  </r>
  <r>
    <x v="5"/>
    <x v="4"/>
    <x v="2"/>
    <x v="0"/>
    <x v="0"/>
    <n v="85450.99"/>
    <x v="0"/>
    <x v="0"/>
  </r>
  <r>
    <x v="5"/>
    <x v="4"/>
    <x v="3"/>
    <x v="0"/>
    <x v="0"/>
    <n v="126270.37"/>
    <x v="0"/>
    <x v="0"/>
  </r>
  <r>
    <x v="5"/>
    <x v="4"/>
    <x v="2"/>
    <x v="0"/>
    <x v="0"/>
    <n v="28526.13"/>
    <x v="0"/>
    <x v="0"/>
  </r>
  <r>
    <x v="5"/>
    <x v="4"/>
    <x v="2"/>
    <x v="0"/>
    <x v="0"/>
    <n v="26271.48"/>
    <x v="0"/>
    <x v="0"/>
  </r>
  <r>
    <x v="5"/>
    <x v="4"/>
    <x v="3"/>
    <x v="0"/>
    <x v="0"/>
    <n v="209758.49"/>
    <x v="0"/>
    <x v="0"/>
  </r>
  <r>
    <x v="5"/>
    <x v="4"/>
    <x v="3"/>
    <x v="0"/>
    <x v="0"/>
    <n v="202246.61"/>
    <x v="0"/>
    <x v="0"/>
  </r>
  <r>
    <x v="5"/>
    <x v="4"/>
    <x v="3"/>
    <x v="0"/>
    <x v="0"/>
    <n v="121913.7"/>
    <x v="0"/>
    <x v="0"/>
  </r>
  <r>
    <x v="5"/>
    <x v="4"/>
    <x v="3"/>
    <x v="0"/>
    <x v="0"/>
    <n v="134126.72"/>
    <x v="0"/>
    <x v="0"/>
  </r>
  <r>
    <x v="5"/>
    <x v="4"/>
    <x v="3"/>
    <x v="0"/>
    <x v="0"/>
    <n v="266095.2"/>
    <x v="0"/>
    <x v="0"/>
  </r>
  <r>
    <x v="5"/>
    <x v="4"/>
    <x v="3"/>
    <x v="0"/>
    <x v="0"/>
    <n v="189896.16"/>
    <x v="0"/>
    <x v="0"/>
  </r>
  <r>
    <x v="5"/>
    <x v="4"/>
    <x v="2"/>
    <x v="0"/>
    <x v="0"/>
    <n v="49976.72"/>
    <x v="0"/>
    <x v="0"/>
  </r>
  <r>
    <x v="5"/>
    <x v="4"/>
    <x v="3"/>
    <x v="0"/>
    <x v="0"/>
    <n v="299711.16"/>
    <x v="0"/>
    <x v="0"/>
  </r>
  <r>
    <x v="5"/>
    <x v="4"/>
    <x v="2"/>
    <x v="0"/>
    <x v="0"/>
    <n v="68463.23"/>
    <x v="0"/>
    <x v="0"/>
  </r>
  <r>
    <x v="5"/>
    <x v="4"/>
    <x v="3"/>
    <x v="0"/>
    <x v="0"/>
    <n v="348393.24"/>
    <x v="0"/>
    <x v="0"/>
  </r>
  <r>
    <x v="5"/>
    <x v="4"/>
    <x v="2"/>
    <x v="0"/>
    <x v="0"/>
    <n v="21666.76"/>
    <x v="0"/>
    <x v="0"/>
  </r>
  <r>
    <x v="5"/>
    <x v="4"/>
    <x v="2"/>
    <x v="0"/>
    <x v="0"/>
    <n v="63588.85"/>
    <x v="0"/>
    <x v="0"/>
  </r>
  <r>
    <x v="5"/>
    <x v="4"/>
    <x v="0"/>
    <x v="0"/>
    <x v="0"/>
    <n v="3732.98"/>
    <x v="0"/>
    <x v="0"/>
  </r>
  <r>
    <x v="5"/>
    <x v="4"/>
    <x v="2"/>
    <x v="0"/>
    <x v="0"/>
    <n v="51437.6"/>
    <x v="0"/>
    <x v="0"/>
  </r>
  <r>
    <x v="5"/>
    <x v="4"/>
    <x v="3"/>
    <x v="0"/>
    <x v="0"/>
    <n v="108259.9"/>
    <x v="0"/>
    <x v="0"/>
  </r>
  <r>
    <x v="5"/>
    <x v="4"/>
    <x v="3"/>
    <x v="0"/>
    <x v="0"/>
    <n v="138569.74"/>
    <x v="0"/>
    <x v="0"/>
  </r>
  <r>
    <x v="5"/>
    <x v="4"/>
    <x v="3"/>
    <x v="0"/>
    <x v="0"/>
    <n v="117536.98"/>
    <x v="0"/>
    <x v="0"/>
  </r>
  <r>
    <x v="5"/>
    <x v="4"/>
    <x v="2"/>
    <x v="0"/>
    <x v="0"/>
    <n v="29516.52"/>
    <x v="0"/>
    <x v="0"/>
  </r>
  <r>
    <x v="5"/>
    <x v="4"/>
    <x v="2"/>
    <x v="0"/>
    <x v="0"/>
    <n v="20261.63"/>
    <x v="0"/>
    <x v="0"/>
  </r>
  <r>
    <x v="5"/>
    <x v="4"/>
    <x v="2"/>
    <x v="0"/>
    <x v="0"/>
    <n v="61546.01"/>
    <x v="0"/>
    <x v="0"/>
  </r>
  <r>
    <x v="5"/>
    <x v="4"/>
    <x v="3"/>
    <x v="0"/>
    <x v="0"/>
    <n v="154735.14"/>
    <x v="0"/>
    <x v="0"/>
  </r>
  <r>
    <x v="5"/>
    <x v="4"/>
    <x v="2"/>
    <x v="0"/>
    <x v="0"/>
    <n v="28266.24"/>
    <x v="0"/>
    <x v="0"/>
  </r>
  <r>
    <x v="5"/>
    <x v="4"/>
    <x v="3"/>
    <x v="0"/>
    <x v="0"/>
    <n v="229651.1"/>
    <x v="0"/>
    <x v="0"/>
  </r>
  <r>
    <x v="5"/>
    <x v="4"/>
    <x v="3"/>
    <x v="0"/>
    <x v="0"/>
    <n v="455846.84"/>
    <x v="0"/>
    <x v="0"/>
  </r>
  <r>
    <x v="5"/>
    <x v="4"/>
    <x v="3"/>
    <x v="0"/>
    <x v="0"/>
    <n v="511779.03"/>
    <x v="0"/>
    <x v="0"/>
  </r>
  <r>
    <x v="5"/>
    <x v="4"/>
    <x v="3"/>
    <x v="0"/>
    <x v="0"/>
    <n v="253489.92"/>
    <x v="0"/>
    <x v="0"/>
  </r>
  <r>
    <x v="5"/>
    <x v="4"/>
    <x v="3"/>
    <x v="0"/>
    <x v="0"/>
    <n v="341350.6"/>
    <x v="0"/>
    <x v="0"/>
  </r>
  <r>
    <x v="5"/>
    <x v="4"/>
    <x v="3"/>
    <x v="0"/>
    <x v="0"/>
    <n v="410821.56"/>
    <x v="0"/>
    <x v="0"/>
  </r>
  <r>
    <x v="5"/>
    <x v="4"/>
    <x v="3"/>
    <x v="0"/>
    <x v="0"/>
    <n v="335389.99"/>
    <x v="0"/>
    <x v="0"/>
  </r>
  <r>
    <x v="5"/>
    <x v="4"/>
    <x v="2"/>
    <x v="0"/>
    <x v="0"/>
    <n v="28747.1"/>
    <x v="0"/>
    <x v="0"/>
  </r>
  <r>
    <x v="5"/>
    <x v="4"/>
    <x v="3"/>
    <x v="0"/>
    <x v="0"/>
    <n v="258578.06"/>
    <x v="0"/>
    <x v="0"/>
  </r>
  <r>
    <x v="5"/>
    <x v="4"/>
    <x v="2"/>
    <x v="0"/>
    <x v="0"/>
    <n v="21865.49"/>
    <x v="0"/>
    <x v="0"/>
  </r>
  <r>
    <x v="5"/>
    <x v="4"/>
    <x v="2"/>
    <x v="0"/>
    <x v="0"/>
    <n v="25260.54"/>
    <x v="0"/>
    <x v="0"/>
  </r>
  <r>
    <x v="5"/>
    <x v="4"/>
    <x v="3"/>
    <x v="0"/>
    <x v="0"/>
    <n v="123551.62"/>
    <x v="0"/>
    <x v="0"/>
  </r>
  <r>
    <x v="5"/>
    <x v="4"/>
    <x v="3"/>
    <x v="0"/>
    <x v="0"/>
    <n v="187863.78"/>
    <x v="0"/>
    <x v="0"/>
  </r>
  <r>
    <x v="5"/>
    <x v="4"/>
    <x v="3"/>
    <x v="0"/>
    <x v="0"/>
    <n v="237456.97"/>
    <x v="0"/>
    <x v="0"/>
  </r>
  <r>
    <x v="5"/>
    <x v="4"/>
    <x v="2"/>
    <x v="0"/>
    <x v="0"/>
    <n v="32078.13"/>
    <x v="0"/>
    <x v="0"/>
  </r>
  <r>
    <x v="5"/>
    <x v="0"/>
    <x v="0"/>
    <x v="0"/>
    <x v="0"/>
    <n v="6479.6"/>
    <x v="0"/>
    <x v="0"/>
  </r>
  <r>
    <x v="5"/>
    <x v="0"/>
    <x v="0"/>
    <x v="0"/>
    <x v="0"/>
    <n v="2455.08"/>
    <x v="0"/>
    <x v="0"/>
  </r>
  <r>
    <x v="5"/>
    <x v="0"/>
    <x v="0"/>
    <x v="0"/>
    <x v="0"/>
    <n v="5554.61"/>
    <x v="0"/>
    <x v="0"/>
  </r>
  <r>
    <x v="5"/>
    <x v="0"/>
    <x v="2"/>
    <x v="0"/>
    <x v="0"/>
    <n v="24963.89"/>
    <x v="0"/>
    <x v="0"/>
  </r>
  <r>
    <x v="5"/>
    <x v="0"/>
    <x v="0"/>
    <x v="0"/>
    <x v="0"/>
    <n v="6853.5"/>
    <x v="0"/>
    <x v="0"/>
  </r>
  <r>
    <x v="5"/>
    <x v="0"/>
    <x v="2"/>
    <x v="0"/>
    <x v="0"/>
    <n v="14703.98"/>
    <x v="0"/>
    <x v="0"/>
  </r>
  <r>
    <x v="5"/>
    <x v="1"/>
    <x v="2"/>
    <x v="1"/>
    <x v="0"/>
    <n v="17320.91"/>
    <x v="1"/>
    <x v="29"/>
  </r>
  <r>
    <x v="5"/>
    <x v="2"/>
    <x v="2"/>
    <x v="1"/>
    <x v="0"/>
    <n v="17320.91"/>
    <x v="1"/>
    <x v="29"/>
  </r>
  <r>
    <x v="5"/>
    <x v="0"/>
    <x v="2"/>
    <x v="0"/>
    <x v="0"/>
    <n v="14107.2"/>
    <x v="0"/>
    <x v="0"/>
  </r>
  <r>
    <x v="5"/>
    <x v="0"/>
    <x v="0"/>
    <x v="0"/>
    <x v="0"/>
    <n v="5644.05"/>
    <x v="0"/>
    <x v="0"/>
  </r>
  <r>
    <x v="5"/>
    <x v="1"/>
    <x v="2"/>
    <x v="1"/>
    <x v="0"/>
    <n v="17246"/>
    <x v="1"/>
    <x v="30"/>
  </r>
  <r>
    <x v="5"/>
    <x v="2"/>
    <x v="2"/>
    <x v="1"/>
    <x v="0"/>
    <n v="17246"/>
    <x v="1"/>
    <x v="30"/>
  </r>
  <r>
    <x v="5"/>
    <x v="0"/>
    <x v="0"/>
    <x v="0"/>
    <x v="0"/>
    <n v="3559.83"/>
    <x v="0"/>
    <x v="0"/>
  </r>
  <r>
    <x v="5"/>
    <x v="0"/>
    <x v="2"/>
    <x v="0"/>
    <x v="0"/>
    <n v="11587.52"/>
    <x v="0"/>
    <x v="0"/>
  </r>
  <r>
    <x v="5"/>
    <x v="0"/>
    <x v="2"/>
    <x v="0"/>
    <x v="0"/>
    <n v="30051.02"/>
    <x v="0"/>
    <x v="0"/>
  </r>
  <r>
    <x v="5"/>
    <x v="0"/>
    <x v="0"/>
    <x v="0"/>
    <x v="0"/>
    <n v="2962.06"/>
    <x v="0"/>
    <x v="0"/>
  </r>
  <r>
    <x v="5"/>
    <x v="0"/>
    <x v="2"/>
    <x v="0"/>
    <x v="0"/>
    <n v="33114.03"/>
    <x v="0"/>
    <x v="0"/>
  </r>
  <r>
    <x v="5"/>
    <x v="0"/>
    <x v="2"/>
    <x v="0"/>
    <x v="0"/>
    <n v="32379.76"/>
    <x v="0"/>
    <x v="0"/>
  </r>
  <r>
    <x v="5"/>
    <x v="0"/>
    <x v="2"/>
    <x v="0"/>
    <x v="0"/>
    <n v="24258.1"/>
    <x v="0"/>
    <x v="0"/>
  </r>
  <r>
    <x v="5"/>
    <x v="0"/>
    <x v="0"/>
    <x v="0"/>
    <x v="0"/>
    <n v="3988.39"/>
    <x v="0"/>
    <x v="0"/>
  </r>
  <r>
    <x v="5"/>
    <x v="0"/>
    <x v="0"/>
    <x v="0"/>
    <x v="0"/>
    <n v="8950.68"/>
    <x v="0"/>
    <x v="0"/>
  </r>
  <r>
    <x v="5"/>
    <x v="1"/>
    <x v="3"/>
    <x v="0"/>
    <x v="0"/>
    <n v="301294.72"/>
    <x v="0"/>
    <x v="0"/>
  </r>
  <r>
    <x v="5"/>
    <x v="0"/>
    <x v="2"/>
    <x v="0"/>
    <x v="0"/>
    <n v="21536.22"/>
    <x v="0"/>
    <x v="0"/>
  </r>
  <r>
    <x v="5"/>
    <x v="0"/>
    <x v="0"/>
    <x v="0"/>
    <x v="0"/>
    <n v="3134.07"/>
    <x v="0"/>
    <x v="0"/>
  </r>
  <r>
    <x v="5"/>
    <x v="0"/>
    <x v="0"/>
    <x v="0"/>
    <x v="0"/>
    <n v="5640.35"/>
    <x v="0"/>
    <x v="0"/>
  </r>
  <r>
    <x v="5"/>
    <x v="0"/>
    <x v="0"/>
    <x v="0"/>
    <x v="0"/>
    <n v="9517.37"/>
    <x v="0"/>
    <x v="0"/>
  </r>
  <r>
    <x v="5"/>
    <x v="2"/>
    <x v="3"/>
    <x v="0"/>
    <x v="0"/>
    <n v="235783.84"/>
    <x v="0"/>
    <x v="0"/>
  </r>
  <r>
    <x v="5"/>
    <x v="0"/>
    <x v="2"/>
    <x v="0"/>
    <x v="0"/>
    <n v="10986.65"/>
    <x v="0"/>
    <x v="0"/>
  </r>
  <r>
    <x v="5"/>
    <x v="0"/>
    <x v="0"/>
    <x v="0"/>
    <x v="0"/>
    <n v="2326.67"/>
    <x v="0"/>
    <x v="0"/>
  </r>
  <r>
    <x v="5"/>
    <x v="0"/>
    <x v="0"/>
    <x v="0"/>
    <x v="0"/>
    <n v="9455.4"/>
    <x v="0"/>
    <x v="0"/>
  </r>
  <r>
    <x v="5"/>
    <x v="2"/>
    <x v="3"/>
    <x v="0"/>
    <x v="0"/>
    <n v="242640.84"/>
    <x v="0"/>
    <x v="0"/>
  </r>
  <r>
    <x v="5"/>
    <x v="2"/>
    <x v="3"/>
    <x v="0"/>
    <x v="0"/>
    <n v="237752.47"/>
    <x v="0"/>
    <x v="0"/>
  </r>
  <r>
    <x v="5"/>
    <x v="2"/>
    <x v="2"/>
    <x v="0"/>
    <x v="0"/>
    <n v="46873.46"/>
    <x v="0"/>
    <x v="0"/>
  </r>
  <r>
    <x v="5"/>
    <x v="2"/>
    <x v="3"/>
    <x v="0"/>
    <x v="0"/>
    <n v="102448.98"/>
    <x v="0"/>
    <x v="0"/>
  </r>
  <r>
    <x v="5"/>
    <x v="0"/>
    <x v="2"/>
    <x v="0"/>
    <x v="0"/>
    <n v="19128.32"/>
    <x v="0"/>
    <x v="0"/>
  </r>
  <r>
    <x v="5"/>
    <x v="0"/>
    <x v="2"/>
    <x v="0"/>
    <x v="0"/>
    <n v="18255.04"/>
    <x v="0"/>
    <x v="0"/>
  </r>
  <r>
    <x v="5"/>
    <x v="0"/>
    <x v="2"/>
    <x v="0"/>
    <x v="0"/>
    <n v="17978.87"/>
    <x v="0"/>
    <x v="0"/>
  </r>
  <r>
    <x v="5"/>
    <x v="0"/>
    <x v="0"/>
    <x v="0"/>
    <x v="0"/>
    <n v="1563.49"/>
    <x v="0"/>
    <x v="0"/>
  </r>
  <r>
    <x v="5"/>
    <x v="0"/>
    <x v="2"/>
    <x v="0"/>
    <x v="0"/>
    <n v="38778.04"/>
    <x v="0"/>
    <x v="0"/>
  </r>
  <r>
    <x v="5"/>
    <x v="0"/>
    <x v="2"/>
    <x v="0"/>
    <x v="0"/>
    <n v="23248.88"/>
    <x v="0"/>
    <x v="0"/>
  </r>
  <r>
    <x v="5"/>
    <x v="0"/>
    <x v="1"/>
    <x v="0"/>
    <x v="0"/>
    <n v="749.05"/>
    <x v="0"/>
    <x v="0"/>
  </r>
  <r>
    <x v="5"/>
    <x v="0"/>
    <x v="2"/>
    <x v="0"/>
    <x v="0"/>
    <n v="20756.62"/>
    <x v="0"/>
    <x v="0"/>
  </r>
  <r>
    <x v="5"/>
    <x v="0"/>
    <x v="2"/>
    <x v="0"/>
    <x v="0"/>
    <n v="16344.3"/>
    <x v="0"/>
    <x v="0"/>
  </r>
  <r>
    <x v="5"/>
    <x v="0"/>
    <x v="0"/>
    <x v="0"/>
    <x v="0"/>
    <n v="3051.36"/>
    <x v="0"/>
    <x v="0"/>
  </r>
  <r>
    <x v="5"/>
    <x v="0"/>
    <x v="0"/>
    <x v="0"/>
    <x v="0"/>
    <n v="3230.7"/>
    <x v="0"/>
    <x v="0"/>
  </r>
  <r>
    <x v="5"/>
    <x v="0"/>
    <x v="0"/>
    <x v="0"/>
    <x v="0"/>
    <n v="8893.16"/>
    <x v="0"/>
    <x v="0"/>
  </r>
  <r>
    <x v="5"/>
    <x v="0"/>
    <x v="2"/>
    <x v="0"/>
    <x v="0"/>
    <n v="15972.45"/>
    <x v="0"/>
    <x v="0"/>
  </r>
  <r>
    <x v="5"/>
    <x v="0"/>
    <x v="2"/>
    <x v="0"/>
    <x v="0"/>
    <n v="28710.56"/>
    <x v="0"/>
    <x v="0"/>
  </r>
  <r>
    <x v="5"/>
    <x v="0"/>
    <x v="0"/>
    <x v="0"/>
    <x v="0"/>
    <n v="6286.6"/>
    <x v="0"/>
    <x v="0"/>
  </r>
  <r>
    <x v="5"/>
    <x v="0"/>
    <x v="0"/>
    <x v="0"/>
    <x v="0"/>
    <n v="1599.64"/>
    <x v="0"/>
    <x v="0"/>
  </r>
  <r>
    <x v="5"/>
    <x v="0"/>
    <x v="1"/>
    <x v="0"/>
    <x v="0"/>
    <n v="121.57"/>
    <x v="0"/>
    <x v="0"/>
  </r>
  <r>
    <x v="5"/>
    <x v="0"/>
    <x v="0"/>
    <x v="0"/>
    <x v="0"/>
    <n v="9518.37"/>
    <x v="0"/>
    <x v="0"/>
  </r>
  <r>
    <x v="5"/>
    <x v="0"/>
    <x v="2"/>
    <x v="0"/>
    <x v="0"/>
    <n v="15827.12"/>
    <x v="0"/>
    <x v="0"/>
  </r>
  <r>
    <x v="5"/>
    <x v="0"/>
    <x v="0"/>
    <x v="0"/>
    <x v="0"/>
    <n v="5932.23"/>
    <x v="0"/>
    <x v="0"/>
  </r>
  <r>
    <x v="5"/>
    <x v="0"/>
    <x v="2"/>
    <x v="0"/>
    <x v="0"/>
    <n v="18213.06"/>
    <x v="0"/>
    <x v="0"/>
  </r>
  <r>
    <x v="5"/>
    <x v="0"/>
    <x v="0"/>
    <x v="0"/>
    <x v="0"/>
    <n v="6560.53"/>
    <x v="0"/>
    <x v="0"/>
  </r>
  <r>
    <x v="5"/>
    <x v="0"/>
    <x v="0"/>
    <x v="0"/>
    <x v="0"/>
    <n v="5065.07"/>
    <x v="0"/>
    <x v="0"/>
  </r>
  <r>
    <x v="5"/>
    <x v="0"/>
    <x v="2"/>
    <x v="0"/>
    <x v="0"/>
    <n v="13364.51"/>
    <x v="0"/>
    <x v="0"/>
  </r>
  <r>
    <x v="5"/>
    <x v="0"/>
    <x v="2"/>
    <x v="0"/>
    <x v="0"/>
    <n v="14431.75"/>
    <x v="0"/>
    <x v="0"/>
  </r>
  <r>
    <x v="5"/>
    <x v="0"/>
    <x v="2"/>
    <x v="0"/>
    <x v="0"/>
    <n v="15491.85"/>
    <x v="0"/>
    <x v="0"/>
  </r>
  <r>
    <x v="5"/>
    <x v="0"/>
    <x v="2"/>
    <x v="0"/>
    <x v="0"/>
    <n v="20551.28"/>
    <x v="0"/>
    <x v="0"/>
  </r>
  <r>
    <x v="5"/>
    <x v="3"/>
    <x v="0"/>
    <x v="0"/>
    <x v="0"/>
    <n v="5402.3"/>
    <x v="0"/>
    <x v="0"/>
  </r>
  <r>
    <x v="5"/>
    <x v="0"/>
    <x v="2"/>
    <x v="0"/>
    <x v="0"/>
    <n v="14567.67"/>
    <x v="0"/>
    <x v="0"/>
  </r>
  <r>
    <x v="5"/>
    <x v="0"/>
    <x v="0"/>
    <x v="0"/>
    <x v="0"/>
    <n v="8534.37"/>
    <x v="0"/>
    <x v="0"/>
  </r>
  <r>
    <x v="5"/>
    <x v="0"/>
    <x v="2"/>
    <x v="0"/>
    <x v="0"/>
    <n v="20275.14"/>
    <x v="0"/>
    <x v="0"/>
  </r>
  <r>
    <x v="5"/>
    <x v="1"/>
    <x v="3"/>
    <x v="0"/>
    <x v="0"/>
    <n v="416126.78"/>
    <x v="0"/>
    <x v="0"/>
  </r>
  <r>
    <x v="5"/>
    <x v="0"/>
    <x v="2"/>
    <x v="0"/>
    <x v="0"/>
    <n v="13560.97"/>
    <x v="0"/>
    <x v="0"/>
  </r>
  <r>
    <x v="5"/>
    <x v="0"/>
    <x v="0"/>
    <x v="0"/>
    <x v="0"/>
    <n v="3988.91"/>
    <x v="0"/>
    <x v="0"/>
  </r>
  <r>
    <x v="5"/>
    <x v="0"/>
    <x v="0"/>
    <x v="0"/>
    <x v="0"/>
    <n v="1569.26"/>
    <x v="0"/>
    <x v="0"/>
  </r>
  <r>
    <x v="5"/>
    <x v="3"/>
    <x v="0"/>
    <x v="0"/>
    <x v="0"/>
    <n v="7956.2"/>
    <x v="0"/>
    <x v="0"/>
  </r>
  <r>
    <x v="5"/>
    <x v="0"/>
    <x v="0"/>
    <x v="0"/>
    <x v="0"/>
    <n v="3032.12"/>
    <x v="0"/>
    <x v="0"/>
  </r>
  <r>
    <x v="5"/>
    <x v="0"/>
    <x v="2"/>
    <x v="0"/>
    <x v="0"/>
    <n v="30704.7"/>
    <x v="0"/>
    <x v="0"/>
  </r>
  <r>
    <x v="5"/>
    <x v="0"/>
    <x v="2"/>
    <x v="0"/>
    <x v="0"/>
    <n v="21358.13"/>
    <x v="0"/>
    <x v="0"/>
  </r>
  <r>
    <x v="5"/>
    <x v="0"/>
    <x v="2"/>
    <x v="0"/>
    <x v="0"/>
    <n v="15993.27"/>
    <x v="0"/>
    <x v="0"/>
  </r>
  <r>
    <x v="5"/>
    <x v="0"/>
    <x v="2"/>
    <x v="0"/>
    <x v="0"/>
    <n v="37699.34"/>
    <x v="0"/>
    <x v="0"/>
  </r>
  <r>
    <x v="5"/>
    <x v="2"/>
    <x v="3"/>
    <x v="0"/>
    <x v="0"/>
    <n v="170504.65"/>
    <x v="0"/>
    <x v="0"/>
  </r>
  <r>
    <x v="5"/>
    <x v="0"/>
    <x v="2"/>
    <x v="0"/>
    <x v="0"/>
    <n v="22968.75"/>
    <x v="0"/>
    <x v="0"/>
  </r>
  <r>
    <x v="5"/>
    <x v="0"/>
    <x v="2"/>
    <x v="0"/>
    <x v="0"/>
    <n v="27383.84"/>
    <x v="0"/>
    <x v="0"/>
  </r>
  <r>
    <x v="5"/>
    <x v="0"/>
    <x v="2"/>
    <x v="0"/>
    <x v="0"/>
    <n v="21510.43"/>
    <x v="0"/>
    <x v="0"/>
  </r>
  <r>
    <x v="5"/>
    <x v="0"/>
    <x v="0"/>
    <x v="0"/>
    <x v="0"/>
    <n v="6539.91"/>
    <x v="0"/>
    <x v="0"/>
  </r>
  <r>
    <x v="5"/>
    <x v="0"/>
    <x v="0"/>
    <x v="0"/>
    <x v="0"/>
    <n v="5399.32"/>
    <x v="0"/>
    <x v="0"/>
  </r>
  <r>
    <x v="5"/>
    <x v="0"/>
    <x v="2"/>
    <x v="0"/>
    <x v="0"/>
    <n v="13594.65"/>
    <x v="0"/>
    <x v="0"/>
  </r>
  <r>
    <x v="5"/>
    <x v="0"/>
    <x v="2"/>
    <x v="0"/>
    <x v="0"/>
    <n v="21650.08"/>
    <x v="0"/>
    <x v="0"/>
  </r>
  <r>
    <x v="5"/>
    <x v="0"/>
    <x v="0"/>
    <x v="0"/>
    <x v="0"/>
    <n v="6193.97"/>
    <x v="0"/>
    <x v="0"/>
  </r>
  <r>
    <x v="5"/>
    <x v="0"/>
    <x v="0"/>
    <x v="0"/>
    <x v="0"/>
    <n v="2444.71"/>
    <x v="0"/>
    <x v="0"/>
  </r>
  <r>
    <x v="5"/>
    <x v="0"/>
    <x v="0"/>
    <x v="0"/>
    <x v="0"/>
    <n v="6716.16"/>
    <x v="0"/>
    <x v="0"/>
  </r>
  <r>
    <x v="5"/>
    <x v="0"/>
    <x v="2"/>
    <x v="0"/>
    <x v="0"/>
    <n v="55954.74"/>
    <x v="0"/>
    <x v="0"/>
  </r>
  <r>
    <x v="5"/>
    <x v="0"/>
    <x v="2"/>
    <x v="0"/>
    <x v="0"/>
    <n v="22923.28"/>
    <x v="0"/>
    <x v="0"/>
  </r>
  <r>
    <x v="5"/>
    <x v="0"/>
    <x v="0"/>
    <x v="0"/>
    <x v="0"/>
    <n v="6686.45"/>
    <x v="0"/>
    <x v="0"/>
  </r>
  <r>
    <x v="5"/>
    <x v="0"/>
    <x v="2"/>
    <x v="0"/>
    <x v="0"/>
    <n v="15147.34"/>
    <x v="0"/>
    <x v="0"/>
  </r>
  <r>
    <x v="5"/>
    <x v="0"/>
    <x v="2"/>
    <x v="0"/>
    <x v="0"/>
    <n v="56058.18"/>
    <x v="0"/>
    <x v="0"/>
  </r>
  <r>
    <x v="5"/>
    <x v="0"/>
    <x v="2"/>
    <x v="0"/>
    <x v="0"/>
    <n v="12107.21"/>
    <x v="0"/>
    <x v="0"/>
  </r>
  <r>
    <x v="5"/>
    <x v="0"/>
    <x v="2"/>
    <x v="0"/>
    <x v="0"/>
    <n v="25699.58"/>
    <x v="0"/>
    <x v="0"/>
  </r>
  <r>
    <x v="5"/>
    <x v="0"/>
    <x v="0"/>
    <x v="0"/>
    <x v="0"/>
    <n v="6814.2"/>
    <x v="0"/>
    <x v="0"/>
  </r>
  <r>
    <x v="5"/>
    <x v="0"/>
    <x v="0"/>
    <x v="0"/>
    <x v="0"/>
    <n v="7331.46"/>
    <x v="0"/>
    <x v="0"/>
  </r>
  <r>
    <x v="5"/>
    <x v="0"/>
    <x v="0"/>
    <x v="0"/>
    <x v="0"/>
    <n v="2443.54"/>
    <x v="0"/>
    <x v="0"/>
  </r>
  <r>
    <x v="5"/>
    <x v="0"/>
    <x v="2"/>
    <x v="0"/>
    <x v="0"/>
    <n v="13407.06"/>
    <x v="0"/>
    <x v="0"/>
  </r>
  <r>
    <x v="5"/>
    <x v="0"/>
    <x v="0"/>
    <x v="0"/>
    <x v="0"/>
    <n v="6524.09"/>
    <x v="0"/>
    <x v="0"/>
  </r>
  <r>
    <x v="5"/>
    <x v="0"/>
    <x v="0"/>
    <x v="0"/>
    <x v="0"/>
    <n v="7237.08"/>
    <x v="0"/>
    <x v="0"/>
  </r>
  <r>
    <x v="5"/>
    <x v="0"/>
    <x v="2"/>
    <x v="0"/>
    <x v="0"/>
    <n v="10475.55"/>
    <x v="0"/>
    <x v="0"/>
  </r>
  <r>
    <x v="5"/>
    <x v="0"/>
    <x v="2"/>
    <x v="0"/>
    <x v="0"/>
    <n v="17987.71"/>
    <x v="0"/>
    <x v="0"/>
  </r>
  <r>
    <x v="5"/>
    <x v="0"/>
    <x v="2"/>
    <x v="0"/>
    <x v="0"/>
    <n v="13916.14"/>
    <x v="0"/>
    <x v="0"/>
  </r>
  <r>
    <x v="5"/>
    <x v="0"/>
    <x v="0"/>
    <x v="0"/>
    <x v="0"/>
    <n v="6330.23"/>
    <x v="0"/>
    <x v="0"/>
  </r>
  <r>
    <x v="5"/>
    <x v="0"/>
    <x v="2"/>
    <x v="0"/>
    <x v="0"/>
    <n v="15580.12"/>
    <x v="0"/>
    <x v="0"/>
  </r>
  <r>
    <x v="5"/>
    <x v="0"/>
    <x v="0"/>
    <x v="0"/>
    <x v="0"/>
    <n v="1161.45"/>
    <x v="0"/>
    <x v="0"/>
  </r>
  <r>
    <x v="5"/>
    <x v="0"/>
    <x v="2"/>
    <x v="0"/>
    <x v="0"/>
    <n v="17332.62"/>
    <x v="0"/>
    <x v="0"/>
  </r>
  <r>
    <x v="5"/>
    <x v="0"/>
    <x v="0"/>
    <x v="0"/>
    <x v="0"/>
    <n v="8661.5"/>
    <x v="0"/>
    <x v="0"/>
  </r>
  <r>
    <x v="5"/>
    <x v="0"/>
    <x v="2"/>
    <x v="0"/>
    <x v="0"/>
    <n v="12295.28"/>
    <x v="0"/>
    <x v="0"/>
  </r>
  <r>
    <x v="5"/>
    <x v="1"/>
    <x v="2"/>
    <x v="0"/>
    <x v="0"/>
    <n v="56538.75"/>
    <x v="0"/>
    <x v="0"/>
  </r>
  <r>
    <x v="5"/>
    <x v="0"/>
    <x v="2"/>
    <x v="0"/>
    <x v="0"/>
    <n v="16666.64"/>
    <x v="0"/>
    <x v="0"/>
  </r>
  <r>
    <x v="5"/>
    <x v="0"/>
    <x v="0"/>
    <x v="0"/>
    <x v="0"/>
    <n v="4581.31"/>
    <x v="0"/>
    <x v="0"/>
  </r>
  <r>
    <x v="5"/>
    <x v="2"/>
    <x v="3"/>
    <x v="0"/>
    <x v="0"/>
    <n v="242407.62"/>
    <x v="0"/>
    <x v="0"/>
  </r>
  <r>
    <x v="5"/>
    <x v="1"/>
    <x v="2"/>
    <x v="0"/>
    <x v="0"/>
    <n v="50570.65"/>
    <x v="0"/>
    <x v="0"/>
  </r>
  <r>
    <x v="5"/>
    <x v="0"/>
    <x v="2"/>
    <x v="0"/>
    <x v="0"/>
    <n v="13194.66"/>
    <x v="0"/>
    <x v="0"/>
  </r>
  <r>
    <x v="5"/>
    <x v="0"/>
    <x v="1"/>
    <x v="0"/>
    <x v="0"/>
    <n v="438.55"/>
    <x v="0"/>
    <x v="0"/>
  </r>
  <r>
    <x v="5"/>
    <x v="2"/>
    <x v="3"/>
    <x v="0"/>
    <x v="0"/>
    <n v="404491.79"/>
    <x v="0"/>
    <x v="0"/>
  </r>
  <r>
    <x v="5"/>
    <x v="0"/>
    <x v="0"/>
    <x v="0"/>
    <x v="0"/>
    <n v="3263.58"/>
    <x v="0"/>
    <x v="0"/>
  </r>
  <r>
    <x v="5"/>
    <x v="0"/>
    <x v="2"/>
    <x v="0"/>
    <x v="0"/>
    <n v="22946.31"/>
    <x v="0"/>
    <x v="0"/>
  </r>
  <r>
    <x v="5"/>
    <x v="0"/>
    <x v="1"/>
    <x v="0"/>
    <x v="0"/>
    <n v="260.23"/>
    <x v="0"/>
    <x v="0"/>
  </r>
  <r>
    <x v="5"/>
    <x v="0"/>
    <x v="2"/>
    <x v="0"/>
    <x v="0"/>
    <n v="18888.95"/>
    <x v="0"/>
    <x v="0"/>
  </r>
  <r>
    <x v="5"/>
    <x v="0"/>
    <x v="2"/>
    <x v="0"/>
    <x v="0"/>
    <n v="12795.92"/>
    <x v="0"/>
    <x v="0"/>
  </r>
  <r>
    <x v="5"/>
    <x v="0"/>
    <x v="1"/>
    <x v="0"/>
    <x v="0"/>
    <n v="947.91"/>
    <x v="0"/>
    <x v="0"/>
  </r>
  <r>
    <x v="5"/>
    <x v="0"/>
    <x v="2"/>
    <x v="0"/>
    <x v="0"/>
    <n v="16169.9"/>
    <x v="0"/>
    <x v="0"/>
  </r>
  <r>
    <x v="5"/>
    <x v="1"/>
    <x v="3"/>
    <x v="0"/>
    <x v="0"/>
    <n v="160869.97"/>
    <x v="0"/>
    <x v="0"/>
  </r>
  <r>
    <x v="5"/>
    <x v="0"/>
    <x v="0"/>
    <x v="0"/>
    <x v="0"/>
    <n v="6705.12"/>
    <x v="0"/>
    <x v="0"/>
  </r>
  <r>
    <x v="5"/>
    <x v="0"/>
    <x v="2"/>
    <x v="0"/>
    <x v="0"/>
    <n v="18995.99"/>
    <x v="0"/>
    <x v="0"/>
  </r>
  <r>
    <x v="5"/>
    <x v="0"/>
    <x v="2"/>
    <x v="0"/>
    <x v="0"/>
    <n v="24690.36"/>
    <x v="0"/>
    <x v="0"/>
  </r>
  <r>
    <x v="5"/>
    <x v="3"/>
    <x v="1"/>
    <x v="0"/>
    <x v="0"/>
    <n v="477.13"/>
    <x v="0"/>
    <x v="0"/>
  </r>
  <r>
    <x v="5"/>
    <x v="2"/>
    <x v="3"/>
    <x v="0"/>
    <x v="0"/>
    <n v="385123.59"/>
    <x v="0"/>
    <x v="0"/>
  </r>
  <r>
    <x v="5"/>
    <x v="0"/>
    <x v="2"/>
    <x v="0"/>
    <x v="0"/>
    <n v="26843.78"/>
    <x v="0"/>
    <x v="0"/>
  </r>
  <r>
    <x v="5"/>
    <x v="0"/>
    <x v="2"/>
    <x v="0"/>
    <x v="0"/>
    <n v="15242.55"/>
    <x v="0"/>
    <x v="0"/>
  </r>
  <r>
    <x v="5"/>
    <x v="1"/>
    <x v="3"/>
    <x v="0"/>
    <x v="0"/>
    <n v="356511.88"/>
    <x v="0"/>
    <x v="0"/>
  </r>
  <r>
    <x v="5"/>
    <x v="0"/>
    <x v="2"/>
    <x v="0"/>
    <x v="0"/>
    <n v="27535.02"/>
    <x v="0"/>
    <x v="0"/>
  </r>
  <r>
    <x v="5"/>
    <x v="0"/>
    <x v="0"/>
    <x v="0"/>
    <x v="0"/>
    <n v="4974.35"/>
    <x v="0"/>
    <x v="0"/>
  </r>
  <r>
    <x v="5"/>
    <x v="0"/>
    <x v="0"/>
    <x v="0"/>
    <x v="0"/>
    <n v="8888.88"/>
    <x v="0"/>
    <x v="0"/>
  </r>
  <r>
    <x v="5"/>
    <x v="0"/>
    <x v="0"/>
    <x v="0"/>
    <x v="0"/>
    <n v="8921.69"/>
    <x v="0"/>
    <x v="0"/>
  </r>
  <r>
    <x v="5"/>
    <x v="0"/>
    <x v="2"/>
    <x v="0"/>
    <x v="0"/>
    <n v="24469.38"/>
    <x v="0"/>
    <x v="0"/>
  </r>
  <r>
    <x v="5"/>
    <x v="2"/>
    <x v="3"/>
    <x v="0"/>
    <x v="0"/>
    <n v="119341.71"/>
    <x v="0"/>
    <x v="0"/>
  </r>
  <r>
    <x v="5"/>
    <x v="0"/>
    <x v="2"/>
    <x v="0"/>
    <x v="0"/>
    <n v="19227.1"/>
    <x v="0"/>
    <x v="0"/>
  </r>
  <r>
    <x v="5"/>
    <x v="0"/>
    <x v="2"/>
    <x v="0"/>
    <x v="0"/>
    <n v="17737.81"/>
    <x v="0"/>
    <x v="0"/>
  </r>
  <r>
    <x v="5"/>
    <x v="0"/>
    <x v="2"/>
    <x v="0"/>
    <x v="0"/>
    <n v="14143.87"/>
    <x v="0"/>
    <x v="0"/>
  </r>
  <r>
    <x v="5"/>
    <x v="0"/>
    <x v="0"/>
    <x v="0"/>
    <x v="0"/>
    <n v="4041.67"/>
    <x v="0"/>
    <x v="0"/>
  </r>
  <r>
    <x v="5"/>
    <x v="0"/>
    <x v="0"/>
    <x v="0"/>
    <x v="0"/>
    <n v="5187.5"/>
    <x v="0"/>
    <x v="0"/>
  </r>
  <r>
    <x v="5"/>
    <x v="0"/>
    <x v="2"/>
    <x v="0"/>
    <x v="0"/>
    <n v="24579.11"/>
    <x v="0"/>
    <x v="0"/>
  </r>
  <r>
    <x v="5"/>
    <x v="0"/>
    <x v="0"/>
    <x v="0"/>
    <x v="0"/>
    <n v="6936.56"/>
    <x v="0"/>
    <x v="0"/>
  </r>
  <r>
    <x v="5"/>
    <x v="0"/>
    <x v="2"/>
    <x v="0"/>
    <x v="0"/>
    <n v="13522.25"/>
    <x v="0"/>
    <x v="0"/>
  </r>
  <r>
    <x v="5"/>
    <x v="0"/>
    <x v="2"/>
    <x v="0"/>
    <x v="0"/>
    <n v="12303.52"/>
    <x v="0"/>
    <x v="0"/>
  </r>
  <r>
    <x v="5"/>
    <x v="0"/>
    <x v="2"/>
    <x v="0"/>
    <x v="0"/>
    <n v="18219.9"/>
    <x v="0"/>
    <x v="0"/>
  </r>
  <r>
    <x v="5"/>
    <x v="1"/>
    <x v="3"/>
    <x v="0"/>
    <x v="0"/>
    <n v="104087.72"/>
    <x v="0"/>
    <x v="0"/>
  </r>
  <r>
    <x v="5"/>
    <x v="0"/>
    <x v="2"/>
    <x v="0"/>
    <x v="0"/>
    <n v="22655.09"/>
    <x v="0"/>
    <x v="0"/>
  </r>
  <r>
    <x v="5"/>
    <x v="0"/>
    <x v="2"/>
    <x v="0"/>
    <x v="0"/>
    <n v="20547.38"/>
    <x v="0"/>
    <x v="0"/>
  </r>
  <r>
    <x v="5"/>
    <x v="0"/>
    <x v="2"/>
    <x v="0"/>
    <x v="0"/>
    <n v="16917.51"/>
    <x v="0"/>
    <x v="0"/>
  </r>
  <r>
    <x v="5"/>
    <x v="0"/>
    <x v="0"/>
    <x v="0"/>
    <x v="0"/>
    <n v="1072.27"/>
    <x v="0"/>
    <x v="0"/>
  </r>
  <r>
    <x v="5"/>
    <x v="0"/>
    <x v="0"/>
    <x v="0"/>
    <x v="0"/>
    <n v="5106.61"/>
    <x v="0"/>
    <x v="0"/>
  </r>
  <r>
    <x v="5"/>
    <x v="0"/>
    <x v="0"/>
    <x v="0"/>
    <x v="0"/>
    <n v="6727.32"/>
    <x v="0"/>
    <x v="0"/>
  </r>
  <r>
    <x v="5"/>
    <x v="0"/>
    <x v="0"/>
    <x v="0"/>
    <x v="0"/>
    <n v="6312.27"/>
    <x v="0"/>
    <x v="0"/>
  </r>
  <r>
    <x v="5"/>
    <x v="0"/>
    <x v="2"/>
    <x v="0"/>
    <x v="0"/>
    <n v="17145.26"/>
    <x v="0"/>
    <x v="0"/>
  </r>
  <r>
    <x v="5"/>
    <x v="0"/>
    <x v="2"/>
    <x v="0"/>
    <x v="0"/>
    <n v="24544.47"/>
    <x v="0"/>
    <x v="0"/>
  </r>
  <r>
    <x v="5"/>
    <x v="0"/>
    <x v="2"/>
    <x v="0"/>
    <x v="0"/>
    <n v="12689.5"/>
    <x v="0"/>
    <x v="0"/>
  </r>
  <r>
    <x v="5"/>
    <x v="0"/>
    <x v="2"/>
    <x v="0"/>
    <x v="0"/>
    <n v="15642.1"/>
    <x v="0"/>
    <x v="0"/>
  </r>
  <r>
    <x v="5"/>
    <x v="0"/>
    <x v="0"/>
    <x v="0"/>
    <x v="0"/>
    <n v="3860.03"/>
    <x v="0"/>
    <x v="0"/>
  </r>
  <r>
    <x v="5"/>
    <x v="0"/>
    <x v="2"/>
    <x v="0"/>
    <x v="0"/>
    <n v="11251.54"/>
    <x v="0"/>
    <x v="0"/>
  </r>
  <r>
    <x v="5"/>
    <x v="0"/>
    <x v="2"/>
    <x v="0"/>
    <x v="0"/>
    <n v="13590.74"/>
    <x v="0"/>
    <x v="0"/>
  </r>
  <r>
    <x v="5"/>
    <x v="0"/>
    <x v="0"/>
    <x v="0"/>
    <x v="0"/>
    <n v="4276.73"/>
    <x v="0"/>
    <x v="0"/>
  </r>
  <r>
    <x v="5"/>
    <x v="0"/>
    <x v="0"/>
    <x v="0"/>
    <x v="0"/>
    <n v="3643.48"/>
    <x v="0"/>
    <x v="0"/>
  </r>
  <r>
    <x v="5"/>
    <x v="0"/>
    <x v="2"/>
    <x v="0"/>
    <x v="0"/>
    <n v="35485.18"/>
    <x v="0"/>
    <x v="0"/>
  </r>
  <r>
    <x v="5"/>
    <x v="0"/>
    <x v="0"/>
    <x v="0"/>
    <x v="0"/>
    <n v="9893.57"/>
    <x v="0"/>
    <x v="0"/>
  </r>
  <r>
    <x v="5"/>
    <x v="0"/>
    <x v="2"/>
    <x v="0"/>
    <x v="0"/>
    <n v="11004.31"/>
    <x v="0"/>
    <x v="0"/>
  </r>
  <r>
    <x v="5"/>
    <x v="0"/>
    <x v="2"/>
    <x v="0"/>
    <x v="0"/>
    <n v="15751.31"/>
    <x v="0"/>
    <x v="0"/>
  </r>
  <r>
    <x v="5"/>
    <x v="0"/>
    <x v="2"/>
    <x v="0"/>
    <x v="0"/>
    <n v="12613.83"/>
    <x v="0"/>
    <x v="0"/>
  </r>
  <r>
    <x v="5"/>
    <x v="0"/>
    <x v="2"/>
    <x v="0"/>
    <x v="0"/>
    <n v="38677.12"/>
    <x v="0"/>
    <x v="0"/>
  </r>
  <r>
    <x v="5"/>
    <x v="0"/>
    <x v="2"/>
    <x v="0"/>
    <x v="0"/>
    <n v="11515.03"/>
    <x v="0"/>
    <x v="0"/>
  </r>
  <r>
    <x v="5"/>
    <x v="0"/>
    <x v="0"/>
    <x v="0"/>
    <x v="0"/>
    <n v="6945.84"/>
    <x v="0"/>
    <x v="0"/>
  </r>
  <r>
    <x v="5"/>
    <x v="0"/>
    <x v="1"/>
    <x v="0"/>
    <x v="0"/>
    <n v="548.44"/>
    <x v="0"/>
    <x v="0"/>
  </r>
  <r>
    <x v="5"/>
    <x v="0"/>
    <x v="2"/>
    <x v="0"/>
    <x v="0"/>
    <n v="18655.15"/>
    <x v="0"/>
    <x v="0"/>
  </r>
  <r>
    <x v="5"/>
    <x v="0"/>
    <x v="0"/>
    <x v="0"/>
    <x v="0"/>
    <n v="3765.68"/>
    <x v="0"/>
    <x v="0"/>
  </r>
  <r>
    <x v="5"/>
    <x v="0"/>
    <x v="2"/>
    <x v="0"/>
    <x v="0"/>
    <n v="21625.13"/>
    <x v="0"/>
    <x v="0"/>
  </r>
  <r>
    <x v="5"/>
    <x v="0"/>
    <x v="0"/>
    <x v="0"/>
    <x v="0"/>
    <n v="2901.34"/>
    <x v="0"/>
    <x v="0"/>
  </r>
  <r>
    <x v="5"/>
    <x v="0"/>
    <x v="0"/>
    <x v="0"/>
    <x v="0"/>
    <n v="4922.27"/>
    <x v="0"/>
    <x v="0"/>
  </r>
  <r>
    <x v="5"/>
    <x v="0"/>
    <x v="2"/>
    <x v="0"/>
    <x v="0"/>
    <n v="19858.46"/>
    <x v="0"/>
    <x v="0"/>
  </r>
  <r>
    <x v="5"/>
    <x v="0"/>
    <x v="0"/>
    <x v="0"/>
    <x v="0"/>
    <n v="9538.96"/>
    <x v="0"/>
    <x v="0"/>
  </r>
  <r>
    <x v="5"/>
    <x v="0"/>
    <x v="2"/>
    <x v="0"/>
    <x v="0"/>
    <n v="15593.41"/>
    <x v="0"/>
    <x v="0"/>
  </r>
  <r>
    <x v="5"/>
    <x v="0"/>
    <x v="2"/>
    <x v="0"/>
    <x v="0"/>
    <n v="23258.69"/>
    <x v="0"/>
    <x v="0"/>
  </r>
  <r>
    <x v="5"/>
    <x v="0"/>
    <x v="0"/>
    <x v="0"/>
    <x v="0"/>
    <n v="1636.72"/>
    <x v="0"/>
    <x v="0"/>
  </r>
  <r>
    <x v="5"/>
    <x v="0"/>
    <x v="0"/>
    <x v="0"/>
    <x v="0"/>
    <n v="4293.83"/>
    <x v="0"/>
    <x v="0"/>
  </r>
  <r>
    <x v="5"/>
    <x v="0"/>
    <x v="0"/>
    <x v="0"/>
    <x v="0"/>
    <n v="6737.87"/>
    <x v="0"/>
    <x v="0"/>
  </r>
  <r>
    <x v="5"/>
    <x v="0"/>
    <x v="2"/>
    <x v="0"/>
    <x v="0"/>
    <n v="20491.58"/>
    <x v="0"/>
    <x v="0"/>
  </r>
  <r>
    <x v="5"/>
    <x v="0"/>
    <x v="2"/>
    <x v="0"/>
    <x v="0"/>
    <n v="45279.83"/>
    <x v="0"/>
    <x v="0"/>
  </r>
  <r>
    <x v="5"/>
    <x v="0"/>
    <x v="0"/>
    <x v="0"/>
    <x v="0"/>
    <n v="8278.63"/>
    <x v="0"/>
    <x v="0"/>
  </r>
  <r>
    <x v="5"/>
    <x v="1"/>
    <x v="0"/>
    <x v="0"/>
    <x v="0"/>
    <n v="6870.64"/>
    <x v="0"/>
    <x v="0"/>
  </r>
  <r>
    <x v="5"/>
    <x v="0"/>
    <x v="0"/>
    <x v="0"/>
    <x v="0"/>
    <n v="5624.29"/>
    <x v="0"/>
    <x v="0"/>
  </r>
  <r>
    <x v="5"/>
    <x v="0"/>
    <x v="2"/>
    <x v="0"/>
    <x v="0"/>
    <n v="15768.41"/>
    <x v="0"/>
    <x v="0"/>
  </r>
  <r>
    <x v="5"/>
    <x v="1"/>
    <x v="3"/>
    <x v="0"/>
    <x v="0"/>
    <n v="394310.01"/>
    <x v="0"/>
    <x v="0"/>
  </r>
  <r>
    <x v="5"/>
    <x v="1"/>
    <x v="3"/>
    <x v="0"/>
    <x v="0"/>
    <n v="264367.48"/>
    <x v="0"/>
    <x v="0"/>
  </r>
  <r>
    <x v="5"/>
    <x v="0"/>
    <x v="2"/>
    <x v="0"/>
    <x v="0"/>
    <n v="14164.55"/>
    <x v="0"/>
    <x v="0"/>
  </r>
  <r>
    <x v="5"/>
    <x v="0"/>
    <x v="1"/>
    <x v="0"/>
    <x v="0"/>
    <n v="314.67"/>
    <x v="0"/>
    <x v="0"/>
  </r>
  <r>
    <x v="5"/>
    <x v="2"/>
    <x v="2"/>
    <x v="0"/>
    <x v="0"/>
    <n v="71868.61"/>
    <x v="0"/>
    <x v="0"/>
  </r>
  <r>
    <x v="5"/>
    <x v="1"/>
    <x v="3"/>
    <x v="0"/>
    <x v="0"/>
    <n v="334889.22"/>
    <x v="0"/>
    <x v="0"/>
  </r>
  <r>
    <x v="5"/>
    <x v="2"/>
    <x v="2"/>
    <x v="0"/>
    <x v="0"/>
    <n v="83184.28"/>
    <x v="0"/>
    <x v="0"/>
  </r>
  <r>
    <x v="5"/>
    <x v="0"/>
    <x v="1"/>
    <x v="0"/>
    <x v="0"/>
    <n v="206.66"/>
    <x v="0"/>
    <x v="0"/>
  </r>
  <r>
    <x v="5"/>
    <x v="2"/>
    <x v="3"/>
    <x v="0"/>
    <x v="0"/>
    <n v="139283.22"/>
    <x v="0"/>
    <x v="0"/>
  </r>
  <r>
    <x v="5"/>
    <x v="1"/>
    <x v="2"/>
    <x v="1"/>
    <x v="0"/>
    <n v="10565"/>
    <x v="1"/>
    <x v="31"/>
  </r>
  <r>
    <x v="5"/>
    <x v="2"/>
    <x v="2"/>
    <x v="1"/>
    <x v="0"/>
    <n v="10565"/>
    <x v="1"/>
    <x v="31"/>
  </r>
  <r>
    <x v="5"/>
    <x v="0"/>
    <x v="2"/>
    <x v="0"/>
    <x v="0"/>
    <n v="27008.46"/>
    <x v="0"/>
    <x v="0"/>
  </r>
  <r>
    <x v="5"/>
    <x v="0"/>
    <x v="0"/>
    <x v="0"/>
    <x v="0"/>
    <n v="5734.4"/>
    <x v="0"/>
    <x v="0"/>
  </r>
  <r>
    <x v="5"/>
    <x v="2"/>
    <x v="2"/>
    <x v="0"/>
    <x v="0"/>
    <n v="21128.42"/>
    <x v="0"/>
    <x v="0"/>
  </r>
  <r>
    <x v="5"/>
    <x v="2"/>
    <x v="3"/>
    <x v="0"/>
    <x v="0"/>
    <n v="196775.47"/>
    <x v="0"/>
    <x v="0"/>
  </r>
  <r>
    <x v="5"/>
    <x v="0"/>
    <x v="0"/>
    <x v="0"/>
    <x v="0"/>
    <n v="4197.94"/>
    <x v="0"/>
    <x v="0"/>
  </r>
  <r>
    <x v="5"/>
    <x v="0"/>
    <x v="2"/>
    <x v="0"/>
    <x v="0"/>
    <n v="13794.64"/>
    <x v="0"/>
    <x v="0"/>
  </r>
  <r>
    <x v="5"/>
    <x v="0"/>
    <x v="0"/>
    <x v="0"/>
    <x v="0"/>
    <n v="4630.35"/>
    <x v="0"/>
    <x v="0"/>
  </r>
  <r>
    <x v="5"/>
    <x v="1"/>
    <x v="3"/>
    <x v="0"/>
    <x v="0"/>
    <n v="251644.29"/>
    <x v="0"/>
    <x v="0"/>
  </r>
  <r>
    <x v="5"/>
    <x v="0"/>
    <x v="2"/>
    <x v="0"/>
    <x v="0"/>
    <n v="33025.94"/>
    <x v="0"/>
    <x v="0"/>
  </r>
  <r>
    <x v="5"/>
    <x v="2"/>
    <x v="3"/>
    <x v="0"/>
    <x v="0"/>
    <n v="440165.52"/>
    <x v="0"/>
    <x v="0"/>
  </r>
  <r>
    <x v="5"/>
    <x v="0"/>
    <x v="0"/>
    <x v="0"/>
    <x v="0"/>
    <n v="2091.2"/>
    <x v="0"/>
    <x v="0"/>
  </r>
  <r>
    <x v="5"/>
    <x v="0"/>
    <x v="2"/>
    <x v="0"/>
    <x v="0"/>
    <n v="10960.92"/>
    <x v="0"/>
    <x v="0"/>
  </r>
  <r>
    <x v="5"/>
    <x v="0"/>
    <x v="2"/>
    <x v="0"/>
    <x v="0"/>
    <n v="15171.48"/>
    <x v="0"/>
    <x v="0"/>
  </r>
  <r>
    <x v="5"/>
    <x v="0"/>
    <x v="2"/>
    <x v="0"/>
    <x v="0"/>
    <n v="12968.1"/>
    <x v="0"/>
    <x v="0"/>
  </r>
  <r>
    <x v="5"/>
    <x v="0"/>
    <x v="2"/>
    <x v="0"/>
    <x v="0"/>
    <n v="11473.98"/>
    <x v="0"/>
    <x v="0"/>
  </r>
  <r>
    <x v="5"/>
    <x v="0"/>
    <x v="2"/>
    <x v="0"/>
    <x v="0"/>
    <n v="17078.55"/>
    <x v="0"/>
    <x v="0"/>
  </r>
  <r>
    <x v="5"/>
    <x v="0"/>
    <x v="0"/>
    <x v="0"/>
    <x v="0"/>
    <n v="5427.12"/>
    <x v="0"/>
    <x v="0"/>
  </r>
  <r>
    <x v="5"/>
    <x v="0"/>
    <x v="0"/>
    <x v="0"/>
    <x v="0"/>
    <n v="8719.82"/>
    <x v="0"/>
    <x v="0"/>
  </r>
  <r>
    <x v="5"/>
    <x v="0"/>
    <x v="2"/>
    <x v="0"/>
    <x v="0"/>
    <n v="17949.84"/>
    <x v="0"/>
    <x v="0"/>
  </r>
  <r>
    <x v="5"/>
    <x v="4"/>
    <x v="2"/>
    <x v="0"/>
    <x v="0"/>
    <n v="94933.34"/>
    <x v="0"/>
    <x v="0"/>
  </r>
  <r>
    <x v="5"/>
    <x v="0"/>
    <x v="2"/>
    <x v="0"/>
    <x v="0"/>
    <n v="10088.16"/>
    <x v="0"/>
    <x v="0"/>
  </r>
  <r>
    <x v="5"/>
    <x v="1"/>
    <x v="3"/>
    <x v="0"/>
    <x v="0"/>
    <n v="128505.21"/>
    <x v="0"/>
    <x v="0"/>
  </r>
  <r>
    <x v="5"/>
    <x v="2"/>
    <x v="3"/>
    <x v="0"/>
    <x v="0"/>
    <n v="142705.55"/>
    <x v="0"/>
    <x v="0"/>
  </r>
  <r>
    <x v="5"/>
    <x v="0"/>
    <x v="0"/>
    <x v="0"/>
    <x v="0"/>
    <n v="1538.49"/>
    <x v="0"/>
    <x v="0"/>
  </r>
  <r>
    <x v="5"/>
    <x v="0"/>
    <x v="0"/>
    <x v="0"/>
    <x v="0"/>
    <n v="2472.54"/>
    <x v="0"/>
    <x v="0"/>
  </r>
  <r>
    <x v="5"/>
    <x v="0"/>
    <x v="0"/>
    <x v="0"/>
    <x v="0"/>
    <n v="1314.57"/>
    <x v="0"/>
    <x v="0"/>
  </r>
  <r>
    <x v="5"/>
    <x v="0"/>
    <x v="0"/>
    <x v="0"/>
    <x v="0"/>
    <n v="3583.64"/>
    <x v="0"/>
    <x v="0"/>
  </r>
  <r>
    <x v="5"/>
    <x v="0"/>
    <x v="2"/>
    <x v="0"/>
    <x v="0"/>
    <n v="18657.24"/>
    <x v="0"/>
    <x v="0"/>
  </r>
  <r>
    <x v="5"/>
    <x v="4"/>
    <x v="3"/>
    <x v="0"/>
    <x v="0"/>
    <n v="271666.26"/>
    <x v="0"/>
    <x v="0"/>
  </r>
  <r>
    <x v="5"/>
    <x v="1"/>
    <x v="3"/>
    <x v="0"/>
    <x v="0"/>
    <n v="125527.29"/>
    <x v="0"/>
    <x v="0"/>
  </r>
  <r>
    <x v="5"/>
    <x v="0"/>
    <x v="2"/>
    <x v="0"/>
    <x v="0"/>
    <n v="17689.59"/>
    <x v="0"/>
    <x v="0"/>
  </r>
  <r>
    <x v="5"/>
    <x v="0"/>
    <x v="2"/>
    <x v="0"/>
    <x v="0"/>
    <n v="18960.49"/>
    <x v="0"/>
    <x v="0"/>
  </r>
  <r>
    <x v="5"/>
    <x v="0"/>
    <x v="2"/>
    <x v="0"/>
    <x v="0"/>
    <n v="16703.28"/>
    <x v="0"/>
    <x v="0"/>
  </r>
  <r>
    <x v="5"/>
    <x v="0"/>
    <x v="2"/>
    <x v="0"/>
    <x v="0"/>
    <n v="20703.33"/>
    <x v="0"/>
    <x v="0"/>
  </r>
  <r>
    <x v="5"/>
    <x v="0"/>
    <x v="2"/>
    <x v="0"/>
    <x v="0"/>
    <n v="20677.95"/>
    <x v="0"/>
    <x v="0"/>
  </r>
  <r>
    <x v="5"/>
    <x v="0"/>
    <x v="2"/>
    <x v="0"/>
    <x v="0"/>
    <n v="16427.31"/>
    <x v="0"/>
    <x v="0"/>
  </r>
  <r>
    <x v="5"/>
    <x v="0"/>
    <x v="0"/>
    <x v="0"/>
    <x v="0"/>
    <n v="3320.7"/>
    <x v="0"/>
    <x v="0"/>
  </r>
  <r>
    <x v="5"/>
    <x v="0"/>
    <x v="2"/>
    <x v="0"/>
    <x v="0"/>
    <n v="11483.48"/>
    <x v="0"/>
    <x v="0"/>
  </r>
  <r>
    <x v="5"/>
    <x v="0"/>
    <x v="2"/>
    <x v="0"/>
    <x v="0"/>
    <n v="15129.45"/>
    <x v="0"/>
    <x v="0"/>
  </r>
  <r>
    <x v="5"/>
    <x v="0"/>
    <x v="2"/>
    <x v="0"/>
    <x v="0"/>
    <n v="14904.51"/>
    <x v="0"/>
    <x v="0"/>
  </r>
  <r>
    <x v="5"/>
    <x v="0"/>
    <x v="2"/>
    <x v="0"/>
    <x v="0"/>
    <n v="32542.48"/>
    <x v="0"/>
    <x v="0"/>
  </r>
  <r>
    <x v="5"/>
    <x v="0"/>
    <x v="0"/>
    <x v="0"/>
    <x v="0"/>
    <n v="9903.87"/>
    <x v="0"/>
    <x v="0"/>
  </r>
  <r>
    <x v="5"/>
    <x v="0"/>
    <x v="2"/>
    <x v="0"/>
    <x v="0"/>
    <n v="15638.89"/>
    <x v="0"/>
    <x v="0"/>
  </r>
  <r>
    <x v="5"/>
    <x v="0"/>
    <x v="0"/>
    <x v="0"/>
    <x v="0"/>
    <n v="8720.99"/>
    <x v="0"/>
    <x v="0"/>
  </r>
  <r>
    <x v="5"/>
    <x v="0"/>
    <x v="0"/>
    <x v="0"/>
    <x v="0"/>
    <n v="4534.37"/>
    <x v="0"/>
    <x v="0"/>
  </r>
  <r>
    <x v="5"/>
    <x v="0"/>
    <x v="0"/>
    <x v="0"/>
    <x v="0"/>
    <n v="7672.07"/>
    <x v="0"/>
    <x v="0"/>
  </r>
  <r>
    <x v="5"/>
    <x v="0"/>
    <x v="2"/>
    <x v="0"/>
    <x v="0"/>
    <n v="34027.34"/>
    <x v="0"/>
    <x v="0"/>
  </r>
  <r>
    <x v="5"/>
    <x v="0"/>
    <x v="2"/>
    <x v="0"/>
    <x v="0"/>
    <n v="20982.22"/>
    <x v="0"/>
    <x v="0"/>
  </r>
  <r>
    <x v="5"/>
    <x v="0"/>
    <x v="0"/>
    <x v="0"/>
    <x v="0"/>
    <n v="5842.48"/>
    <x v="0"/>
    <x v="0"/>
  </r>
  <r>
    <x v="5"/>
    <x v="0"/>
    <x v="1"/>
    <x v="0"/>
    <x v="0"/>
    <n v="17.42"/>
    <x v="0"/>
    <x v="0"/>
  </r>
  <r>
    <x v="5"/>
    <x v="0"/>
    <x v="0"/>
    <x v="0"/>
    <x v="0"/>
    <n v="5484.94"/>
    <x v="0"/>
    <x v="0"/>
  </r>
  <r>
    <x v="5"/>
    <x v="0"/>
    <x v="0"/>
    <x v="0"/>
    <x v="0"/>
    <n v="8667.21"/>
    <x v="0"/>
    <x v="0"/>
  </r>
  <r>
    <x v="5"/>
    <x v="0"/>
    <x v="2"/>
    <x v="0"/>
    <x v="0"/>
    <n v="14390.28"/>
    <x v="0"/>
    <x v="0"/>
  </r>
  <r>
    <x v="5"/>
    <x v="0"/>
    <x v="0"/>
    <x v="0"/>
    <x v="0"/>
    <n v="4664.21"/>
    <x v="0"/>
    <x v="0"/>
  </r>
  <r>
    <x v="5"/>
    <x v="0"/>
    <x v="2"/>
    <x v="0"/>
    <x v="0"/>
    <n v="11240.64"/>
    <x v="0"/>
    <x v="0"/>
  </r>
  <r>
    <x v="5"/>
    <x v="0"/>
    <x v="0"/>
    <x v="0"/>
    <x v="0"/>
    <n v="1044.38"/>
    <x v="0"/>
    <x v="0"/>
  </r>
  <r>
    <x v="5"/>
    <x v="0"/>
    <x v="2"/>
    <x v="0"/>
    <x v="0"/>
    <n v="10134.78"/>
    <x v="0"/>
    <x v="0"/>
  </r>
  <r>
    <x v="5"/>
    <x v="0"/>
    <x v="2"/>
    <x v="0"/>
    <x v="0"/>
    <n v="15093.73"/>
    <x v="0"/>
    <x v="0"/>
  </r>
  <r>
    <x v="5"/>
    <x v="0"/>
    <x v="0"/>
    <x v="0"/>
    <x v="0"/>
    <n v="4786.79"/>
    <x v="0"/>
    <x v="0"/>
  </r>
  <r>
    <x v="5"/>
    <x v="0"/>
    <x v="2"/>
    <x v="0"/>
    <x v="0"/>
    <n v="11675.92"/>
    <x v="0"/>
    <x v="0"/>
  </r>
  <r>
    <x v="5"/>
    <x v="0"/>
    <x v="0"/>
    <x v="0"/>
    <x v="0"/>
    <n v="2022.78"/>
    <x v="0"/>
    <x v="0"/>
  </r>
  <r>
    <x v="5"/>
    <x v="0"/>
    <x v="0"/>
    <x v="0"/>
    <x v="0"/>
    <n v="5055.67"/>
    <x v="0"/>
    <x v="0"/>
  </r>
  <r>
    <x v="5"/>
    <x v="0"/>
    <x v="0"/>
    <x v="0"/>
    <x v="0"/>
    <n v="1392.66"/>
    <x v="0"/>
    <x v="0"/>
  </r>
  <r>
    <x v="5"/>
    <x v="0"/>
    <x v="2"/>
    <x v="0"/>
    <x v="0"/>
    <n v="15719.2"/>
    <x v="0"/>
    <x v="0"/>
  </r>
  <r>
    <x v="5"/>
    <x v="2"/>
    <x v="3"/>
    <x v="0"/>
    <x v="0"/>
    <n v="212665.96"/>
    <x v="0"/>
    <x v="0"/>
  </r>
  <r>
    <x v="5"/>
    <x v="0"/>
    <x v="2"/>
    <x v="0"/>
    <x v="0"/>
    <n v="18079.63"/>
    <x v="0"/>
    <x v="0"/>
  </r>
  <r>
    <x v="5"/>
    <x v="0"/>
    <x v="2"/>
    <x v="0"/>
    <x v="0"/>
    <n v="17456.35"/>
    <x v="0"/>
    <x v="0"/>
  </r>
  <r>
    <x v="5"/>
    <x v="0"/>
    <x v="0"/>
    <x v="0"/>
    <x v="0"/>
    <n v="3621.47"/>
    <x v="0"/>
    <x v="0"/>
  </r>
  <r>
    <x v="5"/>
    <x v="0"/>
    <x v="0"/>
    <x v="0"/>
    <x v="0"/>
    <n v="8208.25"/>
    <x v="0"/>
    <x v="0"/>
  </r>
  <r>
    <x v="5"/>
    <x v="1"/>
    <x v="3"/>
    <x v="0"/>
    <x v="0"/>
    <n v="250371.89"/>
    <x v="0"/>
    <x v="0"/>
  </r>
  <r>
    <x v="5"/>
    <x v="0"/>
    <x v="0"/>
    <x v="0"/>
    <x v="0"/>
    <n v="9524.45"/>
    <x v="0"/>
    <x v="0"/>
  </r>
  <r>
    <x v="5"/>
    <x v="0"/>
    <x v="2"/>
    <x v="0"/>
    <x v="0"/>
    <n v="12586.69"/>
    <x v="0"/>
    <x v="0"/>
  </r>
  <r>
    <x v="5"/>
    <x v="0"/>
    <x v="2"/>
    <x v="0"/>
    <x v="0"/>
    <n v="38874.87"/>
    <x v="0"/>
    <x v="0"/>
  </r>
  <r>
    <x v="5"/>
    <x v="0"/>
    <x v="2"/>
    <x v="0"/>
    <x v="0"/>
    <n v="17658.97"/>
    <x v="0"/>
    <x v="0"/>
  </r>
  <r>
    <x v="5"/>
    <x v="0"/>
    <x v="1"/>
    <x v="0"/>
    <x v="0"/>
    <n v="103.64"/>
    <x v="0"/>
    <x v="0"/>
  </r>
  <r>
    <x v="5"/>
    <x v="0"/>
    <x v="0"/>
    <x v="0"/>
    <x v="0"/>
    <n v="5691.85"/>
    <x v="0"/>
    <x v="0"/>
  </r>
  <r>
    <x v="5"/>
    <x v="0"/>
    <x v="1"/>
    <x v="0"/>
    <x v="0"/>
    <n v="128.03"/>
    <x v="0"/>
    <x v="0"/>
  </r>
  <r>
    <x v="5"/>
    <x v="0"/>
    <x v="2"/>
    <x v="0"/>
    <x v="0"/>
    <n v="25885.94"/>
    <x v="0"/>
    <x v="0"/>
  </r>
  <r>
    <x v="5"/>
    <x v="1"/>
    <x v="3"/>
    <x v="0"/>
    <x v="0"/>
    <n v="340936.73"/>
    <x v="0"/>
    <x v="0"/>
  </r>
  <r>
    <x v="5"/>
    <x v="0"/>
    <x v="0"/>
    <x v="0"/>
    <x v="0"/>
    <n v="5938.85"/>
    <x v="0"/>
    <x v="0"/>
  </r>
  <r>
    <x v="5"/>
    <x v="0"/>
    <x v="2"/>
    <x v="0"/>
    <x v="0"/>
    <n v="36825.83"/>
    <x v="0"/>
    <x v="0"/>
  </r>
  <r>
    <x v="5"/>
    <x v="0"/>
    <x v="0"/>
    <x v="0"/>
    <x v="0"/>
    <n v="1035.3"/>
    <x v="0"/>
    <x v="0"/>
  </r>
  <r>
    <x v="5"/>
    <x v="0"/>
    <x v="0"/>
    <x v="0"/>
    <x v="0"/>
    <n v="1144.61"/>
    <x v="0"/>
    <x v="0"/>
  </r>
  <r>
    <x v="5"/>
    <x v="0"/>
    <x v="2"/>
    <x v="0"/>
    <x v="0"/>
    <n v="10626.74"/>
    <x v="0"/>
    <x v="0"/>
  </r>
  <r>
    <x v="5"/>
    <x v="0"/>
    <x v="0"/>
    <x v="0"/>
    <x v="0"/>
    <n v="7163.87"/>
    <x v="0"/>
    <x v="0"/>
  </r>
  <r>
    <x v="5"/>
    <x v="0"/>
    <x v="0"/>
    <x v="0"/>
    <x v="0"/>
    <n v="9133.33"/>
    <x v="0"/>
    <x v="0"/>
  </r>
  <r>
    <x v="5"/>
    <x v="2"/>
    <x v="2"/>
    <x v="0"/>
    <x v="0"/>
    <n v="47097.56"/>
    <x v="0"/>
    <x v="0"/>
  </r>
  <r>
    <x v="5"/>
    <x v="2"/>
    <x v="3"/>
    <x v="0"/>
    <x v="0"/>
    <n v="284467.43"/>
    <x v="0"/>
    <x v="0"/>
  </r>
  <r>
    <x v="5"/>
    <x v="2"/>
    <x v="3"/>
    <x v="0"/>
    <x v="0"/>
    <n v="559782.41"/>
    <x v="0"/>
    <x v="0"/>
  </r>
  <r>
    <x v="5"/>
    <x v="2"/>
    <x v="3"/>
    <x v="0"/>
    <x v="0"/>
    <n v="274475.45"/>
    <x v="0"/>
    <x v="0"/>
  </r>
  <r>
    <x v="5"/>
    <x v="2"/>
    <x v="3"/>
    <x v="0"/>
    <x v="0"/>
    <n v="181231.33"/>
    <x v="0"/>
    <x v="0"/>
  </r>
  <r>
    <x v="5"/>
    <x v="2"/>
    <x v="3"/>
    <x v="0"/>
    <x v="0"/>
    <n v="264351"/>
    <x v="0"/>
    <x v="0"/>
  </r>
  <r>
    <x v="5"/>
    <x v="2"/>
    <x v="3"/>
    <x v="0"/>
    <x v="0"/>
    <n v="193896.28"/>
    <x v="0"/>
    <x v="0"/>
  </r>
  <r>
    <x v="5"/>
    <x v="2"/>
    <x v="3"/>
    <x v="0"/>
    <x v="0"/>
    <n v="292220.17"/>
    <x v="0"/>
    <x v="0"/>
  </r>
  <r>
    <x v="5"/>
    <x v="2"/>
    <x v="3"/>
    <x v="0"/>
    <x v="0"/>
    <n v="102210.04"/>
    <x v="0"/>
    <x v="0"/>
  </r>
  <r>
    <x v="5"/>
    <x v="2"/>
    <x v="3"/>
    <x v="0"/>
    <x v="0"/>
    <n v="376400.31"/>
    <x v="0"/>
    <x v="0"/>
  </r>
  <r>
    <x v="5"/>
    <x v="2"/>
    <x v="3"/>
    <x v="0"/>
    <x v="0"/>
    <n v="273119.31"/>
    <x v="0"/>
    <x v="0"/>
  </r>
  <r>
    <x v="5"/>
    <x v="2"/>
    <x v="2"/>
    <x v="0"/>
    <x v="0"/>
    <n v="97771.23"/>
    <x v="0"/>
    <x v="0"/>
  </r>
  <r>
    <x v="5"/>
    <x v="2"/>
    <x v="3"/>
    <x v="0"/>
    <x v="0"/>
    <n v="129717.52"/>
    <x v="0"/>
    <x v="0"/>
  </r>
  <r>
    <x v="5"/>
    <x v="0"/>
    <x v="2"/>
    <x v="0"/>
    <x v="0"/>
    <n v="20452.81"/>
    <x v="0"/>
    <x v="0"/>
  </r>
  <r>
    <x v="5"/>
    <x v="0"/>
    <x v="2"/>
    <x v="0"/>
    <x v="0"/>
    <n v="13407.42"/>
    <x v="0"/>
    <x v="0"/>
  </r>
  <r>
    <x v="5"/>
    <x v="0"/>
    <x v="2"/>
    <x v="0"/>
    <x v="0"/>
    <n v="43728.01"/>
    <x v="0"/>
    <x v="0"/>
  </r>
  <r>
    <x v="5"/>
    <x v="0"/>
    <x v="0"/>
    <x v="0"/>
    <x v="0"/>
    <n v="8953.88"/>
    <x v="0"/>
    <x v="0"/>
  </r>
  <r>
    <x v="5"/>
    <x v="1"/>
    <x v="2"/>
    <x v="1"/>
    <x v="0"/>
    <n v="10224"/>
    <x v="1"/>
    <x v="32"/>
  </r>
  <r>
    <x v="5"/>
    <x v="2"/>
    <x v="2"/>
    <x v="1"/>
    <x v="0"/>
    <n v="10224"/>
    <x v="1"/>
    <x v="32"/>
  </r>
  <r>
    <x v="5"/>
    <x v="0"/>
    <x v="2"/>
    <x v="0"/>
    <x v="0"/>
    <n v="25580.96"/>
    <x v="0"/>
    <x v="0"/>
  </r>
  <r>
    <x v="5"/>
    <x v="0"/>
    <x v="2"/>
    <x v="0"/>
    <x v="0"/>
    <n v="18799.27"/>
    <x v="0"/>
    <x v="0"/>
  </r>
  <r>
    <x v="5"/>
    <x v="3"/>
    <x v="0"/>
    <x v="0"/>
    <x v="0"/>
    <n v="2411.42"/>
    <x v="0"/>
    <x v="0"/>
  </r>
  <r>
    <x v="5"/>
    <x v="0"/>
    <x v="1"/>
    <x v="0"/>
    <x v="0"/>
    <n v="273.61"/>
    <x v="0"/>
    <x v="0"/>
  </r>
  <r>
    <x v="5"/>
    <x v="0"/>
    <x v="2"/>
    <x v="0"/>
    <x v="0"/>
    <n v="39268.73"/>
    <x v="0"/>
    <x v="0"/>
  </r>
  <r>
    <x v="5"/>
    <x v="3"/>
    <x v="0"/>
    <x v="0"/>
    <x v="0"/>
    <n v="7374.81"/>
    <x v="0"/>
    <x v="0"/>
  </r>
  <r>
    <x v="5"/>
    <x v="0"/>
    <x v="0"/>
    <x v="0"/>
    <x v="0"/>
    <n v="1559.81"/>
    <x v="0"/>
    <x v="0"/>
  </r>
  <r>
    <x v="5"/>
    <x v="0"/>
    <x v="0"/>
    <x v="0"/>
    <x v="0"/>
    <n v="3626.07"/>
    <x v="0"/>
    <x v="0"/>
  </r>
  <r>
    <x v="5"/>
    <x v="0"/>
    <x v="0"/>
    <x v="0"/>
    <x v="0"/>
    <n v="7185.9"/>
    <x v="0"/>
    <x v="0"/>
  </r>
  <r>
    <x v="5"/>
    <x v="1"/>
    <x v="3"/>
    <x v="0"/>
    <x v="0"/>
    <n v="102145.81"/>
    <x v="0"/>
    <x v="0"/>
  </r>
  <r>
    <x v="5"/>
    <x v="1"/>
    <x v="3"/>
    <x v="0"/>
    <x v="0"/>
    <n v="330262.78"/>
    <x v="0"/>
    <x v="0"/>
  </r>
  <r>
    <x v="5"/>
    <x v="0"/>
    <x v="2"/>
    <x v="0"/>
    <x v="0"/>
    <n v="20669.8"/>
    <x v="0"/>
    <x v="0"/>
  </r>
  <r>
    <x v="5"/>
    <x v="0"/>
    <x v="0"/>
    <x v="0"/>
    <x v="0"/>
    <n v="2689.41"/>
    <x v="0"/>
    <x v="0"/>
  </r>
  <r>
    <x v="5"/>
    <x v="0"/>
    <x v="0"/>
    <x v="0"/>
    <x v="0"/>
    <n v="7712.29"/>
    <x v="0"/>
    <x v="0"/>
  </r>
  <r>
    <x v="5"/>
    <x v="1"/>
    <x v="3"/>
    <x v="0"/>
    <x v="0"/>
    <n v="211207.36"/>
    <x v="0"/>
    <x v="0"/>
  </r>
  <r>
    <x v="5"/>
    <x v="1"/>
    <x v="2"/>
    <x v="0"/>
    <x v="0"/>
    <n v="93296.5"/>
    <x v="0"/>
    <x v="0"/>
  </r>
  <r>
    <x v="5"/>
    <x v="0"/>
    <x v="0"/>
    <x v="0"/>
    <x v="0"/>
    <n v="2247.29"/>
    <x v="0"/>
    <x v="0"/>
  </r>
  <r>
    <x v="5"/>
    <x v="0"/>
    <x v="2"/>
    <x v="0"/>
    <x v="0"/>
    <n v="13203.01"/>
    <x v="0"/>
    <x v="0"/>
  </r>
  <r>
    <x v="5"/>
    <x v="1"/>
    <x v="3"/>
    <x v="0"/>
    <x v="0"/>
    <n v="111691.03"/>
    <x v="0"/>
    <x v="0"/>
  </r>
  <r>
    <x v="5"/>
    <x v="2"/>
    <x v="3"/>
    <x v="0"/>
    <x v="0"/>
    <n v="343046.11"/>
    <x v="0"/>
    <x v="0"/>
  </r>
  <r>
    <x v="5"/>
    <x v="0"/>
    <x v="2"/>
    <x v="0"/>
    <x v="0"/>
    <n v="13048.61"/>
    <x v="0"/>
    <x v="0"/>
  </r>
  <r>
    <x v="5"/>
    <x v="2"/>
    <x v="3"/>
    <x v="0"/>
    <x v="0"/>
    <n v="205908.12"/>
    <x v="0"/>
    <x v="0"/>
  </r>
  <r>
    <x v="5"/>
    <x v="0"/>
    <x v="0"/>
    <x v="0"/>
    <x v="0"/>
    <n v="1813.39"/>
    <x v="0"/>
    <x v="0"/>
  </r>
  <r>
    <x v="5"/>
    <x v="0"/>
    <x v="0"/>
    <x v="0"/>
    <x v="0"/>
    <n v="7515.48"/>
    <x v="0"/>
    <x v="0"/>
  </r>
  <r>
    <x v="5"/>
    <x v="0"/>
    <x v="0"/>
    <x v="0"/>
    <x v="0"/>
    <n v="6920.66"/>
    <x v="0"/>
    <x v="0"/>
  </r>
  <r>
    <x v="5"/>
    <x v="1"/>
    <x v="2"/>
    <x v="1"/>
    <x v="0"/>
    <n v="85354.69"/>
    <x v="1"/>
    <x v="33"/>
  </r>
  <r>
    <x v="5"/>
    <x v="2"/>
    <x v="2"/>
    <x v="1"/>
    <x v="0"/>
    <n v="85354.69"/>
    <x v="1"/>
    <x v="33"/>
  </r>
  <r>
    <x v="5"/>
    <x v="0"/>
    <x v="2"/>
    <x v="0"/>
    <x v="0"/>
    <n v="18591.22"/>
    <x v="0"/>
    <x v="0"/>
  </r>
  <r>
    <x v="5"/>
    <x v="0"/>
    <x v="2"/>
    <x v="0"/>
    <x v="0"/>
    <n v="12028.83"/>
    <x v="0"/>
    <x v="0"/>
  </r>
  <r>
    <x v="5"/>
    <x v="0"/>
    <x v="1"/>
    <x v="0"/>
    <x v="0"/>
    <n v="16.29"/>
    <x v="0"/>
    <x v="0"/>
  </r>
  <r>
    <x v="5"/>
    <x v="0"/>
    <x v="2"/>
    <x v="0"/>
    <x v="0"/>
    <n v="15806.57"/>
    <x v="0"/>
    <x v="0"/>
  </r>
  <r>
    <x v="5"/>
    <x v="0"/>
    <x v="0"/>
    <x v="0"/>
    <x v="0"/>
    <n v="5471.85"/>
    <x v="0"/>
    <x v="0"/>
  </r>
  <r>
    <x v="5"/>
    <x v="2"/>
    <x v="2"/>
    <x v="0"/>
    <x v="0"/>
    <n v="57737.75"/>
    <x v="0"/>
    <x v="0"/>
  </r>
  <r>
    <x v="5"/>
    <x v="1"/>
    <x v="2"/>
    <x v="0"/>
    <x v="0"/>
    <n v="36863.19"/>
    <x v="0"/>
    <x v="0"/>
  </r>
  <r>
    <x v="5"/>
    <x v="0"/>
    <x v="2"/>
    <x v="0"/>
    <x v="0"/>
    <n v="18096.37"/>
    <x v="0"/>
    <x v="0"/>
  </r>
  <r>
    <x v="5"/>
    <x v="0"/>
    <x v="2"/>
    <x v="0"/>
    <x v="0"/>
    <n v="15314.84"/>
    <x v="0"/>
    <x v="0"/>
  </r>
  <r>
    <x v="5"/>
    <x v="1"/>
    <x v="2"/>
    <x v="0"/>
    <x v="0"/>
    <n v="73844.55"/>
    <x v="0"/>
    <x v="0"/>
  </r>
  <r>
    <x v="5"/>
    <x v="0"/>
    <x v="1"/>
    <x v="0"/>
    <x v="0"/>
    <n v="774.43"/>
    <x v="0"/>
    <x v="0"/>
  </r>
  <r>
    <x v="5"/>
    <x v="2"/>
    <x v="2"/>
    <x v="0"/>
    <x v="0"/>
    <n v="43145.46"/>
    <x v="0"/>
    <x v="0"/>
  </r>
  <r>
    <x v="5"/>
    <x v="0"/>
    <x v="2"/>
    <x v="0"/>
    <x v="0"/>
    <n v="16771.05"/>
    <x v="0"/>
    <x v="0"/>
  </r>
  <r>
    <x v="5"/>
    <x v="0"/>
    <x v="2"/>
    <x v="0"/>
    <x v="0"/>
    <n v="17373.62"/>
    <x v="0"/>
    <x v="0"/>
  </r>
  <r>
    <x v="5"/>
    <x v="0"/>
    <x v="0"/>
    <x v="0"/>
    <x v="0"/>
    <n v="6800.9"/>
    <x v="0"/>
    <x v="0"/>
  </r>
  <r>
    <x v="5"/>
    <x v="0"/>
    <x v="2"/>
    <x v="0"/>
    <x v="0"/>
    <n v="28084.57"/>
    <x v="0"/>
    <x v="0"/>
  </r>
  <r>
    <x v="5"/>
    <x v="1"/>
    <x v="3"/>
    <x v="0"/>
    <x v="0"/>
    <n v="491920"/>
    <x v="0"/>
    <x v="0"/>
  </r>
  <r>
    <x v="5"/>
    <x v="0"/>
    <x v="0"/>
    <x v="0"/>
    <x v="0"/>
    <n v="4115.83"/>
    <x v="0"/>
    <x v="0"/>
  </r>
  <r>
    <x v="5"/>
    <x v="1"/>
    <x v="3"/>
    <x v="0"/>
    <x v="0"/>
    <n v="109865.4"/>
    <x v="0"/>
    <x v="0"/>
  </r>
  <r>
    <x v="5"/>
    <x v="0"/>
    <x v="1"/>
    <x v="0"/>
    <x v="0"/>
    <n v="83.01"/>
    <x v="0"/>
    <x v="0"/>
  </r>
  <r>
    <x v="5"/>
    <x v="0"/>
    <x v="2"/>
    <x v="0"/>
    <x v="0"/>
    <n v="11132.52"/>
    <x v="0"/>
    <x v="0"/>
  </r>
  <r>
    <x v="5"/>
    <x v="0"/>
    <x v="2"/>
    <x v="0"/>
    <x v="0"/>
    <n v="12450.02"/>
    <x v="0"/>
    <x v="0"/>
  </r>
  <r>
    <x v="5"/>
    <x v="0"/>
    <x v="2"/>
    <x v="0"/>
    <x v="0"/>
    <n v="16970.45"/>
    <x v="0"/>
    <x v="0"/>
  </r>
  <r>
    <x v="5"/>
    <x v="0"/>
    <x v="2"/>
    <x v="0"/>
    <x v="0"/>
    <n v="14608.67"/>
    <x v="0"/>
    <x v="0"/>
  </r>
  <r>
    <x v="5"/>
    <x v="0"/>
    <x v="0"/>
    <x v="0"/>
    <x v="0"/>
    <n v="2818.53"/>
    <x v="0"/>
    <x v="0"/>
  </r>
  <r>
    <x v="5"/>
    <x v="0"/>
    <x v="2"/>
    <x v="0"/>
    <x v="0"/>
    <n v="16231.43"/>
    <x v="0"/>
    <x v="0"/>
  </r>
  <r>
    <x v="5"/>
    <x v="0"/>
    <x v="0"/>
    <x v="0"/>
    <x v="0"/>
    <n v="1639.3"/>
    <x v="0"/>
    <x v="0"/>
  </r>
  <r>
    <x v="5"/>
    <x v="0"/>
    <x v="2"/>
    <x v="0"/>
    <x v="0"/>
    <n v="10420.26"/>
    <x v="0"/>
    <x v="0"/>
  </r>
  <r>
    <x v="5"/>
    <x v="0"/>
    <x v="1"/>
    <x v="0"/>
    <x v="0"/>
    <n v="41.93"/>
    <x v="0"/>
    <x v="0"/>
  </r>
  <r>
    <x v="5"/>
    <x v="0"/>
    <x v="0"/>
    <x v="0"/>
    <x v="0"/>
    <n v="2132.75"/>
    <x v="0"/>
    <x v="0"/>
  </r>
  <r>
    <x v="5"/>
    <x v="0"/>
    <x v="2"/>
    <x v="0"/>
    <x v="0"/>
    <n v="33857.1"/>
    <x v="0"/>
    <x v="0"/>
  </r>
  <r>
    <x v="5"/>
    <x v="0"/>
    <x v="0"/>
    <x v="0"/>
    <x v="0"/>
    <n v="5711.32"/>
    <x v="0"/>
    <x v="0"/>
  </r>
  <r>
    <x v="5"/>
    <x v="0"/>
    <x v="0"/>
    <x v="0"/>
    <x v="0"/>
    <n v="2694.66"/>
    <x v="0"/>
    <x v="0"/>
  </r>
  <r>
    <x v="5"/>
    <x v="0"/>
    <x v="1"/>
    <x v="0"/>
    <x v="0"/>
    <n v="531.45"/>
    <x v="0"/>
    <x v="0"/>
  </r>
  <r>
    <x v="5"/>
    <x v="4"/>
    <x v="3"/>
    <x v="0"/>
    <x v="0"/>
    <n v="284657.93"/>
    <x v="0"/>
    <x v="0"/>
  </r>
  <r>
    <x v="5"/>
    <x v="0"/>
    <x v="0"/>
    <x v="0"/>
    <x v="0"/>
    <n v="7463.22"/>
    <x v="0"/>
    <x v="0"/>
  </r>
  <r>
    <x v="5"/>
    <x v="0"/>
    <x v="0"/>
    <x v="0"/>
    <x v="0"/>
    <n v="6322.81"/>
    <x v="0"/>
    <x v="0"/>
  </r>
  <r>
    <x v="5"/>
    <x v="4"/>
    <x v="2"/>
    <x v="0"/>
    <x v="0"/>
    <n v="56151.12"/>
    <x v="0"/>
    <x v="0"/>
  </r>
  <r>
    <x v="5"/>
    <x v="4"/>
    <x v="0"/>
    <x v="0"/>
    <x v="0"/>
    <n v="6441.93"/>
    <x v="0"/>
    <x v="0"/>
  </r>
  <r>
    <x v="5"/>
    <x v="4"/>
    <x v="3"/>
    <x v="0"/>
    <x v="0"/>
    <n v="180870.42"/>
    <x v="0"/>
    <x v="0"/>
  </r>
  <r>
    <x v="5"/>
    <x v="4"/>
    <x v="3"/>
    <x v="0"/>
    <x v="0"/>
    <n v="177793.46"/>
    <x v="0"/>
    <x v="0"/>
  </r>
  <r>
    <x v="5"/>
    <x v="4"/>
    <x v="3"/>
    <x v="0"/>
    <x v="0"/>
    <n v="403393.65"/>
    <x v="0"/>
    <x v="0"/>
  </r>
  <r>
    <x v="5"/>
    <x v="4"/>
    <x v="3"/>
    <x v="0"/>
    <x v="0"/>
    <n v="374378.57"/>
    <x v="0"/>
    <x v="0"/>
  </r>
  <r>
    <x v="5"/>
    <x v="4"/>
    <x v="3"/>
    <x v="0"/>
    <x v="0"/>
    <n v="555921.6"/>
    <x v="0"/>
    <x v="0"/>
  </r>
  <r>
    <x v="5"/>
    <x v="4"/>
    <x v="3"/>
    <x v="0"/>
    <x v="0"/>
    <n v="399998.92"/>
    <x v="0"/>
    <x v="0"/>
  </r>
  <r>
    <x v="5"/>
    <x v="4"/>
    <x v="3"/>
    <x v="0"/>
    <x v="0"/>
    <n v="107588.94"/>
    <x v="0"/>
    <x v="0"/>
  </r>
  <r>
    <x v="5"/>
    <x v="4"/>
    <x v="3"/>
    <x v="0"/>
    <x v="0"/>
    <n v="349084.96"/>
    <x v="0"/>
    <x v="0"/>
  </r>
  <r>
    <x v="5"/>
    <x v="4"/>
    <x v="3"/>
    <x v="0"/>
    <x v="0"/>
    <n v="259049.85"/>
    <x v="0"/>
    <x v="0"/>
  </r>
  <r>
    <x v="5"/>
    <x v="4"/>
    <x v="3"/>
    <x v="0"/>
    <x v="0"/>
    <n v="162410.51"/>
    <x v="0"/>
    <x v="0"/>
  </r>
  <r>
    <x v="5"/>
    <x v="4"/>
    <x v="3"/>
    <x v="0"/>
    <x v="0"/>
    <n v="139209.07"/>
    <x v="0"/>
    <x v="0"/>
  </r>
  <r>
    <x v="5"/>
    <x v="4"/>
    <x v="3"/>
    <x v="0"/>
    <x v="0"/>
    <n v="221584.67"/>
    <x v="0"/>
    <x v="0"/>
  </r>
  <r>
    <x v="5"/>
    <x v="4"/>
    <x v="2"/>
    <x v="0"/>
    <x v="0"/>
    <n v="33975.45"/>
    <x v="0"/>
    <x v="0"/>
  </r>
  <r>
    <x v="5"/>
    <x v="4"/>
    <x v="3"/>
    <x v="0"/>
    <x v="0"/>
    <n v="189095.53"/>
    <x v="0"/>
    <x v="0"/>
  </r>
  <r>
    <x v="5"/>
    <x v="4"/>
    <x v="2"/>
    <x v="0"/>
    <x v="0"/>
    <n v="51696.89"/>
    <x v="0"/>
    <x v="0"/>
  </r>
  <r>
    <x v="5"/>
    <x v="4"/>
    <x v="2"/>
    <x v="0"/>
    <x v="0"/>
    <n v="97173.8"/>
    <x v="0"/>
    <x v="0"/>
  </r>
  <r>
    <x v="5"/>
    <x v="4"/>
    <x v="3"/>
    <x v="0"/>
    <x v="0"/>
    <n v="170656.02"/>
    <x v="0"/>
    <x v="0"/>
  </r>
  <r>
    <x v="5"/>
    <x v="4"/>
    <x v="2"/>
    <x v="0"/>
    <x v="0"/>
    <n v="46644.73"/>
    <x v="0"/>
    <x v="0"/>
  </r>
  <r>
    <x v="5"/>
    <x v="4"/>
    <x v="2"/>
    <x v="0"/>
    <x v="0"/>
    <n v="17923.87"/>
    <x v="0"/>
    <x v="0"/>
  </r>
  <r>
    <x v="5"/>
    <x v="4"/>
    <x v="2"/>
    <x v="0"/>
    <x v="0"/>
    <n v="42874.29"/>
    <x v="0"/>
    <x v="0"/>
  </r>
  <r>
    <x v="5"/>
    <x v="4"/>
    <x v="3"/>
    <x v="0"/>
    <x v="0"/>
    <n v="276974.44"/>
    <x v="0"/>
    <x v="0"/>
  </r>
  <r>
    <x v="5"/>
    <x v="4"/>
    <x v="2"/>
    <x v="0"/>
    <x v="0"/>
    <n v="88549.9"/>
    <x v="0"/>
    <x v="0"/>
  </r>
  <r>
    <x v="5"/>
    <x v="4"/>
    <x v="3"/>
    <x v="0"/>
    <x v="0"/>
    <n v="154372.69"/>
    <x v="0"/>
    <x v="0"/>
  </r>
  <r>
    <x v="5"/>
    <x v="4"/>
    <x v="3"/>
    <x v="0"/>
    <x v="0"/>
    <n v="113859.94"/>
    <x v="0"/>
    <x v="0"/>
  </r>
  <r>
    <x v="5"/>
    <x v="4"/>
    <x v="3"/>
    <x v="0"/>
    <x v="0"/>
    <n v="278369.25"/>
    <x v="0"/>
    <x v="0"/>
  </r>
  <r>
    <x v="5"/>
    <x v="4"/>
    <x v="3"/>
    <x v="0"/>
    <x v="0"/>
    <n v="194642.4"/>
    <x v="0"/>
    <x v="0"/>
  </r>
  <r>
    <x v="5"/>
    <x v="4"/>
    <x v="3"/>
    <x v="0"/>
    <x v="0"/>
    <n v="277447.82"/>
    <x v="0"/>
    <x v="0"/>
  </r>
  <r>
    <x v="5"/>
    <x v="4"/>
    <x v="3"/>
    <x v="0"/>
    <x v="0"/>
    <n v="123601.07"/>
    <x v="0"/>
    <x v="0"/>
  </r>
  <r>
    <x v="5"/>
    <x v="4"/>
    <x v="3"/>
    <x v="0"/>
    <x v="0"/>
    <n v="299234.56"/>
    <x v="0"/>
    <x v="0"/>
  </r>
  <r>
    <x v="5"/>
    <x v="4"/>
    <x v="2"/>
    <x v="0"/>
    <x v="0"/>
    <n v="20606.91"/>
    <x v="0"/>
    <x v="0"/>
  </r>
  <r>
    <x v="5"/>
    <x v="4"/>
    <x v="3"/>
    <x v="0"/>
    <x v="0"/>
    <n v="353210.38"/>
    <x v="0"/>
    <x v="0"/>
  </r>
  <r>
    <x v="5"/>
    <x v="4"/>
    <x v="2"/>
    <x v="0"/>
    <x v="0"/>
    <n v="90206.82"/>
    <x v="0"/>
    <x v="0"/>
  </r>
  <r>
    <x v="5"/>
    <x v="4"/>
    <x v="3"/>
    <x v="0"/>
    <x v="0"/>
    <n v="145697.63"/>
    <x v="0"/>
    <x v="0"/>
  </r>
  <r>
    <x v="5"/>
    <x v="4"/>
    <x v="3"/>
    <x v="0"/>
    <x v="0"/>
    <n v="117372.63"/>
    <x v="0"/>
    <x v="0"/>
  </r>
  <r>
    <x v="5"/>
    <x v="4"/>
    <x v="2"/>
    <x v="0"/>
    <x v="0"/>
    <n v="22883.86"/>
    <x v="0"/>
    <x v="0"/>
  </r>
  <r>
    <x v="5"/>
    <x v="4"/>
    <x v="2"/>
    <x v="0"/>
    <x v="0"/>
    <n v="26775.37"/>
    <x v="0"/>
    <x v="0"/>
  </r>
  <r>
    <x v="5"/>
    <x v="4"/>
    <x v="3"/>
    <x v="0"/>
    <x v="0"/>
    <n v="228957.76"/>
    <x v="0"/>
    <x v="0"/>
  </r>
  <r>
    <x v="5"/>
    <x v="4"/>
    <x v="3"/>
    <x v="0"/>
    <x v="0"/>
    <n v="276215.93"/>
    <x v="0"/>
    <x v="0"/>
  </r>
  <r>
    <x v="5"/>
    <x v="4"/>
    <x v="3"/>
    <x v="0"/>
    <x v="0"/>
    <n v="147303.27"/>
    <x v="0"/>
    <x v="0"/>
  </r>
  <r>
    <x v="5"/>
    <x v="4"/>
    <x v="2"/>
    <x v="0"/>
    <x v="0"/>
    <n v="81947.39"/>
    <x v="0"/>
    <x v="0"/>
  </r>
  <r>
    <x v="5"/>
    <x v="4"/>
    <x v="3"/>
    <x v="0"/>
    <x v="0"/>
    <n v="160681.58"/>
    <x v="0"/>
    <x v="0"/>
  </r>
  <r>
    <x v="5"/>
    <x v="4"/>
    <x v="3"/>
    <x v="0"/>
    <x v="0"/>
    <n v="104695.79"/>
    <x v="0"/>
    <x v="0"/>
  </r>
  <r>
    <x v="5"/>
    <x v="4"/>
    <x v="2"/>
    <x v="0"/>
    <x v="0"/>
    <n v="85360.76"/>
    <x v="0"/>
    <x v="0"/>
  </r>
  <r>
    <x v="5"/>
    <x v="4"/>
    <x v="3"/>
    <x v="0"/>
    <x v="0"/>
    <n v="141561.27"/>
    <x v="0"/>
    <x v="0"/>
  </r>
  <r>
    <x v="5"/>
    <x v="4"/>
    <x v="3"/>
    <x v="0"/>
    <x v="0"/>
    <n v="206810.15"/>
    <x v="0"/>
    <x v="0"/>
  </r>
  <r>
    <x v="5"/>
    <x v="4"/>
    <x v="2"/>
    <x v="0"/>
    <x v="0"/>
    <n v="25976.3"/>
    <x v="0"/>
    <x v="0"/>
  </r>
  <r>
    <x v="5"/>
    <x v="4"/>
    <x v="3"/>
    <x v="0"/>
    <x v="0"/>
    <n v="117770.95"/>
    <x v="0"/>
    <x v="0"/>
  </r>
  <r>
    <x v="5"/>
    <x v="4"/>
    <x v="3"/>
    <x v="0"/>
    <x v="0"/>
    <n v="162271.77"/>
    <x v="0"/>
    <x v="0"/>
  </r>
  <r>
    <x v="5"/>
    <x v="4"/>
    <x v="2"/>
    <x v="0"/>
    <x v="0"/>
    <n v="44264.07"/>
    <x v="0"/>
    <x v="0"/>
  </r>
  <r>
    <x v="5"/>
    <x v="4"/>
    <x v="3"/>
    <x v="0"/>
    <x v="0"/>
    <n v="292307.46"/>
    <x v="0"/>
    <x v="0"/>
  </r>
  <r>
    <x v="5"/>
    <x v="4"/>
    <x v="3"/>
    <x v="0"/>
    <x v="0"/>
    <n v="151301.14"/>
    <x v="0"/>
    <x v="0"/>
  </r>
  <r>
    <x v="5"/>
    <x v="4"/>
    <x v="3"/>
    <x v="0"/>
    <x v="0"/>
    <n v="343371.38"/>
    <x v="0"/>
    <x v="0"/>
  </r>
  <r>
    <x v="5"/>
    <x v="4"/>
    <x v="0"/>
    <x v="0"/>
    <x v="0"/>
    <n v="8477.85"/>
    <x v="0"/>
    <x v="0"/>
  </r>
  <r>
    <x v="5"/>
    <x v="4"/>
    <x v="3"/>
    <x v="0"/>
    <x v="0"/>
    <n v="400377.11"/>
    <x v="0"/>
    <x v="0"/>
  </r>
  <r>
    <x v="5"/>
    <x v="4"/>
    <x v="3"/>
    <x v="0"/>
    <x v="0"/>
    <n v="204307.03"/>
    <x v="0"/>
    <x v="0"/>
  </r>
  <r>
    <x v="5"/>
    <x v="4"/>
    <x v="3"/>
    <x v="0"/>
    <x v="0"/>
    <n v="391209.48"/>
    <x v="0"/>
    <x v="0"/>
  </r>
  <r>
    <x v="5"/>
    <x v="4"/>
    <x v="3"/>
    <x v="0"/>
    <x v="0"/>
    <n v="369168.98"/>
    <x v="0"/>
    <x v="0"/>
  </r>
  <r>
    <x v="5"/>
    <x v="4"/>
    <x v="3"/>
    <x v="0"/>
    <x v="0"/>
    <n v="116215.63"/>
    <x v="0"/>
    <x v="0"/>
  </r>
  <r>
    <x v="5"/>
    <x v="4"/>
    <x v="3"/>
    <x v="0"/>
    <x v="0"/>
    <n v="299261.26"/>
    <x v="0"/>
    <x v="0"/>
  </r>
  <r>
    <x v="5"/>
    <x v="4"/>
    <x v="3"/>
    <x v="0"/>
    <x v="0"/>
    <n v="241605.17"/>
    <x v="0"/>
    <x v="0"/>
  </r>
  <r>
    <x v="5"/>
    <x v="0"/>
    <x v="2"/>
    <x v="0"/>
    <x v="0"/>
    <n v="23861.38"/>
    <x v="0"/>
    <x v="0"/>
  </r>
  <r>
    <x v="5"/>
    <x v="0"/>
    <x v="0"/>
    <x v="0"/>
    <x v="0"/>
    <n v="4398.44"/>
    <x v="0"/>
    <x v="0"/>
  </r>
  <r>
    <x v="5"/>
    <x v="1"/>
    <x v="3"/>
    <x v="0"/>
    <x v="0"/>
    <n v="141189.81"/>
    <x v="0"/>
    <x v="0"/>
  </r>
  <r>
    <x v="5"/>
    <x v="0"/>
    <x v="0"/>
    <x v="0"/>
    <x v="0"/>
    <n v="6210.12"/>
    <x v="0"/>
    <x v="0"/>
  </r>
  <r>
    <x v="5"/>
    <x v="0"/>
    <x v="0"/>
    <x v="0"/>
    <x v="0"/>
    <n v="4759.68"/>
    <x v="0"/>
    <x v="0"/>
  </r>
  <r>
    <x v="5"/>
    <x v="0"/>
    <x v="2"/>
    <x v="0"/>
    <x v="0"/>
    <n v="41727.65"/>
    <x v="0"/>
    <x v="0"/>
  </r>
  <r>
    <x v="5"/>
    <x v="0"/>
    <x v="2"/>
    <x v="0"/>
    <x v="0"/>
    <n v="19869.17"/>
    <x v="0"/>
    <x v="0"/>
  </r>
  <r>
    <x v="5"/>
    <x v="0"/>
    <x v="2"/>
    <x v="0"/>
    <x v="0"/>
    <n v="31546.47"/>
    <x v="0"/>
    <x v="0"/>
  </r>
  <r>
    <x v="5"/>
    <x v="0"/>
    <x v="0"/>
    <x v="0"/>
    <x v="0"/>
    <n v="5718.98"/>
    <x v="0"/>
    <x v="0"/>
  </r>
  <r>
    <x v="5"/>
    <x v="0"/>
    <x v="0"/>
    <x v="0"/>
    <x v="0"/>
    <n v="7749.22"/>
    <x v="0"/>
    <x v="0"/>
  </r>
  <r>
    <x v="5"/>
    <x v="0"/>
    <x v="2"/>
    <x v="0"/>
    <x v="0"/>
    <n v="16362.86"/>
    <x v="0"/>
    <x v="0"/>
  </r>
  <r>
    <x v="5"/>
    <x v="0"/>
    <x v="1"/>
    <x v="0"/>
    <x v="0"/>
    <n v="336.05"/>
    <x v="0"/>
    <x v="0"/>
  </r>
  <r>
    <x v="5"/>
    <x v="0"/>
    <x v="1"/>
    <x v="0"/>
    <x v="0"/>
    <n v="414.32"/>
    <x v="0"/>
    <x v="0"/>
  </r>
  <r>
    <x v="5"/>
    <x v="0"/>
    <x v="2"/>
    <x v="0"/>
    <x v="0"/>
    <n v="44660.63"/>
    <x v="0"/>
    <x v="0"/>
  </r>
  <r>
    <x v="5"/>
    <x v="0"/>
    <x v="0"/>
    <x v="0"/>
    <x v="0"/>
    <n v="8844.72"/>
    <x v="0"/>
    <x v="0"/>
  </r>
  <r>
    <x v="5"/>
    <x v="0"/>
    <x v="0"/>
    <x v="0"/>
    <x v="0"/>
    <n v="7955.58"/>
    <x v="0"/>
    <x v="0"/>
  </r>
  <r>
    <x v="5"/>
    <x v="0"/>
    <x v="2"/>
    <x v="0"/>
    <x v="0"/>
    <n v="37887.08"/>
    <x v="0"/>
    <x v="0"/>
  </r>
  <r>
    <x v="5"/>
    <x v="0"/>
    <x v="2"/>
    <x v="0"/>
    <x v="0"/>
    <n v="15033.16"/>
    <x v="0"/>
    <x v="0"/>
  </r>
  <r>
    <x v="5"/>
    <x v="1"/>
    <x v="3"/>
    <x v="0"/>
    <x v="0"/>
    <n v="262301.96"/>
    <x v="0"/>
    <x v="0"/>
  </r>
  <r>
    <x v="5"/>
    <x v="0"/>
    <x v="2"/>
    <x v="0"/>
    <x v="0"/>
    <n v="31211.8"/>
    <x v="0"/>
    <x v="0"/>
  </r>
  <r>
    <x v="5"/>
    <x v="0"/>
    <x v="0"/>
    <x v="0"/>
    <x v="0"/>
    <n v="3392.19"/>
    <x v="0"/>
    <x v="0"/>
  </r>
  <r>
    <x v="5"/>
    <x v="0"/>
    <x v="0"/>
    <x v="0"/>
    <x v="0"/>
    <n v="5501.57"/>
    <x v="0"/>
    <x v="0"/>
  </r>
  <r>
    <x v="5"/>
    <x v="0"/>
    <x v="0"/>
    <x v="0"/>
    <x v="0"/>
    <n v="6382.5"/>
    <x v="0"/>
    <x v="0"/>
  </r>
  <r>
    <x v="5"/>
    <x v="0"/>
    <x v="2"/>
    <x v="0"/>
    <x v="0"/>
    <n v="17826.95"/>
    <x v="0"/>
    <x v="0"/>
  </r>
  <r>
    <x v="5"/>
    <x v="1"/>
    <x v="2"/>
    <x v="1"/>
    <x v="0"/>
    <n v="13704"/>
    <x v="1"/>
    <x v="34"/>
  </r>
  <r>
    <x v="5"/>
    <x v="2"/>
    <x v="2"/>
    <x v="1"/>
    <x v="0"/>
    <n v="13704"/>
    <x v="1"/>
    <x v="34"/>
  </r>
  <r>
    <x v="5"/>
    <x v="0"/>
    <x v="0"/>
    <x v="0"/>
    <x v="0"/>
    <n v="2945.31"/>
    <x v="0"/>
    <x v="0"/>
  </r>
  <r>
    <x v="5"/>
    <x v="0"/>
    <x v="2"/>
    <x v="0"/>
    <x v="0"/>
    <n v="27668.81"/>
    <x v="0"/>
    <x v="0"/>
  </r>
  <r>
    <x v="5"/>
    <x v="0"/>
    <x v="2"/>
    <x v="0"/>
    <x v="0"/>
    <n v="18714.61"/>
    <x v="0"/>
    <x v="0"/>
  </r>
  <r>
    <x v="5"/>
    <x v="1"/>
    <x v="3"/>
    <x v="0"/>
    <x v="0"/>
    <n v="312895.63"/>
    <x v="0"/>
    <x v="0"/>
  </r>
  <r>
    <x v="5"/>
    <x v="0"/>
    <x v="0"/>
    <x v="0"/>
    <x v="0"/>
    <n v="4411.9"/>
    <x v="0"/>
    <x v="0"/>
  </r>
  <r>
    <x v="5"/>
    <x v="1"/>
    <x v="3"/>
    <x v="0"/>
    <x v="0"/>
    <n v="245997.24"/>
    <x v="0"/>
    <x v="0"/>
  </r>
  <r>
    <x v="5"/>
    <x v="0"/>
    <x v="0"/>
    <x v="0"/>
    <x v="0"/>
    <n v="7426.32"/>
    <x v="0"/>
    <x v="0"/>
  </r>
  <r>
    <x v="5"/>
    <x v="0"/>
    <x v="0"/>
    <x v="0"/>
    <x v="0"/>
    <n v="9282.83"/>
    <x v="0"/>
    <x v="0"/>
  </r>
  <r>
    <x v="6"/>
    <x v="0"/>
    <x v="0"/>
    <x v="0"/>
    <x v="0"/>
    <n v="9023.63"/>
    <x v="0"/>
    <x v="0"/>
  </r>
  <r>
    <x v="6"/>
    <x v="0"/>
    <x v="2"/>
    <x v="0"/>
    <x v="0"/>
    <n v="13266.85"/>
    <x v="0"/>
    <x v="0"/>
  </r>
  <r>
    <x v="6"/>
    <x v="2"/>
    <x v="2"/>
    <x v="0"/>
    <x v="0"/>
    <n v="77253.21"/>
    <x v="0"/>
    <x v="0"/>
  </r>
  <r>
    <x v="6"/>
    <x v="1"/>
    <x v="3"/>
    <x v="0"/>
    <x v="0"/>
    <n v="360373.89"/>
    <x v="0"/>
    <x v="0"/>
  </r>
  <r>
    <x v="6"/>
    <x v="0"/>
    <x v="0"/>
    <x v="0"/>
    <x v="0"/>
    <n v="1526.5"/>
    <x v="0"/>
    <x v="0"/>
  </r>
  <r>
    <x v="6"/>
    <x v="0"/>
    <x v="2"/>
    <x v="0"/>
    <x v="0"/>
    <n v="18747.29"/>
    <x v="0"/>
    <x v="0"/>
  </r>
  <r>
    <x v="6"/>
    <x v="0"/>
    <x v="0"/>
    <x v="0"/>
    <x v="0"/>
    <n v="5248.34"/>
    <x v="0"/>
    <x v="0"/>
  </r>
  <r>
    <x v="6"/>
    <x v="0"/>
    <x v="0"/>
    <x v="0"/>
    <x v="0"/>
    <n v="4944.21"/>
    <x v="0"/>
    <x v="0"/>
  </r>
  <r>
    <x v="6"/>
    <x v="0"/>
    <x v="2"/>
    <x v="0"/>
    <x v="0"/>
    <n v="11933.67"/>
    <x v="0"/>
    <x v="0"/>
  </r>
  <r>
    <x v="6"/>
    <x v="2"/>
    <x v="2"/>
    <x v="0"/>
    <x v="0"/>
    <n v="75359.52"/>
    <x v="0"/>
    <x v="0"/>
  </r>
  <r>
    <x v="6"/>
    <x v="0"/>
    <x v="0"/>
    <x v="0"/>
    <x v="0"/>
    <n v="5624.78"/>
    <x v="0"/>
    <x v="0"/>
  </r>
  <r>
    <x v="6"/>
    <x v="2"/>
    <x v="2"/>
    <x v="0"/>
    <x v="0"/>
    <n v="67787.89"/>
    <x v="0"/>
    <x v="0"/>
  </r>
  <r>
    <x v="6"/>
    <x v="0"/>
    <x v="0"/>
    <x v="0"/>
    <x v="0"/>
    <n v="5272.45"/>
    <x v="0"/>
    <x v="0"/>
  </r>
  <r>
    <x v="6"/>
    <x v="0"/>
    <x v="0"/>
    <x v="0"/>
    <x v="0"/>
    <n v="5947.18"/>
    <x v="0"/>
    <x v="0"/>
  </r>
  <r>
    <x v="6"/>
    <x v="0"/>
    <x v="0"/>
    <x v="0"/>
    <x v="0"/>
    <n v="2392.42"/>
    <x v="0"/>
    <x v="0"/>
  </r>
  <r>
    <x v="6"/>
    <x v="0"/>
    <x v="0"/>
    <x v="0"/>
    <x v="0"/>
    <n v="7046.53"/>
    <x v="0"/>
    <x v="0"/>
  </r>
  <r>
    <x v="6"/>
    <x v="1"/>
    <x v="3"/>
    <x v="0"/>
    <x v="0"/>
    <n v="761871.16"/>
    <x v="0"/>
    <x v="0"/>
  </r>
  <r>
    <x v="6"/>
    <x v="0"/>
    <x v="0"/>
    <x v="0"/>
    <x v="0"/>
    <n v="3408.19"/>
    <x v="0"/>
    <x v="0"/>
  </r>
  <r>
    <x v="6"/>
    <x v="1"/>
    <x v="3"/>
    <x v="0"/>
    <x v="0"/>
    <n v="905112.26"/>
    <x v="0"/>
    <x v="0"/>
  </r>
  <r>
    <x v="6"/>
    <x v="0"/>
    <x v="0"/>
    <x v="0"/>
    <x v="0"/>
    <n v="3615.16"/>
    <x v="0"/>
    <x v="0"/>
  </r>
  <r>
    <x v="6"/>
    <x v="2"/>
    <x v="3"/>
    <x v="0"/>
    <x v="0"/>
    <n v="112681.95"/>
    <x v="0"/>
    <x v="0"/>
  </r>
  <r>
    <x v="6"/>
    <x v="0"/>
    <x v="2"/>
    <x v="0"/>
    <x v="0"/>
    <n v="11877.65"/>
    <x v="0"/>
    <x v="0"/>
  </r>
  <r>
    <x v="6"/>
    <x v="0"/>
    <x v="0"/>
    <x v="0"/>
    <x v="0"/>
    <n v="9065.86"/>
    <x v="0"/>
    <x v="0"/>
  </r>
  <r>
    <x v="6"/>
    <x v="0"/>
    <x v="2"/>
    <x v="0"/>
    <x v="0"/>
    <n v="12672.81"/>
    <x v="0"/>
    <x v="0"/>
  </r>
  <r>
    <x v="6"/>
    <x v="0"/>
    <x v="0"/>
    <x v="0"/>
    <x v="0"/>
    <n v="5528.36"/>
    <x v="0"/>
    <x v="0"/>
  </r>
  <r>
    <x v="6"/>
    <x v="1"/>
    <x v="3"/>
    <x v="0"/>
    <x v="0"/>
    <n v="437415.9"/>
    <x v="0"/>
    <x v="0"/>
  </r>
  <r>
    <x v="6"/>
    <x v="1"/>
    <x v="3"/>
    <x v="0"/>
    <x v="0"/>
    <n v="837439.12"/>
    <x v="0"/>
    <x v="0"/>
  </r>
  <r>
    <x v="6"/>
    <x v="0"/>
    <x v="2"/>
    <x v="0"/>
    <x v="0"/>
    <n v="17864.89"/>
    <x v="0"/>
    <x v="0"/>
  </r>
  <r>
    <x v="6"/>
    <x v="1"/>
    <x v="3"/>
    <x v="0"/>
    <x v="0"/>
    <n v="542435.88"/>
    <x v="0"/>
    <x v="0"/>
  </r>
  <r>
    <x v="6"/>
    <x v="2"/>
    <x v="2"/>
    <x v="0"/>
    <x v="0"/>
    <n v="30918.53"/>
    <x v="0"/>
    <x v="0"/>
  </r>
  <r>
    <x v="6"/>
    <x v="0"/>
    <x v="2"/>
    <x v="0"/>
    <x v="0"/>
    <n v="12691.35"/>
    <x v="0"/>
    <x v="0"/>
  </r>
  <r>
    <x v="6"/>
    <x v="0"/>
    <x v="0"/>
    <x v="0"/>
    <x v="0"/>
    <n v="3790.42"/>
    <x v="0"/>
    <x v="0"/>
  </r>
  <r>
    <x v="6"/>
    <x v="0"/>
    <x v="0"/>
    <x v="0"/>
    <x v="0"/>
    <n v="1966.5"/>
    <x v="0"/>
    <x v="0"/>
  </r>
  <r>
    <x v="6"/>
    <x v="0"/>
    <x v="0"/>
    <x v="0"/>
    <x v="0"/>
    <n v="2627.97"/>
    <x v="0"/>
    <x v="0"/>
  </r>
  <r>
    <x v="6"/>
    <x v="2"/>
    <x v="0"/>
    <x v="0"/>
    <x v="0"/>
    <n v="3336.48"/>
    <x v="0"/>
    <x v="0"/>
  </r>
  <r>
    <x v="6"/>
    <x v="2"/>
    <x v="3"/>
    <x v="0"/>
    <x v="0"/>
    <n v="252322.27"/>
    <x v="0"/>
    <x v="0"/>
  </r>
  <r>
    <x v="6"/>
    <x v="2"/>
    <x v="3"/>
    <x v="0"/>
    <x v="0"/>
    <n v="271308.11"/>
    <x v="0"/>
    <x v="0"/>
  </r>
  <r>
    <x v="6"/>
    <x v="2"/>
    <x v="3"/>
    <x v="0"/>
    <x v="0"/>
    <n v="560156.47"/>
    <x v="0"/>
    <x v="0"/>
  </r>
  <r>
    <x v="6"/>
    <x v="2"/>
    <x v="3"/>
    <x v="0"/>
    <x v="0"/>
    <n v="265115.26"/>
    <x v="0"/>
    <x v="0"/>
  </r>
  <r>
    <x v="6"/>
    <x v="2"/>
    <x v="3"/>
    <x v="0"/>
    <x v="0"/>
    <n v="160642.36"/>
    <x v="0"/>
    <x v="0"/>
  </r>
  <r>
    <x v="6"/>
    <x v="2"/>
    <x v="2"/>
    <x v="0"/>
    <x v="0"/>
    <n v="23691.12"/>
    <x v="0"/>
    <x v="0"/>
  </r>
  <r>
    <x v="6"/>
    <x v="2"/>
    <x v="2"/>
    <x v="0"/>
    <x v="0"/>
    <n v="24971.08"/>
    <x v="0"/>
    <x v="0"/>
  </r>
  <r>
    <x v="6"/>
    <x v="3"/>
    <x v="0"/>
    <x v="0"/>
    <x v="0"/>
    <n v="2226.78"/>
    <x v="0"/>
    <x v="0"/>
  </r>
  <r>
    <x v="6"/>
    <x v="0"/>
    <x v="0"/>
    <x v="0"/>
    <x v="0"/>
    <n v="3358.66"/>
    <x v="0"/>
    <x v="0"/>
  </r>
  <r>
    <x v="6"/>
    <x v="2"/>
    <x v="0"/>
    <x v="0"/>
    <x v="0"/>
    <n v="4339.89"/>
    <x v="0"/>
    <x v="0"/>
  </r>
  <r>
    <x v="6"/>
    <x v="0"/>
    <x v="2"/>
    <x v="0"/>
    <x v="0"/>
    <n v="12294.76"/>
    <x v="0"/>
    <x v="0"/>
  </r>
  <r>
    <x v="6"/>
    <x v="0"/>
    <x v="2"/>
    <x v="0"/>
    <x v="0"/>
    <n v="12091.12"/>
    <x v="0"/>
    <x v="0"/>
  </r>
  <r>
    <x v="6"/>
    <x v="0"/>
    <x v="0"/>
    <x v="0"/>
    <x v="0"/>
    <n v="1620.17"/>
    <x v="0"/>
    <x v="0"/>
  </r>
  <r>
    <x v="6"/>
    <x v="0"/>
    <x v="2"/>
    <x v="0"/>
    <x v="0"/>
    <n v="10364.69"/>
    <x v="0"/>
    <x v="0"/>
  </r>
  <r>
    <x v="6"/>
    <x v="0"/>
    <x v="0"/>
    <x v="0"/>
    <x v="0"/>
    <n v="9621.65"/>
    <x v="0"/>
    <x v="0"/>
  </r>
  <r>
    <x v="6"/>
    <x v="0"/>
    <x v="2"/>
    <x v="0"/>
    <x v="0"/>
    <n v="14852.76"/>
    <x v="0"/>
    <x v="0"/>
  </r>
  <r>
    <x v="6"/>
    <x v="0"/>
    <x v="0"/>
    <x v="0"/>
    <x v="0"/>
    <n v="1748.86"/>
    <x v="0"/>
    <x v="0"/>
  </r>
  <r>
    <x v="6"/>
    <x v="0"/>
    <x v="0"/>
    <x v="0"/>
    <x v="0"/>
    <n v="8257.29"/>
    <x v="0"/>
    <x v="0"/>
  </r>
  <r>
    <x v="6"/>
    <x v="0"/>
    <x v="0"/>
    <x v="0"/>
    <x v="0"/>
    <n v="4680.12"/>
    <x v="0"/>
    <x v="0"/>
  </r>
  <r>
    <x v="6"/>
    <x v="0"/>
    <x v="0"/>
    <x v="0"/>
    <x v="0"/>
    <n v="1221.33"/>
    <x v="0"/>
    <x v="0"/>
  </r>
  <r>
    <x v="6"/>
    <x v="0"/>
    <x v="0"/>
    <x v="0"/>
    <x v="0"/>
    <n v="4286.24"/>
    <x v="0"/>
    <x v="0"/>
  </r>
  <r>
    <x v="6"/>
    <x v="2"/>
    <x v="3"/>
    <x v="0"/>
    <x v="0"/>
    <n v="181882.49"/>
    <x v="0"/>
    <x v="0"/>
  </r>
  <r>
    <x v="6"/>
    <x v="0"/>
    <x v="0"/>
    <x v="0"/>
    <x v="0"/>
    <n v="3764.45"/>
    <x v="0"/>
    <x v="0"/>
  </r>
  <r>
    <x v="6"/>
    <x v="4"/>
    <x v="2"/>
    <x v="0"/>
    <x v="0"/>
    <n v="39922.66"/>
    <x v="0"/>
    <x v="0"/>
  </r>
  <r>
    <x v="6"/>
    <x v="4"/>
    <x v="3"/>
    <x v="0"/>
    <x v="0"/>
    <n v="234527.64"/>
    <x v="0"/>
    <x v="0"/>
  </r>
  <r>
    <x v="6"/>
    <x v="4"/>
    <x v="3"/>
    <x v="0"/>
    <x v="0"/>
    <n v="908091.47"/>
    <x v="0"/>
    <x v="0"/>
  </r>
  <r>
    <x v="6"/>
    <x v="4"/>
    <x v="3"/>
    <x v="0"/>
    <x v="0"/>
    <n v="357932.51"/>
    <x v="0"/>
    <x v="0"/>
  </r>
  <r>
    <x v="6"/>
    <x v="4"/>
    <x v="3"/>
    <x v="0"/>
    <x v="0"/>
    <n v="214662.24"/>
    <x v="0"/>
    <x v="0"/>
  </r>
  <r>
    <x v="6"/>
    <x v="4"/>
    <x v="2"/>
    <x v="0"/>
    <x v="0"/>
    <n v="34511.23"/>
    <x v="0"/>
    <x v="0"/>
  </r>
  <r>
    <x v="6"/>
    <x v="4"/>
    <x v="3"/>
    <x v="0"/>
    <x v="0"/>
    <n v="185741.02"/>
    <x v="0"/>
    <x v="0"/>
  </r>
  <r>
    <x v="6"/>
    <x v="4"/>
    <x v="2"/>
    <x v="0"/>
    <x v="0"/>
    <n v="23303.97"/>
    <x v="0"/>
    <x v="0"/>
  </r>
  <r>
    <x v="6"/>
    <x v="4"/>
    <x v="2"/>
    <x v="0"/>
    <x v="0"/>
    <n v="85766.59"/>
    <x v="0"/>
    <x v="0"/>
  </r>
  <r>
    <x v="6"/>
    <x v="4"/>
    <x v="2"/>
    <x v="0"/>
    <x v="0"/>
    <n v="99504.49"/>
    <x v="0"/>
    <x v="0"/>
  </r>
  <r>
    <x v="6"/>
    <x v="4"/>
    <x v="3"/>
    <x v="0"/>
    <x v="0"/>
    <n v="201011.68"/>
    <x v="0"/>
    <x v="0"/>
  </r>
  <r>
    <x v="6"/>
    <x v="4"/>
    <x v="3"/>
    <x v="0"/>
    <x v="0"/>
    <n v="166686.78"/>
    <x v="0"/>
    <x v="0"/>
  </r>
  <r>
    <x v="6"/>
    <x v="4"/>
    <x v="3"/>
    <x v="0"/>
    <x v="0"/>
    <n v="306426.01"/>
    <x v="0"/>
    <x v="0"/>
  </r>
  <r>
    <x v="6"/>
    <x v="4"/>
    <x v="2"/>
    <x v="0"/>
    <x v="0"/>
    <n v="19247.53"/>
    <x v="0"/>
    <x v="0"/>
  </r>
  <r>
    <x v="6"/>
    <x v="4"/>
    <x v="2"/>
    <x v="0"/>
    <x v="0"/>
    <n v="42025.29"/>
    <x v="0"/>
    <x v="0"/>
  </r>
  <r>
    <x v="6"/>
    <x v="4"/>
    <x v="3"/>
    <x v="0"/>
    <x v="0"/>
    <n v="159171.56"/>
    <x v="0"/>
    <x v="0"/>
  </r>
  <r>
    <x v="6"/>
    <x v="4"/>
    <x v="3"/>
    <x v="0"/>
    <x v="0"/>
    <n v="173928.45"/>
    <x v="0"/>
    <x v="0"/>
  </r>
  <r>
    <x v="6"/>
    <x v="4"/>
    <x v="3"/>
    <x v="0"/>
    <x v="0"/>
    <n v="324145.15"/>
    <x v="0"/>
    <x v="0"/>
  </r>
  <r>
    <x v="6"/>
    <x v="4"/>
    <x v="2"/>
    <x v="0"/>
    <x v="0"/>
    <n v="75247.56"/>
    <x v="0"/>
    <x v="0"/>
  </r>
  <r>
    <x v="6"/>
    <x v="4"/>
    <x v="2"/>
    <x v="0"/>
    <x v="0"/>
    <n v="40765.68"/>
    <x v="0"/>
    <x v="0"/>
  </r>
  <r>
    <x v="6"/>
    <x v="4"/>
    <x v="2"/>
    <x v="0"/>
    <x v="0"/>
    <n v="24638.55"/>
    <x v="0"/>
    <x v="0"/>
  </r>
  <r>
    <x v="6"/>
    <x v="4"/>
    <x v="2"/>
    <x v="0"/>
    <x v="0"/>
    <n v="56289.54"/>
    <x v="0"/>
    <x v="0"/>
  </r>
  <r>
    <x v="6"/>
    <x v="4"/>
    <x v="2"/>
    <x v="0"/>
    <x v="0"/>
    <n v="33919.56"/>
    <x v="0"/>
    <x v="0"/>
  </r>
  <r>
    <x v="6"/>
    <x v="4"/>
    <x v="3"/>
    <x v="0"/>
    <x v="0"/>
    <n v="302915.15"/>
    <x v="0"/>
    <x v="0"/>
  </r>
  <r>
    <x v="6"/>
    <x v="4"/>
    <x v="3"/>
    <x v="0"/>
    <x v="0"/>
    <n v="213765.78"/>
    <x v="0"/>
    <x v="0"/>
  </r>
  <r>
    <x v="6"/>
    <x v="4"/>
    <x v="3"/>
    <x v="0"/>
    <x v="0"/>
    <n v="340505.75"/>
    <x v="0"/>
    <x v="0"/>
  </r>
  <r>
    <x v="6"/>
    <x v="4"/>
    <x v="3"/>
    <x v="0"/>
    <x v="0"/>
    <n v="193558.01"/>
    <x v="0"/>
    <x v="0"/>
  </r>
  <r>
    <x v="6"/>
    <x v="4"/>
    <x v="3"/>
    <x v="0"/>
    <x v="0"/>
    <n v="271866.95"/>
    <x v="0"/>
    <x v="0"/>
  </r>
  <r>
    <x v="6"/>
    <x v="4"/>
    <x v="3"/>
    <x v="0"/>
    <x v="0"/>
    <n v="468052.79"/>
    <x v="0"/>
    <x v="0"/>
  </r>
  <r>
    <x v="6"/>
    <x v="4"/>
    <x v="3"/>
    <x v="0"/>
    <x v="0"/>
    <n v="519071.69"/>
    <x v="0"/>
    <x v="0"/>
  </r>
  <r>
    <x v="6"/>
    <x v="4"/>
    <x v="3"/>
    <x v="0"/>
    <x v="0"/>
    <n v="439105.26"/>
    <x v="0"/>
    <x v="0"/>
  </r>
  <r>
    <x v="6"/>
    <x v="4"/>
    <x v="3"/>
    <x v="0"/>
    <x v="0"/>
    <n v="223666.66"/>
    <x v="0"/>
    <x v="0"/>
  </r>
  <r>
    <x v="6"/>
    <x v="4"/>
    <x v="3"/>
    <x v="0"/>
    <x v="0"/>
    <n v="193318.64"/>
    <x v="0"/>
    <x v="0"/>
  </r>
  <r>
    <x v="6"/>
    <x v="4"/>
    <x v="3"/>
    <x v="0"/>
    <x v="0"/>
    <n v="288038.89"/>
    <x v="0"/>
    <x v="0"/>
  </r>
  <r>
    <x v="6"/>
    <x v="4"/>
    <x v="3"/>
    <x v="0"/>
    <x v="0"/>
    <n v="355458.78"/>
    <x v="0"/>
    <x v="0"/>
  </r>
  <r>
    <x v="6"/>
    <x v="4"/>
    <x v="3"/>
    <x v="0"/>
    <x v="0"/>
    <n v="116884.29"/>
    <x v="0"/>
    <x v="0"/>
  </r>
  <r>
    <x v="6"/>
    <x v="4"/>
    <x v="2"/>
    <x v="0"/>
    <x v="0"/>
    <n v="43698.21"/>
    <x v="0"/>
    <x v="0"/>
  </r>
  <r>
    <x v="6"/>
    <x v="4"/>
    <x v="2"/>
    <x v="0"/>
    <x v="0"/>
    <n v="47369.84"/>
    <x v="0"/>
    <x v="0"/>
  </r>
  <r>
    <x v="6"/>
    <x v="4"/>
    <x v="3"/>
    <x v="0"/>
    <x v="0"/>
    <n v="146117.38"/>
    <x v="0"/>
    <x v="0"/>
  </r>
  <r>
    <x v="6"/>
    <x v="4"/>
    <x v="2"/>
    <x v="0"/>
    <x v="0"/>
    <n v="45157.63"/>
    <x v="0"/>
    <x v="0"/>
  </r>
  <r>
    <x v="6"/>
    <x v="4"/>
    <x v="3"/>
    <x v="0"/>
    <x v="0"/>
    <n v="111430.78"/>
    <x v="0"/>
    <x v="0"/>
  </r>
  <r>
    <x v="6"/>
    <x v="4"/>
    <x v="3"/>
    <x v="0"/>
    <x v="0"/>
    <n v="158274.46"/>
    <x v="0"/>
    <x v="0"/>
  </r>
  <r>
    <x v="6"/>
    <x v="4"/>
    <x v="2"/>
    <x v="0"/>
    <x v="0"/>
    <n v="94712.61"/>
    <x v="0"/>
    <x v="0"/>
  </r>
  <r>
    <x v="6"/>
    <x v="1"/>
    <x v="2"/>
    <x v="0"/>
    <x v="0"/>
    <n v="27609.08"/>
    <x v="0"/>
    <x v="0"/>
  </r>
  <r>
    <x v="6"/>
    <x v="2"/>
    <x v="3"/>
    <x v="0"/>
    <x v="0"/>
    <n v="128549.2"/>
    <x v="0"/>
    <x v="0"/>
  </r>
  <r>
    <x v="6"/>
    <x v="0"/>
    <x v="2"/>
    <x v="0"/>
    <x v="0"/>
    <n v="16906.09"/>
    <x v="0"/>
    <x v="0"/>
  </r>
  <r>
    <x v="6"/>
    <x v="0"/>
    <x v="0"/>
    <x v="0"/>
    <x v="0"/>
    <n v="5689.82"/>
    <x v="0"/>
    <x v="0"/>
  </r>
  <r>
    <x v="6"/>
    <x v="0"/>
    <x v="0"/>
    <x v="0"/>
    <x v="0"/>
    <n v="8309.37"/>
    <x v="0"/>
    <x v="0"/>
  </r>
  <r>
    <x v="6"/>
    <x v="0"/>
    <x v="2"/>
    <x v="0"/>
    <x v="0"/>
    <n v="13870.79"/>
    <x v="0"/>
    <x v="0"/>
  </r>
  <r>
    <x v="6"/>
    <x v="0"/>
    <x v="0"/>
    <x v="0"/>
    <x v="0"/>
    <n v="1149.98"/>
    <x v="0"/>
    <x v="0"/>
  </r>
  <r>
    <x v="6"/>
    <x v="2"/>
    <x v="3"/>
    <x v="0"/>
    <x v="0"/>
    <n v="206659.26"/>
    <x v="0"/>
    <x v="0"/>
  </r>
  <r>
    <x v="6"/>
    <x v="2"/>
    <x v="2"/>
    <x v="0"/>
    <x v="0"/>
    <n v="85736.76"/>
    <x v="0"/>
    <x v="0"/>
  </r>
  <r>
    <x v="6"/>
    <x v="2"/>
    <x v="3"/>
    <x v="0"/>
    <x v="0"/>
    <n v="120817.37"/>
    <x v="0"/>
    <x v="0"/>
  </r>
  <r>
    <x v="6"/>
    <x v="2"/>
    <x v="3"/>
    <x v="0"/>
    <x v="0"/>
    <n v="261651.77"/>
    <x v="0"/>
    <x v="0"/>
  </r>
  <r>
    <x v="6"/>
    <x v="2"/>
    <x v="3"/>
    <x v="0"/>
    <x v="0"/>
    <n v="291944.52"/>
    <x v="0"/>
    <x v="0"/>
  </r>
  <r>
    <x v="6"/>
    <x v="2"/>
    <x v="3"/>
    <x v="0"/>
    <x v="0"/>
    <n v="125312"/>
    <x v="0"/>
    <x v="0"/>
  </r>
  <r>
    <x v="6"/>
    <x v="2"/>
    <x v="3"/>
    <x v="0"/>
    <x v="0"/>
    <n v="367180.86"/>
    <x v="0"/>
    <x v="0"/>
  </r>
  <r>
    <x v="6"/>
    <x v="2"/>
    <x v="3"/>
    <x v="0"/>
    <x v="0"/>
    <n v="414678.51"/>
    <x v="0"/>
    <x v="0"/>
  </r>
  <r>
    <x v="6"/>
    <x v="2"/>
    <x v="3"/>
    <x v="0"/>
    <x v="0"/>
    <n v="171810.63"/>
    <x v="0"/>
    <x v="0"/>
  </r>
  <r>
    <x v="6"/>
    <x v="0"/>
    <x v="0"/>
    <x v="0"/>
    <x v="0"/>
    <n v="7863.57"/>
    <x v="0"/>
    <x v="0"/>
  </r>
  <r>
    <x v="6"/>
    <x v="0"/>
    <x v="0"/>
    <x v="0"/>
    <x v="0"/>
    <n v="8818.98"/>
    <x v="0"/>
    <x v="0"/>
  </r>
  <r>
    <x v="6"/>
    <x v="0"/>
    <x v="0"/>
    <x v="0"/>
    <x v="0"/>
    <n v="9769.56"/>
    <x v="0"/>
    <x v="0"/>
  </r>
  <r>
    <x v="6"/>
    <x v="0"/>
    <x v="0"/>
    <x v="0"/>
    <x v="0"/>
    <n v="7590.75"/>
    <x v="0"/>
    <x v="0"/>
  </r>
  <r>
    <x v="6"/>
    <x v="0"/>
    <x v="0"/>
    <x v="0"/>
    <x v="0"/>
    <n v="3153.75"/>
    <x v="0"/>
    <x v="0"/>
  </r>
  <r>
    <x v="6"/>
    <x v="0"/>
    <x v="2"/>
    <x v="0"/>
    <x v="0"/>
    <n v="17951.43"/>
    <x v="0"/>
    <x v="0"/>
  </r>
  <r>
    <x v="6"/>
    <x v="0"/>
    <x v="0"/>
    <x v="0"/>
    <x v="0"/>
    <n v="8711.52"/>
    <x v="0"/>
    <x v="0"/>
  </r>
  <r>
    <x v="6"/>
    <x v="0"/>
    <x v="2"/>
    <x v="0"/>
    <x v="0"/>
    <n v="12616.4"/>
    <x v="0"/>
    <x v="0"/>
  </r>
  <r>
    <x v="6"/>
    <x v="0"/>
    <x v="0"/>
    <x v="0"/>
    <x v="0"/>
    <n v="8235.45"/>
    <x v="0"/>
    <x v="0"/>
  </r>
  <r>
    <x v="6"/>
    <x v="2"/>
    <x v="2"/>
    <x v="0"/>
    <x v="0"/>
    <n v="12375.97"/>
    <x v="0"/>
    <x v="0"/>
  </r>
  <r>
    <x v="6"/>
    <x v="0"/>
    <x v="0"/>
    <x v="0"/>
    <x v="0"/>
    <n v="2328.84"/>
    <x v="0"/>
    <x v="0"/>
  </r>
  <r>
    <x v="6"/>
    <x v="0"/>
    <x v="1"/>
    <x v="0"/>
    <x v="0"/>
    <n v="546.23"/>
    <x v="0"/>
    <x v="0"/>
  </r>
  <r>
    <x v="6"/>
    <x v="0"/>
    <x v="2"/>
    <x v="0"/>
    <x v="0"/>
    <n v="17352.02"/>
    <x v="0"/>
    <x v="0"/>
  </r>
  <r>
    <x v="6"/>
    <x v="0"/>
    <x v="0"/>
    <x v="0"/>
    <x v="0"/>
    <n v="6856.57"/>
    <x v="0"/>
    <x v="0"/>
  </r>
  <r>
    <x v="6"/>
    <x v="0"/>
    <x v="0"/>
    <x v="0"/>
    <x v="0"/>
    <n v="1910.23"/>
    <x v="0"/>
    <x v="0"/>
  </r>
  <r>
    <x v="6"/>
    <x v="1"/>
    <x v="2"/>
    <x v="0"/>
    <x v="0"/>
    <n v="41664.88"/>
    <x v="0"/>
    <x v="0"/>
  </r>
  <r>
    <x v="6"/>
    <x v="1"/>
    <x v="0"/>
    <x v="0"/>
    <x v="0"/>
    <n v="7828.57"/>
    <x v="0"/>
    <x v="0"/>
  </r>
  <r>
    <x v="6"/>
    <x v="2"/>
    <x v="3"/>
    <x v="0"/>
    <x v="0"/>
    <n v="462312.19"/>
    <x v="0"/>
    <x v="0"/>
  </r>
  <r>
    <x v="6"/>
    <x v="0"/>
    <x v="0"/>
    <x v="0"/>
    <x v="0"/>
    <n v="5941.84"/>
    <x v="0"/>
    <x v="0"/>
  </r>
  <r>
    <x v="6"/>
    <x v="2"/>
    <x v="3"/>
    <x v="0"/>
    <x v="0"/>
    <n v="207998.16"/>
    <x v="0"/>
    <x v="0"/>
  </r>
  <r>
    <x v="6"/>
    <x v="0"/>
    <x v="0"/>
    <x v="0"/>
    <x v="0"/>
    <n v="5810.61"/>
    <x v="0"/>
    <x v="0"/>
  </r>
  <r>
    <x v="6"/>
    <x v="2"/>
    <x v="3"/>
    <x v="0"/>
    <x v="0"/>
    <n v="192841.14"/>
    <x v="0"/>
    <x v="0"/>
  </r>
  <r>
    <x v="6"/>
    <x v="2"/>
    <x v="0"/>
    <x v="0"/>
    <x v="0"/>
    <n v="5871.44"/>
    <x v="0"/>
    <x v="0"/>
  </r>
  <r>
    <x v="6"/>
    <x v="0"/>
    <x v="0"/>
    <x v="0"/>
    <x v="0"/>
    <n v="6551.14"/>
    <x v="0"/>
    <x v="0"/>
  </r>
  <r>
    <x v="6"/>
    <x v="0"/>
    <x v="0"/>
    <x v="0"/>
    <x v="0"/>
    <n v="1284.56"/>
    <x v="0"/>
    <x v="0"/>
  </r>
  <r>
    <x v="6"/>
    <x v="1"/>
    <x v="3"/>
    <x v="0"/>
    <x v="0"/>
    <n v="329937.9"/>
    <x v="0"/>
    <x v="0"/>
  </r>
  <r>
    <x v="6"/>
    <x v="0"/>
    <x v="0"/>
    <x v="0"/>
    <x v="0"/>
    <n v="9455.05"/>
    <x v="0"/>
    <x v="0"/>
  </r>
  <r>
    <x v="6"/>
    <x v="0"/>
    <x v="0"/>
    <x v="0"/>
    <x v="0"/>
    <n v="3326.56"/>
    <x v="0"/>
    <x v="0"/>
  </r>
  <r>
    <x v="6"/>
    <x v="0"/>
    <x v="0"/>
    <x v="0"/>
    <x v="0"/>
    <n v="2391.85"/>
    <x v="0"/>
    <x v="0"/>
  </r>
  <r>
    <x v="6"/>
    <x v="0"/>
    <x v="0"/>
    <x v="0"/>
    <x v="0"/>
    <n v="1074.55"/>
    <x v="0"/>
    <x v="0"/>
  </r>
  <r>
    <x v="6"/>
    <x v="3"/>
    <x v="0"/>
    <x v="0"/>
    <x v="0"/>
    <n v="5541.9"/>
    <x v="0"/>
    <x v="0"/>
  </r>
  <r>
    <x v="6"/>
    <x v="0"/>
    <x v="0"/>
    <x v="0"/>
    <x v="0"/>
    <n v="5721.25"/>
    <x v="0"/>
    <x v="0"/>
  </r>
  <r>
    <x v="6"/>
    <x v="0"/>
    <x v="1"/>
    <x v="0"/>
    <x v="0"/>
    <n v="553.84"/>
    <x v="0"/>
    <x v="0"/>
  </r>
  <r>
    <x v="6"/>
    <x v="0"/>
    <x v="1"/>
    <x v="0"/>
    <x v="0"/>
    <n v="845.59"/>
    <x v="0"/>
    <x v="0"/>
  </r>
  <r>
    <x v="6"/>
    <x v="0"/>
    <x v="2"/>
    <x v="0"/>
    <x v="0"/>
    <n v="11571.03"/>
    <x v="0"/>
    <x v="0"/>
  </r>
  <r>
    <x v="6"/>
    <x v="0"/>
    <x v="0"/>
    <x v="0"/>
    <x v="0"/>
    <n v="6082.55"/>
    <x v="0"/>
    <x v="0"/>
  </r>
  <r>
    <x v="6"/>
    <x v="0"/>
    <x v="2"/>
    <x v="0"/>
    <x v="0"/>
    <n v="15650.79"/>
    <x v="0"/>
    <x v="0"/>
  </r>
  <r>
    <x v="6"/>
    <x v="1"/>
    <x v="3"/>
    <x v="0"/>
    <x v="0"/>
    <n v="159485.63"/>
    <x v="0"/>
    <x v="0"/>
  </r>
  <r>
    <x v="6"/>
    <x v="2"/>
    <x v="3"/>
    <x v="0"/>
    <x v="0"/>
    <n v="304316.59"/>
    <x v="0"/>
    <x v="0"/>
  </r>
  <r>
    <x v="6"/>
    <x v="2"/>
    <x v="3"/>
    <x v="0"/>
    <x v="0"/>
    <n v="103305.97"/>
    <x v="0"/>
    <x v="0"/>
  </r>
  <r>
    <x v="6"/>
    <x v="0"/>
    <x v="1"/>
    <x v="0"/>
    <x v="0"/>
    <n v="632.88"/>
    <x v="0"/>
    <x v="0"/>
  </r>
  <r>
    <x v="6"/>
    <x v="1"/>
    <x v="3"/>
    <x v="0"/>
    <x v="0"/>
    <n v="131062.59"/>
    <x v="0"/>
    <x v="0"/>
  </r>
  <r>
    <x v="6"/>
    <x v="3"/>
    <x v="0"/>
    <x v="0"/>
    <x v="0"/>
    <n v="1167.94"/>
    <x v="0"/>
    <x v="0"/>
  </r>
  <r>
    <x v="6"/>
    <x v="2"/>
    <x v="2"/>
    <x v="0"/>
    <x v="0"/>
    <n v="77235.45"/>
    <x v="0"/>
    <x v="0"/>
  </r>
  <r>
    <x v="6"/>
    <x v="0"/>
    <x v="0"/>
    <x v="0"/>
    <x v="0"/>
    <n v="2211.07"/>
    <x v="0"/>
    <x v="0"/>
  </r>
  <r>
    <x v="6"/>
    <x v="0"/>
    <x v="1"/>
    <x v="0"/>
    <x v="0"/>
    <n v="824.63"/>
    <x v="0"/>
    <x v="0"/>
  </r>
  <r>
    <x v="6"/>
    <x v="2"/>
    <x v="2"/>
    <x v="0"/>
    <x v="0"/>
    <n v="86833.04"/>
    <x v="0"/>
    <x v="0"/>
  </r>
  <r>
    <x v="6"/>
    <x v="1"/>
    <x v="2"/>
    <x v="0"/>
    <x v="0"/>
    <n v="38342.4"/>
    <x v="0"/>
    <x v="0"/>
  </r>
  <r>
    <x v="6"/>
    <x v="0"/>
    <x v="0"/>
    <x v="0"/>
    <x v="0"/>
    <n v="8374.77"/>
    <x v="0"/>
    <x v="0"/>
  </r>
  <r>
    <x v="6"/>
    <x v="2"/>
    <x v="3"/>
    <x v="0"/>
    <x v="0"/>
    <n v="121722.45"/>
    <x v="0"/>
    <x v="0"/>
  </r>
  <r>
    <x v="6"/>
    <x v="0"/>
    <x v="0"/>
    <x v="0"/>
    <x v="0"/>
    <n v="7202.15"/>
    <x v="0"/>
    <x v="0"/>
  </r>
  <r>
    <x v="6"/>
    <x v="0"/>
    <x v="2"/>
    <x v="0"/>
    <x v="0"/>
    <n v="10784.52"/>
    <x v="0"/>
    <x v="0"/>
  </r>
  <r>
    <x v="6"/>
    <x v="0"/>
    <x v="0"/>
    <x v="0"/>
    <x v="0"/>
    <n v="4663.37"/>
    <x v="0"/>
    <x v="0"/>
  </r>
  <r>
    <x v="6"/>
    <x v="3"/>
    <x v="0"/>
    <x v="0"/>
    <x v="0"/>
    <n v="2006.44"/>
    <x v="0"/>
    <x v="0"/>
  </r>
  <r>
    <x v="6"/>
    <x v="1"/>
    <x v="3"/>
    <x v="0"/>
    <x v="0"/>
    <n v="234076.51"/>
    <x v="0"/>
    <x v="0"/>
  </r>
  <r>
    <x v="6"/>
    <x v="0"/>
    <x v="2"/>
    <x v="0"/>
    <x v="0"/>
    <n v="10958.77"/>
    <x v="0"/>
    <x v="0"/>
  </r>
  <r>
    <x v="6"/>
    <x v="2"/>
    <x v="3"/>
    <x v="0"/>
    <x v="0"/>
    <n v="429539.78"/>
    <x v="0"/>
    <x v="0"/>
  </r>
  <r>
    <x v="6"/>
    <x v="2"/>
    <x v="3"/>
    <x v="0"/>
    <x v="0"/>
    <n v="117635.7"/>
    <x v="0"/>
    <x v="0"/>
  </r>
  <r>
    <x v="6"/>
    <x v="2"/>
    <x v="3"/>
    <x v="0"/>
    <x v="0"/>
    <n v="207013.89"/>
    <x v="0"/>
    <x v="0"/>
  </r>
  <r>
    <x v="6"/>
    <x v="2"/>
    <x v="3"/>
    <x v="0"/>
    <x v="0"/>
    <n v="116112.9"/>
    <x v="0"/>
    <x v="0"/>
  </r>
  <r>
    <x v="6"/>
    <x v="2"/>
    <x v="2"/>
    <x v="0"/>
    <x v="0"/>
    <n v="52950.04"/>
    <x v="0"/>
    <x v="0"/>
  </r>
  <r>
    <x v="6"/>
    <x v="2"/>
    <x v="3"/>
    <x v="0"/>
    <x v="0"/>
    <n v="254340.65"/>
    <x v="0"/>
    <x v="0"/>
  </r>
  <r>
    <x v="6"/>
    <x v="2"/>
    <x v="3"/>
    <x v="0"/>
    <x v="0"/>
    <n v="444533.15"/>
    <x v="0"/>
    <x v="0"/>
  </r>
  <r>
    <x v="6"/>
    <x v="2"/>
    <x v="3"/>
    <x v="0"/>
    <x v="0"/>
    <n v="180681.32"/>
    <x v="0"/>
    <x v="0"/>
  </r>
  <r>
    <x v="6"/>
    <x v="2"/>
    <x v="2"/>
    <x v="0"/>
    <x v="0"/>
    <n v="65655.35"/>
    <x v="0"/>
    <x v="0"/>
  </r>
  <r>
    <x v="6"/>
    <x v="2"/>
    <x v="3"/>
    <x v="0"/>
    <x v="0"/>
    <n v="231151.17"/>
    <x v="0"/>
    <x v="0"/>
  </r>
  <r>
    <x v="6"/>
    <x v="2"/>
    <x v="2"/>
    <x v="0"/>
    <x v="0"/>
    <n v="58470.79"/>
    <x v="0"/>
    <x v="0"/>
  </r>
  <r>
    <x v="6"/>
    <x v="2"/>
    <x v="2"/>
    <x v="0"/>
    <x v="0"/>
    <n v="42079.24"/>
    <x v="0"/>
    <x v="0"/>
  </r>
  <r>
    <x v="6"/>
    <x v="2"/>
    <x v="3"/>
    <x v="0"/>
    <x v="0"/>
    <n v="173774.13"/>
    <x v="0"/>
    <x v="0"/>
  </r>
  <r>
    <x v="6"/>
    <x v="2"/>
    <x v="2"/>
    <x v="0"/>
    <x v="0"/>
    <n v="79602.79"/>
    <x v="0"/>
    <x v="0"/>
  </r>
  <r>
    <x v="6"/>
    <x v="2"/>
    <x v="2"/>
    <x v="0"/>
    <x v="0"/>
    <n v="70587.22"/>
    <x v="0"/>
    <x v="0"/>
  </r>
  <r>
    <x v="6"/>
    <x v="2"/>
    <x v="3"/>
    <x v="0"/>
    <x v="0"/>
    <n v="278506.83"/>
    <x v="0"/>
    <x v="0"/>
  </r>
  <r>
    <x v="6"/>
    <x v="2"/>
    <x v="3"/>
    <x v="0"/>
    <x v="0"/>
    <n v="138373.64"/>
    <x v="0"/>
    <x v="0"/>
  </r>
  <r>
    <x v="6"/>
    <x v="0"/>
    <x v="0"/>
    <x v="0"/>
    <x v="0"/>
    <n v="3107.72"/>
    <x v="0"/>
    <x v="0"/>
  </r>
  <r>
    <x v="6"/>
    <x v="2"/>
    <x v="3"/>
    <x v="0"/>
    <x v="0"/>
    <n v="359216.69"/>
    <x v="0"/>
    <x v="0"/>
  </r>
  <r>
    <x v="6"/>
    <x v="4"/>
    <x v="3"/>
    <x v="0"/>
    <x v="0"/>
    <n v="103932.55"/>
    <x v="0"/>
    <x v="0"/>
  </r>
  <r>
    <x v="6"/>
    <x v="0"/>
    <x v="1"/>
    <x v="0"/>
    <x v="0"/>
    <n v="971.73"/>
    <x v="0"/>
    <x v="0"/>
  </r>
  <r>
    <x v="6"/>
    <x v="0"/>
    <x v="0"/>
    <x v="0"/>
    <x v="0"/>
    <n v="3544.17"/>
    <x v="0"/>
    <x v="0"/>
  </r>
  <r>
    <x v="6"/>
    <x v="0"/>
    <x v="1"/>
    <x v="0"/>
    <x v="0"/>
    <n v="926.85"/>
    <x v="0"/>
    <x v="0"/>
  </r>
  <r>
    <x v="6"/>
    <x v="0"/>
    <x v="2"/>
    <x v="0"/>
    <x v="0"/>
    <n v="31108.12"/>
    <x v="0"/>
    <x v="0"/>
  </r>
  <r>
    <x v="6"/>
    <x v="0"/>
    <x v="0"/>
    <x v="0"/>
    <x v="0"/>
    <n v="1935.26"/>
    <x v="0"/>
    <x v="0"/>
  </r>
  <r>
    <x v="6"/>
    <x v="0"/>
    <x v="2"/>
    <x v="0"/>
    <x v="0"/>
    <n v="27690.45"/>
    <x v="0"/>
    <x v="0"/>
  </r>
  <r>
    <x v="6"/>
    <x v="0"/>
    <x v="2"/>
    <x v="0"/>
    <x v="0"/>
    <n v="11771.65"/>
    <x v="0"/>
    <x v="0"/>
  </r>
  <r>
    <x v="6"/>
    <x v="0"/>
    <x v="2"/>
    <x v="0"/>
    <x v="0"/>
    <n v="18861.09"/>
    <x v="0"/>
    <x v="0"/>
  </r>
  <r>
    <x v="6"/>
    <x v="0"/>
    <x v="0"/>
    <x v="0"/>
    <x v="0"/>
    <n v="2214.56"/>
    <x v="0"/>
    <x v="0"/>
  </r>
  <r>
    <x v="6"/>
    <x v="0"/>
    <x v="0"/>
    <x v="0"/>
    <x v="0"/>
    <n v="1309.91"/>
    <x v="0"/>
    <x v="0"/>
  </r>
  <r>
    <x v="6"/>
    <x v="0"/>
    <x v="0"/>
    <x v="0"/>
    <x v="0"/>
    <n v="9866.63"/>
    <x v="0"/>
    <x v="0"/>
  </r>
  <r>
    <x v="6"/>
    <x v="0"/>
    <x v="2"/>
    <x v="0"/>
    <x v="0"/>
    <n v="10330.01"/>
    <x v="0"/>
    <x v="0"/>
  </r>
  <r>
    <x v="6"/>
    <x v="0"/>
    <x v="2"/>
    <x v="0"/>
    <x v="0"/>
    <n v="10536.99"/>
    <x v="0"/>
    <x v="0"/>
  </r>
  <r>
    <x v="6"/>
    <x v="0"/>
    <x v="2"/>
    <x v="0"/>
    <x v="0"/>
    <n v="12317.87"/>
    <x v="0"/>
    <x v="0"/>
  </r>
  <r>
    <x v="6"/>
    <x v="0"/>
    <x v="0"/>
    <x v="0"/>
    <x v="0"/>
    <n v="9633.05"/>
    <x v="0"/>
    <x v="0"/>
  </r>
  <r>
    <x v="6"/>
    <x v="0"/>
    <x v="0"/>
    <x v="0"/>
    <x v="0"/>
    <n v="2515.77"/>
    <x v="0"/>
    <x v="0"/>
  </r>
  <r>
    <x v="6"/>
    <x v="0"/>
    <x v="0"/>
    <x v="0"/>
    <x v="0"/>
    <n v="7544.82"/>
    <x v="0"/>
    <x v="0"/>
  </r>
  <r>
    <x v="6"/>
    <x v="0"/>
    <x v="2"/>
    <x v="0"/>
    <x v="0"/>
    <n v="12241.43"/>
    <x v="0"/>
    <x v="0"/>
  </r>
  <r>
    <x v="6"/>
    <x v="2"/>
    <x v="3"/>
    <x v="0"/>
    <x v="0"/>
    <n v="105091.11"/>
    <x v="0"/>
    <x v="0"/>
  </r>
  <r>
    <x v="6"/>
    <x v="0"/>
    <x v="0"/>
    <x v="0"/>
    <x v="0"/>
    <n v="6664.42"/>
    <x v="0"/>
    <x v="0"/>
  </r>
  <r>
    <x v="6"/>
    <x v="0"/>
    <x v="0"/>
    <x v="0"/>
    <x v="0"/>
    <n v="6112.75"/>
    <x v="0"/>
    <x v="0"/>
  </r>
  <r>
    <x v="6"/>
    <x v="0"/>
    <x v="0"/>
    <x v="0"/>
    <x v="0"/>
    <n v="1339.12"/>
    <x v="0"/>
    <x v="0"/>
  </r>
  <r>
    <x v="6"/>
    <x v="4"/>
    <x v="3"/>
    <x v="0"/>
    <x v="0"/>
    <n v="227204.83"/>
    <x v="0"/>
    <x v="0"/>
  </r>
  <r>
    <x v="6"/>
    <x v="4"/>
    <x v="3"/>
    <x v="0"/>
    <x v="0"/>
    <n v="213554.46"/>
    <x v="0"/>
    <x v="0"/>
  </r>
  <r>
    <x v="6"/>
    <x v="4"/>
    <x v="3"/>
    <x v="0"/>
    <x v="0"/>
    <n v="153124.3"/>
    <x v="0"/>
    <x v="0"/>
  </r>
  <r>
    <x v="6"/>
    <x v="4"/>
    <x v="3"/>
    <x v="0"/>
    <x v="0"/>
    <n v="162902.6"/>
    <x v="0"/>
    <x v="0"/>
  </r>
  <r>
    <x v="6"/>
    <x v="4"/>
    <x v="3"/>
    <x v="0"/>
    <x v="0"/>
    <n v="193980.81"/>
    <x v="0"/>
    <x v="0"/>
  </r>
  <r>
    <x v="6"/>
    <x v="4"/>
    <x v="3"/>
    <x v="0"/>
    <x v="0"/>
    <n v="115440.53"/>
    <x v="0"/>
    <x v="0"/>
  </r>
  <r>
    <x v="6"/>
    <x v="4"/>
    <x v="3"/>
    <x v="0"/>
    <x v="0"/>
    <n v="315210.66"/>
    <x v="0"/>
    <x v="0"/>
  </r>
  <r>
    <x v="6"/>
    <x v="4"/>
    <x v="3"/>
    <x v="0"/>
    <x v="0"/>
    <n v="121981.71"/>
    <x v="0"/>
    <x v="0"/>
  </r>
  <r>
    <x v="6"/>
    <x v="4"/>
    <x v="3"/>
    <x v="0"/>
    <x v="0"/>
    <n v="336410.5"/>
    <x v="0"/>
    <x v="0"/>
  </r>
  <r>
    <x v="6"/>
    <x v="4"/>
    <x v="3"/>
    <x v="0"/>
    <x v="0"/>
    <n v="274903.54"/>
    <x v="0"/>
    <x v="0"/>
  </r>
  <r>
    <x v="6"/>
    <x v="4"/>
    <x v="0"/>
    <x v="0"/>
    <x v="0"/>
    <n v="7818.14"/>
    <x v="0"/>
    <x v="0"/>
  </r>
  <r>
    <x v="6"/>
    <x v="4"/>
    <x v="2"/>
    <x v="0"/>
    <x v="0"/>
    <n v="70318.64"/>
    <x v="0"/>
    <x v="0"/>
  </r>
  <r>
    <x v="6"/>
    <x v="4"/>
    <x v="3"/>
    <x v="0"/>
    <x v="0"/>
    <n v="395368.45"/>
    <x v="0"/>
    <x v="0"/>
  </r>
  <r>
    <x v="6"/>
    <x v="4"/>
    <x v="2"/>
    <x v="0"/>
    <x v="0"/>
    <n v="35015.29"/>
    <x v="0"/>
    <x v="0"/>
  </r>
  <r>
    <x v="6"/>
    <x v="4"/>
    <x v="3"/>
    <x v="0"/>
    <x v="0"/>
    <n v="140934.36"/>
    <x v="0"/>
    <x v="0"/>
  </r>
  <r>
    <x v="6"/>
    <x v="4"/>
    <x v="2"/>
    <x v="0"/>
    <x v="0"/>
    <n v="80222.52"/>
    <x v="0"/>
    <x v="0"/>
  </r>
  <r>
    <x v="6"/>
    <x v="4"/>
    <x v="3"/>
    <x v="0"/>
    <x v="0"/>
    <n v="439348.62"/>
    <x v="0"/>
    <x v="0"/>
  </r>
  <r>
    <x v="6"/>
    <x v="4"/>
    <x v="3"/>
    <x v="0"/>
    <x v="0"/>
    <n v="182036.49"/>
    <x v="0"/>
    <x v="0"/>
  </r>
  <r>
    <x v="6"/>
    <x v="4"/>
    <x v="2"/>
    <x v="0"/>
    <x v="0"/>
    <n v="77816.36"/>
    <x v="0"/>
    <x v="0"/>
  </r>
  <r>
    <x v="6"/>
    <x v="4"/>
    <x v="2"/>
    <x v="0"/>
    <x v="0"/>
    <n v="78369.94"/>
    <x v="0"/>
    <x v="0"/>
  </r>
  <r>
    <x v="6"/>
    <x v="4"/>
    <x v="2"/>
    <x v="0"/>
    <x v="0"/>
    <n v="51260.1"/>
    <x v="0"/>
    <x v="0"/>
  </r>
  <r>
    <x v="6"/>
    <x v="4"/>
    <x v="3"/>
    <x v="0"/>
    <x v="0"/>
    <n v="124646.3"/>
    <x v="0"/>
    <x v="0"/>
  </r>
  <r>
    <x v="6"/>
    <x v="0"/>
    <x v="0"/>
    <x v="0"/>
    <x v="0"/>
    <n v="2997.84"/>
    <x v="0"/>
    <x v="0"/>
  </r>
  <r>
    <x v="6"/>
    <x v="2"/>
    <x v="3"/>
    <x v="0"/>
    <x v="0"/>
    <n v="123372.55"/>
    <x v="0"/>
    <x v="0"/>
  </r>
  <r>
    <x v="6"/>
    <x v="0"/>
    <x v="0"/>
    <x v="0"/>
    <x v="0"/>
    <n v="2693.26"/>
    <x v="0"/>
    <x v="0"/>
  </r>
  <r>
    <x v="6"/>
    <x v="0"/>
    <x v="0"/>
    <x v="0"/>
    <x v="0"/>
    <n v="4798.8"/>
    <x v="0"/>
    <x v="0"/>
  </r>
  <r>
    <x v="6"/>
    <x v="0"/>
    <x v="0"/>
    <x v="0"/>
    <x v="0"/>
    <n v="5756.56"/>
    <x v="0"/>
    <x v="0"/>
  </r>
  <r>
    <x v="6"/>
    <x v="0"/>
    <x v="2"/>
    <x v="0"/>
    <x v="0"/>
    <n v="25404.53"/>
    <x v="0"/>
    <x v="0"/>
  </r>
  <r>
    <x v="6"/>
    <x v="0"/>
    <x v="1"/>
    <x v="0"/>
    <x v="0"/>
    <n v="827.69"/>
    <x v="0"/>
    <x v="0"/>
  </r>
  <r>
    <x v="6"/>
    <x v="0"/>
    <x v="0"/>
    <x v="0"/>
    <x v="0"/>
    <n v="5501.2"/>
    <x v="0"/>
    <x v="0"/>
  </r>
  <r>
    <x v="6"/>
    <x v="0"/>
    <x v="2"/>
    <x v="0"/>
    <x v="0"/>
    <n v="14766.83"/>
    <x v="0"/>
    <x v="0"/>
  </r>
  <r>
    <x v="6"/>
    <x v="0"/>
    <x v="2"/>
    <x v="0"/>
    <x v="0"/>
    <n v="10382.73"/>
    <x v="0"/>
    <x v="0"/>
  </r>
  <r>
    <x v="6"/>
    <x v="0"/>
    <x v="2"/>
    <x v="0"/>
    <x v="0"/>
    <n v="10469.87"/>
    <x v="0"/>
    <x v="0"/>
  </r>
  <r>
    <x v="6"/>
    <x v="0"/>
    <x v="2"/>
    <x v="0"/>
    <x v="0"/>
    <n v="16319.94"/>
    <x v="0"/>
    <x v="0"/>
  </r>
  <r>
    <x v="6"/>
    <x v="0"/>
    <x v="2"/>
    <x v="0"/>
    <x v="0"/>
    <n v="17978.68"/>
    <x v="0"/>
    <x v="0"/>
  </r>
  <r>
    <x v="6"/>
    <x v="0"/>
    <x v="0"/>
    <x v="0"/>
    <x v="0"/>
    <n v="9230.32"/>
    <x v="0"/>
    <x v="0"/>
  </r>
  <r>
    <x v="6"/>
    <x v="0"/>
    <x v="0"/>
    <x v="0"/>
    <x v="0"/>
    <n v="1370.69"/>
    <x v="0"/>
    <x v="0"/>
  </r>
  <r>
    <x v="6"/>
    <x v="0"/>
    <x v="2"/>
    <x v="0"/>
    <x v="0"/>
    <n v="10533.04"/>
    <x v="0"/>
    <x v="0"/>
  </r>
  <r>
    <x v="6"/>
    <x v="0"/>
    <x v="1"/>
    <x v="0"/>
    <x v="0"/>
    <n v="285.59"/>
    <x v="0"/>
    <x v="0"/>
  </r>
  <r>
    <x v="6"/>
    <x v="0"/>
    <x v="0"/>
    <x v="0"/>
    <x v="0"/>
    <n v="4800.76"/>
    <x v="0"/>
    <x v="0"/>
  </r>
  <r>
    <x v="6"/>
    <x v="0"/>
    <x v="2"/>
    <x v="0"/>
    <x v="0"/>
    <n v="10156"/>
    <x v="0"/>
    <x v="0"/>
  </r>
  <r>
    <x v="6"/>
    <x v="0"/>
    <x v="0"/>
    <x v="0"/>
    <x v="0"/>
    <n v="9414.48"/>
    <x v="0"/>
    <x v="0"/>
  </r>
  <r>
    <x v="6"/>
    <x v="0"/>
    <x v="0"/>
    <x v="0"/>
    <x v="0"/>
    <n v="2674.73"/>
    <x v="0"/>
    <x v="0"/>
  </r>
  <r>
    <x v="6"/>
    <x v="0"/>
    <x v="0"/>
    <x v="0"/>
    <x v="0"/>
    <n v="1571.83"/>
    <x v="0"/>
    <x v="0"/>
  </r>
  <r>
    <x v="6"/>
    <x v="0"/>
    <x v="0"/>
    <x v="0"/>
    <x v="0"/>
    <n v="1803.28"/>
    <x v="0"/>
    <x v="0"/>
  </r>
  <r>
    <x v="6"/>
    <x v="0"/>
    <x v="0"/>
    <x v="0"/>
    <x v="0"/>
    <n v="3633.39"/>
    <x v="0"/>
    <x v="0"/>
  </r>
  <r>
    <x v="6"/>
    <x v="0"/>
    <x v="0"/>
    <x v="0"/>
    <x v="0"/>
    <n v="4178.46"/>
    <x v="0"/>
    <x v="0"/>
  </r>
  <r>
    <x v="6"/>
    <x v="0"/>
    <x v="0"/>
    <x v="0"/>
    <x v="0"/>
    <n v="4456.99"/>
    <x v="0"/>
    <x v="0"/>
  </r>
  <r>
    <x v="6"/>
    <x v="1"/>
    <x v="3"/>
    <x v="0"/>
    <x v="0"/>
    <n v="400444.34"/>
    <x v="0"/>
    <x v="0"/>
  </r>
  <r>
    <x v="6"/>
    <x v="0"/>
    <x v="1"/>
    <x v="0"/>
    <x v="0"/>
    <n v="930.18"/>
    <x v="0"/>
    <x v="0"/>
  </r>
  <r>
    <x v="6"/>
    <x v="0"/>
    <x v="1"/>
    <x v="0"/>
    <x v="0"/>
    <n v="218.27"/>
    <x v="0"/>
    <x v="0"/>
  </r>
  <r>
    <x v="6"/>
    <x v="0"/>
    <x v="0"/>
    <x v="0"/>
    <x v="0"/>
    <n v="1041.96"/>
    <x v="0"/>
    <x v="0"/>
  </r>
  <r>
    <x v="6"/>
    <x v="1"/>
    <x v="3"/>
    <x v="0"/>
    <x v="0"/>
    <n v="451568.12"/>
    <x v="0"/>
    <x v="0"/>
  </r>
  <r>
    <x v="6"/>
    <x v="1"/>
    <x v="3"/>
    <x v="0"/>
    <x v="0"/>
    <n v="104539.76"/>
    <x v="0"/>
    <x v="0"/>
  </r>
  <r>
    <x v="6"/>
    <x v="0"/>
    <x v="0"/>
    <x v="0"/>
    <x v="0"/>
    <n v="8061.1"/>
    <x v="0"/>
    <x v="0"/>
  </r>
  <r>
    <x v="6"/>
    <x v="0"/>
    <x v="0"/>
    <x v="0"/>
    <x v="0"/>
    <n v="3866.19"/>
    <x v="0"/>
    <x v="0"/>
  </r>
  <r>
    <x v="6"/>
    <x v="0"/>
    <x v="0"/>
    <x v="0"/>
    <x v="0"/>
    <n v="2865.64"/>
    <x v="0"/>
    <x v="0"/>
  </r>
  <r>
    <x v="6"/>
    <x v="3"/>
    <x v="0"/>
    <x v="0"/>
    <x v="0"/>
    <n v="5418.64"/>
    <x v="0"/>
    <x v="0"/>
  </r>
  <r>
    <x v="6"/>
    <x v="1"/>
    <x v="3"/>
    <x v="0"/>
    <x v="0"/>
    <n v="632361.53"/>
    <x v="0"/>
    <x v="0"/>
  </r>
  <r>
    <x v="6"/>
    <x v="0"/>
    <x v="2"/>
    <x v="0"/>
    <x v="0"/>
    <n v="10229.88"/>
    <x v="0"/>
    <x v="0"/>
  </r>
  <r>
    <x v="6"/>
    <x v="1"/>
    <x v="3"/>
    <x v="0"/>
    <x v="0"/>
    <n v="469688.29"/>
    <x v="0"/>
    <x v="0"/>
  </r>
  <r>
    <x v="6"/>
    <x v="1"/>
    <x v="3"/>
    <x v="0"/>
    <x v="0"/>
    <n v="591464.21"/>
    <x v="0"/>
    <x v="0"/>
  </r>
  <r>
    <x v="6"/>
    <x v="4"/>
    <x v="3"/>
    <x v="0"/>
    <x v="0"/>
    <n v="105860.8"/>
    <x v="0"/>
    <x v="0"/>
  </r>
  <r>
    <x v="6"/>
    <x v="0"/>
    <x v="0"/>
    <x v="0"/>
    <x v="0"/>
    <n v="3535.08"/>
    <x v="0"/>
    <x v="0"/>
  </r>
  <r>
    <x v="6"/>
    <x v="0"/>
    <x v="0"/>
    <x v="0"/>
    <x v="0"/>
    <n v="5565.73"/>
    <x v="0"/>
    <x v="0"/>
  </r>
  <r>
    <x v="6"/>
    <x v="0"/>
    <x v="0"/>
    <x v="0"/>
    <x v="0"/>
    <n v="2513.17"/>
    <x v="0"/>
    <x v="0"/>
  </r>
  <r>
    <x v="6"/>
    <x v="0"/>
    <x v="2"/>
    <x v="0"/>
    <x v="0"/>
    <n v="24324.01"/>
    <x v="0"/>
    <x v="0"/>
  </r>
  <r>
    <x v="6"/>
    <x v="0"/>
    <x v="2"/>
    <x v="0"/>
    <x v="0"/>
    <n v="10620.41"/>
    <x v="0"/>
    <x v="0"/>
  </r>
  <r>
    <x v="6"/>
    <x v="0"/>
    <x v="0"/>
    <x v="0"/>
    <x v="0"/>
    <n v="4996.41"/>
    <x v="0"/>
    <x v="0"/>
  </r>
  <r>
    <x v="6"/>
    <x v="0"/>
    <x v="2"/>
    <x v="0"/>
    <x v="0"/>
    <n v="20328.6"/>
    <x v="0"/>
    <x v="0"/>
  </r>
  <r>
    <x v="6"/>
    <x v="0"/>
    <x v="2"/>
    <x v="0"/>
    <x v="0"/>
    <n v="35279.33"/>
    <x v="0"/>
    <x v="0"/>
  </r>
  <r>
    <x v="6"/>
    <x v="0"/>
    <x v="0"/>
    <x v="0"/>
    <x v="0"/>
    <n v="3169.16"/>
    <x v="0"/>
    <x v="0"/>
  </r>
  <r>
    <x v="6"/>
    <x v="0"/>
    <x v="0"/>
    <x v="0"/>
    <x v="0"/>
    <n v="8358.83"/>
    <x v="0"/>
    <x v="0"/>
  </r>
  <r>
    <x v="6"/>
    <x v="0"/>
    <x v="0"/>
    <x v="0"/>
    <x v="0"/>
    <n v="2320.65"/>
    <x v="0"/>
    <x v="0"/>
  </r>
  <r>
    <x v="6"/>
    <x v="0"/>
    <x v="0"/>
    <x v="0"/>
    <x v="0"/>
    <n v="5733.09"/>
    <x v="0"/>
    <x v="0"/>
  </r>
  <r>
    <x v="6"/>
    <x v="0"/>
    <x v="2"/>
    <x v="0"/>
    <x v="0"/>
    <n v="14441.29"/>
    <x v="0"/>
    <x v="0"/>
  </r>
  <r>
    <x v="6"/>
    <x v="0"/>
    <x v="0"/>
    <x v="0"/>
    <x v="0"/>
    <n v="2518.63"/>
    <x v="0"/>
    <x v="0"/>
  </r>
  <r>
    <x v="6"/>
    <x v="0"/>
    <x v="2"/>
    <x v="0"/>
    <x v="0"/>
    <n v="13517.94"/>
    <x v="0"/>
    <x v="0"/>
  </r>
  <r>
    <x v="6"/>
    <x v="0"/>
    <x v="0"/>
    <x v="0"/>
    <x v="0"/>
    <n v="7925.72"/>
    <x v="0"/>
    <x v="0"/>
  </r>
  <r>
    <x v="6"/>
    <x v="0"/>
    <x v="2"/>
    <x v="0"/>
    <x v="0"/>
    <n v="24034.28"/>
    <x v="0"/>
    <x v="0"/>
  </r>
  <r>
    <x v="6"/>
    <x v="0"/>
    <x v="2"/>
    <x v="0"/>
    <x v="0"/>
    <n v="17036.48"/>
    <x v="0"/>
    <x v="0"/>
  </r>
  <r>
    <x v="6"/>
    <x v="0"/>
    <x v="2"/>
    <x v="0"/>
    <x v="0"/>
    <n v="27888.72"/>
    <x v="0"/>
    <x v="0"/>
  </r>
  <r>
    <x v="6"/>
    <x v="0"/>
    <x v="0"/>
    <x v="0"/>
    <x v="0"/>
    <n v="3417.61"/>
    <x v="0"/>
    <x v="0"/>
  </r>
  <r>
    <x v="6"/>
    <x v="0"/>
    <x v="2"/>
    <x v="0"/>
    <x v="0"/>
    <n v="10558.24"/>
    <x v="0"/>
    <x v="0"/>
  </r>
  <r>
    <x v="6"/>
    <x v="0"/>
    <x v="0"/>
    <x v="0"/>
    <x v="0"/>
    <n v="1847.37"/>
    <x v="0"/>
    <x v="0"/>
  </r>
  <r>
    <x v="6"/>
    <x v="1"/>
    <x v="3"/>
    <x v="0"/>
    <x v="0"/>
    <n v="411399.71"/>
    <x v="0"/>
    <x v="0"/>
  </r>
  <r>
    <x v="6"/>
    <x v="1"/>
    <x v="3"/>
    <x v="0"/>
    <x v="0"/>
    <n v="121362.51"/>
    <x v="0"/>
    <x v="0"/>
  </r>
  <r>
    <x v="6"/>
    <x v="2"/>
    <x v="2"/>
    <x v="0"/>
    <x v="0"/>
    <n v="54395.2"/>
    <x v="0"/>
    <x v="0"/>
  </r>
  <r>
    <x v="6"/>
    <x v="2"/>
    <x v="2"/>
    <x v="0"/>
    <x v="0"/>
    <n v="59416.73"/>
    <x v="0"/>
    <x v="0"/>
  </r>
  <r>
    <x v="6"/>
    <x v="0"/>
    <x v="1"/>
    <x v="0"/>
    <x v="0"/>
    <n v="565.49"/>
    <x v="0"/>
    <x v="0"/>
  </r>
  <r>
    <x v="6"/>
    <x v="0"/>
    <x v="0"/>
    <x v="0"/>
    <x v="0"/>
    <n v="2395.77"/>
    <x v="0"/>
    <x v="0"/>
  </r>
  <r>
    <x v="6"/>
    <x v="0"/>
    <x v="0"/>
    <x v="0"/>
    <x v="0"/>
    <n v="6864.68"/>
    <x v="0"/>
    <x v="0"/>
  </r>
  <r>
    <x v="6"/>
    <x v="0"/>
    <x v="2"/>
    <x v="0"/>
    <x v="0"/>
    <n v="19551.26"/>
    <x v="0"/>
    <x v="0"/>
  </r>
  <r>
    <x v="6"/>
    <x v="2"/>
    <x v="3"/>
    <x v="0"/>
    <x v="0"/>
    <n v="197648.26"/>
    <x v="0"/>
    <x v="0"/>
  </r>
  <r>
    <x v="6"/>
    <x v="0"/>
    <x v="0"/>
    <x v="0"/>
    <x v="0"/>
    <n v="6779.67"/>
    <x v="0"/>
    <x v="0"/>
  </r>
  <r>
    <x v="6"/>
    <x v="0"/>
    <x v="1"/>
    <x v="0"/>
    <x v="0"/>
    <n v="412.18"/>
    <x v="0"/>
    <x v="0"/>
  </r>
  <r>
    <x v="6"/>
    <x v="0"/>
    <x v="0"/>
    <x v="0"/>
    <x v="0"/>
    <n v="2780.75"/>
    <x v="0"/>
    <x v="0"/>
  </r>
  <r>
    <x v="6"/>
    <x v="0"/>
    <x v="0"/>
    <x v="0"/>
    <x v="0"/>
    <n v="7466.06"/>
    <x v="0"/>
    <x v="0"/>
  </r>
  <r>
    <x v="6"/>
    <x v="0"/>
    <x v="0"/>
    <x v="0"/>
    <x v="0"/>
    <n v="7769.72"/>
    <x v="0"/>
    <x v="0"/>
  </r>
  <r>
    <x v="6"/>
    <x v="4"/>
    <x v="2"/>
    <x v="0"/>
    <x v="0"/>
    <n v="37603.83"/>
    <x v="0"/>
    <x v="0"/>
  </r>
  <r>
    <x v="6"/>
    <x v="0"/>
    <x v="0"/>
    <x v="0"/>
    <x v="0"/>
    <n v="9173.09"/>
    <x v="0"/>
    <x v="0"/>
  </r>
  <r>
    <x v="6"/>
    <x v="1"/>
    <x v="4"/>
    <x v="0"/>
    <x v="0"/>
    <n v="1242030.96"/>
    <x v="0"/>
    <x v="0"/>
  </r>
  <r>
    <x v="6"/>
    <x v="0"/>
    <x v="1"/>
    <x v="0"/>
    <x v="0"/>
    <n v="883.88"/>
    <x v="0"/>
    <x v="0"/>
  </r>
  <r>
    <x v="6"/>
    <x v="2"/>
    <x v="3"/>
    <x v="0"/>
    <x v="0"/>
    <n v="268049.77"/>
    <x v="0"/>
    <x v="0"/>
  </r>
  <r>
    <x v="6"/>
    <x v="2"/>
    <x v="3"/>
    <x v="0"/>
    <x v="0"/>
    <n v="157442.78"/>
    <x v="0"/>
    <x v="0"/>
  </r>
  <r>
    <x v="6"/>
    <x v="0"/>
    <x v="0"/>
    <x v="0"/>
    <x v="0"/>
    <n v="1593.64"/>
    <x v="0"/>
    <x v="0"/>
  </r>
  <r>
    <x v="6"/>
    <x v="2"/>
    <x v="3"/>
    <x v="0"/>
    <x v="0"/>
    <n v="158333.5"/>
    <x v="0"/>
    <x v="0"/>
  </r>
  <r>
    <x v="6"/>
    <x v="0"/>
    <x v="2"/>
    <x v="0"/>
    <x v="0"/>
    <n v="10808.4"/>
    <x v="0"/>
    <x v="0"/>
  </r>
  <r>
    <x v="6"/>
    <x v="0"/>
    <x v="0"/>
    <x v="0"/>
    <x v="0"/>
    <n v="3439.96"/>
    <x v="0"/>
    <x v="0"/>
  </r>
  <r>
    <x v="6"/>
    <x v="0"/>
    <x v="0"/>
    <x v="0"/>
    <x v="0"/>
    <n v="2322.82"/>
    <x v="0"/>
    <x v="0"/>
  </r>
  <r>
    <x v="6"/>
    <x v="0"/>
    <x v="0"/>
    <x v="0"/>
    <x v="0"/>
    <n v="6585.38"/>
    <x v="0"/>
    <x v="0"/>
  </r>
  <r>
    <x v="6"/>
    <x v="0"/>
    <x v="2"/>
    <x v="0"/>
    <x v="0"/>
    <n v="23513.69"/>
    <x v="0"/>
    <x v="0"/>
  </r>
  <r>
    <x v="6"/>
    <x v="0"/>
    <x v="0"/>
    <x v="0"/>
    <x v="0"/>
    <n v="4095.71"/>
    <x v="0"/>
    <x v="0"/>
  </r>
  <r>
    <x v="6"/>
    <x v="0"/>
    <x v="2"/>
    <x v="0"/>
    <x v="0"/>
    <n v="15006.45"/>
    <x v="0"/>
    <x v="0"/>
  </r>
  <r>
    <x v="6"/>
    <x v="1"/>
    <x v="3"/>
    <x v="0"/>
    <x v="0"/>
    <n v="129859.44"/>
    <x v="0"/>
    <x v="0"/>
  </r>
  <r>
    <x v="6"/>
    <x v="0"/>
    <x v="0"/>
    <x v="0"/>
    <x v="0"/>
    <n v="2570.96"/>
    <x v="0"/>
    <x v="0"/>
  </r>
  <r>
    <x v="6"/>
    <x v="3"/>
    <x v="0"/>
    <x v="0"/>
    <x v="0"/>
    <n v="4163.28"/>
    <x v="0"/>
    <x v="0"/>
  </r>
  <r>
    <x v="6"/>
    <x v="4"/>
    <x v="3"/>
    <x v="0"/>
    <x v="0"/>
    <n v="314929.23"/>
    <x v="0"/>
    <x v="0"/>
  </r>
  <r>
    <x v="6"/>
    <x v="0"/>
    <x v="2"/>
    <x v="0"/>
    <x v="0"/>
    <n v="23492.26"/>
    <x v="0"/>
    <x v="0"/>
  </r>
  <r>
    <x v="6"/>
    <x v="1"/>
    <x v="3"/>
    <x v="0"/>
    <x v="0"/>
    <n v="599342.88"/>
    <x v="0"/>
    <x v="0"/>
  </r>
  <r>
    <x v="6"/>
    <x v="0"/>
    <x v="0"/>
    <x v="0"/>
    <x v="0"/>
    <n v="4607.26"/>
    <x v="0"/>
    <x v="0"/>
  </r>
  <r>
    <x v="6"/>
    <x v="0"/>
    <x v="2"/>
    <x v="0"/>
    <x v="0"/>
    <n v="15973.19"/>
    <x v="0"/>
    <x v="0"/>
  </r>
  <r>
    <x v="6"/>
    <x v="1"/>
    <x v="0"/>
    <x v="0"/>
    <x v="0"/>
    <n v="9738.48"/>
    <x v="0"/>
    <x v="0"/>
  </r>
  <r>
    <x v="6"/>
    <x v="0"/>
    <x v="0"/>
    <x v="0"/>
    <x v="0"/>
    <n v="8500.77"/>
    <x v="0"/>
    <x v="0"/>
  </r>
  <r>
    <x v="6"/>
    <x v="0"/>
    <x v="1"/>
    <x v="0"/>
    <x v="0"/>
    <n v="309.78"/>
    <x v="0"/>
    <x v="0"/>
  </r>
  <r>
    <x v="6"/>
    <x v="0"/>
    <x v="2"/>
    <x v="0"/>
    <x v="0"/>
    <n v="13239.13"/>
    <x v="0"/>
    <x v="0"/>
  </r>
  <r>
    <x v="6"/>
    <x v="0"/>
    <x v="0"/>
    <x v="0"/>
    <x v="0"/>
    <n v="1557.36"/>
    <x v="0"/>
    <x v="0"/>
  </r>
  <r>
    <x v="6"/>
    <x v="0"/>
    <x v="0"/>
    <x v="0"/>
    <x v="0"/>
    <n v="9801.45"/>
    <x v="0"/>
    <x v="0"/>
  </r>
  <r>
    <x v="6"/>
    <x v="0"/>
    <x v="0"/>
    <x v="0"/>
    <x v="0"/>
    <n v="3984.14"/>
    <x v="0"/>
    <x v="0"/>
  </r>
  <r>
    <x v="6"/>
    <x v="0"/>
    <x v="0"/>
    <x v="0"/>
    <x v="0"/>
    <n v="2410.67"/>
    <x v="0"/>
    <x v="0"/>
  </r>
  <r>
    <x v="6"/>
    <x v="0"/>
    <x v="0"/>
    <x v="0"/>
    <x v="0"/>
    <n v="5078.24"/>
    <x v="0"/>
    <x v="0"/>
  </r>
  <r>
    <x v="6"/>
    <x v="0"/>
    <x v="2"/>
    <x v="0"/>
    <x v="0"/>
    <n v="17126.04"/>
    <x v="0"/>
    <x v="0"/>
  </r>
  <r>
    <x v="6"/>
    <x v="2"/>
    <x v="3"/>
    <x v="0"/>
    <x v="0"/>
    <n v="141917.76"/>
    <x v="0"/>
    <x v="0"/>
  </r>
  <r>
    <x v="6"/>
    <x v="0"/>
    <x v="0"/>
    <x v="0"/>
    <x v="0"/>
    <n v="6624.39"/>
    <x v="0"/>
    <x v="0"/>
  </r>
  <r>
    <x v="6"/>
    <x v="0"/>
    <x v="0"/>
    <x v="0"/>
    <x v="0"/>
    <n v="1194.51"/>
    <x v="0"/>
    <x v="0"/>
  </r>
  <r>
    <x v="6"/>
    <x v="1"/>
    <x v="3"/>
    <x v="0"/>
    <x v="0"/>
    <n v="118404.75"/>
    <x v="0"/>
    <x v="0"/>
  </r>
  <r>
    <x v="6"/>
    <x v="4"/>
    <x v="2"/>
    <x v="0"/>
    <x v="0"/>
    <n v="10781.11"/>
    <x v="0"/>
    <x v="0"/>
  </r>
  <r>
    <x v="6"/>
    <x v="2"/>
    <x v="3"/>
    <x v="0"/>
    <x v="0"/>
    <n v="217460.33"/>
    <x v="0"/>
    <x v="0"/>
  </r>
  <r>
    <x v="6"/>
    <x v="0"/>
    <x v="0"/>
    <x v="0"/>
    <x v="0"/>
    <n v="9773.88"/>
    <x v="0"/>
    <x v="0"/>
  </r>
  <r>
    <x v="6"/>
    <x v="0"/>
    <x v="0"/>
    <x v="0"/>
    <x v="0"/>
    <n v="7826.37"/>
    <x v="0"/>
    <x v="0"/>
  </r>
  <r>
    <x v="6"/>
    <x v="4"/>
    <x v="3"/>
    <x v="0"/>
    <x v="0"/>
    <n v="173696.06"/>
    <x v="0"/>
    <x v="0"/>
  </r>
  <r>
    <x v="6"/>
    <x v="0"/>
    <x v="2"/>
    <x v="0"/>
    <x v="0"/>
    <n v="15258.14"/>
    <x v="0"/>
    <x v="0"/>
  </r>
  <r>
    <x v="6"/>
    <x v="0"/>
    <x v="0"/>
    <x v="0"/>
    <x v="0"/>
    <n v="6356.01"/>
    <x v="0"/>
    <x v="0"/>
  </r>
  <r>
    <x v="6"/>
    <x v="0"/>
    <x v="1"/>
    <x v="0"/>
    <x v="0"/>
    <n v="480.03"/>
    <x v="0"/>
    <x v="0"/>
  </r>
  <r>
    <x v="6"/>
    <x v="2"/>
    <x v="3"/>
    <x v="0"/>
    <x v="0"/>
    <n v="141289.74"/>
    <x v="0"/>
    <x v="0"/>
  </r>
  <r>
    <x v="6"/>
    <x v="0"/>
    <x v="2"/>
    <x v="0"/>
    <x v="0"/>
    <n v="10200.43"/>
    <x v="0"/>
    <x v="0"/>
  </r>
  <r>
    <x v="6"/>
    <x v="0"/>
    <x v="0"/>
    <x v="0"/>
    <x v="0"/>
    <n v="9802.73"/>
    <x v="0"/>
    <x v="0"/>
  </r>
  <r>
    <x v="6"/>
    <x v="0"/>
    <x v="0"/>
    <x v="0"/>
    <x v="0"/>
    <n v="9383.43"/>
    <x v="0"/>
    <x v="0"/>
  </r>
  <r>
    <x v="6"/>
    <x v="0"/>
    <x v="0"/>
    <x v="0"/>
    <x v="0"/>
    <n v="5123.99"/>
    <x v="0"/>
    <x v="0"/>
  </r>
  <r>
    <x v="6"/>
    <x v="0"/>
    <x v="0"/>
    <x v="0"/>
    <x v="0"/>
    <n v="5422.72"/>
    <x v="0"/>
    <x v="0"/>
  </r>
  <r>
    <x v="6"/>
    <x v="0"/>
    <x v="2"/>
    <x v="0"/>
    <x v="0"/>
    <n v="34866.59"/>
    <x v="0"/>
    <x v="0"/>
  </r>
  <r>
    <x v="6"/>
    <x v="0"/>
    <x v="0"/>
    <x v="0"/>
    <x v="0"/>
    <n v="3679.63"/>
    <x v="0"/>
    <x v="0"/>
  </r>
  <r>
    <x v="6"/>
    <x v="2"/>
    <x v="3"/>
    <x v="0"/>
    <x v="0"/>
    <n v="259743.76"/>
    <x v="0"/>
    <x v="0"/>
  </r>
  <r>
    <x v="6"/>
    <x v="0"/>
    <x v="2"/>
    <x v="0"/>
    <x v="0"/>
    <n v="12835.96"/>
    <x v="0"/>
    <x v="0"/>
  </r>
  <r>
    <x v="6"/>
    <x v="0"/>
    <x v="0"/>
    <x v="0"/>
    <x v="0"/>
    <n v="1062.06"/>
    <x v="0"/>
    <x v="0"/>
  </r>
  <r>
    <x v="6"/>
    <x v="4"/>
    <x v="3"/>
    <x v="0"/>
    <x v="0"/>
    <n v="182452.71"/>
    <x v="0"/>
    <x v="0"/>
  </r>
  <r>
    <x v="6"/>
    <x v="4"/>
    <x v="3"/>
    <x v="0"/>
    <x v="0"/>
    <n v="172588.84"/>
    <x v="0"/>
    <x v="0"/>
  </r>
  <r>
    <x v="6"/>
    <x v="4"/>
    <x v="3"/>
    <x v="0"/>
    <x v="0"/>
    <n v="212127.94"/>
    <x v="0"/>
    <x v="0"/>
  </r>
  <r>
    <x v="6"/>
    <x v="4"/>
    <x v="3"/>
    <x v="0"/>
    <x v="0"/>
    <n v="267716.65"/>
    <x v="0"/>
    <x v="0"/>
  </r>
  <r>
    <x v="6"/>
    <x v="4"/>
    <x v="3"/>
    <x v="0"/>
    <x v="0"/>
    <n v="140852.52"/>
    <x v="0"/>
    <x v="0"/>
  </r>
  <r>
    <x v="6"/>
    <x v="4"/>
    <x v="2"/>
    <x v="0"/>
    <x v="0"/>
    <n v="23966.48"/>
    <x v="0"/>
    <x v="0"/>
  </r>
  <r>
    <x v="6"/>
    <x v="4"/>
    <x v="3"/>
    <x v="0"/>
    <x v="0"/>
    <n v="137985.07"/>
    <x v="0"/>
    <x v="0"/>
  </r>
  <r>
    <x v="6"/>
    <x v="4"/>
    <x v="3"/>
    <x v="0"/>
    <x v="0"/>
    <n v="207762.47"/>
    <x v="0"/>
    <x v="0"/>
  </r>
  <r>
    <x v="6"/>
    <x v="4"/>
    <x v="3"/>
    <x v="0"/>
    <x v="0"/>
    <n v="101075.48"/>
    <x v="0"/>
    <x v="0"/>
  </r>
  <r>
    <x v="6"/>
    <x v="4"/>
    <x v="3"/>
    <x v="0"/>
    <x v="0"/>
    <n v="282150.32"/>
    <x v="0"/>
    <x v="0"/>
  </r>
  <r>
    <x v="6"/>
    <x v="4"/>
    <x v="3"/>
    <x v="0"/>
    <x v="0"/>
    <n v="245256.44"/>
    <x v="0"/>
    <x v="0"/>
  </r>
  <r>
    <x v="6"/>
    <x v="4"/>
    <x v="2"/>
    <x v="0"/>
    <x v="0"/>
    <n v="26884.31"/>
    <x v="0"/>
    <x v="0"/>
  </r>
  <r>
    <x v="6"/>
    <x v="4"/>
    <x v="2"/>
    <x v="0"/>
    <x v="0"/>
    <n v="33051.37"/>
    <x v="0"/>
    <x v="0"/>
  </r>
  <r>
    <x v="6"/>
    <x v="4"/>
    <x v="2"/>
    <x v="0"/>
    <x v="0"/>
    <n v="64525.15"/>
    <x v="0"/>
    <x v="0"/>
  </r>
  <r>
    <x v="6"/>
    <x v="4"/>
    <x v="3"/>
    <x v="0"/>
    <x v="0"/>
    <n v="185113.63"/>
    <x v="0"/>
    <x v="0"/>
  </r>
  <r>
    <x v="6"/>
    <x v="4"/>
    <x v="2"/>
    <x v="0"/>
    <x v="0"/>
    <n v="39244.81"/>
    <x v="0"/>
    <x v="0"/>
  </r>
  <r>
    <x v="6"/>
    <x v="4"/>
    <x v="3"/>
    <x v="0"/>
    <x v="0"/>
    <n v="250578.65"/>
    <x v="0"/>
    <x v="0"/>
  </r>
  <r>
    <x v="6"/>
    <x v="4"/>
    <x v="3"/>
    <x v="0"/>
    <x v="0"/>
    <n v="374031.59"/>
    <x v="0"/>
    <x v="0"/>
  </r>
  <r>
    <x v="6"/>
    <x v="0"/>
    <x v="0"/>
    <x v="0"/>
    <x v="0"/>
    <n v="4435.37"/>
    <x v="0"/>
    <x v="0"/>
  </r>
  <r>
    <x v="6"/>
    <x v="0"/>
    <x v="2"/>
    <x v="0"/>
    <x v="0"/>
    <n v="10903.02"/>
    <x v="0"/>
    <x v="0"/>
  </r>
  <r>
    <x v="6"/>
    <x v="0"/>
    <x v="0"/>
    <x v="0"/>
    <x v="0"/>
    <n v="6291.23"/>
    <x v="0"/>
    <x v="0"/>
  </r>
  <r>
    <x v="6"/>
    <x v="0"/>
    <x v="0"/>
    <x v="0"/>
    <x v="0"/>
    <n v="2206.56"/>
    <x v="0"/>
    <x v="0"/>
  </r>
  <r>
    <x v="6"/>
    <x v="0"/>
    <x v="0"/>
    <x v="0"/>
    <x v="0"/>
    <n v="5370.06"/>
    <x v="0"/>
    <x v="0"/>
  </r>
  <r>
    <x v="6"/>
    <x v="0"/>
    <x v="0"/>
    <x v="0"/>
    <x v="0"/>
    <n v="3136.92"/>
    <x v="0"/>
    <x v="0"/>
  </r>
  <r>
    <x v="6"/>
    <x v="3"/>
    <x v="1"/>
    <x v="0"/>
    <x v="0"/>
    <n v="499.86"/>
    <x v="0"/>
    <x v="0"/>
  </r>
  <r>
    <x v="6"/>
    <x v="0"/>
    <x v="0"/>
    <x v="0"/>
    <x v="0"/>
    <n v="7706.46"/>
    <x v="0"/>
    <x v="0"/>
  </r>
  <r>
    <x v="6"/>
    <x v="0"/>
    <x v="0"/>
    <x v="0"/>
    <x v="0"/>
    <n v="4411.68"/>
    <x v="0"/>
    <x v="0"/>
  </r>
  <r>
    <x v="6"/>
    <x v="0"/>
    <x v="0"/>
    <x v="0"/>
    <x v="0"/>
    <n v="7939.48"/>
    <x v="0"/>
    <x v="0"/>
  </r>
  <r>
    <x v="6"/>
    <x v="0"/>
    <x v="0"/>
    <x v="0"/>
    <x v="0"/>
    <n v="7548.35"/>
    <x v="0"/>
    <x v="0"/>
  </r>
  <r>
    <x v="6"/>
    <x v="0"/>
    <x v="1"/>
    <x v="0"/>
    <x v="0"/>
    <n v="967.31"/>
    <x v="0"/>
    <x v="0"/>
  </r>
  <r>
    <x v="6"/>
    <x v="1"/>
    <x v="2"/>
    <x v="0"/>
    <x v="0"/>
    <n v="10594.26"/>
    <x v="0"/>
    <x v="0"/>
  </r>
  <r>
    <x v="6"/>
    <x v="0"/>
    <x v="0"/>
    <x v="0"/>
    <x v="0"/>
    <n v="5368.23"/>
    <x v="0"/>
    <x v="0"/>
  </r>
  <r>
    <x v="6"/>
    <x v="0"/>
    <x v="0"/>
    <x v="0"/>
    <x v="0"/>
    <n v="7533.07"/>
    <x v="0"/>
    <x v="0"/>
  </r>
  <r>
    <x v="6"/>
    <x v="0"/>
    <x v="1"/>
    <x v="0"/>
    <x v="0"/>
    <n v="651.54"/>
    <x v="0"/>
    <x v="0"/>
  </r>
  <r>
    <x v="6"/>
    <x v="0"/>
    <x v="0"/>
    <x v="0"/>
    <x v="0"/>
    <n v="5585.31"/>
    <x v="0"/>
    <x v="0"/>
  </r>
  <r>
    <x v="6"/>
    <x v="0"/>
    <x v="0"/>
    <x v="0"/>
    <x v="0"/>
    <n v="3397.33"/>
    <x v="0"/>
    <x v="0"/>
  </r>
  <r>
    <x v="6"/>
    <x v="0"/>
    <x v="1"/>
    <x v="0"/>
    <x v="0"/>
    <n v="276.04"/>
    <x v="0"/>
    <x v="0"/>
  </r>
  <r>
    <x v="6"/>
    <x v="1"/>
    <x v="3"/>
    <x v="0"/>
    <x v="0"/>
    <n v="363063.88"/>
    <x v="0"/>
    <x v="0"/>
  </r>
  <r>
    <x v="6"/>
    <x v="0"/>
    <x v="0"/>
    <x v="0"/>
    <x v="0"/>
    <n v="2605.08"/>
    <x v="0"/>
    <x v="0"/>
  </r>
  <r>
    <x v="6"/>
    <x v="0"/>
    <x v="0"/>
    <x v="0"/>
    <x v="0"/>
    <n v="4908.85"/>
    <x v="0"/>
    <x v="0"/>
  </r>
  <r>
    <x v="6"/>
    <x v="0"/>
    <x v="2"/>
    <x v="0"/>
    <x v="0"/>
    <n v="15969.13"/>
    <x v="0"/>
    <x v="0"/>
  </r>
  <r>
    <x v="6"/>
    <x v="2"/>
    <x v="2"/>
    <x v="0"/>
    <x v="0"/>
    <n v="38323.66"/>
    <x v="0"/>
    <x v="0"/>
  </r>
  <r>
    <x v="6"/>
    <x v="0"/>
    <x v="2"/>
    <x v="0"/>
    <x v="0"/>
    <n v="10476.7"/>
    <x v="0"/>
    <x v="0"/>
  </r>
  <r>
    <x v="6"/>
    <x v="2"/>
    <x v="2"/>
    <x v="0"/>
    <x v="0"/>
    <n v="61922.54"/>
    <x v="0"/>
    <x v="0"/>
  </r>
  <r>
    <x v="6"/>
    <x v="0"/>
    <x v="0"/>
    <x v="0"/>
    <x v="0"/>
    <n v="4603.71"/>
    <x v="0"/>
    <x v="0"/>
  </r>
  <r>
    <x v="6"/>
    <x v="0"/>
    <x v="0"/>
    <x v="0"/>
    <x v="0"/>
    <n v="6163.43"/>
    <x v="0"/>
    <x v="0"/>
  </r>
  <r>
    <x v="6"/>
    <x v="0"/>
    <x v="0"/>
    <x v="0"/>
    <x v="0"/>
    <n v="6951.07"/>
    <x v="0"/>
    <x v="0"/>
  </r>
  <r>
    <x v="6"/>
    <x v="0"/>
    <x v="0"/>
    <x v="0"/>
    <x v="0"/>
    <n v="4630.4"/>
    <x v="0"/>
    <x v="0"/>
  </r>
  <r>
    <x v="6"/>
    <x v="2"/>
    <x v="2"/>
    <x v="0"/>
    <x v="0"/>
    <n v="47779.84"/>
    <x v="0"/>
    <x v="0"/>
  </r>
  <r>
    <x v="6"/>
    <x v="4"/>
    <x v="3"/>
    <x v="0"/>
    <x v="0"/>
    <n v="197390.5"/>
    <x v="0"/>
    <x v="0"/>
  </r>
  <r>
    <x v="6"/>
    <x v="0"/>
    <x v="0"/>
    <x v="0"/>
    <x v="0"/>
    <n v="4355.69"/>
    <x v="0"/>
    <x v="0"/>
  </r>
  <r>
    <x v="6"/>
    <x v="0"/>
    <x v="0"/>
    <x v="0"/>
    <x v="0"/>
    <n v="3643.48"/>
    <x v="0"/>
    <x v="0"/>
  </r>
  <r>
    <x v="6"/>
    <x v="2"/>
    <x v="3"/>
    <x v="0"/>
    <x v="0"/>
    <n v="209202.05"/>
    <x v="0"/>
    <x v="0"/>
  </r>
  <r>
    <x v="6"/>
    <x v="0"/>
    <x v="1"/>
    <x v="0"/>
    <x v="0"/>
    <n v="483.98"/>
    <x v="0"/>
    <x v="0"/>
  </r>
  <r>
    <x v="6"/>
    <x v="0"/>
    <x v="0"/>
    <x v="0"/>
    <x v="0"/>
    <n v="3214.67"/>
    <x v="0"/>
    <x v="0"/>
  </r>
  <r>
    <x v="6"/>
    <x v="0"/>
    <x v="2"/>
    <x v="0"/>
    <x v="0"/>
    <n v="11611.66"/>
    <x v="0"/>
    <x v="0"/>
  </r>
  <r>
    <x v="6"/>
    <x v="0"/>
    <x v="2"/>
    <x v="0"/>
    <x v="0"/>
    <n v="15116.37"/>
    <x v="0"/>
    <x v="0"/>
  </r>
  <r>
    <x v="6"/>
    <x v="0"/>
    <x v="0"/>
    <x v="0"/>
    <x v="0"/>
    <n v="2878.68"/>
    <x v="0"/>
    <x v="0"/>
  </r>
  <r>
    <x v="6"/>
    <x v="0"/>
    <x v="0"/>
    <x v="0"/>
    <x v="0"/>
    <n v="6849.71"/>
    <x v="0"/>
    <x v="0"/>
  </r>
  <r>
    <x v="6"/>
    <x v="1"/>
    <x v="3"/>
    <x v="0"/>
    <x v="0"/>
    <n v="668885.18"/>
    <x v="0"/>
    <x v="0"/>
  </r>
  <r>
    <x v="6"/>
    <x v="2"/>
    <x v="3"/>
    <x v="0"/>
    <x v="0"/>
    <n v="105124.6"/>
    <x v="0"/>
    <x v="0"/>
  </r>
  <r>
    <x v="6"/>
    <x v="0"/>
    <x v="2"/>
    <x v="0"/>
    <x v="0"/>
    <n v="15036.18"/>
    <x v="0"/>
    <x v="0"/>
  </r>
  <r>
    <x v="6"/>
    <x v="0"/>
    <x v="0"/>
    <x v="0"/>
    <x v="0"/>
    <n v="5070.28"/>
    <x v="0"/>
    <x v="0"/>
  </r>
  <r>
    <x v="6"/>
    <x v="0"/>
    <x v="0"/>
    <x v="0"/>
    <x v="0"/>
    <n v="6821.43"/>
    <x v="0"/>
    <x v="0"/>
  </r>
  <r>
    <x v="6"/>
    <x v="0"/>
    <x v="0"/>
    <x v="0"/>
    <x v="0"/>
    <n v="2928.73"/>
    <x v="0"/>
    <x v="0"/>
  </r>
  <r>
    <x v="6"/>
    <x v="1"/>
    <x v="3"/>
    <x v="0"/>
    <x v="0"/>
    <n v="328175.59"/>
    <x v="0"/>
    <x v="0"/>
  </r>
  <r>
    <x v="6"/>
    <x v="0"/>
    <x v="0"/>
    <x v="0"/>
    <x v="0"/>
    <n v="3946.88"/>
    <x v="0"/>
    <x v="0"/>
  </r>
  <r>
    <x v="6"/>
    <x v="0"/>
    <x v="0"/>
    <x v="0"/>
    <x v="0"/>
    <n v="2910.53"/>
    <x v="0"/>
    <x v="0"/>
  </r>
  <r>
    <x v="6"/>
    <x v="0"/>
    <x v="2"/>
    <x v="0"/>
    <x v="0"/>
    <n v="12650.89"/>
    <x v="0"/>
    <x v="0"/>
  </r>
  <r>
    <x v="6"/>
    <x v="0"/>
    <x v="0"/>
    <x v="0"/>
    <x v="0"/>
    <n v="2519.4"/>
    <x v="0"/>
    <x v="0"/>
  </r>
  <r>
    <x v="6"/>
    <x v="0"/>
    <x v="2"/>
    <x v="0"/>
    <x v="0"/>
    <n v="14021.39"/>
    <x v="0"/>
    <x v="0"/>
  </r>
  <r>
    <x v="6"/>
    <x v="0"/>
    <x v="0"/>
    <x v="0"/>
    <x v="0"/>
    <n v="9138.62"/>
    <x v="0"/>
    <x v="0"/>
  </r>
  <r>
    <x v="6"/>
    <x v="0"/>
    <x v="0"/>
    <x v="0"/>
    <x v="0"/>
    <n v="8166.04"/>
    <x v="0"/>
    <x v="0"/>
  </r>
  <r>
    <x v="6"/>
    <x v="0"/>
    <x v="0"/>
    <x v="0"/>
    <x v="0"/>
    <n v="4796.19"/>
    <x v="0"/>
    <x v="0"/>
  </r>
  <r>
    <x v="6"/>
    <x v="0"/>
    <x v="0"/>
    <x v="0"/>
    <x v="0"/>
    <n v="9682"/>
    <x v="0"/>
    <x v="0"/>
  </r>
  <r>
    <x v="6"/>
    <x v="0"/>
    <x v="0"/>
    <x v="0"/>
    <x v="0"/>
    <n v="3567.99"/>
    <x v="0"/>
    <x v="0"/>
  </r>
  <r>
    <x v="6"/>
    <x v="0"/>
    <x v="2"/>
    <x v="0"/>
    <x v="0"/>
    <n v="15974.63"/>
    <x v="0"/>
    <x v="0"/>
  </r>
  <r>
    <x v="6"/>
    <x v="0"/>
    <x v="0"/>
    <x v="0"/>
    <x v="0"/>
    <n v="1538.51"/>
    <x v="0"/>
    <x v="0"/>
  </r>
  <r>
    <x v="6"/>
    <x v="0"/>
    <x v="0"/>
    <x v="0"/>
    <x v="0"/>
    <n v="8987.61"/>
    <x v="0"/>
    <x v="0"/>
  </r>
  <r>
    <x v="6"/>
    <x v="0"/>
    <x v="2"/>
    <x v="0"/>
    <x v="0"/>
    <n v="35532.03"/>
    <x v="0"/>
    <x v="0"/>
  </r>
  <r>
    <x v="6"/>
    <x v="0"/>
    <x v="2"/>
    <x v="0"/>
    <x v="0"/>
    <n v="16034.17"/>
    <x v="0"/>
    <x v="0"/>
  </r>
  <r>
    <x v="6"/>
    <x v="0"/>
    <x v="2"/>
    <x v="0"/>
    <x v="0"/>
    <n v="13204.3"/>
    <x v="0"/>
    <x v="0"/>
  </r>
  <r>
    <x v="6"/>
    <x v="0"/>
    <x v="2"/>
    <x v="0"/>
    <x v="0"/>
    <n v="21131.52"/>
    <x v="0"/>
    <x v="0"/>
  </r>
  <r>
    <x v="6"/>
    <x v="0"/>
    <x v="0"/>
    <x v="0"/>
    <x v="0"/>
    <n v="5874.22"/>
    <x v="0"/>
    <x v="0"/>
  </r>
  <r>
    <x v="6"/>
    <x v="0"/>
    <x v="0"/>
    <x v="0"/>
    <x v="0"/>
    <n v="4854.86"/>
    <x v="0"/>
    <x v="0"/>
  </r>
  <r>
    <x v="6"/>
    <x v="0"/>
    <x v="0"/>
    <x v="0"/>
    <x v="0"/>
    <n v="5238.34"/>
    <x v="0"/>
    <x v="0"/>
  </r>
  <r>
    <x v="6"/>
    <x v="0"/>
    <x v="0"/>
    <x v="0"/>
    <x v="0"/>
    <n v="2337.09"/>
    <x v="0"/>
    <x v="0"/>
  </r>
  <r>
    <x v="6"/>
    <x v="4"/>
    <x v="3"/>
    <x v="0"/>
    <x v="0"/>
    <n v="135364.07"/>
    <x v="0"/>
    <x v="0"/>
  </r>
  <r>
    <x v="6"/>
    <x v="4"/>
    <x v="3"/>
    <x v="0"/>
    <x v="0"/>
    <n v="372848.83"/>
    <x v="0"/>
    <x v="0"/>
  </r>
  <r>
    <x v="6"/>
    <x v="4"/>
    <x v="2"/>
    <x v="0"/>
    <x v="0"/>
    <n v="66732.14"/>
    <x v="0"/>
    <x v="0"/>
  </r>
  <r>
    <x v="6"/>
    <x v="4"/>
    <x v="3"/>
    <x v="0"/>
    <x v="0"/>
    <n v="273499.22"/>
    <x v="0"/>
    <x v="0"/>
  </r>
  <r>
    <x v="6"/>
    <x v="4"/>
    <x v="3"/>
    <x v="0"/>
    <x v="0"/>
    <n v="529190.35"/>
    <x v="0"/>
    <x v="0"/>
  </r>
  <r>
    <x v="6"/>
    <x v="4"/>
    <x v="3"/>
    <x v="0"/>
    <x v="0"/>
    <n v="193934.58"/>
    <x v="0"/>
    <x v="0"/>
  </r>
  <r>
    <x v="6"/>
    <x v="4"/>
    <x v="3"/>
    <x v="0"/>
    <x v="0"/>
    <n v="186699.23"/>
    <x v="0"/>
    <x v="0"/>
  </r>
  <r>
    <x v="6"/>
    <x v="4"/>
    <x v="3"/>
    <x v="0"/>
    <x v="0"/>
    <n v="276651.07"/>
    <x v="0"/>
    <x v="0"/>
  </r>
  <r>
    <x v="6"/>
    <x v="4"/>
    <x v="3"/>
    <x v="0"/>
    <x v="0"/>
    <n v="231126.61"/>
    <x v="0"/>
    <x v="0"/>
  </r>
  <r>
    <x v="6"/>
    <x v="4"/>
    <x v="3"/>
    <x v="0"/>
    <x v="0"/>
    <n v="249233.37"/>
    <x v="0"/>
    <x v="0"/>
  </r>
  <r>
    <x v="6"/>
    <x v="4"/>
    <x v="2"/>
    <x v="0"/>
    <x v="0"/>
    <n v="44453.81"/>
    <x v="0"/>
    <x v="0"/>
  </r>
  <r>
    <x v="6"/>
    <x v="4"/>
    <x v="3"/>
    <x v="0"/>
    <x v="0"/>
    <n v="154228.23"/>
    <x v="0"/>
    <x v="0"/>
  </r>
  <r>
    <x v="6"/>
    <x v="4"/>
    <x v="3"/>
    <x v="0"/>
    <x v="0"/>
    <n v="225798.64"/>
    <x v="0"/>
    <x v="0"/>
  </r>
  <r>
    <x v="6"/>
    <x v="4"/>
    <x v="3"/>
    <x v="0"/>
    <x v="0"/>
    <n v="194451.87"/>
    <x v="0"/>
    <x v="0"/>
  </r>
  <r>
    <x v="6"/>
    <x v="4"/>
    <x v="2"/>
    <x v="0"/>
    <x v="0"/>
    <n v="49431.49"/>
    <x v="0"/>
    <x v="0"/>
  </r>
  <r>
    <x v="6"/>
    <x v="4"/>
    <x v="3"/>
    <x v="0"/>
    <x v="0"/>
    <n v="245484.78"/>
    <x v="0"/>
    <x v="0"/>
  </r>
  <r>
    <x v="6"/>
    <x v="4"/>
    <x v="2"/>
    <x v="0"/>
    <x v="0"/>
    <n v="21954.96"/>
    <x v="0"/>
    <x v="0"/>
  </r>
  <r>
    <x v="6"/>
    <x v="4"/>
    <x v="3"/>
    <x v="0"/>
    <x v="0"/>
    <n v="868684.99"/>
    <x v="0"/>
    <x v="0"/>
  </r>
  <r>
    <x v="6"/>
    <x v="4"/>
    <x v="2"/>
    <x v="0"/>
    <x v="0"/>
    <n v="29010.6"/>
    <x v="0"/>
    <x v="0"/>
  </r>
  <r>
    <x v="6"/>
    <x v="4"/>
    <x v="2"/>
    <x v="0"/>
    <x v="0"/>
    <n v="14809.24"/>
    <x v="0"/>
    <x v="0"/>
  </r>
  <r>
    <x v="6"/>
    <x v="4"/>
    <x v="2"/>
    <x v="0"/>
    <x v="0"/>
    <n v="97806.47"/>
    <x v="0"/>
    <x v="0"/>
  </r>
  <r>
    <x v="6"/>
    <x v="0"/>
    <x v="0"/>
    <x v="0"/>
    <x v="0"/>
    <n v="5385.54"/>
    <x v="0"/>
    <x v="0"/>
  </r>
  <r>
    <x v="6"/>
    <x v="0"/>
    <x v="2"/>
    <x v="0"/>
    <x v="0"/>
    <n v="14439.4"/>
    <x v="0"/>
    <x v="0"/>
  </r>
  <r>
    <x v="6"/>
    <x v="2"/>
    <x v="3"/>
    <x v="0"/>
    <x v="0"/>
    <n v="178514.46"/>
    <x v="0"/>
    <x v="0"/>
  </r>
  <r>
    <x v="6"/>
    <x v="0"/>
    <x v="1"/>
    <x v="0"/>
    <x v="0"/>
    <n v="599"/>
    <x v="0"/>
    <x v="0"/>
  </r>
  <r>
    <x v="6"/>
    <x v="4"/>
    <x v="3"/>
    <x v="0"/>
    <x v="0"/>
    <n v="131892.09"/>
    <x v="0"/>
    <x v="0"/>
  </r>
  <r>
    <x v="6"/>
    <x v="1"/>
    <x v="3"/>
    <x v="0"/>
    <x v="0"/>
    <n v="585116.33"/>
    <x v="0"/>
    <x v="0"/>
  </r>
  <r>
    <x v="6"/>
    <x v="0"/>
    <x v="0"/>
    <x v="0"/>
    <x v="0"/>
    <n v="2136.5"/>
    <x v="0"/>
    <x v="0"/>
  </r>
  <r>
    <x v="6"/>
    <x v="1"/>
    <x v="3"/>
    <x v="0"/>
    <x v="0"/>
    <n v="914938.38"/>
    <x v="0"/>
    <x v="0"/>
  </r>
  <r>
    <x v="6"/>
    <x v="0"/>
    <x v="0"/>
    <x v="0"/>
    <x v="0"/>
    <n v="3005.72"/>
    <x v="0"/>
    <x v="0"/>
  </r>
  <r>
    <x v="6"/>
    <x v="4"/>
    <x v="3"/>
    <x v="0"/>
    <x v="0"/>
    <n v="132499.75"/>
    <x v="0"/>
    <x v="0"/>
  </r>
  <r>
    <x v="6"/>
    <x v="0"/>
    <x v="1"/>
    <x v="0"/>
    <x v="0"/>
    <n v="203.52"/>
    <x v="0"/>
    <x v="0"/>
  </r>
  <r>
    <x v="6"/>
    <x v="1"/>
    <x v="3"/>
    <x v="0"/>
    <x v="0"/>
    <n v="547982.86"/>
    <x v="0"/>
    <x v="0"/>
  </r>
  <r>
    <x v="6"/>
    <x v="0"/>
    <x v="0"/>
    <x v="0"/>
    <x v="0"/>
    <n v="5610.22"/>
    <x v="0"/>
    <x v="0"/>
  </r>
  <r>
    <x v="6"/>
    <x v="3"/>
    <x v="0"/>
    <x v="0"/>
    <x v="0"/>
    <n v="1839.45"/>
    <x v="0"/>
    <x v="0"/>
  </r>
  <r>
    <x v="6"/>
    <x v="0"/>
    <x v="0"/>
    <x v="0"/>
    <x v="0"/>
    <n v="7162.79"/>
    <x v="0"/>
    <x v="0"/>
  </r>
  <r>
    <x v="6"/>
    <x v="0"/>
    <x v="2"/>
    <x v="0"/>
    <x v="0"/>
    <n v="14060.49"/>
    <x v="0"/>
    <x v="0"/>
  </r>
  <r>
    <x v="6"/>
    <x v="1"/>
    <x v="3"/>
    <x v="0"/>
    <x v="0"/>
    <n v="740455.48"/>
    <x v="0"/>
    <x v="0"/>
  </r>
  <r>
    <x v="6"/>
    <x v="0"/>
    <x v="2"/>
    <x v="0"/>
    <x v="0"/>
    <n v="12880.69"/>
    <x v="0"/>
    <x v="0"/>
  </r>
  <r>
    <x v="6"/>
    <x v="0"/>
    <x v="0"/>
    <x v="0"/>
    <x v="0"/>
    <n v="8282.81"/>
    <x v="0"/>
    <x v="0"/>
  </r>
  <r>
    <x v="6"/>
    <x v="2"/>
    <x v="3"/>
    <x v="0"/>
    <x v="0"/>
    <n v="239692.36"/>
    <x v="0"/>
    <x v="0"/>
  </r>
  <r>
    <x v="6"/>
    <x v="1"/>
    <x v="2"/>
    <x v="0"/>
    <x v="0"/>
    <n v="77606.35"/>
    <x v="0"/>
    <x v="0"/>
  </r>
  <r>
    <x v="6"/>
    <x v="0"/>
    <x v="0"/>
    <x v="0"/>
    <x v="0"/>
    <n v="7054.83"/>
    <x v="0"/>
    <x v="0"/>
  </r>
  <r>
    <x v="6"/>
    <x v="1"/>
    <x v="2"/>
    <x v="0"/>
    <x v="0"/>
    <n v="85459.53"/>
    <x v="0"/>
    <x v="0"/>
  </r>
  <r>
    <x v="6"/>
    <x v="3"/>
    <x v="0"/>
    <x v="0"/>
    <x v="0"/>
    <n v="4270.25"/>
    <x v="0"/>
    <x v="0"/>
  </r>
  <r>
    <x v="6"/>
    <x v="0"/>
    <x v="0"/>
    <x v="0"/>
    <x v="0"/>
    <n v="7624.65"/>
    <x v="0"/>
    <x v="0"/>
  </r>
  <r>
    <x v="6"/>
    <x v="0"/>
    <x v="0"/>
    <x v="0"/>
    <x v="0"/>
    <n v="2375.97"/>
    <x v="0"/>
    <x v="0"/>
  </r>
  <r>
    <x v="6"/>
    <x v="0"/>
    <x v="0"/>
    <x v="0"/>
    <x v="0"/>
    <n v="4270.36"/>
    <x v="0"/>
    <x v="0"/>
  </r>
  <r>
    <x v="6"/>
    <x v="0"/>
    <x v="2"/>
    <x v="0"/>
    <x v="0"/>
    <n v="41749.41"/>
    <x v="0"/>
    <x v="0"/>
  </r>
  <r>
    <x v="6"/>
    <x v="0"/>
    <x v="0"/>
    <x v="0"/>
    <x v="0"/>
    <n v="1561.11"/>
    <x v="0"/>
    <x v="0"/>
  </r>
  <r>
    <x v="6"/>
    <x v="0"/>
    <x v="2"/>
    <x v="0"/>
    <x v="0"/>
    <n v="14734.61"/>
    <x v="0"/>
    <x v="0"/>
  </r>
  <r>
    <x v="6"/>
    <x v="0"/>
    <x v="2"/>
    <x v="0"/>
    <x v="0"/>
    <n v="12443.21"/>
    <x v="0"/>
    <x v="0"/>
  </r>
  <r>
    <x v="6"/>
    <x v="0"/>
    <x v="0"/>
    <x v="0"/>
    <x v="0"/>
    <n v="3727.23"/>
    <x v="0"/>
    <x v="0"/>
  </r>
  <r>
    <x v="6"/>
    <x v="0"/>
    <x v="1"/>
    <x v="0"/>
    <x v="0"/>
    <n v="10.48"/>
    <x v="0"/>
    <x v="0"/>
  </r>
  <r>
    <x v="6"/>
    <x v="0"/>
    <x v="2"/>
    <x v="0"/>
    <x v="0"/>
    <n v="10131.78"/>
    <x v="0"/>
    <x v="0"/>
  </r>
  <r>
    <x v="6"/>
    <x v="0"/>
    <x v="0"/>
    <x v="0"/>
    <x v="0"/>
    <n v="1713.7"/>
    <x v="0"/>
    <x v="0"/>
  </r>
  <r>
    <x v="6"/>
    <x v="1"/>
    <x v="3"/>
    <x v="0"/>
    <x v="0"/>
    <n v="287284.26"/>
    <x v="0"/>
    <x v="0"/>
  </r>
  <r>
    <x v="6"/>
    <x v="0"/>
    <x v="0"/>
    <x v="0"/>
    <x v="0"/>
    <n v="8170.1"/>
    <x v="0"/>
    <x v="0"/>
  </r>
  <r>
    <x v="6"/>
    <x v="0"/>
    <x v="0"/>
    <x v="0"/>
    <x v="0"/>
    <n v="4702.01"/>
    <x v="0"/>
    <x v="0"/>
  </r>
  <r>
    <x v="6"/>
    <x v="0"/>
    <x v="0"/>
    <x v="0"/>
    <x v="0"/>
    <n v="1519.45"/>
    <x v="0"/>
    <x v="0"/>
  </r>
  <r>
    <x v="6"/>
    <x v="0"/>
    <x v="0"/>
    <x v="0"/>
    <x v="0"/>
    <n v="3036.06"/>
    <x v="0"/>
    <x v="0"/>
  </r>
  <r>
    <x v="6"/>
    <x v="0"/>
    <x v="0"/>
    <x v="0"/>
    <x v="0"/>
    <n v="4259.68"/>
    <x v="0"/>
    <x v="0"/>
  </r>
  <r>
    <x v="6"/>
    <x v="0"/>
    <x v="0"/>
    <x v="0"/>
    <x v="0"/>
    <n v="5435.84"/>
    <x v="0"/>
    <x v="0"/>
  </r>
  <r>
    <x v="6"/>
    <x v="0"/>
    <x v="0"/>
    <x v="0"/>
    <x v="0"/>
    <n v="3232.99"/>
    <x v="0"/>
    <x v="0"/>
  </r>
  <r>
    <x v="6"/>
    <x v="0"/>
    <x v="2"/>
    <x v="0"/>
    <x v="0"/>
    <n v="10110.26"/>
    <x v="0"/>
    <x v="0"/>
  </r>
  <r>
    <x v="6"/>
    <x v="0"/>
    <x v="2"/>
    <x v="0"/>
    <x v="0"/>
    <n v="16807.66"/>
    <x v="0"/>
    <x v="0"/>
  </r>
  <r>
    <x v="6"/>
    <x v="0"/>
    <x v="0"/>
    <x v="0"/>
    <x v="0"/>
    <n v="7670.1"/>
    <x v="0"/>
    <x v="0"/>
  </r>
  <r>
    <x v="6"/>
    <x v="0"/>
    <x v="2"/>
    <x v="0"/>
    <x v="0"/>
    <n v="16913.76"/>
    <x v="0"/>
    <x v="0"/>
  </r>
  <r>
    <x v="6"/>
    <x v="0"/>
    <x v="0"/>
    <x v="0"/>
    <x v="0"/>
    <n v="2077.39"/>
    <x v="0"/>
    <x v="0"/>
  </r>
  <r>
    <x v="6"/>
    <x v="0"/>
    <x v="2"/>
    <x v="0"/>
    <x v="0"/>
    <n v="12917.05"/>
    <x v="0"/>
    <x v="0"/>
  </r>
  <r>
    <x v="6"/>
    <x v="0"/>
    <x v="2"/>
    <x v="0"/>
    <x v="0"/>
    <n v="10752.66"/>
    <x v="0"/>
    <x v="0"/>
  </r>
  <r>
    <x v="6"/>
    <x v="0"/>
    <x v="0"/>
    <x v="0"/>
    <x v="0"/>
    <n v="6069.86"/>
    <x v="0"/>
    <x v="0"/>
  </r>
  <r>
    <x v="6"/>
    <x v="4"/>
    <x v="3"/>
    <x v="0"/>
    <x v="0"/>
    <n v="141256.14"/>
    <x v="0"/>
    <x v="0"/>
  </r>
  <r>
    <x v="6"/>
    <x v="0"/>
    <x v="0"/>
    <x v="0"/>
    <x v="0"/>
    <n v="2402.8"/>
    <x v="0"/>
    <x v="0"/>
  </r>
  <r>
    <x v="6"/>
    <x v="0"/>
    <x v="0"/>
    <x v="0"/>
    <x v="0"/>
    <n v="2826.25"/>
    <x v="0"/>
    <x v="0"/>
  </r>
  <r>
    <x v="6"/>
    <x v="2"/>
    <x v="3"/>
    <x v="0"/>
    <x v="0"/>
    <n v="193646.29"/>
    <x v="0"/>
    <x v="0"/>
  </r>
  <r>
    <x v="6"/>
    <x v="0"/>
    <x v="0"/>
    <x v="0"/>
    <x v="0"/>
    <n v="6314.93"/>
    <x v="0"/>
    <x v="0"/>
  </r>
  <r>
    <x v="6"/>
    <x v="1"/>
    <x v="4"/>
    <x v="0"/>
    <x v="0"/>
    <n v="1306489.06"/>
    <x v="0"/>
    <x v="0"/>
  </r>
  <r>
    <x v="6"/>
    <x v="1"/>
    <x v="4"/>
    <x v="0"/>
    <x v="0"/>
    <n v="2576294.8"/>
    <x v="0"/>
    <x v="0"/>
  </r>
  <r>
    <x v="6"/>
    <x v="1"/>
    <x v="4"/>
    <x v="0"/>
    <x v="0"/>
    <n v="1675530.06"/>
    <x v="0"/>
    <x v="0"/>
  </r>
  <r>
    <x v="6"/>
    <x v="1"/>
    <x v="4"/>
    <x v="0"/>
    <x v="0"/>
    <n v="1757588"/>
    <x v="0"/>
    <x v="0"/>
  </r>
  <r>
    <x v="6"/>
    <x v="1"/>
    <x v="2"/>
    <x v="0"/>
    <x v="0"/>
    <n v="12717.38"/>
    <x v="0"/>
    <x v="0"/>
  </r>
  <r>
    <x v="6"/>
    <x v="1"/>
    <x v="3"/>
    <x v="0"/>
    <x v="0"/>
    <n v="553290"/>
    <x v="0"/>
    <x v="0"/>
  </r>
  <r>
    <x v="6"/>
    <x v="1"/>
    <x v="3"/>
    <x v="0"/>
    <x v="0"/>
    <n v="323892.84"/>
    <x v="0"/>
    <x v="0"/>
  </r>
  <r>
    <x v="6"/>
    <x v="1"/>
    <x v="4"/>
    <x v="0"/>
    <x v="0"/>
    <n v="1632164.9"/>
    <x v="0"/>
    <x v="0"/>
  </r>
  <r>
    <x v="6"/>
    <x v="0"/>
    <x v="0"/>
    <x v="0"/>
    <x v="0"/>
    <n v="3814.15"/>
    <x v="0"/>
    <x v="0"/>
  </r>
  <r>
    <x v="6"/>
    <x v="0"/>
    <x v="2"/>
    <x v="0"/>
    <x v="0"/>
    <n v="11887.32"/>
    <x v="0"/>
    <x v="0"/>
  </r>
  <r>
    <x v="6"/>
    <x v="1"/>
    <x v="3"/>
    <x v="0"/>
    <x v="0"/>
    <n v="334334.42"/>
    <x v="0"/>
    <x v="0"/>
  </r>
  <r>
    <x v="6"/>
    <x v="0"/>
    <x v="1"/>
    <x v="0"/>
    <x v="0"/>
    <n v="215.05"/>
    <x v="0"/>
    <x v="0"/>
  </r>
  <r>
    <x v="6"/>
    <x v="0"/>
    <x v="0"/>
    <x v="0"/>
    <x v="0"/>
    <n v="6382.19"/>
    <x v="0"/>
    <x v="0"/>
  </r>
  <r>
    <x v="6"/>
    <x v="1"/>
    <x v="3"/>
    <x v="0"/>
    <x v="0"/>
    <n v="498910.36"/>
    <x v="0"/>
    <x v="0"/>
  </r>
  <r>
    <x v="6"/>
    <x v="1"/>
    <x v="4"/>
    <x v="0"/>
    <x v="0"/>
    <n v="1322921.3"/>
    <x v="0"/>
    <x v="0"/>
  </r>
  <r>
    <x v="6"/>
    <x v="1"/>
    <x v="4"/>
    <x v="0"/>
    <x v="0"/>
    <n v="1168723.46"/>
    <x v="0"/>
    <x v="0"/>
  </r>
  <r>
    <x v="6"/>
    <x v="1"/>
    <x v="3"/>
    <x v="0"/>
    <x v="0"/>
    <n v="423316.32"/>
    <x v="0"/>
    <x v="0"/>
  </r>
  <r>
    <x v="6"/>
    <x v="1"/>
    <x v="3"/>
    <x v="0"/>
    <x v="0"/>
    <n v="428331.88"/>
    <x v="0"/>
    <x v="0"/>
  </r>
  <r>
    <x v="6"/>
    <x v="1"/>
    <x v="3"/>
    <x v="0"/>
    <x v="0"/>
    <n v="913805.64"/>
    <x v="0"/>
    <x v="0"/>
  </r>
  <r>
    <x v="6"/>
    <x v="1"/>
    <x v="3"/>
    <x v="0"/>
    <x v="0"/>
    <n v="792727.79"/>
    <x v="0"/>
    <x v="0"/>
  </r>
  <r>
    <x v="6"/>
    <x v="1"/>
    <x v="3"/>
    <x v="0"/>
    <x v="0"/>
    <n v="997659.79"/>
    <x v="0"/>
    <x v="0"/>
  </r>
  <r>
    <x v="6"/>
    <x v="1"/>
    <x v="3"/>
    <x v="0"/>
    <x v="0"/>
    <n v="152351.18"/>
    <x v="0"/>
    <x v="0"/>
  </r>
  <r>
    <x v="6"/>
    <x v="1"/>
    <x v="3"/>
    <x v="0"/>
    <x v="0"/>
    <n v="611874.69"/>
    <x v="0"/>
    <x v="0"/>
  </r>
  <r>
    <x v="6"/>
    <x v="1"/>
    <x v="3"/>
    <x v="0"/>
    <x v="0"/>
    <n v="391868.6"/>
    <x v="0"/>
    <x v="0"/>
  </r>
  <r>
    <x v="6"/>
    <x v="0"/>
    <x v="0"/>
    <x v="0"/>
    <x v="0"/>
    <n v="1376.57"/>
    <x v="0"/>
    <x v="0"/>
  </r>
  <r>
    <x v="6"/>
    <x v="0"/>
    <x v="0"/>
    <x v="0"/>
    <x v="0"/>
    <n v="1434.08"/>
    <x v="0"/>
    <x v="0"/>
  </r>
  <r>
    <x v="6"/>
    <x v="2"/>
    <x v="3"/>
    <x v="0"/>
    <x v="0"/>
    <n v="248605.85"/>
    <x v="0"/>
    <x v="0"/>
  </r>
  <r>
    <x v="6"/>
    <x v="0"/>
    <x v="0"/>
    <x v="0"/>
    <x v="0"/>
    <n v="4566.06"/>
    <x v="0"/>
    <x v="0"/>
  </r>
  <r>
    <x v="6"/>
    <x v="0"/>
    <x v="0"/>
    <x v="0"/>
    <x v="0"/>
    <n v="4734.66"/>
    <x v="0"/>
    <x v="0"/>
  </r>
  <r>
    <x v="6"/>
    <x v="0"/>
    <x v="0"/>
    <x v="0"/>
    <x v="0"/>
    <n v="6228.16"/>
    <x v="0"/>
    <x v="0"/>
  </r>
  <r>
    <x v="6"/>
    <x v="0"/>
    <x v="2"/>
    <x v="0"/>
    <x v="0"/>
    <n v="10283.64"/>
    <x v="0"/>
    <x v="0"/>
  </r>
  <r>
    <x v="6"/>
    <x v="0"/>
    <x v="0"/>
    <x v="0"/>
    <x v="0"/>
    <n v="3905.77"/>
    <x v="0"/>
    <x v="0"/>
  </r>
  <r>
    <x v="6"/>
    <x v="0"/>
    <x v="0"/>
    <x v="0"/>
    <x v="0"/>
    <n v="4079.46"/>
    <x v="0"/>
    <x v="0"/>
  </r>
  <r>
    <x v="6"/>
    <x v="2"/>
    <x v="3"/>
    <x v="0"/>
    <x v="0"/>
    <n v="138456.64"/>
    <x v="0"/>
    <x v="0"/>
  </r>
  <r>
    <x v="6"/>
    <x v="0"/>
    <x v="0"/>
    <x v="0"/>
    <x v="0"/>
    <n v="6072.7"/>
    <x v="0"/>
    <x v="0"/>
  </r>
  <r>
    <x v="6"/>
    <x v="0"/>
    <x v="2"/>
    <x v="0"/>
    <x v="0"/>
    <n v="10777.16"/>
    <x v="0"/>
    <x v="0"/>
  </r>
  <r>
    <x v="6"/>
    <x v="0"/>
    <x v="2"/>
    <x v="0"/>
    <x v="0"/>
    <n v="19591.87"/>
    <x v="0"/>
    <x v="0"/>
  </r>
  <r>
    <x v="6"/>
    <x v="1"/>
    <x v="3"/>
    <x v="0"/>
    <x v="0"/>
    <n v="518041.64"/>
    <x v="0"/>
    <x v="0"/>
  </r>
  <r>
    <x v="6"/>
    <x v="0"/>
    <x v="2"/>
    <x v="0"/>
    <x v="0"/>
    <n v="14851.49"/>
    <x v="0"/>
    <x v="0"/>
  </r>
  <r>
    <x v="6"/>
    <x v="0"/>
    <x v="2"/>
    <x v="0"/>
    <x v="0"/>
    <n v="15915.1"/>
    <x v="0"/>
    <x v="0"/>
  </r>
  <r>
    <x v="6"/>
    <x v="0"/>
    <x v="2"/>
    <x v="0"/>
    <x v="0"/>
    <n v="12887.33"/>
    <x v="0"/>
    <x v="0"/>
  </r>
  <r>
    <x v="6"/>
    <x v="0"/>
    <x v="0"/>
    <x v="0"/>
    <x v="0"/>
    <n v="3182.69"/>
    <x v="0"/>
    <x v="0"/>
  </r>
  <r>
    <x v="6"/>
    <x v="0"/>
    <x v="0"/>
    <x v="0"/>
    <x v="0"/>
    <n v="3656.12"/>
    <x v="0"/>
    <x v="0"/>
  </r>
  <r>
    <x v="6"/>
    <x v="0"/>
    <x v="0"/>
    <x v="0"/>
    <x v="0"/>
    <n v="9311.9"/>
    <x v="0"/>
    <x v="0"/>
  </r>
  <r>
    <x v="6"/>
    <x v="0"/>
    <x v="0"/>
    <x v="0"/>
    <x v="0"/>
    <n v="6205.12"/>
    <x v="0"/>
    <x v="0"/>
  </r>
  <r>
    <x v="6"/>
    <x v="0"/>
    <x v="0"/>
    <x v="0"/>
    <x v="0"/>
    <n v="3393.07"/>
    <x v="0"/>
    <x v="0"/>
  </r>
  <r>
    <x v="6"/>
    <x v="0"/>
    <x v="0"/>
    <x v="0"/>
    <x v="0"/>
    <n v="8071.86"/>
    <x v="0"/>
    <x v="0"/>
  </r>
  <r>
    <x v="6"/>
    <x v="0"/>
    <x v="0"/>
    <x v="0"/>
    <x v="0"/>
    <n v="7550.59"/>
    <x v="0"/>
    <x v="0"/>
  </r>
  <r>
    <x v="6"/>
    <x v="0"/>
    <x v="1"/>
    <x v="0"/>
    <x v="0"/>
    <n v="665.74"/>
    <x v="0"/>
    <x v="0"/>
  </r>
  <r>
    <x v="6"/>
    <x v="2"/>
    <x v="2"/>
    <x v="0"/>
    <x v="0"/>
    <n v="84096.66"/>
    <x v="0"/>
    <x v="0"/>
  </r>
  <r>
    <x v="6"/>
    <x v="2"/>
    <x v="3"/>
    <x v="0"/>
    <x v="0"/>
    <n v="200773.62"/>
    <x v="0"/>
    <x v="0"/>
  </r>
  <r>
    <x v="6"/>
    <x v="2"/>
    <x v="3"/>
    <x v="0"/>
    <x v="0"/>
    <n v="113261.2"/>
    <x v="0"/>
    <x v="0"/>
  </r>
  <r>
    <x v="6"/>
    <x v="2"/>
    <x v="2"/>
    <x v="0"/>
    <x v="0"/>
    <n v="60467.94"/>
    <x v="0"/>
    <x v="0"/>
  </r>
  <r>
    <x v="6"/>
    <x v="2"/>
    <x v="3"/>
    <x v="0"/>
    <x v="0"/>
    <n v="133988.46"/>
    <x v="0"/>
    <x v="0"/>
  </r>
  <r>
    <x v="6"/>
    <x v="2"/>
    <x v="2"/>
    <x v="0"/>
    <x v="0"/>
    <n v="75157.07"/>
    <x v="0"/>
    <x v="0"/>
  </r>
  <r>
    <x v="6"/>
    <x v="2"/>
    <x v="3"/>
    <x v="0"/>
    <x v="0"/>
    <n v="114482.31"/>
    <x v="0"/>
    <x v="0"/>
  </r>
  <r>
    <x v="6"/>
    <x v="2"/>
    <x v="3"/>
    <x v="0"/>
    <x v="0"/>
    <n v="578580.68"/>
    <x v="0"/>
    <x v="0"/>
  </r>
  <r>
    <x v="6"/>
    <x v="2"/>
    <x v="0"/>
    <x v="0"/>
    <x v="0"/>
    <n v="4036.83"/>
    <x v="0"/>
    <x v="0"/>
  </r>
  <r>
    <x v="6"/>
    <x v="2"/>
    <x v="3"/>
    <x v="0"/>
    <x v="0"/>
    <n v="109261.69"/>
    <x v="0"/>
    <x v="0"/>
  </r>
  <r>
    <x v="6"/>
    <x v="2"/>
    <x v="0"/>
    <x v="0"/>
    <x v="0"/>
    <n v="5746.92"/>
    <x v="0"/>
    <x v="0"/>
  </r>
  <r>
    <x v="6"/>
    <x v="2"/>
    <x v="3"/>
    <x v="0"/>
    <x v="0"/>
    <n v="296590.49"/>
    <x v="0"/>
    <x v="0"/>
  </r>
  <r>
    <x v="6"/>
    <x v="2"/>
    <x v="2"/>
    <x v="0"/>
    <x v="0"/>
    <n v="62068.94"/>
    <x v="0"/>
    <x v="0"/>
  </r>
  <r>
    <x v="6"/>
    <x v="2"/>
    <x v="3"/>
    <x v="0"/>
    <x v="0"/>
    <n v="132361.54"/>
    <x v="0"/>
    <x v="0"/>
  </r>
  <r>
    <x v="6"/>
    <x v="2"/>
    <x v="3"/>
    <x v="0"/>
    <x v="0"/>
    <n v="150082.76"/>
    <x v="0"/>
    <x v="0"/>
  </r>
  <r>
    <x v="6"/>
    <x v="2"/>
    <x v="3"/>
    <x v="0"/>
    <x v="0"/>
    <n v="156103.3"/>
    <x v="0"/>
    <x v="0"/>
  </r>
  <r>
    <x v="6"/>
    <x v="2"/>
    <x v="2"/>
    <x v="0"/>
    <x v="0"/>
    <n v="65619.81"/>
    <x v="0"/>
    <x v="0"/>
  </r>
  <r>
    <x v="6"/>
    <x v="2"/>
    <x v="3"/>
    <x v="0"/>
    <x v="0"/>
    <n v="123472"/>
    <x v="0"/>
    <x v="0"/>
  </r>
  <r>
    <x v="6"/>
    <x v="2"/>
    <x v="2"/>
    <x v="0"/>
    <x v="0"/>
    <n v="32123.83"/>
    <x v="0"/>
    <x v="0"/>
  </r>
  <r>
    <x v="6"/>
    <x v="2"/>
    <x v="2"/>
    <x v="0"/>
    <x v="0"/>
    <n v="37027.98"/>
    <x v="0"/>
    <x v="0"/>
  </r>
  <r>
    <x v="6"/>
    <x v="2"/>
    <x v="3"/>
    <x v="0"/>
    <x v="0"/>
    <n v="125535.62"/>
    <x v="0"/>
    <x v="0"/>
  </r>
  <r>
    <x v="6"/>
    <x v="2"/>
    <x v="3"/>
    <x v="0"/>
    <x v="0"/>
    <n v="114355.57"/>
    <x v="0"/>
    <x v="0"/>
  </r>
  <r>
    <x v="6"/>
    <x v="2"/>
    <x v="3"/>
    <x v="0"/>
    <x v="0"/>
    <n v="227897.04"/>
    <x v="0"/>
    <x v="0"/>
  </r>
  <r>
    <x v="6"/>
    <x v="2"/>
    <x v="3"/>
    <x v="0"/>
    <x v="0"/>
    <n v="303393.13"/>
    <x v="0"/>
    <x v="0"/>
  </r>
  <r>
    <x v="6"/>
    <x v="2"/>
    <x v="2"/>
    <x v="0"/>
    <x v="0"/>
    <n v="50090.81"/>
    <x v="0"/>
    <x v="0"/>
  </r>
  <r>
    <x v="6"/>
    <x v="2"/>
    <x v="3"/>
    <x v="0"/>
    <x v="0"/>
    <n v="128353.55"/>
    <x v="0"/>
    <x v="0"/>
  </r>
  <r>
    <x v="6"/>
    <x v="2"/>
    <x v="3"/>
    <x v="0"/>
    <x v="0"/>
    <n v="191484.93"/>
    <x v="0"/>
    <x v="0"/>
  </r>
  <r>
    <x v="6"/>
    <x v="2"/>
    <x v="3"/>
    <x v="0"/>
    <x v="0"/>
    <n v="183655.61"/>
    <x v="0"/>
    <x v="0"/>
  </r>
  <r>
    <x v="6"/>
    <x v="2"/>
    <x v="3"/>
    <x v="0"/>
    <x v="0"/>
    <n v="290908.18"/>
    <x v="0"/>
    <x v="0"/>
  </r>
  <r>
    <x v="6"/>
    <x v="2"/>
    <x v="3"/>
    <x v="0"/>
    <x v="0"/>
    <n v="474349.67"/>
    <x v="0"/>
    <x v="0"/>
  </r>
  <r>
    <x v="6"/>
    <x v="2"/>
    <x v="3"/>
    <x v="0"/>
    <x v="0"/>
    <n v="249361.32"/>
    <x v="0"/>
    <x v="0"/>
  </r>
  <r>
    <x v="6"/>
    <x v="2"/>
    <x v="3"/>
    <x v="0"/>
    <x v="0"/>
    <n v="140215.27"/>
    <x v="0"/>
    <x v="0"/>
  </r>
  <r>
    <x v="6"/>
    <x v="2"/>
    <x v="2"/>
    <x v="0"/>
    <x v="0"/>
    <n v="44265.45"/>
    <x v="0"/>
    <x v="0"/>
  </r>
  <r>
    <x v="6"/>
    <x v="2"/>
    <x v="3"/>
    <x v="0"/>
    <x v="0"/>
    <n v="328596.61"/>
    <x v="0"/>
    <x v="0"/>
  </r>
  <r>
    <x v="6"/>
    <x v="2"/>
    <x v="0"/>
    <x v="0"/>
    <x v="0"/>
    <n v="7203.57"/>
    <x v="0"/>
    <x v="0"/>
  </r>
  <r>
    <x v="6"/>
    <x v="2"/>
    <x v="3"/>
    <x v="0"/>
    <x v="0"/>
    <n v="139237.68"/>
    <x v="0"/>
    <x v="0"/>
  </r>
  <r>
    <x v="6"/>
    <x v="2"/>
    <x v="3"/>
    <x v="0"/>
    <x v="0"/>
    <n v="164890.89"/>
    <x v="0"/>
    <x v="0"/>
  </r>
  <r>
    <x v="6"/>
    <x v="2"/>
    <x v="2"/>
    <x v="0"/>
    <x v="0"/>
    <n v="16181.01"/>
    <x v="0"/>
    <x v="0"/>
  </r>
  <r>
    <x v="6"/>
    <x v="2"/>
    <x v="2"/>
    <x v="0"/>
    <x v="0"/>
    <n v="13305.52"/>
    <x v="0"/>
    <x v="0"/>
  </r>
  <r>
    <x v="6"/>
    <x v="2"/>
    <x v="3"/>
    <x v="0"/>
    <x v="0"/>
    <n v="132516.81"/>
    <x v="0"/>
    <x v="0"/>
  </r>
  <r>
    <x v="6"/>
    <x v="2"/>
    <x v="3"/>
    <x v="0"/>
    <x v="0"/>
    <n v="208855.95"/>
    <x v="0"/>
    <x v="0"/>
  </r>
  <r>
    <x v="6"/>
    <x v="2"/>
    <x v="3"/>
    <x v="0"/>
    <x v="0"/>
    <n v="129635.19"/>
    <x v="0"/>
    <x v="0"/>
  </r>
  <r>
    <x v="6"/>
    <x v="2"/>
    <x v="3"/>
    <x v="0"/>
    <x v="0"/>
    <n v="174535.28"/>
    <x v="0"/>
    <x v="0"/>
  </r>
  <r>
    <x v="6"/>
    <x v="2"/>
    <x v="2"/>
    <x v="0"/>
    <x v="0"/>
    <n v="14863.78"/>
    <x v="0"/>
    <x v="0"/>
  </r>
  <r>
    <x v="6"/>
    <x v="2"/>
    <x v="2"/>
    <x v="0"/>
    <x v="0"/>
    <n v="54504.93"/>
    <x v="0"/>
    <x v="0"/>
  </r>
  <r>
    <x v="6"/>
    <x v="2"/>
    <x v="2"/>
    <x v="0"/>
    <x v="0"/>
    <n v="90208.77"/>
    <x v="0"/>
    <x v="0"/>
  </r>
  <r>
    <x v="6"/>
    <x v="1"/>
    <x v="3"/>
    <x v="0"/>
    <x v="0"/>
    <n v="161885.95"/>
    <x v="0"/>
    <x v="0"/>
  </r>
  <r>
    <x v="6"/>
    <x v="0"/>
    <x v="1"/>
    <x v="0"/>
    <x v="0"/>
    <n v="777.86"/>
    <x v="0"/>
    <x v="0"/>
  </r>
  <r>
    <x v="6"/>
    <x v="0"/>
    <x v="2"/>
    <x v="0"/>
    <x v="0"/>
    <n v="11375.84"/>
    <x v="0"/>
    <x v="0"/>
  </r>
  <r>
    <x v="6"/>
    <x v="0"/>
    <x v="1"/>
    <x v="0"/>
    <x v="0"/>
    <n v="53.51"/>
    <x v="0"/>
    <x v="0"/>
  </r>
  <r>
    <x v="6"/>
    <x v="0"/>
    <x v="0"/>
    <x v="0"/>
    <x v="0"/>
    <n v="9215.58"/>
    <x v="0"/>
    <x v="0"/>
  </r>
  <r>
    <x v="6"/>
    <x v="0"/>
    <x v="0"/>
    <x v="0"/>
    <x v="0"/>
    <n v="9459.33"/>
    <x v="0"/>
    <x v="0"/>
  </r>
  <r>
    <x v="6"/>
    <x v="0"/>
    <x v="0"/>
    <x v="0"/>
    <x v="0"/>
    <n v="8894.1"/>
    <x v="0"/>
    <x v="0"/>
  </r>
  <r>
    <x v="6"/>
    <x v="0"/>
    <x v="0"/>
    <x v="0"/>
    <x v="0"/>
    <n v="1470.5"/>
    <x v="0"/>
    <x v="0"/>
  </r>
  <r>
    <x v="6"/>
    <x v="0"/>
    <x v="0"/>
    <x v="0"/>
    <x v="0"/>
    <n v="2701.58"/>
    <x v="0"/>
    <x v="0"/>
  </r>
  <r>
    <x v="6"/>
    <x v="0"/>
    <x v="0"/>
    <x v="0"/>
    <x v="0"/>
    <n v="8368.62"/>
    <x v="0"/>
    <x v="0"/>
  </r>
  <r>
    <x v="6"/>
    <x v="0"/>
    <x v="2"/>
    <x v="0"/>
    <x v="0"/>
    <n v="11493.55"/>
    <x v="0"/>
    <x v="0"/>
  </r>
  <r>
    <x v="6"/>
    <x v="0"/>
    <x v="0"/>
    <x v="0"/>
    <x v="0"/>
    <n v="9155.27"/>
    <x v="0"/>
    <x v="0"/>
  </r>
  <r>
    <x v="6"/>
    <x v="2"/>
    <x v="3"/>
    <x v="0"/>
    <x v="0"/>
    <n v="217084.88"/>
    <x v="0"/>
    <x v="0"/>
  </r>
  <r>
    <x v="6"/>
    <x v="3"/>
    <x v="0"/>
    <x v="0"/>
    <x v="0"/>
    <n v="3878.71"/>
    <x v="0"/>
    <x v="0"/>
  </r>
  <r>
    <x v="6"/>
    <x v="4"/>
    <x v="2"/>
    <x v="0"/>
    <x v="0"/>
    <n v="23557.42"/>
    <x v="0"/>
    <x v="0"/>
  </r>
  <r>
    <x v="6"/>
    <x v="4"/>
    <x v="3"/>
    <x v="0"/>
    <x v="0"/>
    <n v="240477.96"/>
    <x v="0"/>
    <x v="0"/>
  </r>
  <r>
    <x v="6"/>
    <x v="4"/>
    <x v="3"/>
    <x v="0"/>
    <x v="0"/>
    <n v="123295.69"/>
    <x v="0"/>
    <x v="0"/>
  </r>
  <r>
    <x v="6"/>
    <x v="4"/>
    <x v="2"/>
    <x v="0"/>
    <x v="0"/>
    <n v="75237.76"/>
    <x v="0"/>
    <x v="0"/>
  </r>
  <r>
    <x v="6"/>
    <x v="4"/>
    <x v="2"/>
    <x v="0"/>
    <x v="0"/>
    <n v="32728.22"/>
    <x v="0"/>
    <x v="0"/>
  </r>
  <r>
    <x v="6"/>
    <x v="4"/>
    <x v="3"/>
    <x v="0"/>
    <x v="0"/>
    <n v="611448.91"/>
    <x v="0"/>
    <x v="0"/>
  </r>
  <r>
    <x v="6"/>
    <x v="4"/>
    <x v="2"/>
    <x v="0"/>
    <x v="0"/>
    <n v="17824.23"/>
    <x v="0"/>
    <x v="0"/>
  </r>
  <r>
    <x v="6"/>
    <x v="4"/>
    <x v="3"/>
    <x v="0"/>
    <x v="0"/>
    <n v="469475.38"/>
    <x v="0"/>
    <x v="0"/>
  </r>
  <r>
    <x v="6"/>
    <x v="4"/>
    <x v="2"/>
    <x v="0"/>
    <x v="0"/>
    <n v="31609.95"/>
    <x v="0"/>
    <x v="0"/>
  </r>
  <r>
    <x v="6"/>
    <x v="0"/>
    <x v="0"/>
    <x v="0"/>
    <x v="0"/>
    <n v="8311.17"/>
    <x v="0"/>
    <x v="0"/>
  </r>
  <r>
    <x v="6"/>
    <x v="2"/>
    <x v="3"/>
    <x v="0"/>
    <x v="0"/>
    <n v="302560.42"/>
    <x v="0"/>
    <x v="0"/>
  </r>
  <r>
    <x v="6"/>
    <x v="0"/>
    <x v="2"/>
    <x v="0"/>
    <x v="0"/>
    <n v="12731.99"/>
    <x v="0"/>
    <x v="0"/>
  </r>
  <r>
    <x v="6"/>
    <x v="0"/>
    <x v="0"/>
    <x v="0"/>
    <x v="0"/>
    <n v="3807.3"/>
    <x v="0"/>
    <x v="0"/>
  </r>
  <r>
    <x v="6"/>
    <x v="1"/>
    <x v="4"/>
    <x v="0"/>
    <x v="0"/>
    <n v="1685701.48"/>
    <x v="0"/>
    <x v="0"/>
  </r>
  <r>
    <x v="6"/>
    <x v="0"/>
    <x v="0"/>
    <x v="0"/>
    <x v="0"/>
    <n v="9069.93"/>
    <x v="0"/>
    <x v="0"/>
  </r>
  <r>
    <x v="6"/>
    <x v="0"/>
    <x v="0"/>
    <x v="0"/>
    <x v="0"/>
    <n v="3115.71"/>
    <x v="0"/>
    <x v="0"/>
  </r>
  <r>
    <x v="6"/>
    <x v="0"/>
    <x v="0"/>
    <x v="0"/>
    <x v="0"/>
    <n v="8955.81"/>
    <x v="0"/>
    <x v="0"/>
  </r>
  <r>
    <x v="6"/>
    <x v="1"/>
    <x v="3"/>
    <x v="0"/>
    <x v="0"/>
    <n v="232400.67"/>
    <x v="0"/>
    <x v="0"/>
  </r>
  <r>
    <x v="6"/>
    <x v="3"/>
    <x v="0"/>
    <x v="0"/>
    <x v="0"/>
    <n v="1847.63"/>
    <x v="0"/>
    <x v="0"/>
  </r>
  <r>
    <x v="6"/>
    <x v="2"/>
    <x v="3"/>
    <x v="0"/>
    <x v="0"/>
    <n v="134024.22"/>
    <x v="0"/>
    <x v="0"/>
  </r>
  <r>
    <x v="6"/>
    <x v="2"/>
    <x v="3"/>
    <x v="0"/>
    <x v="0"/>
    <n v="226287.19"/>
    <x v="0"/>
    <x v="0"/>
  </r>
  <r>
    <x v="6"/>
    <x v="0"/>
    <x v="0"/>
    <x v="0"/>
    <x v="0"/>
    <n v="8152.06"/>
    <x v="0"/>
    <x v="0"/>
  </r>
  <r>
    <x v="6"/>
    <x v="0"/>
    <x v="0"/>
    <x v="0"/>
    <x v="0"/>
    <n v="3751.13"/>
    <x v="0"/>
    <x v="0"/>
  </r>
  <r>
    <x v="6"/>
    <x v="0"/>
    <x v="2"/>
    <x v="0"/>
    <x v="0"/>
    <n v="11085.06"/>
    <x v="0"/>
    <x v="0"/>
  </r>
  <r>
    <x v="6"/>
    <x v="2"/>
    <x v="3"/>
    <x v="0"/>
    <x v="0"/>
    <n v="259134.71"/>
    <x v="0"/>
    <x v="0"/>
  </r>
  <r>
    <x v="6"/>
    <x v="2"/>
    <x v="3"/>
    <x v="0"/>
    <x v="0"/>
    <n v="201063.22"/>
    <x v="0"/>
    <x v="0"/>
  </r>
  <r>
    <x v="6"/>
    <x v="0"/>
    <x v="0"/>
    <x v="0"/>
    <x v="0"/>
    <n v="2973.89"/>
    <x v="0"/>
    <x v="0"/>
  </r>
  <r>
    <x v="6"/>
    <x v="0"/>
    <x v="0"/>
    <x v="0"/>
    <x v="0"/>
    <n v="4947.12"/>
    <x v="0"/>
    <x v="0"/>
  </r>
  <r>
    <x v="6"/>
    <x v="0"/>
    <x v="0"/>
    <x v="0"/>
    <x v="0"/>
    <n v="4379.29"/>
    <x v="0"/>
    <x v="0"/>
  </r>
  <r>
    <x v="6"/>
    <x v="0"/>
    <x v="0"/>
    <x v="0"/>
    <x v="0"/>
    <n v="8333.67"/>
    <x v="0"/>
    <x v="0"/>
  </r>
  <r>
    <x v="6"/>
    <x v="0"/>
    <x v="2"/>
    <x v="0"/>
    <x v="0"/>
    <n v="10757.28"/>
    <x v="0"/>
    <x v="0"/>
  </r>
  <r>
    <x v="6"/>
    <x v="1"/>
    <x v="3"/>
    <x v="0"/>
    <x v="0"/>
    <n v="817307.46"/>
    <x v="0"/>
    <x v="0"/>
  </r>
  <r>
    <x v="6"/>
    <x v="0"/>
    <x v="0"/>
    <x v="0"/>
    <x v="0"/>
    <n v="4658.88"/>
    <x v="0"/>
    <x v="0"/>
  </r>
  <r>
    <x v="6"/>
    <x v="2"/>
    <x v="3"/>
    <x v="0"/>
    <x v="0"/>
    <n v="331229.81"/>
    <x v="0"/>
    <x v="0"/>
  </r>
  <r>
    <x v="6"/>
    <x v="0"/>
    <x v="0"/>
    <x v="0"/>
    <x v="0"/>
    <n v="4708.6"/>
    <x v="0"/>
    <x v="0"/>
  </r>
  <r>
    <x v="6"/>
    <x v="1"/>
    <x v="3"/>
    <x v="0"/>
    <x v="0"/>
    <n v="160710.01"/>
    <x v="0"/>
    <x v="0"/>
  </r>
  <r>
    <x v="6"/>
    <x v="0"/>
    <x v="0"/>
    <x v="0"/>
    <x v="0"/>
    <n v="7440.6"/>
    <x v="0"/>
    <x v="0"/>
  </r>
  <r>
    <x v="6"/>
    <x v="0"/>
    <x v="0"/>
    <x v="0"/>
    <x v="0"/>
    <n v="1874.02"/>
    <x v="0"/>
    <x v="0"/>
  </r>
  <r>
    <x v="6"/>
    <x v="4"/>
    <x v="3"/>
    <x v="0"/>
    <x v="0"/>
    <n v="283263.79"/>
    <x v="0"/>
    <x v="0"/>
  </r>
  <r>
    <x v="6"/>
    <x v="0"/>
    <x v="0"/>
    <x v="0"/>
    <x v="0"/>
    <n v="1952.41"/>
    <x v="0"/>
    <x v="0"/>
  </r>
  <r>
    <x v="6"/>
    <x v="0"/>
    <x v="1"/>
    <x v="0"/>
    <x v="0"/>
    <n v="2.39"/>
    <x v="0"/>
    <x v="0"/>
  </r>
  <r>
    <x v="6"/>
    <x v="0"/>
    <x v="0"/>
    <x v="0"/>
    <x v="0"/>
    <n v="6772.71"/>
    <x v="0"/>
    <x v="0"/>
  </r>
  <r>
    <x v="6"/>
    <x v="0"/>
    <x v="0"/>
    <x v="0"/>
    <x v="0"/>
    <n v="8065.93"/>
    <x v="0"/>
    <x v="0"/>
  </r>
  <r>
    <x v="6"/>
    <x v="1"/>
    <x v="3"/>
    <x v="0"/>
    <x v="0"/>
    <n v="226837.37"/>
    <x v="0"/>
    <x v="0"/>
  </r>
  <r>
    <x v="6"/>
    <x v="0"/>
    <x v="0"/>
    <x v="0"/>
    <x v="0"/>
    <n v="6183.38"/>
    <x v="0"/>
    <x v="0"/>
  </r>
  <r>
    <x v="6"/>
    <x v="0"/>
    <x v="0"/>
    <x v="0"/>
    <x v="0"/>
    <n v="2366.88"/>
    <x v="0"/>
    <x v="0"/>
  </r>
  <r>
    <x v="6"/>
    <x v="0"/>
    <x v="0"/>
    <x v="0"/>
    <x v="0"/>
    <n v="6746.37"/>
    <x v="0"/>
    <x v="0"/>
  </r>
  <r>
    <x v="6"/>
    <x v="1"/>
    <x v="3"/>
    <x v="0"/>
    <x v="0"/>
    <n v="420976.7"/>
    <x v="0"/>
    <x v="0"/>
  </r>
  <r>
    <x v="6"/>
    <x v="0"/>
    <x v="1"/>
    <x v="0"/>
    <x v="0"/>
    <n v="219.68"/>
    <x v="0"/>
    <x v="0"/>
  </r>
  <r>
    <x v="6"/>
    <x v="4"/>
    <x v="3"/>
    <x v="0"/>
    <x v="0"/>
    <n v="281620.9"/>
    <x v="0"/>
    <x v="0"/>
  </r>
  <r>
    <x v="6"/>
    <x v="0"/>
    <x v="2"/>
    <x v="0"/>
    <x v="0"/>
    <n v="10937.55"/>
    <x v="0"/>
    <x v="0"/>
  </r>
  <r>
    <x v="6"/>
    <x v="4"/>
    <x v="3"/>
    <x v="0"/>
    <x v="0"/>
    <n v="165049.65"/>
    <x v="0"/>
    <x v="0"/>
  </r>
  <r>
    <x v="6"/>
    <x v="0"/>
    <x v="0"/>
    <x v="0"/>
    <x v="0"/>
    <n v="4322.08"/>
    <x v="0"/>
    <x v="0"/>
  </r>
  <r>
    <x v="6"/>
    <x v="0"/>
    <x v="0"/>
    <x v="0"/>
    <x v="0"/>
    <n v="4672.36"/>
    <x v="0"/>
    <x v="0"/>
  </r>
  <r>
    <x v="6"/>
    <x v="4"/>
    <x v="3"/>
    <x v="0"/>
    <x v="0"/>
    <n v="130597.52"/>
    <x v="0"/>
    <x v="0"/>
  </r>
  <r>
    <x v="6"/>
    <x v="0"/>
    <x v="0"/>
    <x v="0"/>
    <x v="0"/>
    <n v="1294.8"/>
    <x v="0"/>
    <x v="0"/>
  </r>
  <r>
    <x v="6"/>
    <x v="4"/>
    <x v="3"/>
    <x v="0"/>
    <x v="0"/>
    <n v="143860.77"/>
    <x v="0"/>
    <x v="0"/>
  </r>
  <r>
    <x v="6"/>
    <x v="2"/>
    <x v="3"/>
    <x v="0"/>
    <x v="0"/>
    <n v="151940.71"/>
    <x v="0"/>
    <x v="0"/>
  </r>
  <r>
    <x v="6"/>
    <x v="0"/>
    <x v="0"/>
    <x v="0"/>
    <x v="0"/>
    <n v="8869.78"/>
    <x v="0"/>
    <x v="0"/>
  </r>
  <r>
    <x v="6"/>
    <x v="0"/>
    <x v="0"/>
    <x v="0"/>
    <x v="0"/>
    <n v="4041.77"/>
    <x v="0"/>
    <x v="0"/>
  </r>
  <r>
    <x v="6"/>
    <x v="0"/>
    <x v="0"/>
    <x v="0"/>
    <x v="0"/>
    <n v="2018.64"/>
    <x v="0"/>
    <x v="0"/>
  </r>
  <r>
    <x v="6"/>
    <x v="0"/>
    <x v="2"/>
    <x v="0"/>
    <x v="0"/>
    <n v="15933.16"/>
    <x v="0"/>
    <x v="0"/>
  </r>
  <r>
    <x v="6"/>
    <x v="1"/>
    <x v="2"/>
    <x v="0"/>
    <x v="0"/>
    <n v="77911.42"/>
    <x v="0"/>
    <x v="0"/>
  </r>
  <r>
    <x v="6"/>
    <x v="0"/>
    <x v="0"/>
    <x v="0"/>
    <x v="0"/>
    <n v="6094.01"/>
    <x v="0"/>
    <x v="0"/>
  </r>
  <r>
    <x v="6"/>
    <x v="2"/>
    <x v="2"/>
    <x v="0"/>
    <x v="0"/>
    <n v="47317.52"/>
    <x v="0"/>
    <x v="0"/>
  </r>
  <r>
    <x v="6"/>
    <x v="0"/>
    <x v="0"/>
    <x v="0"/>
    <x v="0"/>
    <n v="8249.72"/>
    <x v="0"/>
    <x v="0"/>
  </r>
  <r>
    <x v="6"/>
    <x v="2"/>
    <x v="2"/>
    <x v="0"/>
    <x v="0"/>
    <n v="69954.85"/>
    <x v="0"/>
    <x v="0"/>
  </r>
  <r>
    <x v="6"/>
    <x v="2"/>
    <x v="3"/>
    <x v="0"/>
    <x v="0"/>
    <n v="233539.88"/>
    <x v="0"/>
    <x v="0"/>
  </r>
  <r>
    <x v="6"/>
    <x v="0"/>
    <x v="0"/>
    <x v="0"/>
    <x v="0"/>
    <n v="4314.27"/>
    <x v="0"/>
    <x v="0"/>
  </r>
  <r>
    <x v="6"/>
    <x v="1"/>
    <x v="3"/>
    <x v="0"/>
    <x v="0"/>
    <n v="328026.09"/>
    <x v="0"/>
    <x v="0"/>
  </r>
  <r>
    <x v="6"/>
    <x v="0"/>
    <x v="0"/>
    <x v="0"/>
    <x v="0"/>
    <n v="5276.97"/>
    <x v="0"/>
    <x v="0"/>
  </r>
  <r>
    <x v="6"/>
    <x v="0"/>
    <x v="0"/>
    <x v="0"/>
    <x v="0"/>
    <n v="6112.72"/>
    <x v="0"/>
    <x v="0"/>
  </r>
  <r>
    <x v="6"/>
    <x v="0"/>
    <x v="0"/>
    <x v="0"/>
    <x v="0"/>
    <n v="4736.45"/>
    <x v="0"/>
    <x v="0"/>
  </r>
  <r>
    <x v="6"/>
    <x v="0"/>
    <x v="0"/>
    <x v="0"/>
    <x v="0"/>
    <n v="5111.64"/>
    <x v="0"/>
    <x v="0"/>
  </r>
  <r>
    <x v="6"/>
    <x v="0"/>
    <x v="0"/>
    <x v="0"/>
    <x v="0"/>
    <n v="6799.88"/>
    <x v="0"/>
    <x v="0"/>
  </r>
  <r>
    <x v="6"/>
    <x v="1"/>
    <x v="3"/>
    <x v="0"/>
    <x v="0"/>
    <n v="221158.99"/>
    <x v="0"/>
    <x v="0"/>
  </r>
  <r>
    <x v="6"/>
    <x v="4"/>
    <x v="2"/>
    <x v="0"/>
    <x v="0"/>
    <n v="93081.43"/>
    <x v="0"/>
    <x v="0"/>
  </r>
  <r>
    <x v="6"/>
    <x v="4"/>
    <x v="2"/>
    <x v="0"/>
    <x v="0"/>
    <n v="39336.08"/>
    <x v="0"/>
    <x v="0"/>
  </r>
  <r>
    <x v="6"/>
    <x v="4"/>
    <x v="3"/>
    <x v="0"/>
    <x v="0"/>
    <n v="201289.94"/>
    <x v="0"/>
    <x v="0"/>
  </r>
  <r>
    <x v="6"/>
    <x v="4"/>
    <x v="3"/>
    <x v="0"/>
    <x v="0"/>
    <n v="225438.37"/>
    <x v="0"/>
    <x v="0"/>
  </r>
  <r>
    <x v="6"/>
    <x v="4"/>
    <x v="3"/>
    <x v="0"/>
    <x v="0"/>
    <n v="387222.06"/>
    <x v="0"/>
    <x v="0"/>
  </r>
  <r>
    <x v="6"/>
    <x v="4"/>
    <x v="2"/>
    <x v="0"/>
    <x v="0"/>
    <n v="84367.69"/>
    <x v="0"/>
    <x v="0"/>
  </r>
  <r>
    <x v="6"/>
    <x v="4"/>
    <x v="3"/>
    <x v="0"/>
    <x v="0"/>
    <n v="521813.61"/>
    <x v="0"/>
    <x v="0"/>
  </r>
  <r>
    <x v="6"/>
    <x v="4"/>
    <x v="3"/>
    <x v="0"/>
    <x v="0"/>
    <n v="217950.88"/>
    <x v="0"/>
    <x v="0"/>
  </r>
  <r>
    <x v="6"/>
    <x v="4"/>
    <x v="3"/>
    <x v="0"/>
    <x v="0"/>
    <n v="133997.01"/>
    <x v="0"/>
    <x v="0"/>
  </r>
  <r>
    <x v="6"/>
    <x v="4"/>
    <x v="3"/>
    <x v="0"/>
    <x v="0"/>
    <n v="474739.89"/>
    <x v="0"/>
    <x v="0"/>
  </r>
  <r>
    <x v="6"/>
    <x v="4"/>
    <x v="3"/>
    <x v="0"/>
    <x v="0"/>
    <n v="332258.01"/>
    <x v="0"/>
    <x v="0"/>
  </r>
  <r>
    <x v="6"/>
    <x v="4"/>
    <x v="2"/>
    <x v="0"/>
    <x v="0"/>
    <n v="85034.63"/>
    <x v="0"/>
    <x v="0"/>
  </r>
  <r>
    <x v="6"/>
    <x v="4"/>
    <x v="2"/>
    <x v="0"/>
    <x v="0"/>
    <n v="19080.47"/>
    <x v="0"/>
    <x v="0"/>
  </r>
  <r>
    <x v="6"/>
    <x v="4"/>
    <x v="3"/>
    <x v="0"/>
    <x v="0"/>
    <n v="104427.87"/>
    <x v="0"/>
    <x v="0"/>
  </r>
  <r>
    <x v="6"/>
    <x v="4"/>
    <x v="3"/>
    <x v="0"/>
    <x v="0"/>
    <n v="183861.9"/>
    <x v="0"/>
    <x v="0"/>
  </r>
  <r>
    <x v="6"/>
    <x v="4"/>
    <x v="2"/>
    <x v="0"/>
    <x v="0"/>
    <n v="81967.65"/>
    <x v="0"/>
    <x v="0"/>
  </r>
  <r>
    <x v="6"/>
    <x v="4"/>
    <x v="3"/>
    <x v="0"/>
    <x v="0"/>
    <n v="102072.07"/>
    <x v="0"/>
    <x v="0"/>
  </r>
  <r>
    <x v="6"/>
    <x v="4"/>
    <x v="2"/>
    <x v="0"/>
    <x v="0"/>
    <n v="69185.05"/>
    <x v="0"/>
    <x v="0"/>
  </r>
  <r>
    <x v="6"/>
    <x v="4"/>
    <x v="3"/>
    <x v="0"/>
    <x v="0"/>
    <n v="316959.89"/>
    <x v="0"/>
    <x v="0"/>
  </r>
  <r>
    <x v="6"/>
    <x v="4"/>
    <x v="2"/>
    <x v="0"/>
    <x v="0"/>
    <n v="58292.75"/>
    <x v="0"/>
    <x v="0"/>
  </r>
  <r>
    <x v="6"/>
    <x v="4"/>
    <x v="2"/>
    <x v="0"/>
    <x v="0"/>
    <n v="10256.2"/>
    <x v="0"/>
    <x v="0"/>
  </r>
  <r>
    <x v="6"/>
    <x v="4"/>
    <x v="0"/>
    <x v="0"/>
    <x v="0"/>
    <n v="3433"/>
    <x v="0"/>
    <x v="0"/>
  </r>
  <r>
    <x v="6"/>
    <x v="4"/>
    <x v="2"/>
    <x v="0"/>
    <x v="0"/>
    <n v="49378.84"/>
    <x v="0"/>
    <x v="0"/>
  </r>
  <r>
    <x v="6"/>
    <x v="4"/>
    <x v="2"/>
    <x v="0"/>
    <x v="0"/>
    <n v="36773.05"/>
    <x v="0"/>
    <x v="0"/>
  </r>
  <r>
    <x v="6"/>
    <x v="4"/>
    <x v="2"/>
    <x v="0"/>
    <x v="0"/>
    <n v="17488.73"/>
    <x v="0"/>
    <x v="0"/>
  </r>
  <r>
    <x v="6"/>
    <x v="4"/>
    <x v="3"/>
    <x v="0"/>
    <x v="0"/>
    <n v="217136.62"/>
    <x v="0"/>
    <x v="0"/>
  </r>
  <r>
    <x v="6"/>
    <x v="4"/>
    <x v="3"/>
    <x v="0"/>
    <x v="0"/>
    <n v="203443.12"/>
    <x v="0"/>
    <x v="0"/>
  </r>
  <r>
    <x v="6"/>
    <x v="4"/>
    <x v="3"/>
    <x v="0"/>
    <x v="0"/>
    <n v="497735.31"/>
    <x v="0"/>
    <x v="0"/>
  </r>
  <r>
    <x v="6"/>
    <x v="4"/>
    <x v="3"/>
    <x v="0"/>
    <x v="0"/>
    <n v="105342.59"/>
    <x v="0"/>
    <x v="0"/>
  </r>
  <r>
    <x v="6"/>
    <x v="4"/>
    <x v="3"/>
    <x v="0"/>
    <x v="0"/>
    <n v="166315.21"/>
    <x v="0"/>
    <x v="0"/>
  </r>
  <r>
    <x v="6"/>
    <x v="4"/>
    <x v="3"/>
    <x v="0"/>
    <x v="0"/>
    <n v="443285.86"/>
    <x v="0"/>
    <x v="0"/>
  </r>
  <r>
    <x v="6"/>
    <x v="4"/>
    <x v="3"/>
    <x v="0"/>
    <x v="0"/>
    <n v="107581.14"/>
    <x v="0"/>
    <x v="0"/>
  </r>
  <r>
    <x v="6"/>
    <x v="4"/>
    <x v="2"/>
    <x v="0"/>
    <x v="0"/>
    <n v="24252.98"/>
    <x v="0"/>
    <x v="0"/>
  </r>
  <r>
    <x v="6"/>
    <x v="4"/>
    <x v="3"/>
    <x v="0"/>
    <x v="0"/>
    <n v="180389.34"/>
    <x v="0"/>
    <x v="0"/>
  </r>
  <r>
    <x v="6"/>
    <x v="4"/>
    <x v="2"/>
    <x v="0"/>
    <x v="0"/>
    <n v="27863.15"/>
    <x v="0"/>
    <x v="0"/>
  </r>
  <r>
    <x v="6"/>
    <x v="4"/>
    <x v="3"/>
    <x v="0"/>
    <x v="0"/>
    <n v="101582.06"/>
    <x v="0"/>
    <x v="0"/>
  </r>
  <r>
    <x v="6"/>
    <x v="4"/>
    <x v="3"/>
    <x v="0"/>
    <x v="0"/>
    <n v="223662.13"/>
    <x v="0"/>
    <x v="0"/>
  </r>
  <r>
    <x v="6"/>
    <x v="4"/>
    <x v="3"/>
    <x v="0"/>
    <x v="0"/>
    <n v="119473.2"/>
    <x v="0"/>
    <x v="0"/>
  </r>
  <r>
    <x v="6"/>
    <x v="4"/>
    <x v="2"/>
    <x v="0"/>
    <x v="0"/>
    <n v="57911.56"/>
    <x v="0"/>
    <x v="0"/>
  </r>
  <r>
    <x v="6"/>
    <x v="4"/>
    <x v="2"/>
    <x v="0"/>
    <x v="0"/>
    <n v="22459.28"/>
    <x v="0"/>
    <x v="0"/>
  </r>
  <r>
    <x v="6"/>
    <x v="4"/>
    <x v="2"/>
    <x v="0"/>
    <x v="0"/>
    <n v="32185.19"/>
    <x v="0"/>
    <x v="0"/>
  </r>
  <r>
    <x v="6"/>
    <x v="4"/>
    <x v="3"/>
    <x v="0"/>
    <x v="0"/>
    <n v="222204.07"/>
    <x v="0"/>
    <x v="0"/>
  </r>
  <r>
    <x v="6"/>
    <x v="4"/>
    <x v="3"/>
    <x v="0"/>
    <x v="0"/>
    <n v="120410.76"/>
    <x v="0"/>
    <x v="0"/>
  </r>
  <r>
    <x v="6"/>
    <x v="4"/>
    <x v="3"/>
    <x v="0"/>
    <x v="0"/>
    <n v="188878.92"/>
    <x v="0"/>
    <x v="0"/>
  </r>
  <r>
    <x v="6"/>
    <x v="4"/>
    <x v="2"/>
    <x v="0"/>
    <x v="0"/>
    <n v="16774.9"/>
    <x v="0"/>
    <x v="0"/>
  </r>
  <r>
    <x v="6"/>
    <x v="4"/>
    <x v="3"/>
    <x v="0"/>
    <x v="0"/>
    <n v="194628.84"/>
    <x v="0"/>
    <x v="0"/>
  </r>
  <r>
    <x v="6"/>
    <x v="4"/>
    <x v="2"/>
    <x v="0"/>
    <x v="0"/>
    <n v="32564.14"/>
    <x v="0"/>
    <x v="0"/>
  </r>
  <r>
    <x v="6"/>
    <x v="4"/>
    <x v="2"/>
    <x v="0"/>
    <x v="0"/>
    <n v="29898.01"/>
    <x v="0"/>
    <x v="0"/>
  </r>
  <r>
    <x v="6"/>
    <x v="4"/>
    <x v="3"/>
    <x v="0"/>
    <x v="0"/>
    <n v="146850.79"/>
    <x v="0"/>
    <x v="0"/>
  </r>
  <r>
    <x v="6"/>
    <x v="4"/>
    <x v="0"/>
    <x v="0"/>
    <x v="0"/>
    <n v="8893.16"/>
    <x v="0"/>
    <x v="0"/>
  </r>
  <r>
    <x v="6"/>
    <x v="4"/>
    <x v="3"/>
    <x v="0"/>
    <x v="0"/>
    <n v="170422.95"/>
    <x v="0"/>
    <x v="0"/>
  </r>
  <r>
    <x v="6"/>
    <x v="4"/>
    <x v="3"/>
    <x v="0"/>
    <x v="0"/>
    <n v="147849.9"/>
    <x v="0"/>
    <x v="0"/>
  </r>
  <r>
    <x v="6"/>
    <x v="4"/>
    <x v="2"/>
    <x v="0"/>
    <x v="0"/>
    <n v="11587.98"/>
    <x v="0"/>
    <x v="0"/>
  </r>
  <r>
    <x v="6"/>
    <x v="4"/>
    <x v="3"/>
    <x v="0"/>
    <x v="0"/>
    <n v="145667.12"/>
    <x v="0"/>
    <x v="0"/>
  </r>
  <r>
    <x v="6"/>
    <x v="4"/>
    <x v="0"/>
    <x v="0"/>
    <x v="0"/>
    <n v="6970.58"/>
    <x v="0"/>
    <x v="0"/>
  </r>
  <r>
    <x v="6"/>
    <x v="4"/>
    <x v="2"/>
    <x v="0"/>
    <x v="0"/>
    <n v="89533.09"/>
    <x v="0"/>
    <x v="0"/>
  </r>
  <r>
    <x v="6"/>
    <x v="4"/>
    <x v="2"/>
    <x v="0"/>
    <x v="0"/>
    <n v="86072.98"/>
    <x v="0"/>
    <x v="0"/>
  </r>
  <r>
    <x v="6"/>
    <x v="4"/>
    <x v="3"/>
    <x v="0"/>
    <x v="0"/>
    <n v="265361.44"/>
    <x v="0"/>
    <x v="0"/>
  </r>
  <r>
    <x v="6"/>
    <x v="4"/>
    <x v="3"/>
    <x v="0"/>
    <x v="0"/>
    <n v="183992.49"/>
    <x v="0"/>
    <x v="0"/>
  </r>
  <r>
    <x v="6"/>
    <x v="4"/>
    <x v="3"/>
    <x v="0"/>
    <x v="0"/>
    <n v="297162.61"/>
    <x v="0"/>
    <x v="0"/>
  </r>
  <r>
    <x v="6"/>
    <x v="4"/>
    <x v="3"/>
    <x v="0"/>
    <x v="0"/>
    <n v="263566.2"/>
    <x v="0"/>
    <x v="0"/>
  </r>
  <r>
    <x v="6"/>
    <x v="4"/>
    <x v="2"/>
    <x v="0"/>
    <x v="0"/>
    <n v="65600.8"/>
    <x v="0"/>
    <x v="0"/>
  </r>
  <r>
    <x v="6"/>
    <x v="4"/>
    <x v="3"/>
    <x v="0"/>
    <x v="0"/>
    <n v="230777.73"/>
    <x v="0"/>
    <x v="0"/>
  </r>
  <r>
    <x v="6"/>
    <x v="4"/>
    <x v="2"/>
    <x v="0"/>
    <x v="0"/>
    <n v="79074.37"/>
    <x v="0"/>
    <x v="0"/>
  </r>
  <r>
    <x v="6"/>
    <x v="4"/>
    <x v="3"/>
    <x v="0"/>
    <x v="0"/>
    <n v="476710.9"/>
    <x v="0"/>
    <x v="0"/>
  </r>
  <r>
    <x v="6"/>
    <x v="4"/>
    <x v="3"/>
    <x v="0"/>
    <x v="0"/>
    <n v="269362.19"/>
    <x v="0"/>
    <x v="0"/>
  </r>
  <r>
    <x v="6"/>
    <x v="4"/>
    <x v="3"/>
    <x v="0"/>
    <x v="0"/>
    <n v="231808.43"/>
    <x v="0"/>
    <x v="0"/>
  </r>
  <r>
    <x v="6"/>
    <x v="0"/>
    <x v="0"/>
    <x v="0"/>
    <x v="0"/>
    <n v="7629.75"/>
    <x v="0"/>
    <x v="0"/>
  </r>
  <r>
    <x v="6"/>
    <x v="0"/>
    <x v="0"/>
    <x v="0"/>
    <x v="0"/>
    <n v="3431.74"/>
    <x v="0"/>
    <x v="0"/>
  </r>
  <r>
    <x v="6"/>
    <x v="3"/>
    <x v="0"/>
    <x v="0"/>
    <x v="0"/>
    <n v="2579.01"/>
    <x v="0"/>
    <x v="0"/>
  </r>
  <r>
    <x v="6"/>
    <x v="0"/>
    <x v="2"/>
    <x v="0"/>
    <x v="0"/>
    <n v="12351.68"/>
    <x v="0"/>
    <x v="0"/>
  </r>
  <r>
    <x v="6"/>
    <x v="1"/>
    <x v="3"/>
    <x v="0"/>
    <x v="0"/>
    <n v="453605.59"/>
    <x v="0"/>
    <x v="0"/>
  </r>
  <r>
    <x v="6"/>
    <x v="1"/>
    <x v="3"/>
    <x v="0"/>
    <x v="0"/>
    <n v="338961.93"/>
    <x v="0"/>
    <x v="0"/>
  </r>
  <r>
    <x v="6"/>
    <x v="0"/>
    <x v="0"/>
    <x v="0"/>
    <x v="0"/>
    <n v="3580.42"/>
    <x v="0"/>
    <x v="0"/>
  </r>
  <r>
    <x v="6"/>
    <x v="0"/>
    <x v="2"/>
    <x v="0"/>
    <x v="0"/>
    <n v="13071.27"/>
    <x v="0"/>
    <x v="0"/>
  </r>
  <r>
    <x v="6"/>
    <x v="2"/>
    <x v="3"/>
    <x v="0"/>
    <x v="0"/>
    <n v="383568.25"/>
    <x v="0"/>
    <x v="0"/>
  </r>
  <r>
    <x v="6"/>
    <x v="0"/>
    <x v="0"/>
    <x v="0"/>
    <x v="0"/>
    <n v="9763.77"/>
    <x v="0"/>
    <x v="0"/>
  </r>
  <r>
    <x v="6"/>
    <x v="3"/>
    <x v="0"/>
    <x v="0"/>
    <x v="0"/>
    <n v="1476.27"/>
    <x v="0"/>
    <x v="0"/>
  </r>
  <r>
    <x v="6"/>
    <x v="0"/>
    <x v="0"/>
    <x v="0"/>
    <x v="0"/>
    <n v="4230.69"/>
    <x v="0"/>
    <x v="0"/>
  </r>
  <r>
    <x v="6"/>
    <x v="1"/>
    <x v="3"/>
    <x v="0"/>
    <x v="0"/>
    <n v="295474.84"/>
    <x v="0"/>
    <x v="0"/>
  </r>
  <r>
    <x v="6"/>
    <x v="0"/>
    <x v="2"/>
    <x v="0"/>
    <x v="0"/>
    <n v="10827.23"/>
    <x v="0"/>
    <x v="0"/>
  </r>
  <r>
    <x v="6"/>
    <x v="0"/>
    <x v="2"/>
    <x v="0"/>
    <x v="0"/>
    <n v="21230.26"/>
    <x v="0"/>
    <x v="0"/>
  </r>
  <r>
    <x v="6"/>
    <x v="1"/>
    <x v="2"/>
    <x v="0"/>
    <x v="0"/>
    <n v="27755.35"/>
    <x v="0"/>
    <x v="0"/>
  </r>
  <r>
    <x v="6"/>
    <x v="1"/>
    <x v="4"/>
    <x v="0"/>
    <x v="0"/>
    <n v="1223547.78"/>
    <x v="0"/>
    <x v="0"/>
  </r>
  <r>
    <x v="6"/>
    <x v="0"/>
    <x v="1"/>
    <x v="0"/>
    <x v="0"/>
    <n v="551.48"/>
    <x v="0"/>
    <x v="0"/>
  </r>
  <r>
    <x v="6"/>
    <x v="0"/>
    <x v="0"/>
    <x v="0"/>
    <x v="0"/>
    <n v="1146.54"/>
    <x v="0"/>
    <x v="0"/>
  </r>
  <r>
    <x v="6"/>
    <x v="2"/>
    <x v="2"/>
    <x v="0"/>
    <x v="0"/>
    <n v="77565.79"/>
    <x v="0"/>
    <x v="0"/>
  </r>
  <r>
    <x v="6"/>
    <x v="0"/>
    <x v="0"/>
    <x v="0"/>
    <x v="0"/>
    <n v="8287.96"/>
    <x v="0"/>
    <x v="0"/>
  </r>
  <r>
    <x v="6"/>
    <x v="0"/>
    <x v="0"/>
    <x v="0"/>
    <x v="0"/>
    <n v="8502.04"/>
    <x v="0"/>
    <x v="0"/>
  </r>
  <r>
    <x v="6"/>
    <x v="0"/>
    <x v="2"/>
    <x v="0"/>
    <x v="0"/>
    <n v="11496.9"/>
    <x v="0"/>
    <x v="0"/>
  </r>
  <r>
    <x v="6"/>
    <x v="0"/>
    <x v="0"/>
    <x v="0"/>
    <x v="0"/>
    <n v="7781.9"/>
    <x v="0"/>
    <x v="0"/>
  </r>
  <r>
    <x v="6"/>
    <x v="0"/>
    <x v="2"/>
    <x v="0"/>
    <x v="0"/>
    <n v="15883.71"/>
    <x v="0"/>
    <x v="0"/>
  </r>
  <r>
    <x v="6"/>
    <x v="0"/>
    <x v="2"/>
    <x v="0"/>
    <x v="0"/>
    <n v="22903.8"/>
    <x v="0"/>
    <x v="0"/>
  </r>
  <r>
    <x v="6"/>
    <x v="0"/>
    <x v="2"/>
    <x v="0"/>
    <x v="0"/>
    <n v="22295.62"/>
    <x v="0"/>
    <x v="0"/>
  </r>
  <r>
    <x v="6"/>
    <x v="0"/>
    <x v="2"/>
    <x v="0"/>
    <x v="0"/>
    <n v="68824.38"/>
    <x v="0"/>
    <x v="0"/>
  </r>
  <r>
    <x v="6"/>
    <x v="0"/>
    <x v="2"/>
    <x v="0"/>
    <x v="0"/>
    <n v="13303.29"/>
    <x v="0"/>
    <x v="0"/>
  </r>
  <r>
    <x v="6"/>
    <x v="0"/>
    <x v="2"/>
    <x v="0"/>
    <x v="0"/>
    <n v="10137.76"/>
    <x v="0"/>
    <x v="0"/>
  </r>
  <r>
    <x v="6"/>
    <x v="0"/>
    <x v="2"/>
    <x v="0"/>
    <x v="0"/>
    <n v="10573.69"/>
    <x v="0"/>
    <x v="0"/>
  </r>
  <r>
    <x v="6"/>
    <x v="0"/>
    <x v="0"/>
    <x v="0"/>
    <x v="0"/>
    <n v="6770.2"/>
    <x v="0"/>
    <x v="0"/>
  </r>
  <r>
    <x v="6"/>
    <x v="0"/>
    <x v="2"/>
    <x v="0"/>
    <x v="0"/>
    <n v="17014.53"/>
    <x v="0"/>
    <x v="0"/>
  </r>
  <r>
    <x v="6"/>
    <x v="0"/>
    <x v="2"/>
    <x v="0"/>
    <x v="0"/>
    <n v="14260.56"/>
    <x v="0"/>
    <x v="0"/>
  </r>
  <r>
    <x v="6"/>
    <x v="0"/>
    <x v="0"/>
    <x v="0"/>
    <x v="0"/>
    <n v="5189.73"/>
    <x v="0"/>
    <x v="0"/>
  </r>
  <r>
    <x v="6"/>
    <x v="0"/>
    <x v="0"/>
    <x v="0"/>
    <x v="0"/>
    <n v="6913.23"/>
    <x v="0"/>
    <x v="0"/>
  </r>
  <r>
    <x v="6"/>
    <x v="0"/>
    <x v="0"/>
    <x v="0"/>
    <x v="0"/>
    <n v="3846.9"/>
    <x v="0"/>
    <x v="0"/>
  </r>
  <r>
    <x v="6"/>
    <x v="0"/>
    <x v="0"/>
    <x v="0"/>
    <x v="0"/>
    <n v="4375.67"/>
    <x v="0"/>
    <x v="0"/>
  </r>
  <r>
    <x v="6"/>
    <x v="0"/>
    <x v="2"/>
    <x v="0"/>
    <x v="0"/>
    <n v="19050.04"/>
    <x v="0"/>
    <x v="0"/>
  </r>
  <r>
    <x v="6"/>
    <x v="0"/>
    <x v="0"/>
    <x v="0"/>
    <x v="0"/>
    <n v="1996.74"/>
    <x v="0"/>
    <x v="0"/>
  </r>
  <r>
    <x v="6"/>
    <x v="0"/>
    <x v="0"/>
    <x v="0"/>
    <x v="0"/>
    <n v="1838.56"/>
    <x v="0"/>
    <x v="0"/>
  </r>
  <r>
    <x v="6"/>
    <x v="0"/>
    <x v="2"/>
    <x v="0"/>
    <x v="0"/>
    <n v="12579.53"/>
    <x v="0"/>
    <x v="0"/>
  </r>
  <r>
    <x v="6"/>
    <x v="0"/>
    <x v="0"/>
    <x v="0"/>
    <x v="0"/>
    <n v="6188.09"/>
    <x v="0"/>
    <x v="0"/>
  </r>
  <r>
    <x v="6"/>
    <x v="0"/>
    <x v="0"/>
    <x v="0"/>
    <x v="0"/>
    <n v="7016.75"/>
    <x v="0"/>
    <x v="0"/>
  </r>
  <r>
    <x v="6"/>
    <x v="2"/>
    <x v="3"/>
    <x v="0"/>
    <x v="0"/>
    <n v="134103.27"/>
    <x v="0"/>
    <x v="0"/>
  </r>
  <r>
    <x v="6"/>
    <x v="2"/>
    <x v="2"/>
    <x v="0"/>
    <x v="0"/>
    <n v="65593.85"/>
    <x v="0"/>
    <x v="0"/>
  </r>
  <r>
    <x v="6"/>
    <x v="2"/>
    <x v="2"/>
    <x v="0"/>
    <x v="0"/>
    <n v="22346.99"/>
    <x v="0"/>
    <x v="0"/>
  </r>
  <r>
    <x v="6"/>
    <x v="2"/>
    <x v="3"/>
    <x v="0"/>
    <x v="0"/>
    <n v="397407.29"/>
    <x v="0"/>
    <x v="0"/>
  </r>
  <r>
    <x v="6"/>
    <x v="2"/>
    <x v="2"/>
    <x v="0"/>
    <x v="0"/>
    <n v="56543.95"/>
    <x v="0"/>
    <x v="0"/>
  </r>
  <r>
    <x v="6"/>
    <x v="2"/>
    <x v="3"/>
    <x v="0"/>
    <x v="0"/>
    <n v="498747.45"/>
    <x v="0"/>
    <x v="0"/>
  </r>
  <r>
    <x v="6"/>
    <x v="2"/>
    <x v="3"/>
    <x v="0"/>
    <x v="0"/>
    <n v="139484.1"/>
    <x v="0"/>
    <x v="0"/>
  </r>
  <r>
    <x v="6"/>
    <x v="2"/>
    <x v="3"/>
    <x v="0"/>
    <x v="0"/>
    <n v="256226.2"/>
    <x v="0"/>
    <x v="0"/>
  </r>
  <r>
    <x v="6"/>
    <x v="0"/>
    <x v="2"/>
    <x v="0"/>
    <x v="0"/>
    <n v="11204.04"/>
    <x v="0"/>
    <x v="0"/>
  </r>
  <r>
    <x v="6"/>
    <x v="0"/>
    <x v="0"/>
    <x v="0"/>
    <x v="0"/>
    <n v="2490.82"/>
    <x v="0"/>
    <x v="0"/>
  </r>
  <r>
    <x v="6"/>
    <x v="0"/>
    <x v="0"/>
    <x v="0"/>
    <x v="0"/>
    <n v="5893.04"/>
    <x v="0"/>
    <x v="0"/>
  </r>
  <r>
    <x v="6"/>
    <x v="0"/>
    <x v="1"/>
    <x v="0"/>
    <x v="0"/>
    <n v="689.28"/>
    <x v="0"/>
    <x v="0"/>
  </r>
  <r>
    <x v="6"/>
    <x v="0"/>
    <x v="0"/>
    <x v="0"/>
    <x v="0"/>
    <n v="6855.46"/>
    <x v="0"/>
    <x v="0"/>
  </r>
  <r>
    <x v="6"/>
    <x v="4"/>
    <x v="3"/>
    <x v="0"/>
    <x v="0"/>
    <n v="215497.06"/>
    <x v="0"/>
    <x v="0"/>
  </r>
  <r>
    <x v="6"/>
    <x v="4"/>
    <x v="3"/>
    <x v="0"/>
    <x v="0"/>
    <n v="189451.99"/>
    <x v="0"/>
    <x v="0"/>
  </r>
  <r>
    <x v="6"/>
    <x v="4"/>
    <x v="3"/>
    <x v="0"/>
    <x v="0"/>
    <n v="263867.55"/>
    <x v="0"/>
    <x v="0"/>
  </r>
  <r>
    <x v="6"/>
    <x v="4"/>
    <x v="3"/>
    <x v="0"/>
    <x v="0"/>
    <n v="144948.36"/>
    <x v="0"/>
    <x v="0"/>
  </r>
  <r>
    <x v="6"/>
    <x v="4"/>
    <x v="3"/>
    <x v="0"/>
    <x v="0"/>
    <n v="272314.63"/>
    <x v="0"/>
    <x v="0"/>
  </r>
  <r>
    <x v="6"/>
    <x v="4"/>
    <x v="3"/>
    <x v="0"/>
    <x v="0"/>
    <n v="336763.21"/>
    <x v="0"/>
    <x v="0"/>
  </r>
  <r>
    <x v="6"/>
    <x v="4"/>
    <x v="3"/>
    <x v="0"/>
    <x v="0"/>
    <n v="164110.03"/>
    <x v="0"/>
    <x v="0"/>
  </r>
  <r>
    <x v="6"/>
    <x v="4"/>
    <x v="3"/>
    <x v="0"/>
    <x v="0"/>
    <n v="442134.08"/>
    <x v="0"/>
    <x v="0"/>
  </r>
  <r>
    <x v="6"/>
    <x v="4"/>
    <x v="3"/>
    <x v="0"/>
    <x v="0"/>
    <n v="116495.63"/>
    <x v="0"/>
    <x v="0"/>
  </r>
  <r>
    <x v="6"/>
    <x v="4"/>
    <x v="3"/>
    <x v="0"/>
    <x v="0"/>
    <n v="106151.41"/>
    <x v="0"/>
    <x v="0"/>
  </r>
  <r>
    <x v="6"/>
    <x v="4"/>
    <x v="2"/>
    <x v="0"/>
    <x v="0"/>
    <n v="83459"/>
    <x v="0"/>
    <x v="0"/>
  </r>
  <r>
    <x v="6"/>
    <x v="4"/>
    <x v="3"/>
    <x v="0"/>
    <x v="0"/>
    <n v="136875.33"/>
    <x v="0"/>
    <x v="0"/>
  </r>
  <r>
    <x v="6"/>
    <x v="4"/>
    <x v="3"/>
    <x v="0"/>
    <x v="0"/>
    <n v="138927.96"/>
    <x v="0"/>
    <x v="0"/>
  </r>
  <r>
    <x v="6"/>
    <x v="4"/>
    <x v="3"/>
    <x v="0"/>
    <x v="0"/>
    <n v="309741.86"/>
    <x v="0"/>
    <x v="0"/>
  </r>
  <r>
    <x v="6"/>
    <x v="4"/>
    <x v="2"/>
    <x v="0"/>
    <x v="0"/>
    <n v="88141.39"/>
    <x v="0"/>
    <x v="0"/>
  </r>
  <r>
    <x v="6"/>
    <x v="4"/>
    <x v="3"/>
    <x v="0"/>
    <x v="0"/>
    <n v="210085.11"/>
    <x v="0"/>
    <x v="0"/>
  </r>
  <r>
    <x v="6"/>
    <x v="4"/>
    <x v="3"/>
    <x v="0"/>
    <x v="0"/>
    <n v="370786.7"/>
    <x v="0"/>
    <x v="0"/>
  </r>
  <r>
    <x v="6"/>
    <x v="4"/>
    <x v="3"/>
    <x v="0"/>
    <x v="0"/>
    <n v="710443.79"/>
    <x v="0"/>
    <x v="0"/>
  </r>
  <r>
    <x v="6"/>
    <x v="4"/>
    <x v="2"/>
    <x v="0"/>
    <x v="0"/>
    <n v="29091.31"/>
    <x v="0"/>
    <x v="0"/>
  </r>
  <r>
    <x v="6"/>
    <x v="4"/>
    <x v="2"/>
    <x v="0"/>
    <x v="0"/>
    <n v="40685.1"/>
    <x v="0"/>
    <x v="0"/>
  </r>
  <r>
    <x v="6"/>
    <x v="4"/>
    <x v="2"/>
    <x v="0"/>
    <x v="0"/>
    <n v="77220.41"/>
    <x v="0"/>
    <x v="0"/>
  </r>
  <r>
    <x v="6"/>
    <x v="4"/>
    <x v="2"/>
    <x v="0"/>
    <x v="0"/>
    <n v="67833.45"/>
    <x v="0"/>
    <x v="0"/>
  </r>
  <r>
    <x v="6"/>
    <x v="4"/>
    <x v="3"/>
    <x v="0"/>
    <x v="0"/>
    <n v="156704.19"/>
    <x v="0"/>
    <x v="0"/>
  </r>
  <r>
    <x v="6"/>
    <x v="4"/>
    <x v="3"/>
    <x v="0"/>
    <x v="0"/>
    <n v="180187.9"/>
    <x v="0"/>
    <x v="0"/>
  </r>
  <r>
    <x v="6"/>
    <x v="4"/>
    <x v="3"/>
    <x v="0"/>
    <x v="0"/>
    <n v="185715.77"/>
    <x v="0"/>
    <x v="0"/>
  </r>
  <r>
    <x v="6"/>
    <x v="4"/>
    <x v="3"/>
    <x v="0"/>
    <x v="0"/>
    <n v="416366.53"/>
    <x v="0"/>
    <x v="0"/>
  </r>
  <r>
    <x v="6"/>
    <x v="4"/>
    <x v="3"/>
    <x v="0"/>
    <x v="0"/>
    <n v="257656.05"/>
    <x v="0"/>
    <x v="0"/>
  </r>
  <r>
    <x v="6"/>
    <x v="4"/>
    <x v="3"/>
    <x v="0"/>
    <x v="0"/>
    <n v="314770.11"/>
    <x v="0"/>
    <x v="0"/>
  </r>
  <r>
    <x v="6"/>
    <x v="4"/>
    <x v="3"/>
    <x v="0"/>
    <x v="0"/>
    <n v="444482.74"/>
    <x v="0"/>
    <x v="0"/>
  </r>
  <r>
    <x v="6"/>
    <x v="4"/>
    <x v="3"/>
    <x v="0"/>
    <x v="0"/>
    <n v="207880.29"/>
    <x v="0"/>
    <x v="0"/>
  </r>
  <r>
    <x v="6"/>
    <x v="4"/>
    <x v="3"/>
    <x v="0"/>
    <x v="0"/>
    <n v="523736.96"/>
    <x v="0"/>
    <x v="0"/>
  </r>
  <r>
    <x v="6"/>
    <x v="4"/>
    <x v="2"/>
    <x v="0"/>
    <x v="0"/>
    <n v="49565.82"/>
    <x v="0"/>
    <x v="0"/>
  </r>
  <r>
    <x v="6"/>
    <x v="4"/>
    <x v="3"/>
    <x v="0"/>
    <x v="0"/>
    <n v="272493.95"/>
    <x v="0"/>
    <x v="0"/>
  </r>
  <r>
    <x v="6"/>
    <x v="4"/>
    <x v="2"/>
    <x v="0"/>
    <x v="0"/>
    <n v="45144.38"/>
    <x v="0"/>
    <x v="0"/>
  </r>
  <r>
    <x v="6"/>
    <x v="4"/>
    <x v="3"/>
    <x v="0"/>
    <x v="0"/>
    <n v="251239.53"/>
    <x v="0"/>
    <x v="0"/>
  </r>
  <r>
    <x v="6"/>
    <x v="4"/>
    <x v="3"/>
    <x v="0"/>
    <x v="0"/>
    <n v="123681.62"/>
    <x v="0"/>
    <x v="0"/>
  </r>
  <r>
    <x v="6"/>
    <x v="4"/>
    <x v="2"/>
    <x v="0"/>
    <x v="0"/>
    <n v="47412.4"/>
    <x v="0"/>
    <x v="0"/>
  </r>
  <r>
    <x v="6"/>
    <x v="4"/>
    <x v="2"/>
    <x v="0"/>
    <x v="0"/>
    <n v="22910.06"/>
    <x v="0"/>
    <x v="0"/>
  </r>
  <r>
    <x v="6"/>
    <x v="0"/>
    <x v="0"/>
    <x v="0"/>
    <x v="0"/>
    <n v="9099.13"/>
    <x v="0"/>
    <x v="0"/>
  </r>
  <r>
    <x v="6"/>
    <x v="0"/>
    <x v="0"/>
    <x v="0"/>
    <x v="0"/>
    <n v="2344.84"/>
    <x v="0"/>
    <x v="0"/>
  </r>
  <r>
    <x v="6"/>
    <x v="0"/>
    <x v="0"/>
    <x v="0"/>
    <x v="0"/>
    <n v="4913.94"/>
    <x v="0"/>
    <x v="0"/>
  </r>
  <r>
    <x v="6"/>
    <x v="0"/>
    <x v="0"/>
    <x v="0"/>
    <x v="0"/>
    <n v="6059.38"/>
    <x v="0"/>
    <x v="0"/>
  </r>
  <r>
    <x v="6"/>
    <x v="0"/>
    <x v="1"/>
    <x v="0"/>
    <x v="0"/>
    <n v="557.16"/>
    <x v="0"/>
    <x v="0"/>
  </r>
  <r>
    <x v="6"/>
    <x v="0"/>
    <x v="0"/>
    <x v="0"/>
    <x v="0"/>
    <n v="4335.19"/>
    <x v="0"/>
    <x v="0"/>
  </r>
  <r>
    <x v="6"/>
    <x v="0"/>
    <x v="0"/>
    <x v="0"/>
    <x v="0"/>
    <n v="5594.04"/>
    <x v="0"/>
    <x v="0"/>
  </r>
  <r>
    <x v="6"/>
    <x v="2"/>
    <x v="3"/>
    <x v="0"/>
    <x v="0"/>
    <n v="101717.84"/>
    <x v="0"/>
    <x v="0"/>
  </r>
  <r>
    <x v="6"/>
    <x v="1"/>
    <x v="3"/>
    <x v="0"/>
    <x v="0"/>
    <n v="874562.86"/>
    <x v="0"/>
    <x v="0"/>
  </r>
  <r>
    <x v="6"/>
    <x v="0"/>
    <x v="0"/>
    <x v="0"/>
    <x v="0"/>
    <n v="2418.83"/>
    <x v="0"/>
    <x v="0"/>
  </r>
  <r>
    <x v="6"/>
    <x v="0"/>
    <x v="0"/>
    <x v="0"/>
    <x v="0"/>
    <n v="1194.12"/>
    <x v="0"/>
    <x v="0"/>
  </r>
  <r>
    <x v="6"/>
    <x v="0"/>
    <x v="0"/>
    <x v="0"/>
    <x v="0"/>
    <n v="9260.35"/>
    <x v="0"/>
    <x v="0"/>
  </r>
  <r>
    <x v="6"/>
    <x v="1"/>
    <x v="3"/>
    <x v="0"/>
    <x v="0"/>
    <n v="692484.38"/>
    <x v="0"/>
    <x v="0"/>
  </r>
  <r>
    <x v="6"/>
    <x v="0"/>
    <x v="0"/>
    <x v="0"/>
    <x v="0"/>
    <n v="3999.34"/>
    <x v="0"/>
    <x v="0"/>
  </r>
  <r>
    <x v="6"/>
    <x v="2"/>
    <x v="3"/>
    <x v="0"/>
    <x v="0"/>
    <n v="141427.48"/>
    <x v="0"/>
    <x v="0"/>
  </r>
  <r>
    <x v="6"/>
    <x v="1"/>
    <x v="3"/>
    <x v="0"/>
    <x v="0"/>
    <n v="447478.26"/>
    <x v="0"/>
    <x v="0"/>
  </r>
  <r>
    <x v="6"/>
    <x v="0"/>
    <x v="0"/>
    <x v="0"/>
    <x v="0"/>
    <n v="9299.31"/>
    <x v="0"/>
    <x v="0"/>
  </r>
  <r>
    <x v="6"/>
    <x v="0"/>
    <x v="0"/>
    <x v="0"/>
    <x v="0"/>
    <n v="2504.15"/>
    <x v="0"/>
    <x v="0"/>
  </r>
  <r>
    <x v="6"/>
    <x v="0"/>
    <x v="2"/>
    <x v="0"/>
    <x v="0"/>
    <n v="10115.13"/>
    <x v="0"/>
    <x v="0"/>
  </r>
  <r>
    <x v="6"/>
    <x v="0"/>
    <x v="0"/>
    <x v="0"/>
    <x v="0"/>
    <n v="1495.79"/>
    <x v="0"/>
    <x v="0"/>
  </r>
  <r>
    <x v="6"/>
    <x v="0"/>
    <x v="0"/>
    <x v="0"/>
    <x v="0"/>
    <n v="6022.93"/>
    <x v="0"/>
    <x v="0"/>
  </r>
  <r>
    <x v="6"/>
    <x v="1"/>
    <x v="2"/>
    <x v="0"/>
    <x v="0"/>
    <n v="23553.39"/>
    <x v="0"/>
    <x v="0"/>
  </r>
  <r>
    <x v="6"/>
    <x v="0"/>
    <x v="0"/>
    <x v="0"/>
    <x v="0"/>
    <n v="5941.42"/>
    <x v="0"/>
    <x v="0"/>
  </r>
  <r>
    <x v="6"/>
    <x v="2"/>
    <x v="3"/>
    <x v="0"/>
    <x v="0"/>
    <n v="269750.94"/>
    <x v="0"/>
    <x v="0"/>
  </r>
  <r>
    <x v="6"/>
    <x v="0"/>
    <x v="0"/>
    <x v="0"/>
    <x v="0"/>
    <n v="7125.4"/>
    <x v="0"/>
    <x v="0"/>
  </r>
  <r>
    <x v="6"/>
    <x v="0"/>
    <x v="0"/>
    <x v="0"/>
    <x v="0"/>
    <n v="6905.52"/>
    <x v="0"/>
    <x v="0"/>
  </r>
  <r>
    <x v="6"/>
    <x v="2"/>
    <x v="3"/>
    <x v="0"/>
    <x v="0"/>
    <n v="266061.33"/>
    <x v="0"/>
    <x v="0"/>
  </r>
  <r>
    <x v="6"/>
    <x v="0"/>
    <x v="0"/>
    <x v="0"/>
    <x v="0"/>
    <n v="1820.34"/>
    <x v="0"/>
    <x v="0"/>
  </r>
  <r>
    <x v="6"/>
    <x v="1"/>
    <x v="3"/>
    <x v="0"/>
    <x v="0"/>
    <n v="231564.18"/>
    <x v="0"/>
    <x v="0"/>
  </r>
  <r>
    <x v="6"/>
    <x v="0"/>
    <x v="2"/>
    <x v="0"/>
    <x v="0"/>
    <n v="11226.69"/>
    <x v="0"/>
    <x v="0"/>
  </r>
  <r>
    <x v="6"/>
    <x v="1"/>
    <x v="3"/>
    <x v="0"/>
    <x v="0"/>
    <n v="362349.62"/>
    <x v="0"/>
    <x v="0"/>
  </r>
  <r>
    <x v="6"/>
    <x v="0"/>
    <x v="2"/>
    <x v="0"/>
    <x v="0"/>
    <n v="14440.44"/>
    <x v="0"/>
    <x v="0"/>
  </r>
  <r>
    <x v="6"/>
    <x v="0"/>
    <x v="2"/>
    <x v="0"/>
    <x v="0"/>
    <n v="18745.74"/>
    <x v="0"/>
    <x v="0"/>
  </r>
  <r>
    <x v="6"/>
    <x v="0"/>
    <x v="2"/>
    <x v="0"/>
    <x v="0"/>
    <n v="12489.85"/>
    <x v="0"/>
    <x v="0"/>
  </r>
  <r>
    <x v="6"/>
    <x v="0"/>
    <x v="0"/>
    <x v="0"/>
    <x v="0"/>
    <n v="5218.64"/>
    <x v="0"/>
    <x v="0"/>
  </r>
  <r>
    <x v="6"/>
    <x v="0"/>
    <x v="2"/>
    <x v="0"/>
    <x v="0"/>
    <n v="23532.24"/>
    <x v="0"/>
    <x v="0"/>
  </r>
  <r>
    <x v="6"/>
    <x v="0"/>
    <x v="2"/>
    <x v="0"/>
    <x v="0"/>
    <n v="13337.69"/>
    <x v="0"/>
    <x v="0"/>
  </r>
  <r>
    <x v="6"/>
    <x v="0"/>
    <x v="0"/>
    <x v="0"/>
    <x v="0"/>
    <n v="4493.34"/>
    <x v="0"/>
    <x v="0"/>
  </r>
  <r>
    <x v="6"/>
    <x v="0"/>
    <x v="0"/>
    <x v="0"/>
    <x v="0"/>
    <n v="5693.58"/>
    <x v="0"/>
    <x v="0"/>
  </r>
  <r>
    <x v="6"/>
    <x v="0"/>
    <x v="0"/>
    <x v="0"/>
    <x v="0"/>
    <n v="5672.3"/>
    <x v="0"/>
    <x v="0"/>
  </r>
  <r>
    <x v="6"/>
    <x v="0"/>
    <x v="2"/>
    <x v="0"/>
    <x v="0"/>
    <n v="11109.58"/>
    <x v="0"/>
    <x v="0"/>
  </r>
  <r>
    <x v="6"/>
    <x v="2"/>
    <x v="3"/>
    <x v="0"/>
    <x v="0"/>
    <n v="391811.34"/>
    <x v="0"/>
    <x v="0"/>
  </r>
  <r>
    <x v="6"/>
    <x v="0"/>
    <x v="0"/>
    <x v="0"/>
    <x v="0"/>
    <n v="7090.13"/>
    <x v="0"/>
    <x v="0"/>
  </r>
  <r>
    <x v="6"/>
    <x v="0"/>
    <x v="1"/>
    <x v="0"/>
    <x v="0"/>
    <n v="160.54"/>
    <x v="0"/>
    <x v="0"/>
  </r>
  <r>
    <x v="6"/>
    <x v="0"/>
    <x v="0"/>
    <x v="0"/>
    <x v="0"/>
    <n v="5874.76"/>
    <x v="0"/>
    <x v="0"/>
  </r>
  <r>
    <x v="6"/>
    <x v="0"/>
    <x v="2"/>
    <x v="0"/>
    <x v="0"/>
    <n v="15568.94"/>
    <x v="0"/>
    <x v="0"/>
  </r>
  <r>
    <x v="6"/>
    <x v="0"/>
    <x v="0"/>
    <x v="0"/>
    <x v="0"/>
    <n v="4721.88"/>
    <x v="0"/>
    <x v="0"/>
  </r>
  <r>
    <x v="6"/>
    <x v="0"/>
    <x v="0"/>
    <x v="0"/>
    <x v="0"/>
    <n v="6596.11"/>
    <x v="0"/>
    <x v="0"/>
  </r>
  <r>
    <x v="6"/>
    <x v="0"/>
    <x v="2"/>
    <x v="0"/>
    <x v="0"/>
    <n v="13517.23"/>
    <x v="0"/>
    <x v="0"/>
  </r>
  <r>
    <x v="6"/>
    <x v="0"/>
    <x v="2"/>
    <x v="0"/>
    <x v="0"/>
    <n v="11105.62"/>
    <x v="0"/>
    <x v="0"/>
  </r>
  <r>
    <x v="6"/>
    <x v="0"/>
    <x v="1"/>
    <x v="0"/>
    <x v="0"/>
    <n v="405.9"/>
    <x v="0"/>
    <x v="0"/>
  </r>
  <r>
    <x v="6"/>
    <x v="0"/>
    <x v="2"/>
    <x v="0"/>
    <x v="0"/>
    <n v="15988.24"/>
    <x v="0"/>
    <x v="0"/>
  </r>
  <r>
    <x v="6"/>
    <x v="2"/>
    <x v="2"/>
    <x v="0"/>
    <x v="0"/>
    <n v="47855.19"/>
    <x v="0"/>
    <x v="0"/>
  </r>
  <r>
    <x v="6"/>
    <x v="0"/>
    <x v="2"/>
    <x v="0"/>
    <x v="0"/>
    <n v="17236.25"/>
    <x v="0"/>
    <x v="0"/>
  </r>
  <r>
    <x v="6"/>
    <x v="0"/>
    <x v="1"/>
    <x v="0"/>
    <x v="0"/>
    <n v="823.23"/>
    <x v="0"/>
    <x v="0"/>
  </r>
  <r>
    <x v="6"/>
    <x v="0"/>
    <x v="0"/>
    <x v="0"/>
    <x v="0"/>
    <n v="6904.78"/>
    <x v="0"/>
    <x v="0"/>
  </r>
  <r>
    <x v="6"/>
    <x v="4"/>
    <x v="2"/>
    <x v="0"/>
    <x v="0"/>
    <n v="81624.34"/>
    <x v="0"/>
    <x v="0"/>
  </r>
  <r>
    <x v="6"/>
    <x v="0"/>
    <x v="0"/>
    <x v="0"/>
    <x v="0"/>
    <n v="3206.32"/>
    <x v="0"/>
    <x v="0"/>
  </r>
  <r>
    <x v="6"/>
    <x v="0"/>
    <x v="1"/>
    <x v="0"/>
    <x v="0"/>
    <n v="548.52"/>
    <x v="0"/>
    <x v="0"/>
  </r>
  <r>
    <x v="6"/>
    <x v="0"/>
    <x v="0"/>
    <x v="0"/>
    <x v="0"/>
    <n v="2494.55"/>
    <x v="0"/>
    <x v="0"/>
  </r>
  <r>
    <x v="6"/>
    <x v="0"/>
    <x v="2"/>
    <x v="0"/>
    <x v="0"/>
    <n v="19258.16"/>
    <x v="0"/>
    <x v="0"/>
  </r>
  <r>
    <x v="6"/>
    <x v="0"/>
    <x v="0"/>
    <x v="0"/>
    <x v="0"/>
    <n v="3064.28"/>
    <x v="0"/>
    <x v="0"/>
  </r>
  <r>
    <x v="6"/>
    <x v="1"/>
    <x v="3"/>
    <x v="0"/>
    <x v="0"/>
    <n v="385674.22"/>
    <x v="0"/>
    <x v="0"/>
  </r>
  <r>
    <x v="6"/>
    <x v="0"/>
    <x v="0"/>
    <x v="0"/>
    <x v="0"/>
    <n v="8336.7"/>
    <x v="0"/>
    <x v="0"/>
  </r>
  <r>
    <x v="6"/>
    <x v="0"/>
    <x v="2"/>
    <x v="0"/>
    <x v="0"/>
    <n v="11856.98"/>
    <x v="0"/>
    <x v="0"/>
  </r>
  <r>
    <x v="6"/>
    <x v="0"/>
    <x v="2"/>
    <x v="0"/>
    <x v="0"/>
    <n v="16092.52"/>
    <x v="0"/>
    <x v="0"/>
  </r>
  <r>
    <x v="6"/>
    <x v="4"/>
    <x v="2"/>
    <x v="0"/>
    <x v="0"/>
    <n v="20439.44"/>
    <x v="0"/>
    <x v="0"/>
  </r>
  <r>
    <x v="6"/>
    <x v="0"/>
    <x v="0"/>
    <x v="0"/>
    <x v="0"/>
    <n v="6234.94"/>
    <x v="0"/>
    <x v="0"/>
  </r>
  <r>
    <x v="6"/>
    <x v="2"/>
    <x v="0"/>
    <x v="0"/>
    <x v="0"/>
    <n v="6266.97"/>
    <x v="0"/>
    <x v="0"/>
  </r>
  <r>
    <x v="6"/>
    <x v="2"/>
    <x v="2"/>
    <x v="0"/>
    <x v="0"/>
    <n v="16921.29"/>
    <x v="0"/>
    <x v="0"/>
  </r>
  <r>
    <x v="6"/>
    <x v="2"/>
    <x v="3"/>
    <x v="0"/>
    <x v="0"/>
    <n v="294345.35"/>
    <x v="0"/>
    <x v="0"/>
  </r>
  <r>
    <x v="6"/>
    <x v="0"/>
    <x v="0"/>
    <x v="0"/>
    <x v="0"/>
    <n v="8448.99"/>
    <x v="0"/>
    <x v="0"/>
  </r>
  <r>
    <x v="6"/>
    <x v="0"/>
    <x v="0"/>
    <x v="0"/>
    <x v="0"/>
    <n v="3947.29"/>
    <x v="0"/>
    <x v="0"/>
  </r>
  <r>
    <x v="6"/>
    <x v="0"/>
    <x v="0"/>
    <x v="0"/>
    <x v="0"/>
    <n v="9895.37"/>
    <x v="0"/>
    <x v="0"/>
  </r>
  <r>
    <x v="6"/>
    <x v="1"/>
    <x v="3"/>
    <x v="0"/>
    <x v="0"/>
    <n v="400589.96"/>
    <x v="0"/>
    <x v="0"/>
  </r>
  <r>
    <x v="6"/>
    <x v="0"/>
    <x v="2"/>
    <x v="0"/>
    <x v="0"/>
    <n v="10350.66"/>
    <x v="0"/>
    <x v="0"/>
  </r>
  <r>
    <x v="6"/>
    <x v="0"/>
    <x v="2"/>
    <x v="0"/>
    <x v="0"/>
    <n v="12054.47"/>
    <x v="0"/>
    <x v="0"/>
  </r>
  <r>
    <x v="6"/>
    <x v="0"/>
    <x v="0"/>
    <x v="0"/>
    <x v="0"/>
    <n v="1841.69"/>
    <x v="0"/>
    <x v="0"/>
  </r>
  <r>
    <x v="6"/>
    <x v="2"/>
    <x v="3"/>
    <x v="0"/>
    <x v="0"/>
    <n v="204028.57"/>
    <x v="0"/>
    <x v="0"/>
  </r>
  <r>
    <x v="6"/>
    <x v="0"/>
    <x v="0"/>
    <x v="0"/>
    <x v="0"/>
    <n v="1853.22"/>
    <x v="0"/>
    <x v="0"/>
  </r>
  <r>
    <x v="6"/>
    <x v="0"/>
    <x v="0"/>
    <x v="0"/>
    <x v="0"/>
    <n v="6483.34"/>
    <x v="0"/>
    <x v="0"/>
  </r>
  <r>
    <x v="6"/>
    <x v="2"/>
    <x v="2"/>
    <x v="0"/>
    <x v="0"/>
    <n v="11006.68"/>
    <x v="0"/>
    <x v="0"/>
  </r>
  <r>
    <x v="6"/>
    <x v="1"/>
    <x v="4"/>
    <x v="0"/>
    <x v="0"/>
    <n v="1284837.02"/>
    <x v="0"/>
    <x v="0"/>
  </r>
  <r>
    <x v="6"/>
    <x v="0"/>
    <x v="0"/>
    <x v="0"/>
    <x v="0"/>
    <n v="5268.25"/>
    <x v="0"/>
    <x v="0"/>
  </r>
  <r>
    <x v="6"/>
    <x v="2"/>
    <x v="3"/>
    <x v="0"/>
    <x v="0"/>
    <n v="116488"/>
    <x v="0"/>
    <x v="0"/>
  </r>
  <r>
    <x v="6"/>
    <x v="0"/>
    <x v="2"/>
    <x v="0"/>
    <x v="0"/>
    <n v="11236.53"/>
    <x v="0"/>
    <x v="0"/>
  </r>
  <r>
    <x v="6"/>
    <x v="3"/>
    <x v="1"/>
    <x v="0"/>
    <x v="0"/>
    <n v="285.71"/>
    <x v="0"/>
    <x v="0"/>
  </r>
  <r>
    <x v="6"/>
    <x v="0"/>
    <x v="0"/>
    <x v="0"/>
    <x v="0"/>
    <n v="2813.84"/>
    <x v="0"/>
    <x v="0"/>
  </r>
  <r>
    <x v="6"/>
    <x v="0"/>
    <x v="0"/>
    <x v="0"/>
    <x v="0"/>
    <n v="1839.63"/>
    <x v="0"/>
    <x v="0"/>
  </r>
  <r>
    <x v="6"/>
    <x v="4"/>
    <x v="2"/>
    <x v="0"/>
    <x v="0"/>
    <n v="79069.17"/>
    <x v="0"/>
    <x v="0"/>
  </r>
  <r>
    <x v="6"/>
    <x v="0"/>
    <x v="2"/>
    <x v="0"/>
    <x v="0"/>
    <n v="10089.51"/>
    <x v="0"/>
    <x v="0"/>
  </r>
  <r>
    <x v="6"/>
    <x v="0"/>
    <x v="0"/>
    <x v="0"/>
    <x v="0"/>
    <n v="4096.05"/>
    <x v="0"/>
    <x v="0"/>
  </r>
  <r>
    <x v="6"/>
    <x v="0"/>
    <x v="0"/>
    <x v="0"/>
    <x v="0"/>
    <n v="5093.97"/>
    <x v="0"/>
    <x v="0"/>
  </r>
  <r>
    <x v="6"/>
    <x v="0"/>
    <x v="0"/>
    <x v="0"/>
    <x v="0"/>
    <n v="5807.09"/>
    <x v="0"/>
    <x v="0"/>
  </r>
  <r>
    <x v="6"/>
    <x v="1"/>
    <x v="3"/>
    <x v="0"/>
    <x v="0"/>
    <n v="375736.37"/>
    <x v="0"/>
    <x v="0"/>
  </r>
  <r>
    <x v="6"/>
    <x v="1"/>
    <x v="4"/>
    <x v="0"/>
    <x v="0"/>
    <n v="1946101.41"/>
    <x v="0"/>
    <x v="0"/>
  </r>
  <r>
    <x v="6"/>
    <x v="1"/>
    <x v="3"/>
    <x v="0"/>
    <x v="0"/>
    <n v="128806.24"/>
    <x v="0"/>
    <x v="0"/>
  </r>
  <r>
    <x v="6"/>
    <x v="1"/>
    <x v="3"/>
    <x v="0"/>
    <x v="0"/>
    <n v="717318.86"/>
    <x v="0"/>
    <x v="0"/>
  </r>
  <r>
    <x v="6"/>
    <x v="0"/>
    <x v="0"/>
    <x v="0"/>
    <x v="0"/>
    <n v="1789.39"/>
    <x v="0"/>
    <x v="0"/>
  </r>
  <r>
    <x v="6"/>
    <x v="0"/>
    <x v="2"/>
    <x v="0"/>
    <x v="0"/>
    <n v="12280.47"/>
    <x v="0"/>
    <x v="0"/>
  </r>
  <r>
    <x v="6"/>
    <x v="0"/>
    <x v="0"/>
    <x v="0"/>
    <x v="0"/>
    <n v="7105.09"/>
    <x v="0"/>
    <x v="0"/>
  </r>
  <r>
    <x v="6"/>
    <x v="1"/>
    <x v="4"/>
    <x v="0"/>
    <x v="0"/>
    <n v="1170389.4"/>
    <x v="0"/>
    <x v="0"/>
  </r>
  <r>
    <x v="6"/>
    <x v="2"/>
    <x v="3"/>
    <x v="0"/>
    <x v="0"/>
    <n v="166347.32"/>
    <x v="0"/>
    <x v="0"/>
  </r>
  <r>
    <x v="6"/>
    <x v="1"/>
    <x v="3"/>
    <x v="0"/>
    <x v="0"/>
    <n v="941502.27"/>
    <x v="0"/>
    <x v="0"/>
  </r>
  <r>
    <x v="6"/>
    <x v="1"/>
    <x v="3"/>
    <x v="0"/>
    <x v="0"/>
    <n v="451044.54"/>
    <x v="0"/>
    <x v="0"/>
  </r>
  <r>
    <x v="6"/>
    <x v="1"/>
    <x v="4"/>
    <x v="0"/>
    <x v="0"/>
    <n v="2102252.96"/>
    <x v="0"/>
    <x v="0"/>
  </r>
  <r>
    <x v="6"/>
    <x v="1"/>
    <x v="3"/>
    <x v="0"/>
    <x v="0"/>
    <n v="798540.41"/>
    <x v="0"/>
    <x v="0"/>
  </r>
  <r>
    <x v="6"/>
    <x v="1"/>
    <x v="3"/>
    <x v="0"/>
    <x v="0"/>
    <n v="558601.07"/>
    <x v="0"/>
    <x v="0"/>
  </r>
  <r>
    <x v="6"/>
    <x v="1"/>
    <x v="3"/>
    <x v="0"/>
    <x v="0"/>
    <n v="261399.78"/>
    <x v="0"/>
    <x v="0"/>
  </r>
  <r>
    <x v="6"/>
    <x v="1"/>
    <x v="4"/>
    <x v="0"/>
    <x v="0"/>
    <n v="1008022.35"/>
    <x v="0"/>
    <x v="0"/>
  </r>
  <r>
    <x v="6"/>
    <x v="1"/>
    <x v="3"/>
    <x v="0"/>
    <x v="0"/>
    <n v="237177.84"/>
    <x v="0"/>
    <x v="0"/>
  </r>
  <r>
    <x v="6"/>
    <x v="1"/>
    <x v="3"/>
    <x v="0"/>
    <x v="0"/>
    <n v="185530.93"/>
    <x v="0"/>
    <x v="0"/>
  </r>
  <r>
    <x v="6"/>
    <x v="1"/>
    <x v="3"/>
    <x v="0"/>
    <x v="0"/>
    <n v="819668.37"/>
    <x v="0"/>
    <x v="0"/>
  </r>
  <r>
    <x v="6"/>
    <x v="1"/>
    <x v="3"/>
    <x v="0"/>
    <x v="0"/>
    <n v="436436.54"/>
    <x v="0"/>
    <x v="0"/>
  </r>
  <r>
    <x v="6"/>
    <x v="1"/>
    <x v="2"/>
    <x v="0"/>
    <x v="0"/>
    <n v="59453.13"/>
    <x v="0"/>
    <x v="0"/>
  </r>
  <r>
    <x v="6"/>
    <x v="1"/>
    <x v="3"/>
    <x v="0"/>
    <x v="0"/>
    <n v="107226.8"/>
    <x v="0"/>
    <x v="0"/>
  </r>
  <r>
    <x v="6"/>
    <x v="1"/>
    <x v="3"/>
    <x v="0"/>
    <x v="0"/>
    <n v="177107.38"/>
    <x v="0"/>
    <x v="0"/>
  </r>
  <r>
    <x v="6"/>
    <x v="1"/>
    <x v="3"/>
    <x v="0"/>
    <x v="0"/>
    <n v="194287.8"/>
    <x v="0"/>
    <x v="0"/>
  </r>
  <r>
    <x v="6"/>
    <x v="1"/>
    <x v="3"/>
    <x v="0"/>
    <x v="0"/>
    <n v="123726.5"/>
    <x v="0"/>
    <x v="0"/>
  </r>
  <r>
    <x v="6"/>
    <x v="1"/>
    <x v="3"/>
    <x v="0"/>
    <x v="0"/>
    <n v="809801.18"/>
    <x v="0"/>
    <x v="0"/>
  </r>
  <r>
    <x v="6"/>
    <x v="1"/>
    <x v="2"/>
    <x v="0"/>
    <x v="0"/>
    <n v="93999.6"/>
    <x v="0"/>
    <x v="0"/>
  </r>
  <r>
    <x v="6"/>
    <x v="1"/>
    <x v="2"/>
    <x v="0"/>
    <x v="0"/>
    <n v="91099.24"/>
    <x v="0"/>
    <x v="0"/>
  </r>
  <r>
    <x v="6"/>
    <x v="1"/>
    <x v="2"/>
    <x v="0"/>
    <x v="0"/>
    <n v="48108.93"/>
    <x v="0"/>
    <x v="0"/>
  </r>
  <r>
    <x v="6"/>
    <x v="1"/>
    <x v="3"/>
    <x v="0"/>
    <x v="0"/>
    <n v="133544.47"/>
    <x v="0"/>
    <x v="0"/>
  </r>
  <r>
    <x v="6"/>
    <x v="1"/>
    <x v="2"/>
    <x v="0"/>
    <x v="0"/>
    <n v="86923.76"/>
    <x v="0"/>
    <x v="0"/>
  </r>
  <r>
    <x v="6"/>
    <x v="1"/>
    <x v="2"/>
    <x v="0"/>
    <x v="0"/>
    <n v="20671.86"/>
    <x v="0"/>
    <x v="0"/>
  </r>
  <r>
    <x v="6"/>
    <x v="1"/>
    <x v="2"/>
    <x v="0"/>
    <x v="0"/>
    <n v="44029.69"/>
    <x v="0"/>
    <x v="0"/>
  </r>
  <r>
    <x v="6"/>
    <x v="0"/>
    <x v="2"/>
    <x v="0"/>
    <x v="0"/>
    <n v="15217.98"/>
    <x v="0"/>
    <x v="0"/>
  </r>
  <r>
    <x v="6"/>
    <x v="0"/>
    <x v="1"/>
    <x v="0"/>
    <x v="0"/>
    <n v="930.35"/>
    <x v="0"/>
    <x v="0"/>
  </r>
  <r>
    <x v="6"/>
    <x v="0"/>
    <x v="2"/>
    <x v="0"/>
    <x v="0"/>
    <n v="11899.28"/>
    <x v="0"/>
    <x v="0"/>
  </r>
  <r>
    <x v="6"/>
    <x v="1"/>
    <x v="3"/>
    <x v="0"/>
    <x v="0"/>
    <n v="548784.5"/>
    <x v="0"/>
    <x v="0"/>
  </r>
  <r>
    <x v="6"/>
    <x v="1"/>
    <x v="3"/>
    <x v="0"/>
    <x v="0"/>
    <n v="487344.19"/>
    <x v="0"/>
    <x v="0"/>
  </r>
  <r>
    <x v="6"/>
    <x v="0"/>
    <x v="0"/>
    <x v="0"/>
    <x v="0"/>
    <n v="3445.22"/>
    <x v="0"/>
    <x v="0"/>
  </r>
  <r>
    <x v="6"/>
    <x v="0"/>
    <x v="0"/>
    <x v="0"/>
    <x v="0"/>
    <n v="7991.47"/>
    <x v="0"/>
    <x v="0"/>
  </r>
  <r>
    <x v="6"/>
    <x v="0"/>
    <x v="0"/>
    <x v="0"/>
    <x v="0"/>
    <n v="8336.62"/>
    <x v="0"/>
    <x v="0"/>
  </r>
  <r>
    <x v="6"/>
    <x v="0"/>
    <x v="2"/>
    <x v="0"/>
    <x v="0"/>
    <n v="22094.36"/>
    <x v="0"/>
    <x v="0"/>
  </r>
  <r>
    <x v="6"/>
    <x v="3"/>
    <x v="0"/>
    <x v="0"/>
    <x v="0"/>
    <n v="3352.99"/>
    <x v="0"/>
    <x v="0"/>
  </r>
  <r>
    <x v="6"/>
    <x v="4"/>
    <x v="2"/>
    <x v="0"/>
    <x v="0"/>
    <n v="56641.09"/>
    <x v="0"/>
    <x v="0"/>
  </r>
  <r>
    <x v="6"/>
    <x v="1"/>
    <x v="3"/>
    <x v="0"/>
    <x v="0"/>
    <n v="371417.6"/>
    <x v="0"/>
    <x v="0"/>
  </r>
  <r>
    <x v="6"/>
    <x v="0"/>
    <x v="0"/>
    <x v="0"/>
    <x v="0"/>
    <n v="9778.97"/>
    <x v="0"/>
    <x v="0"/>
  </r>
  <r>
    <x v="6"/>
    <x v="0"/>
    <x v="2"/>
    <x v="0"/>
    <x v="0"/>
    <n v="15349.39"/>
    <x v="0"/>
    <x v="0"/>
  </r>
  <r>
    <x v="6"/>
    <x v="0"/>
    <x v="0"/>
    <x v="0"/>
    <x v="0"/>
    <n v="8374.99"/>
    <x v="0"/>
    <x v="0"/>
  </r>
  <r>
    <x v="6"/>
    <x v="0"/>
    <x v="0"/>
    <x v="0"/>
    <x v="0"/>
    <n v="1384.33"/>
    <x v="0"/>
    <x v="0"/>
  </r>
  <r>
    <x v="6"/>
    <x v="2"/>
    <x v="2"/>
    <x v="0"/>
    <x v="0"/>
    <n v="79043.83"/>
    <x v="0"/>
    <x v="0"/>
  </r>
  <r>
    <x v="6"/>
    <x v="2"/>
    <x v="3"/>
    <x v="0"/>
    <x v="0"/>
    <n v="175207.2"/>
    <x v="0"/>
    <x v="0"/>
  </r>
  <r>
    <x v="6"/>
    <x v="0"/>
    <x v="0"/>
    <x v="0"/>
    <x v="0"/>
    <n v="5624.03"/>
    <x v="0"/>
    <x v="0"/>
  </r>
  <r>
    <x v="6"/>
    <x v="0"/>
    <x v="0"/>
    <x v="0"/>
    <x v="0"/>
    <n v="4133.41"/>
    <x v="0"/>
    <x v="0"/>
  </r>
  <r>
    <x v="6"/>
    <x v="2"/>
    <x v="2"/>
    <x v="0"/>
    <x v="0"/>
    <n v="75837.12"/>
    <x v="0"/>
    <x v="0"/>
  </r>
  <r>
    <x v="6"/>
    <x v="0"/>
    <x v="1"/>
    <x v="0"/>
    <x v="0"/>
    <n v="21.49"/>
    <x v="0"/>
    <x v="0"/>
  </r>
  <r>
    <x v="6"/>
    <x v="0"/>
    <x v="2"/>
    <x v="0"/>
    <x v="0"/>
    <n v="17902.82"/>
    <x v="0"/>
    <x v="0"/>
  </r>
  <r>
    <x v="6"/>
    <x v="0"/>
    <x v="0"/>
    <x v="0"/>
    <x v="0"/>
    <n v="4203.33"/>
    <x v="0"/>
    <x v="0"/>
  </r>
  <r>
    <x v="6"/>
    <x v="0"/>
    <x v="2"/>
    <x v="0"/>
    <x v="0"/>
    <n v="10023.27"/>
    <x v="0"/>
    <x v="0"/>
  </r>
  <r>
    <x v="6"/>
    <x v="2"/>
    <x v="2"/>
    <x v="0"/>
    <x v="0"/>
    <n v="13025.29"/>
    <x v="0"/>
    <x v="0"/>
  </r>
  <r>
    <x v="6"/>
    <x v="0"/>
    <x v="1"/>
    <x v="0"/>
    <x v="0"/>
    <n v="536.63"/>
    <x v="0"/>
    <x v="0"/>
  </r>
  <r>
    <x v="6"/>
    <x v="0"/>
    <x v="2"/>
    <x v="0"/>
    <x v="0"/>
    <n v="12697.33"/>
    <x v="0"/>
    <x v="0"/>
  </r>
  <r>
    <x v="6"/>
    <x v="0"/>
    <x v="0"/>
    <x v="0"/>
    <x v="0"/>
    <n v="9545.89"/>
    <x v="0"/>
    <x v="0"/>
  </r>
  <r>
    <x v="6"/>
    <x v="0"/>
    <x v="2"/>
    <x v="0"/>
    <x v="0"/>
    <n v="18951.06"/>
    <x v="0"/>
    <x v="0"/>
  </r>
  <r>
    <x v="6"/>
    <x v="0"/>
    <x v="0"/>
    <x v="0"/>
    <x v="0"/>
    <n v="4057.77"/>
    <x v="0"/>
    <x v="0"/>
  </r>
  <r>
    <x v="6"/>
    <x v="0"/>
    <x v="2"/>
    <x v="0"/>
    <x v="0"/>
    <n v="43063.97"/>
    <x v="0"/>
    <x v="0"/>
  </r>
  <r>
    <x v="6"/>
    <x v="0"/>
    <x v="0"/>
    <x v="0"/>
    <x v="0"/>
    <n v="4732.59"/>
    <x v="0"/>
    <x v="0"/>
  </r>
  <r>
    <x v="6"/>
    <x v="0"/>
    <x v="0"/>
    <x v="0"/>
    <x v="0"/>
    <n v="8565.08"/>
    <x v="0"/>
    <x v="0"/>
  </r>
  <r>
    <x v="6"/>
    <x v="0"/>
    <x v="2"/>
    <x v="0"/>
    <x v="0"/>
    <n v="17992.53"/>
    <x v="0"/>
    <x v="0"/>
  </r>
  <r>
    <x v="6"/>
    <x v="1"/>
    <x v="3"/>
    <x v="0"/>
    <x v="0"/>
    <n v="251157.83"/>
    <x v="0"/>
    <x v="0"/>
  </r>
  <r>
    <x v="6"/>
    <x v="0"/>
    <x v="2"/>
    <x v="0"/>
    <x v="0"/>
    <n v="14482.64"/>
    <x v="0"/>
    <x v="0"/>
  </r>
  <r>
    <x v="6"/>
    <x v="2"/>
    <x v="3"/>
    <x v="0"/>
    <x v="0"/>
    <n v="429567.2"/>
    <x v="0"/>
    <x v="0"/>
  </r>
  <r>
    <x v="6"/>
    <x v="0"/>
    <x v="0"/>
    <x v="0"/>
    <x v="0"/>
    <n v="1278.75"/>
    <x v="0"/>
    <x v="0"/>
  </r>
  <r>
    <x v="6"/>
    <x v="0"/>
    <x v="0"/>
    <x v="0"/>
    <x v="0"/>
    <n v="2499.7"/>
    <x v="0"/>
    <x v="0"/>
  </r>
  <r>
    <x v="6"/>
    <x v="0"/>
    <x v="0"/>
    <x v="0"/>
    <x v="0"/>
    <n v="5203.51"/>
    <x v="0"/>
    <x v="0"/>
  </r>
  <r>
    <x v="6"/>
    <x v="0"/>
    <x v="0"/>
    <x v="0"/>
    <x v="0"/>
    <n v="2446.2"/>
    <x v="0"/>
    <x v="0"/>
  </r>
  <r>
    <x v="6"/>
    <x v="0"/>
    <x v="0"/>
    <x v="0"/>
    <x v="0"/>
    <n v="9201.08"/>
    <x v="0"/>
    <x v="0"/>
  </r>
  <r>
    <x v="6"/>
    <x v="0"/>
    <x v="0"/>
    <x v="0"/>
    <x v="0"/>
    <n v="5363.19"/>
    <x v="0"/>
    <x v="0"/>
  </r>
  <r>
    <x v="6"/>
    <x v="0"/>
    <x v="0"/>
    <x v="0"/>
    <x v="0"/>
    <n v="5002.55"/>
    <x v="0"/>
    <x v="0"/>
  </r>
  <r>
    <x v="6"/>
    <x v="0"/>
    <x v="0"/>
    <x v="0"/>
    <x v="0"/>
    <n v="5277.76"/>
    <x v="0"/>
    <x v="0"/>
  </r>
  <r>
    <x v="6"/>
    <x v="0"/>
    <x v="0"/>
    <x v="0"/>
    <x v="0"/>
    <n v="3666.25"/>
    <x v="0"/>
    <x v="0"/>
  </r>
  <r>
    <x v="6"/>
    <x v="0"/>
    <x v="0"/>
    <x v="0"/>
    <x v="0"/>
    <n v="1007.43"/>
    <x v="0"/>
    <x v="0"/>
  </r>
  <r>
    <x v="6"/>
    <x v="0"/>
    <x v="0"/>
    <x v="0"/>
    <x v="0"/>
    <n v="6919.03"/>
    <x v="0"/>
    <x v="0"/>
  </r>
  <r>
    <x v="6"/>
    <x v="4"/>
    <x v="3"/>
    <x v="0"/>
    <x v="0"/>
    <n v="237220.07"/>
    <x v="0"/>
    <x v="0"/>
  </r>
  <r>
    <x v="6"/>
    <x v="0"/>
    <x v="1"/>
    <x v="0"/>
    <x v="0"/>
    <n v="382.59"/>
    <x v="0"/>
    <x v="0"/>
  </r>
  <r>
    <x v="6"/>
    <x v="0"/>
    <x v="1"/>
    <x v="0"/>
    <x v="0"/>
    <n v="594.83"/>
    <x v="0"/>
    <x v="0"/>
  </r>
  <r>
    <x v="6"/>
    <x v="0"/>
    <x v="0"/>
    <x v="0"/>
    <x v="0"/>
    <n v="2304.65"/>
    <x v="0"/>
    <x v="0"/>
  </r>
  <r>
    <x v="6"/>
    <x v="0"/>
    <x v="0"/>
    <x v="0"/>
    <x v="0"/>
    <n v="3200.09"/>
    <x v="0"/>
    <x v="0"/>
  </r>
  <r>
    <x v="6"/>
    <x v="1"/>
    <x v="4"/>
    <x v="0"/>
    <x v="0"/>
    <n v="1486199.17"/>
    <x v="0"/>
    <x v="0"/>
  </r>
  <r>
    <x v="6"/>
    <x v="0"/>
    <x v="2"/>
    <x v="0"/>
    <x v="0"/>
    <n v="12700.77"/>
    <x v="0"/>
    <x v="0"/>
  </r>
  <r>
    <x v="6"/>
    <x v="0"/>
    <x v="0"/>
    <x v="0"/>
    <x v="0"/>
    <n v="9518.45"/>
    <x v="0"/>
    <x v="0"/>
  </r>
  <r>
    <x v="6"/>
    <x v="0"/>
    <x v="0"/>
    <x v="0"/>
    <x v="0"/>
    <n v="7590.33"/>
    <x v="0"/>
    <x v="0"/>
  </r>
  <r>
    <x v="6"/>
    <x v="0"/>
    <x v="0"/>
    <x v="0"/>
    <x v="0"/>
    <n v="1106.78"/>
    <x v="0"/>
    <x v="0"/>
  </r>
  <r>
    <x v="6"/>
    <x v="0"/>
    <x v="0"/>
    <x v="0"/>
    <x v="0"/>
    <n v="2395.01"/>
    <x v="0"/>
    <x v="0"/>
  </r>
  <r>
    <x v="6"/>
    <x v="0"/>
    <x v="2"/>
    <x v="0"/>
    <x v="0"/>
    <n v="34873.6"/>
    <x v="0"/>
    <x v="0"/>
  </r>
  <r>
    <x v="6"/>
    <x v="0"/>
    <x v="0"/>
    <x v="0"/>
    <x v="0"/>
    <n v="5803.86"/>
    <x v="0"/>
    <x v="0"/>
  </r>
  <r>
    <x v="6"/>
    <x v="0"/>
    <x v="2"/>
    <x v="0"/>
    <x v="0"/>
    <n v="44835.22"/>
    <x v="0"/>
    <x v="0"/>
  </r>
  <r>
    <x v="6"/>
    <x v="0"/>
    <x v="2"/>
    <x v="0"/>
    <x v="0"/>
    <n v="13854.48"/>
    <x v="0"/>
    <x v="0"/>
  </r>
  <r>
    <x v="6"/>
    <x v="0"/>
    <x v="2"/>
    <x v="0"/>
    <x v="0"/>
    <n v="16782.56"/>
    <x v="0"/>
    <x v="0"/>
  </r>
  <r>
    <x v="6"/>
    <x v="0"/>
    <x v="2"/>
    <x v="0"/>
    <x v="0"/>
    <n v="27007.74"/>
    <x v="0"/>
    <x v="0"/>
  </r>
  <r>
    <x v="6"/>
    <x v="0"/>
    <x v="0"/>
    <x v="0"/>
    <x v="0"/>
    <n v="4274.53"/>
    <x v="0"/>
    <x v="0"/>
  </r>
  <r>
    <x v="6"/>
    <x v="0"/>
    <x v="2"/>
    <x v="0"/>
    <x v="0"/>
    <n v="16525.68"/>
    <x v="0"/>
    <x v="0"/>
  </r>
  <r>
    <x v="6"/>
    <x v="0"/>
    <x v="2"/>
    <x v="0"/>
    <x v="0"/>
    <n v="14815.88"/>
    <x v="0"/>
    <x v="0"/>
  </r>
  <r>
    <x v="6"/>
    <x v="0"/>
    <x v="2"/>
    <x v="0"/>
    <x v="0"/>
    <n v="10669.29"/>
    <x v="0"/>
    <x v="0"/>
  </r>
  <r>
    <x v="6"/>
    <x v="0"/>
    <x v="1"/>
    <x v="0"/>
    <x v="0"/>
    <n v="973.96"/>
    <x v="0"/>
    <x v="0"/>
  </r>
  <r>
    <x v="6"/>
    <x v="0"/>
    <x v="2"/>
    <x v="0"/>
    <x v="0"/>
    <n v="12157.95"/>
    <x v="0"/>
    <x v="0"/>
  </r>
  <r>
    <x v="6"/>
    <x v="0"/>
    <x v="2"/>
    <x v="0"/>
    <x v="0"/>
    <n v="14914.14"/>
    <x v="0"/>
    <x v="0"/>
  </r>
  <r>
    <x v="6"/>
    <x v="0"/>
    <x v="0"/>
    <x v="0"/>
    <x v="0"/>
    <n v="3209.51"/>
    <x v="0"/>
    <x v="0"/>
  </r>
  <r>
    <x v="6"/>
    <x v="0"/>
    <x v="0"/>
    <x v="0"/>
    <x v="0"/>
    <n v="1283.84"/>
    <x v="0"/>
    <x v="0"/>
  </r>
  <r>
    <x v="6"/>
    <x v="0"/>
    <x v="0"/>
    <x v="0"/>
    <x v="0"/>
    <n v="3421.25"/>
    <x v="0"/>
    <x v="0"/>
  </r>
  <r>
    <x v="6"/>
    <x v="0"/>
    <x v="0"/>
    <x v="0"/>
    <x v="0"/>
    <n v="4063.65"/>
    <x v="0"/>
    <x v="0"/>
  </r>
  <r>
    <x v="6"/>
    <x v="0"/>
    <x v="1"/>
    <x v="0"/>
    <x v="0"/>
    <n v="809.43"/>
    <x v="0"/>
    <x v="0"/>
  </r>
  <r>
    <x v="6"/>
    <x v="0"/>
    <x v="1"/>
    <x v="0"/>
    <x v="0"/>
    <n v="323.16"/>
    <x v="0"/>
    <x v="0"/>
  </r>
  <r>
    <x v="6"/>
    <x v="0"/>
    <x v="0"/>
    <x v="0"/>
    <x v="0"/>
    <n v="5728.21"/>
    <x v="0"/>
    <x v="0"/>
  </r>
  <r>
    <x v="6"/>
    <x v="0"/>
    <x v="0"/>
    <x v="0"/>
    <x v="0"/>
    <n v="3333.34"/>
    <x v="0"/>
    <x v="0"/>
  </r>
  <r>
    <x v="6"/>
    <x v="0"/>
    <x v="1"/>
    <x v="0"/>
    <x v="0"/>
    <n v="127.87"/>
    <x v="0"/>
    <x v="0"/>
  </r>
  <r>
    <x v="6"/>
    <x v="2"/>
    <x v="3"/>
    <x v="0"/>
    <x v="0"/>
    <n v="131687.79"/>
    <x v="0"/>
    <x v="0"/>
  </r>
  <r>
    <x v="6"/>
    <x v="0"/>
    <x v="2"/>
    <x v="0"/>
    <x v="0"/>
    <n v="14182.4"/>
    <x v="0"/>
    <x v="0"/>
  </r>
  <r>
    <x v="6"/>
    <x v="0"/>
    <x v="0"/>
    <x v="0"/>
    <x v="0"/>
    <n v="5997.84"/>
    <x v="0"/>
    <x v="0"/>
  </r>
  <r>
    <x v="6"/>
    <x v="0"/>
    <x v="0"/>
    <x v="0"/>
    <x v="0"/>
    <n v="2619.73"/>
    <x v="0"/>
    <x v="0"/>
  </r>
  <r>
    <x v="6"/>
    <x v="0"/>
    <x v="2"/>
    <x v="0"/>
    <x v="0"/>
    <n v="12024.66"/>
    <x v="0"/>
    <x v="0"/>
  </r>
  <r>
    <x v="6"/>
    <x v="0"/>
    <x v="2"/>
    <x v="0"/>
    <x v="0"/>
    <n v="10715.15"/>
    <x v="0"/>
    <x v="0"/>
  </r>
  <r>
    <x v="6"/>
    <x v="0"/>
    <x v="0"/>
    <x v="0"/>
    <x v="0"/>
    <n v="1856.11"/>
    <x v="0"/>
    <x v="0"/>
  </r>
  <r>
    <x v="6"/>
    <x v="0"/>
    <x v="0"/>
    <x v="0"/>
    <x v="0"/>
    <n v="1303.15"/>
    <x v="0"/>
    <x v="0"/>
  </r>
  <r>
    <x v="6"/>
    <x v="2"/>
    <x v="2"/>
    <x v="0"/>
    <x v="0"/>
    <n v="84694.13"/>
    <x v="0"/>
    <x v="0"/>
  </r>
  <r>
    <x v="6"/>
    <x v="2"/>
    <x v="3"/>
    <x v="0"/>
    <x v="0"/>
    <n v="127520.73"/>
    <x v="0"/>
    <x v="0"/>
  </r>
  <r>
    <x v="6"/>
    <x v="2"/>
    <x v="2"/>
    <x v="0"/>
    <x v="0"/>
    <n v="77895.39"/>
    <x v="0"/>
    <x v="0"/>
  </r>
  <r>
    <x v="6"/>
    <x v="2"/>
    <x v="0"/>
    <x v="0"/>
    <x v="0"/>
    <n v="1388.54"/>
    <x v="0"/>
    <x v="0"/>
  </r>
  <r>
    <x v="6"/>
    <x v="2"/>
    <x v="3"/>
    <x v="0"/>
    <x v="0"/>
    <n v="265088.15"/>
    <x v="0"/>
    <x v="0"/>
  </r>
  <r>
    <x v="6"/>
    <x v="2"/>
    <x v="0"/>
    <x v="0"/>
    <x v="0"/>
    <n v="7538.7"/>
    <x v="0"/>
    <x v="0"/>
  </r>
  <r>
    <x v="6"/>
    <x v="2"/>
    <x v="2"/>
    <x v="0"/>
    <x v="0"/>
    <n v="55861.27"/>
    <x v="0"/>
    <x v="0"/>
  </r>
  <r>
    <x v="6"/>
    <x v="2"/>
    <x v="2"/>
    <x v="0"/>
    <x v="0"/>
    <n v="63166.8"/>
    <x v="0"/>
    <x v="0"/>
  </r>
  <r>
    <x v="6"/>
    <x v="0"/>
    <x v="0"/>
    <x v="0"/>
    <x v="0"/>
    <n v="9586.99"/>
    <x v="0"/>
    <x v="0"/>
  </r>
  <r>
    <x v="6"/>
    <x v="0"/>
    <x v="2"/>
    <x v="0"/>
    <x v="0"/>
    <n v="13684.75"/>
    <x v="0"/>
    <x v="0"/>
  </r>
  <r>
    <x v="6"/>
    <x v="0"/>
    <x v="0"/>
    <x v="0"/>
    <x v="0"/>
    <n v="6291.93"/>
    <x v="0"/>
    <x v="0"/>
  </r>
  <r>
    <x v="6"/>
    <x v="0"/>
    <x v="2"/>
    <x v="0"/>
    <x v="0"/>
    <n v="10704.2"/>
    <x v="0"/>
    <x v="0"/>
  </r>
  <r>
    <x v="6"/>
    <x v="0"/>
    <x v="0"/>
    <x v="0"/>
    <x v="0"/>
    <n v="5656.37"/>
    <x v="0"/>
    <x v="0"/>
  </r>
  <r>
    <x v="6"/>
    <x v="0"/>
    <x v="1"/>
    <x v="0"/>
    <x v="0"/>
    <n v="450.21"/>
    <x v="0"/>
    <x v="0"/>
  </r>
  <r>
    <x v="6"/>
    <x v="2"/>
    <x v="3"/>
    <x v="0"/>
    <x v="0"/>
    <n v="343435.88"/>
    <x v="0"/>
    <x v="0"/>
  </r>
  <r>
    <x v="6"/>
    <x v="4"/>
    <x v="3"/>
    <x v="0"/>
    <x v="0"/>
    <n v="193433.79"/>
    <x v="0"/>
    <x v="0"/>
  </r>
  <r>
    <x v="6"/>
    <x v="0"/>
    <x v="0"/>
    <x v="0"/>
    <x v="0"/>
    <n v="4931.8"/>
    <x v="0"/>
    <x v="0"/>
  </r>
  <r>
    <x v="6"/>
    <x v="0"/>
    <x v="0"/>
    <x v="0"/>
    <x v="0"/>
    <n v="9906.29"/>
    <x v="0"/>
    <x v="0"/>
  </r>
  <r>
    <x v="6"/>
    <x v="0"/>
    <x v="2"/>
    <x v="0"/>
    <x v="0"/>
    <n v="11586.8"/>
    <x v="0"/>
    <x v="0"/>
  </r>
  <r>
    <x v="6"/>
    <x v="0"/>
    <x v="0"/>
    <x v="0"/>
    <x v="0"/>
    <n v="3226.62"/>
    <x v="0"/>
    <x v="0"/>
  </r>
  <r>
    <x v="6"/>
    <x v="0"/>
    <x v="0"/>
    <x v="0"/>
    <x v="0"/>
    <n v="1790.23"/>
    <x v="0"/>
    <x v="0"/>
  </r>
  <r>
    <x v="6"/>
    <x v="0"/>
    <x v="1"/>
    <x v="0"/>
    <x v="0"/>
    <n v="131.97"/>
    <x v="0"/>
    <x v="0"/>
  </r>
  <r>
    <x v="6"/>
    <x v="0"/>
    <x v="0"/>
    <x v="0"/>
    <x v="0"/>
    <n v="1405.24"/>
    <x v="0"/>
    <x v="0"/>
  </r>
  <r>
    <x v="6"/>
    <x v="0"/>
    <x v="1"/>
    <x v="0"/>
    <x v="0"/>
    <n v="738.07"/>
    <x v="0"/>
    <x v="0"/>
  </r>
  <r>
    <x v="6"/>
    <x v="1"/>
    <x v="3"/>
    <x v="0"/>
    <x v="0"/>
    <n v="180599.7"/>
    <x v="0"/>
    <x v="0"/>
  </r>
  <r>
    <x v="6"/>
    <x v="1"/>
    <x v="3"/>
    <x v="0"/>
    <x v="0"/>
    <n v="181896.67"/>
    <x v="0"/>
    <x v="0"/>
  </r>
  <r>
    <x v="6"/>
    <x v="0"/>
    <x v="2"/>
    <x v="0"/>
    <x v="0"/>
    <n v="12640.76"/>
    <x v="0"/>
    <x v="0"/>
  </r>
  <r>
    <x v="6"/>
    <x v="0"/>
    <x v="2"/>
    <x v="0"/>
    <x v="0"/>
    <n v="14338.89"/>
    <x v="0"/>
    <x v="0"/>
  </r>
  <r>
    <x v="6"/>
    <x v="0"/>
    <x v="0"/>
    <x v="0"/>
    <x v="0"/>
    <n v="3042.49"/>
    <x v="0"/>
    <x v="0"/>
  </r>
  <r>
    <x v="6"/>
    <x v="0"/>
    <x v="2"/>
    <x v="0"/>
    <x v="0"/>
    <n v="11771.68"/>
    <x v="0"/>
    <x v="0"/>
  </r>
  <r>
    <x v="6"/>
    <x v="1"/>
    <x v="3"/>
    <x v="0"/>
    <x v="0"/>
    <n v="137899.53"/>
    <x v="0"/>
    <x v="0"/>
  </r>
  <r>
    <x v="6"/>
    <x v="2"/>
    <x v="2"/>
    <x v="0"/>
    <x v="0"/>
    <n v="59189.32"/>
    <x v="0"/>
    <x v="0"/>
  </r>
  <r>
    <x v="6"/>
    <x v="0"/>
    <x v="2"/>
    <x v="0"/>
    <x v="0"/>
    <n v="13128.66"/>
    <x v="0"/>
    <x v="0"/>
  </r>
  <r>
    <x v="6"/>
    <x v="1"/>
    <x v="4"/>
    <x v="0"/>
    <x v="0"/>
    <n v="1197991.95"/>
    <x v="0"/>
    <x v="0"/>
  </r>
  <r>
    <x v="6"/>
    <x v="0"/>
    <x v="0"/>
    <x v="0"/>
    <x v="0"/>
    <n v="7382.31"/>
    <x v="0"/>
    <x v="0"/>
  </r>
  <r>
    <x v="6"/>
    <x v="0"/>
    <x v="0"/>
    <x v="0"/>
    <x v="0"/>
    <n v="9280.72"/>
    <x v="0"/>
    <x v="0"/>
  </r>
  <r>
    <x v="6"/>
    <x v="0"/>
    <x v="2"/>
    <x v="0"/>
    <x v="0"/>
    <n v="15918.62"/>
    <x v="0"/>
    <x v="0"/>
  </r>
  <r>
    <x v="6"/>
    <x v="0"/>
    <x v="0"/>
    <x v="0"/>
    <x v="0"/>
    <n v="3774.03"/>
    <x v="0"/>
    <x v="0"/>
  </r>
  <r>
    <x v="6"/>
    <x v="0"/>
    <x v="0"/>
    <x v="0"/>
    <x v="0"/>
    <n v="7262.43"/>
    <x v="0"/>
    <x v="0"/>
  </r>
  <r>
    <x v="6"/>
    <x v="4"/>
    <x v="2"/>
    <x v="0"/>
    <x v="0"/>
    <n v="77391.31"/>
    <x v="0"/>
    <x v="0"/>
  </r>
  <r>
    <x v="6"/>
    <x v="0"/>
    <x v="0"/>
    <x v="0"/>
    <x v="0"/>
    <n v="5507.6"/>
    <x v="0"/>
    <x v="0"/>
  </r>
  <r>
    <x v="6"/>
    <x v="1"/>
    <x v="3"/>
    <x v="0"/>
    <x v="0"/>
    <n v="941410.58"/>
    <x v="0"/>
    <x v="0"/>
  </r>
  <r>
    <x v="6"/>
    <x v="0"/>
    <x v="0"/>
    <x v="0"/>
    <x v="0"/>
    <n v="1842.71"/>
    <x v="0"/>
    <x v="0"/>
  </r>
  <r>
    <x v="6"/>
    <x v="0"/>
    <x v="2"/>
    <x v="0"/>
    <x v="0"/>
    <n v="15171.58"/>
    <x v="0"/>
    <x v="0"/>
  </r>
  <r>
    <x v="6"/>
    <x v="0"/>
    <x v="0"/>
    <x v="0"/>
    <x v="0"/>
    <n v="1399.07"/>
    <x v="0"/>
    <x v="0"/>
  </r>
  <r>
    <x v="6"/>
    <x v="0"/>
    <x v="2"/>
    <x v="0"/>
    <x v="0"/>
    <n v="11239.89"/>
    <x v="0"/>
    <x v="0"/>
  </r>
  <r>
    <x v="6"/>
    <x v="1"/>
    <x v="3"/>
    <x v="0"/>
    <x v="0"/>
    <n v="149478.58"/>
    <x v="0"/>
    <x v="0"/>
  </r>
  <r>
    <x v="6"/>
    <x v="3"/>
    <x v="0"/>
    <x v="0"/>
    <x v="0"/>
    <n v="4213.82"/>
    <x v="0"/>
    <x v="0"/>
  </r>
  <r>
    <x v="6"/>
    <x v="0"/>
    <x v="0"/>
    <x v="0"/>
    <x v="0"/>
    <n v="6998.25"/>
    <x v="0"/>
    <x v="0"/>
  </r>
  <r>
    <x v="6"/>
    <x v="0"/>
    <x v="0"/>
    <x v="0"/>
    <x v="0"/>
    <n v="3317.5"/>
    <x v="0"/>
    <x v="0"/>
  </r>
  <r>
    <x v="6"/>
    <x v="0"/>
    <x v="0"/>
    <x v="0"/>
    <x v="0"/>
    <n v="4972.49"/>
    <x v="0"/>
    <x v="0"/>
  </r>
  <r>
    <x v="6"/>
    <x v="0"/>
    <x v="1"/>
    <x v="0"/>
    <x v="0"/>
    <n v="38.92"/>
    <x v="0"/>
    <x v="0"/>
  </r>
  <r>
    <x v="6"/>
    <x v="0"/>
    <x v="0"/>
    <x v="0"/>
    <x v="0"/>
    <n v="8521.16"/>
    <x v="0"/>
    <x v="0"/>
  </r>
  <r>
    <x v="6"/>
    <x v="0"/>
    <x v="0"/>
    <x v="0"/>
    <x v="0"/>
    <n v="2498.82"/>
    <x v="0"/>
    <x v="0"/>
  </r>
  <r>
    <x v="6"/>
    <x v="1"/>
    <x v="3"/>
    <x v="0"/>
    <x v="0"/>
    <n v="787766.57"/>
    <x v="0"/>
    <x v="0"/>
  </r>
  <r>
    <x v="6"/>
    <x v="0"/>
    <x v="2"/>
    <x v="0"/>
    <x v="0"/>
    <n v="13979.52"/>
    <x v="0"/>
    <x v="0"/>
  </r>
  <r>
    <x v="6"/>
    <x v="0"/>
    <x v="0"/>
    <x v="0"/>
    <x v="0"/>
    <n v="3285.43"/>
    <x v="0"/>
    <x v="0"/>
  </r>
  <r>
    <x v="6"/>
    <x v="0"/>
    <x v="0"/>
    <x v="0"/>
    <x v="0"/>
    <n v="6166.59"/>
    <x v="0"/>
    <x v="0"/>
  </r>
  <r>
    <x v="6"/>
    <x v="0"/>
    <x v="2"/>
    <x v="0"/>
    <x v="0"/>
    <n v="28085.91"/>
    <x v="0"/>
    <x v="0"/>
  </r>
  <r>
    <x v="6"/>
    <x v="0"/>
    <x v="0"/>
    <x v="0"/>
    <x v="0"/>
    <n v="2944.03"/>
    <x v="0"/>
    <x v="0"/>
  </r>
  <r>
    <x v="6"/>
    <x v="0"/>
    <x v="2"/>
    <x v="0"/>
    <x v="0"/>
    <n v="24936.23"/>
    <x v="0"/>
    <x v="0"/>
  </r>
  <r>
    <x v="6"/>
    <x v="0"/>
    <x v="2"/>
    <x v="0"/>
    <x v="0"/>
    <n v="12186.86"/>
    <x v="0"/>
    <x v="0"/>
  </r>
  <r>
    <x v="6"/>
    <x v="0"/>
    <x v="0"/>
    <x v="0"/>
    <x v="0"/>
    <n v="2981.14"/>
    <x v="0"/>
    <x v="0"/>
  </r>
  <r>
    <x v="6"/>
    <x v="0"/>
    <x v="2"/>
    <x v="0"/>
    <x v="0"/>
    <n v="11107.59"/>
    <x v="0"/>
    <x v="0"/>
  </r>
  <r>
    <x v="6"/>
    <x v="0"/>
    <x v="2"/>
    <x v="0"/>
    <x v="0"/>
    <n v="10445.05"/>
    <x v="0"/>
    <x v="0"/>
  </r>
  <r>
    <x v="6"/>
    <x v="0"/>
    <x v="2"/>
    <x v="0"/>
    <x v="0"/>
    <n v="10311.31"/>
    <x v="0"/>
    <x v="0"/>
  </r>
  <r>
    <x v="6"/>
    <x v="0"/>
    <x v="1"/>
    <x v="0"/>
    <x v="0"/>
    <n v="418.38"/>
    <x v="0"/>
    <x v="0"/>
  </r>
  <r>
    <x v="6"/>
    <x v="0"/>
    <x v="2"/>
    <x v="0"/>
    <x v="0"/>
    <n v="36617.58"/>
    <x v="0"/>
    <x v="0"/>
  </r>
  <r>
    <x v="6"/>
    <x v="0"/>
    <x v="2"/>
    <x v="0"/>
    <x v="0"/>
    <n v="10930.96"/>
    <x v="0"/>
    <x v="0"/>
  </r>
  <r>
    <x v="6"/>
    <x v="0"/>
    <x v="2"/>
    <x v="0"/>
    <x v="0"/>
    <n v="18039.3"/>
    <x v="0"/>
    <x v="0"/>
  </r>
  <r>
    <x v="6"/>
    <x v="0"/>
    <x v="1"/>
    <x v="0"/>
    <x v="0"/>
    <n v="936.44"/>
    <x v="0"/>
    <x v="0"/>
  </r>
  <r>
    <x v="6"/>
    <x v="0"/>
    <x v="0"/>
    <x v="0"/>
    <x v="0"/>
    <n v="5078.28"/>
    <x v="0"/>
    <x v="0"/>
  </r>
  <r>
    <x v="6"/>
    <x v="0"/>
    <x v="0"/>
    <x v="0"/>
    <x v="0"/>
    <n v="7402.51"/>
    <x v="0"/>
    <x v="0"/>
  </r>
  <r>
    <x v="6"/>
    <x v="0"/>
    <x v="0"/>
    <x v="0"/>
    <x v="0"/>
    <n v="5503.71"/>
    <x v="0"/>
    <x v="0"/>
  </r>
  <r>
    <x v="6"/>
    <x v="0"/>
    <x v="0"/>
    <x v="0"/>
    <x v="0"/>
    <n v="6331.43"/>
    <x v="0"/>
    <x v="0"/>
  </r>
  <r>
    <x v="6"/>
    <x v="0"/>
    <x v="0"/>
    <x v="0"/>
    <x v="0"/>
    <n v="7596.59"/>
    <x v="0"/>
    <x v="0"/>
  </r>
  <r>
    <x v="6"/>
    <x v="0"/>
    <x v="0"/>
    <x v="0"/>
    <x v="0"/>
    <n v="2059.07"/>
    <x v="0"/>
    <x v="0"/>
  </r>
  <r>
    <x v="6"/>
    <x v="0"/>
    <x v="0"/>
    <x v="0"/>
    <x v="0"/>
    <n v="1015.6"/>
    <x v="0"/>
    <x v="0"/>
  </r>
  <r>
    <x v="6"/>
    <x v="0"/>
    <x v="0"/>
    <x v="0"/>
    <x v="0"/>
    <n v="9386.08"/>
    <x v="0"/>
    <x v="0"/>
  </r>
  <r>
    <x v="6"/>
    <x v="0"/>
    <x v="2"/>
    <x v="0"/>
    <x v="0"/>
    <n v="45047.16"/>
    <x v="0"/>
    <x v="0"/>
  </r>
  <r>
    <x v="6"/>
    <x v="0"/>
    <x v="0"/>
    <x v="0"/>
    <x v="0"/>
    <n v="4801.94"/>
    <x v="0"/>
    <x v="0"/>
  </r>
  <r>
    <x v="6"/>
    <x v="0"/>
    <x v="0"/>
    <x v="0"/>
    <x v="0"/>
    <n v="4186.36"/>
    <x v="0"/>
    <x v="0"/>
  </r>
  <r>
    <x v="6"/>
    <x v="0"/>
    <x v="0"/>
    <x v="0"/>
    <x v="0"/>
    <n v="8144.35"/>
    <x v="0"/>
    <x v="0"/>
  </r>
  <r>
    <x v="6"/>
    <x v="0"/>
    <x v="0"/>
    <x v="0"/>
    <x v="0"/>
    <n v="3788.13"/>
    <x v="0"/>
    <x v="0"/>
  </r>
  <r>
    <x v="6"/>
    <x v="0"/>
    <x v="0"/>
    <x v="0"/>
    <x v="0"/>
    <n v="7456.44"/>
    <x v="0"/>
    <x v="0"/>
  </r>
  <r>
    <x v="6"/>
    <x v="1"/>
    <x v="3"/>
    <x v="0"/>
    <x v="0"/>
    <n v="538645.8"/>
    <x v="0"/>
    <x v="0"/>
  </r>
  <r>
    <x v="6"/>
    <x v="0"/>
    <x v="0"/>
    <x v="0"/>
    <x v="0"/>
    <n v="6230.44"/>
    <x v="0"/>
    <x v="0"/>
  </r>
  <r>
    <x v="6"/>
    <x v="0"/>
    <x v="1"/>
    <x v="0"/>
    <x v="0"/>
    <n v="803.32"/>
    <x v="0"/>
    <x v="0"/>
  </r>
  <r>
    <x v="6"/>
    <x v="1"/>
    <x v="2"/>
    <x v="0"/>
    <x v="0"/>
    <n v="57573.06"/>
    <x v="0"/>
    <x v="0"/>
  </r>
  <r>
    <x v="6"/>
    <x v="0"/>
    <x v="0"/>
    <x v="0"/>
    <x v="0"/>
    <n v="1147.41"/>
    <x v="0"/>
    <x v="0"/>
  </r>
  <r>
    <x v="6"/>
    <x v="0"/>
    <x v="0"/>
    <x v="0"/>
    <x v="0"/>
    <n v="5867.74"/>
    <x v="0"/>
    <x v="0"/>
  </r>
  <r>
    <x v="6"/>
    <x v="0"/>
    <x v="2"/>
    <x v="0"/>
    <x v="0"/>
    <n v="18615.15"/>
    <x v="0"/>
    <x v="0"/>
  </r>
  <r>
    <x v="6"/>
    <x v="0"/>
    <x v="0"/>
    <x v="0"/>
    <x v="0"/>
    <n v="8251.07"/>
    <x v="0"/>
    <x v="0"/>
  </r>
  <r>
    <x v="6"/>
    <x v="0"/>
    <x v="0"/>
    <x v="0"/>
    <x v="0"/>
    <n v="5401.29"/>
    <x v="0"/>
    <x v="0"/>
  </r>
  <r>
    <x v="6"/>
    <x v="0"/>
    <x v="0"/>
    <x v="0"/>
    <x v="0"/>
    <n v="2626.7"/>
    <x v="0"/>
    <x v="0"/>
  </r>
  <r>
    <x v="6"/>
    <x v="0"/>
    <x v="0"/>
    <x v="0"/>
    <x v="0"/>
    <n v="3259.83"/>
    <x v="0"/>
    <x v="0"/>
  </r>
  <r>
    <x v="6"/>
    <x v="0"/>
    <x v="1"/>
    <x v="0"/>
    <x v="0"/>
    <n v="406.26"/>
    <x v="0"/>
    <x v="0"/>
  </r>
  <r>
    <x v="6"/>
    <x v="0"/>
    <x v="2"/>
    <x v="0"/>
    <x v="0"/>
    <n v="14589.17"/>
    <x v="0"/>
    <x v="0"/>
  </r>
  <r>
    <x v="6"/>
    <x v="1"/>
    <x v="3"/>
    <x v="0"/>
    <x v="0"/>
    <n v="255588.22"/>
    <x v="0"/>
    <x v="0"/>
  </r>
  <r>
    <x v="6"/>
    <x v="0"/>
    <x v="2"/>
    <x v="0"/>
    <x v="0"/>
    <n v="12999.97"/>
    <x v="0"/>
    <x v="0"/>
  </r>
  <r>
    <x v="6"/>
    <x v="1"/>
    <x v="3"/>
    <x v="0"/>
    <x v="0"/>
    <n v="412292.82"/>
    <x v="0"/>
    <x v="0"/>
  </r>
  <r>
    <x v="6"/>
    <x v="2"/>
    <x v="3"/>
    <x v="0"/>
    <x v="0"/>
    <n v="263470.87"/>
    <x v="0"/>
    <x v="0"/>
  </r>
  <r>
    <x v="6"/>
    <x v="0"/>
    <x v="0"/>
    <x v="0"/>
    <x v="0"/>
    <n v="2486.24"/>
    <x v="0"/>
    <x v="0"/>
  </r>
  <r>
    <x v="6"/>
    <x v="0"/>
    <x v="2"/>
    <x v="0"/>
    <x v="0"/>
    <n v="11946.93"/>
    <x v="0"/>
    <x v="0"/>
  </r>
  <r>
    <x v="6"/>
    <x v="2"/>
    <x v="2"/>
    <x v="0"/>
    <x v="0"/>
    <n v="78749.2"/>
    <x v="0"/>
    <x v="0"/>
  </r>
  <r>
    <x v="6"/>
    <x v="0"/>
    <x v="0"/>
    <x v="0"/>
    <x v="0"/>
    <n v="8350.49"/>
    <x v="0"/>
    <x v="0"/>
  </r>
  <r>
    <x v="6"/>
    <x v="0"/>
    <x v="0"/>
    <x v="0"/>
    <x v="0"/>
    <n v="2388.79"/>
    <x v="0"/>
    <x v="0"/>
  </r>
  <r>
    <x v="6"/>
    <x v="0"/>
    <x v="0"/>
    <x v="0"/>
    <x v="0"/>
    <n v="8475.28"/>
    <x v="0"/>
    <x v="0"/>
  </r>
  <r>
    <x v="6"/>
    <x v="0"/>
    <x v="0"/>
    <x v="0"/>
    <x v="0"/>
    <n v="2359.89"/>
    <x v="0"/>
    <x v="0"/>
  </r>
  <r>
    <x v="6"/>
    <x v="0"/>
    <x v="0"/>
    <x v="0"/>
    <x v="0"/>
    <n v="7201.17"/>
    <x v="0"/>
    <x v="0"/>
  </r>
  <r>
    <x v="6"/>
    <x v="4"/>
    <x v="2"/>
    <x v="0"/>
    <x v="0"/>
    <n v="47599.58"/>
    <x v="0"/>
    <x v="0"/>
  </r>
  <r>
    <x v="6"/>
    <x v="0"/>
    <x v="2"/>
    <x v="0"/>
    <x v="0"/>
    <n v="17125.12"/>
    <x v="0"/>
    <x v="0"/>
  </r>
  <r>
    <x v="6"/>
    <x v="0"/>
    <x v="2"/>
    <x v="0"/>
    <x v="0"/>
    <n v="16981.52"/>
    <x v="0"/>
    <x v="0"/>
  </r>
  <r>
    <x v="6"/>
    <x v="0"/>
    <x v="0"/>
    <x v="0"/>
    <x v="0"/>
    <n v="2367.97"/>
    <x v="0"/>
    <x v="0"/>
  </r>
  <r>
    <x v="6"/>
    <x v="0"/>
    <x v="0"/>
    <x v="0"/>
    <x v="0"/>
    <n v="1698.43"/>
    <x v="0"/>
    <x v="0"/>
  </r>
  <r>
    <x v="6"/>
    <x v="0"/>
    <x v="0"/>
    <x v="0"/>
    <x v="0"/>
    <n v="3149.64"/>
    <x v="0"/>
    <x v="0"/>
  </r>
  <r>
    <x v="6"/>
    <x v="4"/>
    <x v="3"/>
    <x v="0"/>
    <x v="0"/>
    <n v="168865.24"/>
    <x v="0"/>
    <x v="0"/>
  </r>
  <r>
    <x v="6"/>
    <x v="4"/>
    <x v="2"/>
    <x v="0"/>
    <x v="0"/>
    <n v="42273.58"/>
    <x v="0"/>
    <x v="0"/>
  </r>
  <r>
    <x v="6"/>
    <x v="4"/>
    <x v="3"/>
    <x v="0"/>
    <x v="0"/>
    <n v="230553.47"/>
    <x v="0"/>
    <x v="0"/>
  </r>
  <r>
    <x v="6"/>
    <x v="4"/>
    <x v="3"/>
    <x v="0"/>
    <x v="0"/>
    <n v="373377.64"/>
    <x v="0"/>
    <x v="0"/>
  </r>
  <r>
    <x v="6"/>
    <x v="4"/>
    <x v="2"/>
    <x v="0"/>
    <x v="0"/>
    <n v="16589.84"/>
    <x v="0"/>
    <x v="0"/>
  </r>
  <r>
    <x v="6"/>
    <x v="4"/>
    <x v="3"/>
    <x v="0"/>
    <x v="0"/>
    <n v="391107.94"/>
    <x v="0"/>
    <x v="0"/>
  </r>
  <r>
    <x v="6"/>
    <x v="4"/>
    <x v="3"/>
    <x v="0"/>
    <x v="0"/>
    <n v="198259.74"/>
    <x v="0"/>
    <x v="0"/>
  </r>
  <r>
    <x v="6"/>
    <x v="4"/>
    <x v="3"/>
    <x v="0"/>
    <x v="0"/>
    <n v="383903.55"/>
    <x v="0"/>
    <x v="0"/>
  </r>
  <r>
    <x v="6"/>
    <x v="4"/>
    <x v="3"/>
    <x v="0"/>
    <x v="0"/>
    <n v="168494.53"/>
    <x v="0"/>
    <x v="0"/>
  </r>
  <r>
    <x v="6"/>
    <x v="4"/>
    <x v="0"/>
    <x v="0"/>
    <x v="0"/>
    <n v="9258.63"/>
    <x v="0"/>
    <x v="0"/>
  </r>
  <r>
    <x v="6"/>
    <x v="4"/>
    <x v="3"/>
    <x v="0"/>
    <x v="0"/>
    <n v="157949.14"/>
    <x v="0"/>
    <x v="0"/>
  </r>
  <r>
    <x v="6"/>
    <x v="4"/>
    <x v="2"/>
    <x v="0"/>
    <x v="0"/>
    <n v="73821.85"/>
    <x v="0"/>
    <x v="0"/>
  </r>
  <r>
    <x v="6"/>
    <x v="4"/>
    <x v="3"/>
    <x v="0"/>
    <x v="0"/>
    <n v="109184.86"/>
    <x v="0"/>
    <x v="0"/>
  </r>
  <r>
    <x v="6"/>
    <x v="4"/>
    <x v="3"/>
    <x v="0"/>
    <x v="0"/>
    <n v="187907.16"/>
    <x v="0"/>
    <x v="0"/>
  </r>
  <r>
    <x v="6"/>
    <x v="4"/>
    <x v="2"/>
    <x v="0"/>
    <x v="0"/>
    <n v="93809.09"/>
    <x v="0"/>
    <x v="0"/>
  </r>
  <r>
    <x v="6"/>
    <x v="4"/>
    <x v="2"/>
    <x v="0"/>
    <x v="0"/>
    <n v="56895.69"/>
    <x v="0"/>
    <x v="0"/>
  </r>
  <r>
    <x v="6"/>
    <x v="4"/>
    <x v="3"/>
    <x v="0"/>
    <x v="0"/>
    <n v="171845.69"/>
    <x v="0"/>
    <x v="0"/>
  </r>
  <r>
    <x v="6"/>
    <x v="4"/>
    <x v="3"/>
    <x v="0"/>
    <x v="0"/>
    <n v="648692.12"/>
    <x v="0"/>
    <x v="0"/>
  </r>
  <r>
    <x v="6"/>
    <x v="4"/>
    <x v="2"/>
    <x v="0"/>
    <x v="0"/>
    <n v="29910.72"/>
    <x v="0"/>
    <x v="0"/>
  </r>
  <r>
    <x v="6"/>
    <x v="4"/>
    <x v="2"/>
    <x v="0"/>
    <x v="0"/>
    <n v="69916.1"/>
    <x v="0"/>
    <x v="0"/>
  </r>
  <r>
    <x v="6"/>
    <x v="4"/>
    <x v="2"/>
    <x v="0"/>
    <x v="0"/>
    <n v="21599.4"/>
    <x v="0"/>
    <x v="0"/>
  </r>
  <r>
    <x v="6"/>
    <x v="4"/>
    <x v="2"/>
    <x v="0"/>
    <x v="0"/>
    <n v="37048.22"/>
    <x v="0"/>
    <x v="0"/>
  </r>
  <r>
    <x v="6"/>
    <x v="4"/>
    <x v="2"/>
    <x v="0"/>
    <x v="0"/>
    <n v="89141.18"/>
    <x v="0"/>
    <x v="0"/>
  </r>
  <r>
    <x v="6"/>
    <x v="4"/>
    <x v="2"/>
    <x v="0"/>
    <x v="0"/>
    <n v="41303.17"/>
    <x v="0"/>
    <x v="0"/>
  </r>
  <r>
    <x v="6"/>
    <x v="4"/>
    <x v="3"/>
    <x v="0"/>
    <x v="0"/>
    <n v="123226.55"/>
    <x v="0"/>
    <x v="0"/>
  </r>
  <r>
    <x v="6"/>
    <x v="4"/>
    <x v="2"/>
    <x v="0"/>
    <x v="0"/>
    <n v="16220.42"/>
    <x v="0"/>
    <x v="0"/>
  </r>
  <r>
    <x v="6"/>
    <x v="4"/>
    <x v="2"/>
    <x v="0"/>
    <x v="0"/>
    <n v="85410.75"/>
    <x v="0"/>
    <x v="0"/>
  </r>
  <r>
    <x v="6"/>
    <x v="4"/>
    <x v="3"/>
    <x v="0"/>
    <x v="0"/>
    <n v="200247.34"/>
    <x v="0"/>
    <x v="0"/>
  </r>
  <r>
    <x v="6"/>
    <x v="4"/>
    <x v="3"/>
    <x v="0"/>
    <x v="0"/>
    <n v="170483.99"/>
    <x v="0"/>
    <x v="0"/>
  </r>
  <r>
    <x v="6"/>
    <x v="4"/>
    <x v="3"/>
    <x v="0"/>
    <x v="0"/>
    <n v="111147.63"/>
    <x v="0"/>
    <x v="0"/>
  </r>
  <r>
    <x v="6"/>
    <x v="4"/>
    <x v="3"/>
    <x v="0"/>
    <x v="0"/>
    <n v="111324.2"/>
    <x v="0"/>
    <x v="0"/>
  </r>
  <r>
    <x v="6"/>
    <x v="4"/>
    <x v="2"/>
    <x v="0"/>
    <x v="0"/>
    <n v="65228.2"/>
    <x v="0"/>
    <x v="0"/>
  </r>
  <r>
    <x v="6"/>
    <x v="4"/>
    <x v="3"/>
    <x v="0"/>
    <x v="0"/>
    <n v="117158.12"/>
    <x v="0"/>
    <x v="0"/>
  </r>
  <r>
    <x v="6"/>
    <x v="4"/>
    <x v="3"/>
    <x v="0"/>
    <x v="0"/>
    <n v="107086.8"/>
    <x v="0"/>
    <x v="0"/>
  </r>
  <r>
    <x v="6"/>
    <x v="4"/>
    <x v="2"/>
    <x v="0"/>
    <x v="0"/>
    <n v="87046.13"/>
    <x v="0"/>
    <x v="0"/>
  </r>
  <r>
    <x v="6"/>
    <x v="4"/>
    <x v="3"/>
    <x v="0"/>
    <x v="0"/>
    <n v="273252.15"/>
    <x v="0"/>
    <x v="0"/>
  </r>
  <r>
    <x v="6"/>
    <x v="4"/>
    <x v="2"/>
    <x v="0"/>
    <x v="0"/>
    <n v="25300.21"/>
    <x v="0"/>
    <x v="0"/>
  </r>
  <r>
    <x v="6"/>
    <x v="4"/>
    <x v="3"/>
    <x v="0"/>
    <x v="0"/>
    <n v="227301.31"/>
    <x v="0"/>
    <x v="0"/>
  </r>
  <r>
    <x v="6"/>
    <x v="4"/>
    <x v="3"/>
    <x v="0"/>
    <x v="0"/>
    <n v="157778.57"/>
    <x v="0"/>
    <x v="0"/>
  </r>
  <r>
    <x v="6"/>
    <x v="4"/>
    <x v="3"/>
    <x v="0"/>
    <x v="0"/>
    <n v="149708.54"/>
    <x v="0"/>
    <x v="0"/>
  </r>
  <r>
    <x v="6"/>
    <x v="4"/>
    <x v="2"/>
    <x v="0"/>
    <x v="0"/>
    <n v="22880.85"/>
    <x v="0"/>
    <x v="0"/>
  </r>
  <r>
    <x v="6"/>
    <x v="4"/>
    <x v="2"/>
    <x v="0"/>
    <x v="0"/>
    <n v="47019.01"/>
    <x v="0"/>
    <x v="0"/>
  </r>
  <r>
    <x v="6"/>
    <x v="4"/>
    <x v="2"/>
    <x v="0"/>
    <x v="0"/>
    <n v="10210.72"/>
    <x v="0"/>
    <x v="0"/>
  </r>
  <r>
    <x v="6"/>
    <x v="4"/>
    <x v="3"/>
    <x v="0"/>
    <x v="0"/>
    <n v="159219.3"/>
    <x v="0"/>
    <x v="0"/>
  </r>
  <r>
    <x v="6"/>
    <x v="4"/>
    <x v="2"/>
    <x v="0"/>
    <x v="0"/>
    <n v="43573.75"/>
    <x v="0"/>
    <x v="0"/>
  </r>
  <r>
    <x v="6"/>
    <x v="4"/>
    <x v="3"/>
    <x v="0"/>
    <x v="0"/>
    <n v="138323.26"/>
    <x v="0"/>
    <x v="0"/>
  </r>
  <r>
    <x v="6"/>
    <x v="4"/>
    <x v="2"/>
    <x v="0"/>
    <x v="0"/>
    <n v="87674.24"/>
    <x v="0"/>
    <x v="0"/>
  </r>
  <r>
    <x v="6"/>
    <x v="4"/>
    <x v="3"/>
    <x v="0"/>
    <x v="0"/>
    <n v="210269.66"/>
    <x v="0"/>
    <x v="0"/>
  </r>
  <r>
    <x v="6"/>
    <x v="4"/>
    <x v="2"/>
    <x v="0"/>
    <x v="0"/>
    <n v="89913.16"/>
    <x v="0"/>
    <x v="0"/>
  </r>
  <r>
    <x v="6"/>
    <x v="1"/>
    <x v="3"/>
    <x v="0"/>
    <x v="0"/>
    <n v="359325.17"/>
    <x v="0"/>
    <x v="0"/>
  </r>
  <r>
    <x v="6"/>
    <x v="0"/>
    <x v="0"/>
    <x v="0"/>
    <x v="0"/>
    <n v="8290.76"/>
    <x v="0"/>
    <x v="0"/>
  </r>
  <r>
    <x v="6"/>
    <x v="0"/>
    <x v="0"/>
    <x v="0"/>
    <x v="0"/>
    <n v="2253.07"/>
    <x v="0"/>
    <x v="0"/>
  </r>
  <r>
    <x v="6"/>
    <x v="0"/>
    <x v="0"/>
    <x v="0"/>
    <x v="0"/>
    <n v="3262.18"/>
    <x v="0"/>
    <x v="0"/>
  </r>
  <r>
    <x v="6"/>
    <x v="0"/>
    <x v="0"/>
    <x v="0"/>
    <x v="0"/>
    <n v="3830.42"/>
    <x v="0"/>
    <x v="0"/>
  </r>
  <r>
    <x v="6"/>
    <x v="0"/>
    <x v="2"/>
    <x v="0"/>
    <x v="0"/>
    <n v="19203.29"/>
    <x v="0"/>
    <x v="0"/>
  </r>
  <r>
    <x v="6"/>
    <x v="0"/>
    <x v="1"/>
    <x v="0"/>
    <x v="0"/>
    <n v="54.35"/>
    <x v="0"/>
    <x v="0"/>
  </r>
  <r>
    <x v="6"/>
    <x v="0"/>
    <x v="0"/>
    <x v="0"/>
    <x v="0"/>
    <n v="9177.19"/>
    <x v="0"/>
    <x v="0"/>
  </r>
  <r>
    <x v="6"/>
    <x v="1"/>
    <x v="3"/>
    <x v="0"/>
    <x v="0"/>
    <n v="126588.51"/>
    <x v="0"/>
    <x v="0"/>
  </r>
  <r>
    <x v="6"/>
    <x v="0"/>
    <x v="0"/>
    <x v="0"/>
    <x v="0"/>
    <n v="8251.18"/>
    <x v="0"/>
    <x v="0"/>
  </r>
  <r>
    <x v="6"/>
    <x v="1"/>
    <x v="3"/>
    <x v="0"/>
    <x v="0"/>
    <n v="253181.89"/>
    <x v="0"/>
    <x v="0"/>
  </r>
  <r>
    <x v="6"/>
    <x v="2"/>
    <x v="2"/>
    <x v="0"/>
    <x v="0"/>
    <n v="11461.85"/>
    <x v="0"/>
    <x v="0"/>
  </r>
  <r>
    <x v="6"/>
    <x v="0"/>
    <x v="0"/>
    <x v="0"/>
    <x v="0"/>
    <n v="2533.81"/>
    <x v="0"/>
    <x v="0"/>
  </r>
  <r>
    <x v="6"/>
    <x v="2"/>
    <x v="2"/>
    <x v="0"/>
    <x v="0"/>
    <n v="45311.22"/>
    <x v="0"/>
    <x v="0"/>
  </r>
  <r>
    <x v="6"/>
    <x v="3"/>
    <x v="0"/>
    <x v="0"/>
    <x v="0"/>
    <n v="1970.73"/>
    <x v="0"/>
    <x v="0"/>
  </r>
  <r>
    <x v="6"/>
    <x v="2"/>
    <x v="2"/>
    <x v="0"/>
    <x v="0"/>
    <n v="41693.6"/>
    <x v="0"/>
    <x v="0"/>
  </r>
  <r>
    <x v="6"/>
    <x v="1"/>
    <x v="4"/>
    <x v="0"/>
    <x v="0"/>
    <n v="1123213.77"/>
    <x v="0"/>
    <x v="0"/>
  </r>
  <r>
    <x v="6"/>
    <x v="0"/>
    <x v="0"/>
    <x v="0"/>
    <x v="0"/>
    <n v="3805.94"/>
    <x v="0"/>
    <x v="0"/>
  </r>
  <r>
    <x v="6"/>
    <x v="0"/>
    <x v="0"/>
    <x v="0"/>
    <x v="0"/>
    <n v="2974.37"/>
    <x v="0"/>
    <x v="0"/>
  </r>
  <r>
    <x v="6"/>
    <x v="0"/>
    <x v="0"/>
    <x v="0"/>
    <x v="0"/>
    <n v="6323.42"/>
    <x v="0"/>
    <x v="0"/>
  </r>
  <r>
    <x v="6"/>
    <x v="1"/>
    <x v="4"/>
    <x v="0"/>
    <x v="0"/>
    <n v="1103184.69"/>
    <x v="0"/>
    <x v="0"/>
  </r>
  <r>
    <x v="6"/>
    <x v="0"/>
    <x v="2"/>
    <x v="0"/>
    <x v="0"/>
    <n v="15051.54"/>
    <x v="0"/>
    <x v="0"/>
  </r>
  <r>
    <x v="6"/>
    <x v="1"/>
    <x v="4"/>
    <x v="0"/>
    <x v="0"/>
    <n v="1094308.58"/>
    <x v="0"/>
    <x v="0"/>
  </r>
  <r>
    <x v="6"/>
    <x v="1"/>
    <x v="3"/>
    <x v="0"/>
    <x v="0"/>
    <n v="192197.94"/>
    <x v="0"/>
    <x v="0"/>
  </r>
  <r>
    <x v="6"/>
    <x v="0"/>
    <x v="0"/>
    <x v="0"/>
    <x v="0"/>
    <n v="4838.62"/>
    <x v="0"/>
    <x v="0"/>
  </r>
  <r>
    <x v="6"/>
    <x v="1"/>
    <x v="3"/>
    <x v="0"/>
    <x v="0"/>
    <n v="356342.94"/>
    <x v="0"/>
    <x v="0"/>
  </r>
  <r>
    <x v="6"/>
    <x v="0"/>
    <x v="0"/>
    <x v="0"/>
    <x v="0"/>
    <n v="7716.74"/>
    <x v="0"/>
    <x v="0"/>
  </r>
  <r>
    <x v="6"/>
    <x v="0"/>
    <x v="0"/>
    <x v="0"/>
    <x v="0"/>
    <n v="6158.36"/>
    <x v="0"/>
    <x v="0"/>
  </r>
  <r>
    <x v="6"/>
    <x v="0"/>
    <x v="0"/>
    <x v="0"/>
    <x v="0"/>
    <n v="8528.94"/>
    <x v="0"/>
    <x v="0"/>
  </r>
  <r>
    <x v="6"/>
    <x v="0"/>
    <x v="0"/>
    <x v="0"/>
    <x v="0"/>
    <n v="8415.4"/>
    <x v="0"/>
    <x v="0"/>
  </r>
  <r>
    <x v="6"/>
    <x v="0"/>
    <x v="0"/>
    <x v="0"/>
    <x v="0"/>
    <n v="7257.41"/>
    <x v="0"/>
    <x v="0"/>
  </r>
  <r>
    <x v="6"/>
    <x v="0"/>
    <x v="0"/>
    <x v="0"/>
    <x v="0"/>
    <n v="6324.09"/>
    <x v="0"/>
    <x v="0"/>
  </r>
  <r>
    <x v="6"/>
    <x v="0"/>
    <x v="2"/>
    <x v="0"/>
    <x v="0"/>
    <n v="28342.33"/>
    <x v="0"/>
    <x v="0"/>
  </r>
  <r>
    <x v="6"/>
    <x v="0"/>
    <x v="1"/>
    <x v="0"/>
    <x v="0"/>
    <n v="924.35"/>
    <x v="0"/>
    <x v="0"/>
  </r>
  <r>
    <x v="6"/>
    <x v="0"/>
    <x v="0"/>
    <x v="0"/>
    <x v="0"/>
    <n v="7817.4"/>
    <x v="0"/>
    <x v="0"/>
  </r>
  <r>
    <x v="6"/>
    <x v="1"/>
    <x v="3"/>
    <x v="0"/>
    <x v="0"/>
    <n v="164242.82"/>
    <x v="0"/>
    <x v="0"/>
  </r>
  <r>
    <x v="6"/>
    <x v="0"/>
    <x v="0"/>
    <x v="0"/>
    <x v="0"/>
    <n v="7848.76"/>
    <x v="0"/>
    <x v="0"/>
  </r>
  <r>
    <x v="6"/>
    <x v="0"/>
    <x v="0"/>
    <x v="0"/>
    <x v="0"/>
    <n v="6581.53"/>
    <x v="0"/>
    <x v="0"/>
  </r>
  <r>
    <x v="6"/>
    <x v="0"/>
    <x v="0"/>
    <x v="0"/>
    <x v="0"/>
    <n v="2114.18"/>
    <x v="0"/>
    <x v="0"/>
  </r>
  <r>
    <x v="6"/>
    <x v="0"/>
    <x v="0"/>
    <x v="0"/>
    <x v="0"/>
    <n v="7624.43"/>
    <x v="0"/>
    <x v="0"/>
  </r>
  <r>
    <x v="6"/>
    <x v="0"/>
    <x v="0"/>
    <x v="0"/>
    <x v="0"/>
    <n v="8484.52"/>
    <x v="0"/>
    <x v="0"/>
  </r>
  <r>
    <x v="6"/>
    <x v="0"/>
    <x v="1"/>
    <x v="0"/>
    <x v="0"/>
    <n v="885.48"/>
    <x v="0"/>
    <x v="0"/>
  </r>
  <r>
    <x v="6"/>
    <x v="0"/>
    <x v="0"/>
    <x v="0"/>
    <x v="0"/>
    <n v="6929.14"/>
    <x v="0"/>
    <x v="0"/>
  </r>
  <r>
    <x v="6"/>
    <x v="0"/>
    <x v="0"/>
    <x v="0"/>
    <x v="0"/>
    <n v="4341.19"/>
    <x v="0"/>
    <x v="0"/>
  </r>
  <r>
    <x v="6"/>
    <x v="0"/>
    <x v="2"/>
    <x v="0"/>
    <x v="0"/>
    <n v="10291.86"/>
    <x v="0"/>
    <x v="0"/>
  </r>
  <r>
    <x v="6"/>
    <x v="0"/>
    <x v="0"/>
    <x v="0"/>
    <x v="0"/>
    <n v="4625.8"/>
    <x v="0"/>
    <x v="0"/>
  </r>
  <r>
    <x v="6"/>
    <x v="4"/>
    <x v="2"/>
    <x v="0"/>
    <x v="0"/>
    <n v="81120.8"/>
    <x v="0"/>
    <x v="0"/>
  </r>
  <r>
    <x v="6"/>
    <x v="4"/>
    <x v="3"/>
    <x v="0"/>
    <x v="0"/>
    <n v="465827.4"/>
    <x v="0"/>
    <x v="0"/>
  </r>
  <r>
    <x v="6"/>
    <x v="0"/>
    <x v="0"/>
    <x v="0"/>
    <x v="0"/>
    <n v="1046.58"/>
    <x v="0"/>
    <x v="0"/>
  </r>
  <r>
    <x v="6"/>
    <x v="0"/>
    <x v="0"/>
    <x v="0"/>
    <x v="0"/>
    <n v="1757.74"/>
    <x v="0"/>
    <x v="0"/>
  </r>
  <r>
    <x v="6"/>
    <x v="0"/>
    <x v="0"/>
    <x v="0"/>
    <x v="0"/>
    <n v="3446.28"/>
    <x v="0"/>
    <x v="0"/>
  </r>
  <r>
    <x v="6"/>
    <x v="0"/>
    <x v="2"/>
    <x v="0"/>
    <x v="0"/>
    <n v="11821.83"/>
    <x v="0"/>
    <x v="0"/>
  </r>
  <r>
    <x v="6"/>
    <x v="0"/>
    <x v="2"/>
    <x v="0"/>
    <x v="0"/>
    <n v="14584.16"/>
    <x v="0"/>
    <x v="0"/>
  </r>
  <r>
    <x v="6"/>
    <x v="0"/>
    <x v="0"/>
    <x v="0"/>
    <x v="0"/>
    <n v="1296.53"/>
    <x v="0"/>
    <x v="0"/>
  </r>
  <r>
    <x v="6"/>
    <x v="0"/>
    <x v="0"/>
    <x v="0"/>
    <x v="0"/>
    <n v="4171.83"/>
    <x v="0"/>
    <x v="0"/>
  </r>
  <r>
    <x v="6"/>
    <x v="0"/>
    <x v="2"/>
    <x v="0"/>
    <x v="0"/>
    <n v="20251.95"/>
    <x v="0"/>
    <x v="0"/>
  </r>
  <r>
    <x v="6"/>
    <x v="0"/>
    <x v="0"/>
    <x v="0"/>
    <x v="0"/>
    <n v="5014.22"/>
    <x v="0"/>
    <x v="0"/>
  </r>
  <r>
    <x v="6"/>
    <x v="0"/>
    <x v="0"/>
    <x v="0"/>
    <x v="0"/>
    <n v="4073.2"/>
    <x v="0"/>
    <x v="0"/>
  </r>
  <r>
    <x v="6"/>
    <x v="0"/>
    <x v="2"/>
    <x v="0"/>
    <x v="0"/>
    <n v="32605.51"/>
    <x v="0"/>
    <x v="0"/>
  </r>
  <r>
    <x v="6"/>
    <x v="0"/>
    <x v="0"/>
    <x v="0"/>
    <x v="0"/>
    <n v="1269.98"/>
    <x v="0"/>
    <x v="0"/>
  </r>
  <r>
    <x v="6"/>
    <x v="0"/>
    <x v="0"/>
    <x v="0"/>
    <x v="0"/>
    <n v="9129.7"/>
    <x v="0"/>
    <x v="0"/>
  </r>
  <r>
    <x v="6"/>
    <x v="0"/>
    <x v="0"/>
    <x v="0"/>
    <x v="0"/>
    <n v="5274.97"/>
    <x v="0"/>
    <x v="0"/>
  </r>
  <r>
    <x v="6"/>
    <x v="0"/>
    <x v="2"/>
    <x v="0"/>
    <x v="0"/>
    <n v="11774.37"/>
    <x v="0"/>
    <x v="0"/>
  </r>
  <r>
    <x v="6"/>
    <x v="0"/>
    <x v="0"/>
    <x v="0"/>
    <x v="0"/>
    <n v="1926.79"/>
    <x v="0"/>
    <x v="0"/>
  </r>
  <r>
    <x v="6"/>
    <x v="0"/>
    <x v="2"/>
    <x v="0"/>
    <x v="0"/>
    <n v="13176.82"/>
    <x v="0"/>
    <x v="0"/>
  </r>
  <r>
    <x v="6"/>
    <x v="0"/>
    <x v="2"/>
    <x v="0"/>
    <x v="0"/>
    <n v="14936.17"/>
    <x v="0"/>
    <x v="0"/>
  </r>
  <r>
    <x v="6"/>
    <x v="0"/>
    <x v="0"/>
    <x v="0"/>
    <x v="0"/>
    <n v="1795.75"/>
    <x v="0"/>
    <x v="0"/>
  </r>
  <r>
    <x v="6"/>
    <x v="0"/>
    <x v="0"/>
    <x v="0"/>
    <x v="0"/>
    <n v="5428.2"/>
    <x v="0"/>
    <x v="0"/>
  </r>
  <r>
    <x v="6"/>
    <x v="4"/>
    <x v="2"/>
    <x v="0"/>
    <x v="0"/>
    <n v="68442.07"/>
    <x v="0"/>
    <x v="0"/>
  </r>
  <r>
    <x v="6"/>
    <x v="0"/>
    <x v="2"/>
    <x v="0"/>
    <x v="0"/>
    <n v="10164.97"/>
    <x v="0"/>
    <x v="0"/>
  </r>
  <r>
    <x v="6"/>
    <x v="0"/>
    <x v="1"/>
    <x v="0"/>
    <x v="0"/>
    <n v="170.96"/>
    <x v="0"/>
    <x v="0"/>
  </r>
  <r>
    <x v="6"/>
    <x v="0"/>
    <x v="2"/>
    <x v="0"/>
    <x v="0"/>
    <n v="27334.38"/>
    <x v="0"/>
    <x v="0"/>
  </r>
  <r>
    <x v="6"/>
    <x v="0"/>
    <x v="2"/>
    <x v="0"/>
    <x v="0"/>
    <n v="13223.51"/>
    <x v="0"/>
    <x v="0"/>
  </r>
  <r>
    <x v="6"/>
    <x v="1"/>
    <x v="4"/>
    <x v="0"/>
    <x v="0"/>
    <n v="2222097.28"/>
    <x v="0"/>
    <x v="0"/>
  </r>
  <r>
    <x v="6"/>
    <x v="3"/>
    <x v="0"/>
    <x v="0"/>
    <x v="0"/>
    <n v="1827.57"/>
    <x v="0"/>
    <x v="0"/>
  </r>
  <r>
    <x v="6"/>
    <x v="0"/>
    <x v="2"/>
    <x v="0"/>
    <x v="0"/>
    <n v="10030.92"/>
    <x v="0"/>
    <x v="0"/>
  </r>
  <r>
    <x v="6"/>
    <x v="0"/>
    <x v="0"/>
    <x v="0"/>
    <x v="0"/>
    <n v="8353.25"/>
    <x v="0"/>
    <x v="0"/>
  </r>
  <r>
    <x v="6"/>
    <x v="0"/>
    <x v="0"/>
    <x v="0"/>
    <x v="0"/>
    <n v="8554.21"/>
    <x v="0"/>
    <x v="0"/>
  </r>
  <r>
    <x v="6"/>
    <x v="0"/>
    <x v="0"/>
    <x v="0"/>
    <x v="0"/>
    <n v="8561.36"/>
    <x v="0"/>
    <x v="0"/>
  </r>
  <r>
    <x v="6"/>
    <x v="0"/>
    <x v="0"/>
    <x v="0"/>
    <x v="0"/>
    <n v="4494.29"/>
    <x v="0"/>
    <x v="0"/>
  </r>
  <r>
    <x v="6"/>
    <x v="1"/>
    <x v="2"/>
    <x v="0"/>
    <x v="0"/>
    <n v="34987.81"/>
    <x v="0"/>
    <x v="0"/>
  </r>
  <r>
    <x v="6"/>
    <x v="1"/>
    <x v="3"/>
    <x v="0"/>
    <x v="0"/>
    <n v="445189.67"/>
    <x v="0"/>
    <x v="0"/>
  </r>
  <r>
    <x v="6"/>
    <x v="0"/>
    <x v="0"/>
    <x v="0"/>
    <x v="0"/>
    <n v="2427.57"/>
    <x v="0"/>
    <x v="0"/>
  </r>
  <r>
    <x v="6"/>
    <x v="2"/>
    <x v="2"/>
    <x v="0"/>
    <x v="0"/>
    <n v="94275.66"/>
    <x v="0"/>
    <x v="0"/>
  </r>
  <r>
    <x v="6"/>
    <x v="0"/>
    <x v="0"/>
    <x v="0"/>
    <x v="0"/>
    <n v="7031.7"/>
    <x v="0"/>
    <x v="0"/>
  </r>
  <r>
    <x v="6"/>
    <x v="0"/>
    <x v="1"/>
    <x v="0"/>
    <x v="0"/>
    <n v="635.12"/>
    <x v="0"/>
    <x v="0"/>
  </r>
  <r>
    <x v="6"/>
    <x v="0"/>
    <x v="0"/>
    <x v="0"/>
    <x v="0"/>
    <n v="7672.76"/>
    <x v="0"/>
    <x v="0"/>
  </r>
  <r>
    <x v="6"/>
    <x v="0"/>
    <x v="2"/>
    <x v="0"/>
    <x v="0"/>
    <n v="19607.97"/>
    <x v="0"/>
    <x v="0"/>
  </r>
  <r>
    <x v="6"/>
    <x v="0"/>
    <x v="0"/>
    <x v="0"/>
    <x v="0"/>
    <n v="5662.97"/>
    <x v="0"/>
    <x v="0"/>
  </r>
  <r>
    <x v="6"/>
    <x v="0"/>
    <x v="1"/>
    <x v="0"/>
    <x v="0"/>
    <n v="136.37"/>
    <x v="0"/>
    <x v="0"/>
  </r>
  <r>
    <x v="6"/>
    <x v="2"/>
    <x v="2"/>
    <x v="0"/>
    <x v="0"/>
    <n v="12837.77"/>
    <x v="0"/>
    <x v="0"/>
  </r>
  <r>
    <x v="6"/>
    <x v="0"/>
    <x v="0"/>
    <x v="0"/>
    <x v="0"/>
    <n v="1497.25"/>
    <x v="0"/>
    <x v="0"/>
  </r>
  <r>
    <x v="6"/>
    <x v="0"/>
    <x v="2"/>
    <x v="0"/>
    <x v="0"/>
    <n v="14609.16"/>
    <x v="0"/>
    <x v="0"/>
  </r>
  <r>
    <x v="6"/>
    <x v="0"/>
    <x v="0"/>
    <x v="0"/>
    <x v="0"/>
    <n v="5826.48"/>
    <x v="0"/>
    <x v="0"/>
  </r>
  <r>
    <x v="6"/>
    <x v="0"/>
    <x v="2"/>
    <x v="0"/>
    <x v="0"/>
    <n v="14463.47"/>
    <x v="0"/>
    <x v="0"/>
  </r>
  <r>
    <x v="6"/>
    <x v="1"/>
    <x v="3"/>
    <x v="0"/>
    <x v="0"/>
    <n v="216297.45"/>
    <x v="0"/>
    <x v="0"/>
  </r>
  <r>
    <x v="6"/>
    <x v="0"/>
    <x v="0"/>
    <x v="0"/>
    <x v="0"/>
    <n v="4252.44"/>
    <x v="0"/>
    <x v="0"/>
  </r>
  <r>
    <x v="6"/>
    <x v="0"/>
    <x v="0"/>
    <x v="0"/>
    <x v="0"/>
    <n v="2632.9"/>
    <x v="0"/>
    <x v="0"/>
  </r>
  <r>
    <x v="6"/>
    <x v="0"/>
    <x v="0"/>
    <x v="0"/>
    <x v="0"/>
    <n v="4738.28"/>
    <x v="0"/>
    <x v="0"/>
  </r>
  <r>
    <x v="6"/>
    <x v="0"/>
    <x v="0"/>
    <x v="0"/>
    <x v="0"/>
    <n v="9325.37"/>
    <x v="0"/>
    <x v="0"/>
  </r>
  <r>
    <x v="6"/>
    <x v="2"/>
    <x v="3"/>
    <x v="0"/>
    <x v="0"/>
    <n v="239781.45"/>
    <x v="0"/>
    <x v="0"/>
  </r>
  <r>
    <x v="6"/>
    <x v="2"/>
    <x v="3"/>
    <x v="0"/>
    <x v="0"/>
    <n v="256193.3"/>
    <x v="0"/>
    <x v="0"/>
  </r>
  <r>
    <x v="6"/>
    <x v="2"/>
    <x v="3"/>
    <x v="0"/>
    <x v="0"/>
    <n v="307111.99"/>
    <x v="0"/>
    <x v="0"/>
  </r>
  <r>
    <x v="6"/>
    <x v="2"/>
    <x v="3"/>
    <x v="0"/>
    <x v="0"/>
    <n v="585853.28"/>
    <x v="0"/>
    <x v="0"/>
  </r>
  <r>
    <x v="6"/>
    <x v="2"/>
    <x v="3"/>
    <x v="0"/>
    <x v="0"/>
    <n v="211258.63"/>
    <x v="0"/>
    <x v="0"/>
  </r>
  <r>
    <x v="6"/>
    <x v="2"/>
    <x v="3"/>
    <x v="0"/>
    <x v="0"/>
    <n v="276036.61"/>
    <x v="0"/>
    <x v="0"/>
  </r>
  <r>
    <x v="6"/>
    <x v="2"/>
    <x v="2"/>
    <x v="0"/>
    <x v="0"/>
    <n v="92754.39"/>
    <x v="0"/>
    <x v="0"/>
  </r>
  <r>
    <x v="6"/>
    <x v="2"/>
    <x v="3"/>
    <x v="0"/>
    <x v="0"/>
    <n v="488632.1"/>
    <x v="0"/>
    <x v="0"/>
  </r>
  <r>
    <x v="6"/>
    <x v="2"/>
    <x v="2"/>
    <x v="0"/>
    <x v="0"/>
    <n v="93077"/>
    <x v="0"/>
    <x v="0"/>
  </r>
  <r>
    <x v="6"/>
    <x v="1"/>
    <x v="3"/>
    <x v="0"/>
    <x v="0"/>
    <n v="234734.39"/>
    <x v="0"/>
    <x v="0"/>
  </r>
  <r>
    <x v="6"/>
    <x v="0"/>
    <x v="0"/>
    <x v="0"/>
    <x v="0"/>
    <n v="2162.91"/>
    <x v="0"/>
    <x v="0"/>
  </r>
  <r>
    <x v="6"/>
    <x v="0"/>
    <x v="0"/>
    <x v="0"/>
    <x v="0"/>
    <n v="7456.1"/>
    <x v="0"/>
    <x v="0"/>
  </r>
  <r>
    <x v="6"/>
    <x v="0"/>
    <x v="0"/>
    <x v="0"/>
    <x v="0"/>
    <n v="1601.61"/>
    <x v="0"/>
    <x v="0"/>
  </r>
  <r>
    <x v="6"/>
    <x v="1"/>
    <x v="3"/>
    <x v="0"/>
    <x v="0"/>
    <n v="675184.96"/>
    <x v="0"/>
    <x v="0"/>
  </r>
  <r>
    <x v="6"/>
    <x v="0"/>
    <x v="0"/>
    <x v="0"/>
    <x v="0"/>
    <n v="7285.45"/>
    <x v="0"/>
    <x v="0"/>
  </r>
  <r>
    <x v="6"/>
    <x v="0"/>
    <x v="0"/>
    <x v="0"/>
    <x v="0"/>
    <n v="9250.16"/>
    <x v="0"/>
    <x v="0"/>
  </r>
  <r>
    <x v="6"/>
    <x v="1"/>
    <x v="3"/>
    <x v="0"/>
    <x v="0"/>
    <n v="297193.49"/>
    <x v="0"/>
    <x v="0"/>
  </r>
  <r>
    <x v="6"/>
    <x v="1"/>
    <x v="4"/>
    <x v="0"/>
    <x v="0"/>
    <n v="1465989.27"/>
    <x v="0"/>
    <x v="0"/>
  </r>
  <r>
    <x v="6"/>
    <x v="0"/>
    <x v="1"/>
    <x v="0"/>
    <x v="0"/>
    <n v="68.09"/>
    <x v="0"/>
    <x v="0"/>
  </r>
  <r>
    <x v="6"/>
    <x v="0"/>
    <x v="0"/>
    <x v="0"/>
    <x v="0"/>
    <n v="3263.66"/>
    <x v="0"/>
    <x v="0"/>
  </r>
  <r>
    <x v="6"/>
    <x v="0"/>
    <x v="0"/>
    <x v="0"/>
    <x v="0"/>
    <n v="7735.32"/>
    <x v="0"/>
    <x v="0"/>
  </r>
  <r>
    <x v="6"/>
    <x v="0"/>
    <x v="2"/>
    <x v="0"/>
    <x v="0"/>
    <n v="10264.83"/>
    <x v="0"/>
    <x v="0"/>
  </r>
  <r>
    <x v="6"/>
    <x v="0"/>
    <x v="2"/>
    <x v="0"/>
    <x v="0"/>
    <n v="10024.27"/>
    <x v="0"/>
    <x v="0"/>
  </r>
  <r>
    <x v="6"/>
    <x v="0"/>
    <x v="0"/>
    <x v="0"/>
    <x v="0"/>
    <n v="2329.92"/>
    <x v="0"/>
    <x v="0"/>
  </r>
  <r>
    <x v="6"/>
    <x v="2"/>
    <x v="3"/>
    <x v="0"/>
    <x v="0"/>
    <n v="288884.1"/>
    <x v="0"/>
    <x v="0"/>
  </r>
  <r>
    <x v="6"/>
    <x v="0"/>
    <x v="0"/>
    <x v="0"/>
    <x v="0"/>
    <n v="2638.93"/>
    <x v="0"/>
    <x v="0"/>
  </r>
  <r>
    <x v="6"/>
    <x v="0"/>
    <x v="0"/>
    <x v="0"/>
    <x v="0"/>
    <n v="7033.55"/>
    <x v="0"/>
    <x v="0"/>
  </r>
  <r>
    <x v="6"/>
    <x v="0"/>
    <x v="0"/>
    <x v="0"/>
    <x v="0"/>
    <n v="4219.8"/>
    <x v="0"/>
    <x v="0"/>
  </r>
  <r>
    <x v="6"/>
    <x v="0"/>
    <x v="0"/>
    <x v="0"/>
    <x v="0"/>
    <n v="6786.69"/>
    <x v="0"/>
    <x v="0"/>
  </r>
  <r>
    <x v="6"/>
    <x v="0"/>
    <x v="1"/>
    <x v="0"/>
    <x v="0"/>
    <n v="890.64"/>
    <x v="0"/>
    <x v="0"/>
  </r>
  <r>
    <x v="6"/>
    <x v="0"/>
    <x v="0"/>
    <x v="0"/>
    <x v="0"/>
    <n v="3597.59"/>
    <x v="0"/>
    <x v="0"/>
  </r>
  <r>
    <x v="6"/>
    <x v="1"/>
    <x v="3"/>
    <x v="0"/>
    <x v="0"/>
    <n v="840288.07"/>
    <x v="0"/>
    <x v="0"/>
  </r>
  <r>
    <x v="6"/>
    <x v="0"/>
    <x v="0"/>
    <x v="0"/>
    <x v="0"/>
    <n v="6983.25"/>
    <x v="0"/>
    <x v="0"/>
  </r>
  <r>
    <x v="6"/>
    <x v="3"/>
    <x v="0"/>
    <x v="0"/>
    <x v="0"/>
    <n v="3168.21"/>
    <x v="0"/>
    <x v="0"/>
  </r>
  <r>
    <x v="6"/>
    <x v="4"/>
    <x v="3"/>
    <x v="0"/>
    <x v="0"/>
    <n v="223803.19"/>
    <x v="0"/>
    <x v="0"/>
  </r>
  <r>
    <x v="6"/>
    <x v="4"/>
    <x v="3"/>
    <x v="0"/>
    <x v="0"/>
    <n v="318962.57"/>
    <x v="0"/>
    <x v="0"/>
  </r>
  <r>
    <x v="6"/>
    <x v="4"/>
    <x v="3"/>
    <x v="0"/>
    <x v="0"/>
    <n v="341269.92"/>
    <x v="0"/>
    <x v="0"/>
  </r>
  <r>
    <x v="6"/>
    <x v="4"/>
    <x v="3"/>
    <x v="0"/>
    <x v="0"/>
    <n v="116822.62"/>
    <x v="0"/>
    <x v="0"/>
  </r>
  <r>
    <x v="6"/>
    <x v="4"/>
    <x v="3"/>
    <x v="0"/>
    <x v="0"/>
    <n v="543093.48"/>
    <x v="0"/>
    <x v="0"/>
  </r>
  <r>
    <x v="6"/>
    <x v="4"/>
    <x v="3"/>
    <x v="0"/>
    <x v="0"/>
    <n v="181623.29"/>
    <x v="0"/>
    <x v="0"/>
  </r>
  <r>
    <x v="6"/>
    <x v="4"/>
    <x v="2"/>
    <x v="0"/>
    <x v="0"/>
    <n v="25646.09"/>
    <x v="0"/>
    <x v="0"/>
  </r>
  <r>
    <x v="6"/>
    <x v="4"/>
    <x v="2"/>
    <x v="0"/>
    <x v="0"/>
    <n v="33034.11"/>
    <x v="0"/>
    <x v="0"/>
  </r>
  <r>
    <x v="6"/>
    <x v="4"/>
    <x v="3"/>
    <x v="0"/>
    <x v="0"/>
    <n v="343183.45"/>
    <x v="0"/>
    <x v="0"/>
  </r>
  <r>
    <x v="6"/>
    <x v="4"/>
    <x v="2"/>
    <x v="0"/>
    <x v="0"/>
    <n v="77050.37"/>
    <x v="0"/>
    <x v="0"/>
  </r>
  <r>
    <x v="6"/>
    <x v="4"/>
    <x v="3"/>
    <x v="0"/>
    <x v="0"/>
    <n v="131162.37"/>
    <x v="0"/>
    <x v="0"/>
  </r>
  <r>
    <x v="6"/>
    <x v="4"/>
    <x v="2"/>
    <x v="0"/>
    <x v="0"/>
    <n v="35884.67"/>
    <x v="0"/>
    <x v="0"/>
  </r>
  <r>
    <x v="6"/>
    <x v="4"/>
    <x v="3"/>
    <x v="0"/>
    <x v="0"/>
    <n v="232459.86"/>
    <x v="0"/>
    <x v="0"/>
  </r>
  <r>
    <x v="6"/>
    <x v="4"/>
    <x v="3"/>
    <x v="0"/>
    <x v="0"/>
    <n v="195773.44"/>
    <x v="0"/>
    <x v="0"/>
  </r>
  <r>
    <x v="6"/>
    <x v="4"/>
    <x v="2"/>
    <x v="0"/>
    <x v="0"/>
    <n v="18743.6"/>
    <x v="0"/>
    <x v="0"/>
  </r>
  <r>
    <x v="6"/>
    <x v="4"/>
    <x v="3"/>
    <x v="0"/>
    <x v="0"/>
    <n v="266769.46"/>
    <x v="0"/>
    <x v="0"/>
  </r>
  <r>
    <x v="6"/>
    <x v="4"/>
    <x v="3"/>
    <x v="0"/>
    <x v="0"/>
    <n v="198221.54"/>
    <x v="0"/>
    <x v="0"/>
  </r>
  <r>
    <x v="6"/>
    <x v="4"/>
    <x v="3"/>
    <x v="0"/>
    <x v="0"/>
    <n v="300747.04"/>
    <x v="0"/>
    <x v="0"/>
  </r>
  <r>
    <x v="6"/>
    <x v="4"/>
    <x v="2"/>
    <x v="0"/>
    <x v="0"/>
    <n v="88854"/>
    <x v="0"/>
    <x v="0"/>
  </r>
  <r>
    <x v="6"/>
    <x v="4"/>
    <x v="2"/>
    <x v="0"/>
    <x v="0"/>
    <n v="42464.05"/>
    <x v="0"/>
    <x v="0"/>
  </r>
  <r>
    <x v="6"/>
    <x v="4"/>
    <x v="2"/>
    <x v="0"/>
    <x v="0"/>
    <n v="81605.5"/>
    <x v="0"/>
    <x v="0"/>
  </r>
  <r>
    <x v="6"/>
    <x v="4"/>
    <x v="3"/>
    <x v="0"/>
    <x v="0"/>
    <n v="328774.36"/>
    <x v="0"/>
    <x v="0"/>
  </r>
  <r>
    <x v="6"/>
    <x v="4"/>
    <x v="2"/>
    <x v="0"/>
    <x v="0"/>
    <n v="32512.41"/>
    <x v="0"/>
    <x v="0"/>
  </r>
  <r>
    <x v="6"/>
    <x v="4"/>
    <x v="2"/>
    <x v="0"/>
    <x v="0"/>
    <n v="36082.25"/>
    <x v="0"/>
    <x v="0"/>
  </r>
  <r>
    <x v="6"/>
    <x v="4"/>
    <x v="2"/>
    <x v="0"/>
    <x v="0"/>
    <n v="69286.21"/>
    <x v="0"/>
    <x v="0"/>
  </r>
  <r>
    <x v="6"/>
    <x v="4"/>
    <x v="3"/>
    <x v="0"/>
    <x v="0"/>
    <n v="356050.39"/>
    <x v="0"/>
    <x v="0"/>
  </r>
  <r>
    <x v="6"/>
    <x v="4"/>
    <x v="3"/>
    <x v="0"/>
    <x v="0"/>
    <n v="367673.83"/>
    <x v="0"/>
    <x v="0"/>
  </r>
  <r>
    <x v="6"/>
    <x v="4"/>
    <x v="2"/>
    <x v="0"/>
    <x v="0"/>
    <n v="85912.14"/>
    <x v="0"/>
    <x v="0"/>
  </r>
  <r>
    <x v="6"/>
    <x v="4"/>
    <x v="3"/>
    <x v="0"/>
    <x v="0"/>
    <n v="434599.15"/>
    <x v="0"/>
    <x v="0"/>
  </r>
  <r>
    <x v="6"/>
    <x v="4"/>
    <x v="2"/>
    <x v="0"/>
    <x v="0"/>
    <n v="35217.29"/>
    <x v="0"/>
    <x v="0"/>
  </r>
  <r>
    <x v="6"/>
    <x v="4"/>
    <x v="0"/>
    <x v="0"/>
    <x v="0"/>
    <n v="1699.38"/>
    <x v="0"/>
    <x v="0"/>
  </r>
  <r>
    <x v="6"/>
    <x v="4"/>
    <x v="2"/>
    <x v="0"/>
    <x v="0"/>
    <n v="37190.91"/>
    <x v="0"/>
    <x v="0"/>
  </r>
  <r>
    <x v="6"/>
    <x v="4"/>
    <x v="2"/>
    <x v="0"/>
    <x v="0"/>
    <n v="35458.8"/>
    <x v="0"/>
    <x v="0"/>
  </r>
  <r>
    <x v="6"/>
    <x v="4"/>
    <x v="2"/>
    <x v="0"/>
    <x v="0"/>
    <n v="91793.34"/>
    <x v="0"/>
    <x v="0"/>
  </r>
  <r>
    <x v="6"/>
    <x v="4"/>
    <x v="3"/>
    <x v="0"/>
    <x v="0"/>
    <n v="167569.88"/>
    <x v="0"/>
    <x v="0"/>
  </r>
  <r>
    <x v="6"/>
    <x v="4"/>
    <x v="3"/>
    <x v="0"/>
    <x v="0"/>
    <n v="238928.64"/>
    <x v="0"/>
    <x v="0"/>
  </r>
  <r>
    <x v="6"/>
    <x v="4"/>
    <x v="3"/>
    <x v="0"/>
    <x v="0"/>
    <n v="314094.74"/>
    <x v="0"/>
    <x v="0"/>
  </r>
  <r>
    <x v="6"/>
    <x v="4"/>
    <x v="3"/>
    <x v="0"/>
    <x v="0"/>
    <n v="101802.15"/>
    <x v="0"/>
    <x v="0"/>
  </r>
  <r>
    <x v="6"/>
    <x v="4"/>
    <x v="3"/>
    <x v="0"/>
    <x v="0"/>
    <n v="125471.79"/>
    <x v="0"/>
    <x v="0"/>
  </r>
  <r>
    <x v="6"/>
    <x v="4"/>
    <x v="3"/>
    <x v="0"/>
    <x v="0"/>
    <n v="191862.15"/>
    <x v="0"/>
    <x v="0"/>
  </r>
  <r>
    <x v="6"/>
    <x v="4"/>
    <x v="3"/>
    <x v="0"/>
    <x v="0"/>
    <n v="197656.33"/>
    <x v="0"/>
    <x v="0"/>
  </r>
  <r>
    <x v="6"/>
    <x v="4"/>
    <x v="3"/>
    <x v="0"/>
    <x v="0"/>
    <n v="184246.71"/>
    <x v="0"/>
    <x v="0"/>
  </r>
  <r>
    <x v="6"/>
    <x v="4"/>
    <x v="2"/>
    <x v="0"/>
    <x v="0"/>
    <n v="62915.49"/>
    <x v="0"/>
    <x v="0"/>
  </r>
  <r>
    <x v="6"/>
    <x v="4"/>
    <x v="3"/>
    <x v="0"/>
    <x v="0"/>
    <n v="154690.87"/>
    <x v="0"/>
    <x v="0"/>
  </r>
  <r>
    <x v="6"/>
    <x v="4"/>
    <x v="3"/>
    <x v="0"/>
    <x v="0"/>
    <n v="384933.62"/>
    <x v="0"/>
    <x v="0"/>
  </r>
  <r>
    <x v="6"/>
    <x v="4"/>
    <x v="2"/>
    <x v="0"/>
    <x v="0"/>
    <n v="66285.09"/>
    <x v="0"/>
    <x v="0"/>
  </r>
  <r>
    <x v="6"/>
    <x v="4"/>
    <x v="2"/>
    <x v="0"/>
    <x v="0"/>
    <n v="75820.36"/>
    <x v="0"/>
    <x v="0"/>
  </r>
  <r>
    <x v="6"/>
    <x v="4"/>
    <x v="0"/>
    <x v="0"/>
    <x v="0"/>
    <n v="7416.07"/>
    <x v="0"/>
    <x v="0"/>
  </r>
  <r>
    <x v="6"/>
    <x v="4"/>
    <x v="2"/>
    <x v="0"/>
    <x v="0"/>
    <n v="54980.53"/>
    <x v="0"/>
    <x v="0"/>
  </r>
  <r>
    <x v="6"/>
    <x v="4"/>
    <x v="2"/>
    <x v="0"/>
    <x v="0"/>
    <n v="80309.19"/>
    <x v="0"/>
    <x v="0"/>
  </r>
  <r>
    <x v="6"/>
    <x v="4"/>
    <x v="3"/>
    <x v="0"/>
    <x v="0"/>
    <n v="118512.83"/>
    <x v="0"/>
    <x v="0"/>
  </r>
  <r>
    <x v="6"/>
    <x v="4"/>
    <x v="2"/>
    <x v="0"/>
    <x v="0"/>
    <n v="61874.41"/>
    <x v="0"/>
    <x v="0"/>
  </r>
  <r>
    <x v="6"/>
    <x v="4"/>
    <x v="2"/>
    <x v="0"/>
    <x v="0"/>
    <n v="53033.94"/>
    <x v="0"/>
    <x v="0"/>
  </r>
  <r>
    <x v="6"/>
    <x v="4"/>
    <x v="2"/>
    <x v="0"/>
    <x v="0"/>
    <n v="16805.03"/>
    <x v="0"/>
    <x v="0"/>
  </r>
  <r>
    <x v="6"/>
    <x v="4"/>
    <x v="3"/>
    <x v="0"/>
    <x v="0"/>
    <n v="264788.06"/>
    <x v="0"/>
    <x v="0"/>
  </r>
  <r>
    <x v="6"/>
    <x v="4"/>
    <x v="3"/>
    <x v="0"/>
    <x v="0"/>
    <n v="398322.86"/>
    <x v="0"/>
    <x v="0"/>
  </r>
  <r>
    <x v="6"/>
    <x v="4"/>
    <x v="3"/>
    <x v="0"/>
    <x v="0"/>
    <n v="327344.43"/>
    <x v="0"/>
    <x v="0"/>
  </r>
  <r>
    <x v="6"/>
    <x v="4"/>
    <x v="2"/>
    <x v="0"/>
    <x v="0"/>
    <n v="57483.87"/>
    <x v="0"/>
    <x v="0"/>
  </r>
  <r>
    <x v="6"/>
    <x v="4"/>
    <x v="3"/>
    <x v="0"/>
    <x v="0"/>
    <n v="340150.56"/>
    <x v="0"/>
    <x v="0"/>
  </r>
  <r>
    <x v="6"/>
    <x v="4"/>
    <x v="3"/>
    <x v="0"/>
    <x v="0"/>
    <n v="445805.73"/>
    <x v="0"/>
    <x v="0"/>
  </r>
  <r>
    <x v="6"/>
    <x v="4"/>
    <x v="3"/>
    <x v="0"/>
    <x v="0"/>
    <n v="124840.02"/>
    <x v="0"/>
    <x v="0"/>
  </r>
  <r>
    <x v="6"/>
    <x v="4"/>
    <x v="3"/>
    <x v="0"/>
    <x v="0"/>
    <n v="135249.93"/>
    <x v="0"/>
    <x v="0"/>
  </r>
  <r>
    <x v="6"/>
    <x v="4"/>
    <x v="3"/>
    <x v="0"/>
    <x v="0"/>
    <n v="187825.52"/>
    <x v="0"/>
    <x v="0"/>
  </r>
  <r>
    <x v="6"/>
    <x v="4"/>
    <x v="2"/>
    <x v="0"/>
    <x v="0"/>
    <n v="25554.54"/>
    <x v="0"/>
    <x v="0"/>
  </r>
  <r>
    <x v="6"/>
    <x v="4"/>
    <x v="3"/>
    <x v="0"/>
    <x v="0"/>
    <n v="285639.93"/>
    <x v="0"/>
    <x v="0"/>
  </r>
  <r>
    <x v="6"/>
    <x v="4"/>
    <x v="3"/>
    <x v="0"/>
    <x v="0"/>
    <n v="170689.79"/>
    <x v="0"/>
    <x v="0"/>
  </r>
  <r>
    <x v="6"/>
    <x v="0"/>
    <x v="0"/>
    <x v="0"/>
    <x v="0"/>
    <n v="2682.82"/>
    <x v="0"/>
    <x v="0"/>
  </r>
  <r>
    <x v="6"/>
    <x v="0"/>
    <x v="2"/>
    <x v="0"/>
    <x v="0"/>
    <n v="13443.71"/>
    <x v="0"/>
    <x v="0"/>
  </r>
  <r>
    <x v="6"/>
    <x v="0"/>
    <x v="1"/>
    <x v="0"/>
    <x v="0"/>
    <n v="594.18"/>
    <x v="0"/>
    <x v="0"/>
  </r>
  <r>
    <x v="6"/>
    <x v="2"/>
    <x v="3"/>
    <x v="0"/>
    <x v="0"/>
    <n v="103928.78"/>
    <x v="0"/>
    <x v="0"/>
  </r>
  <r>
    <x v="6"/>
    <x v="1"/>
    <x v="3"/>
    <x v="0"/>
    <x v="0"/>
    <n v="296833.68"/>
    <x v="0"/>
    <x v="0"/>
  </r>
  <r>
    <x v="6"/>
    <x v="0"/>
    <x v="2"/>
    <x v="0"/>
    <x v="0"/>
    <n v="11695.85"/>
    <x v="0"/>
    <x v="0"/>
  </r>
  <r>
    <x v="6"/>
    <x v="2"/>
    <x v="3"/>
    <x v="0"/>
    <x v="0"/>
    <n v="341128.83"/>
    <x v="0"/>
    <x v="0"/>
  </r>
  <r>
    <x v="6"/>
    <x v="0"/>
    <x v="0"/>
    <x v="0"/>
    <x v="0"/>
    <n v="2990.38"/>
    <x v="0"/>
    <x v="0"/>
  </r>
  <r>
    <x v="6"/>
    <x v="0"/>
    <x v="2"/>
    <x v="0"/>
    <x v="0"/>
    <n v="16251.8"/>
    <x v="0"/>
    <x v="0"/>
  </r>
  <r>
    <x v="6"/>
    <x v="0"/>
    <x v="0"/>
    <x v="0"/>
    <x v="0"/>
    <n v="1353.75"/>
    <x v="0"/>
    <x v="0"/>
  </r>
  <r>
    <x v="6"/>
    <x v="0"/>
    <x v="0"/>
    <x v="0"/>
    <x v="0"/>
    <n v="5297.9"/>
    <x v="0"/>
    <x v="0"/>
  </r>
  <r>
    <x v="6"/>
    <x v="0"/>
    <x v="0"/>
    <x v="0"/>
    <x v="0"/>
    <n v="6081.69"/>
    <x v="0"/>
    <x v="0"/>
  </r>
  <r>
    <x v="6"/>
    <x v="0"/>
    <x v="0"/>
    <x v="0"/>
    <x v="0"/>
    <n v="5067.26"/>
    <x v="0"/>
    <x v="0"/>
  </r>
  <r>
    <x v="6"/>
    <x v="0"/>
    <x v="0"/>
    <x v="0"/>
    <x v="0"/>
    <n v="4264.39"/>
    <x v="0"/>
    <x v="0"/>
  </r>
  <r>
    <x v="6"/>
    <x v="0"/>
    <x v="0"/>
    <x v="0"/>
    <x v="0"/>
    <n v="6109.04"/>
    <x v="0"/>
    <x v="0"/>
  </r>
  <r>
    <x v="6"/>
    <x v="2"/>
    <x v="2"/>
    <x v="0"/>
    <x v="0"/>
    <n v="24050.25"/>
    <x v="0"/>
    <x v="0"/>
  </r>
  <r>
    <x v="6"/>
    <x v="1"/>
    <x v="3"/>
    <x v="0"/>
    <x v="0"/>
    <n v="472132.78"/>
    <x v="0"/>
    <x v="0"/>
  </r>
  <r>
    <x v="6"/>
    <x v="0"/>
    <x v="0"/>
    <x v="0"/>
    <x v="0"/>
    <n v="2752.29"/>
    <x v="0"/>
    <x v="0"/>
  </r>
  <r>
    <x v="6"/>
    <x v="0"/>
    <x v="2"/>
    <x v="0"/>
    <x v="0"/>
    <n v="12102.76"/>
    <x v="0"/>
    <x v="0"/>
  </r>
  <r>
    <x v="6"/>
    <x v="0"/>
    <x v="0"/>
    <x v="0"/>
    <x v="0"/>
    <n v="4400.63"/>
    <x v="0"/>
    <x v="0"/>
  </r>
  <r>
    <x v="6"/>
    <x v="1"/>
    <x v="2"/>
    <x v="0"/>
    <x v="0"/>
    <n v="34789.73"/>
    <x v="0"/>
    <x v="0"/>
  </r>
  <r>
    <x v="6"/>
    <x v="0"/>
    <x v="0"/>
    <x v="0"/>
    <x v="0"/>
    <n v="8047"/>
    <x v="0"/>
    <x v="0"/>
  </r>
  <r>
    <x v="6"/>
    <x v="0"/>
    <x v="0"/>
    <x v="0"/>
    <x v="0"/>
    <n v="6692.42"/>
    <x v="0"/>
    <x v="0"/>
  </r>
  <r>
    <x v="6"/>
    <x v="0"/>
    <x v="0"/>
    <x v="0"/>
    <x v="0"/>
    <n v="2362.37"/>
    <x v="0"/>
    <x v="0"/>
  </r>
  <r>
    <x v="6"/>
    <x v="0"/>
    <x v="0"/>
    <x v="0"/>
    <x v="0"/>
    <n v="4897.95"/>
    <x v="0"/>
    <x v="0"/>
  </r>
  <r>
    <x v="6"/>
    <x v="2"/>
    <x v="3"/>
    <x v="0"/>
    <x v="0"/>
    <n v="223690.38"/>
    <x v="0"/>
    <x v="0"/>
  </r>
  <r>
    <x v="6"/>
    <x v="0"/>
    <x v="2"/>
    <x v="0"/>
    <x v="0"/>
    <n v="16636"/>
    <x v="0"/>
    <x v="0"/>
  </r>
  <r>
    <x v="6"/>
    <x v="0"/>
    <x v="2"/>
    <x v="0"/>
    <x v="0"/>
    <n v="19860.3"/>
    <x v="0"/>
    <x v="0"/>
  </r>
  <r>
    <x v="6"/>
    <x v="2"/>
    <x v="3"/>
    <x v="0"/>
    <x v="0"/>
    <n v="530888.87"/>
    <x v="0"/>
    <x v="0"/>
  </r>
  <r>
    <x v="6"/>
    <x v="0"/>
    <x v="2"/>
    <x v="0"/>
    <x v="0"/>
    <n v="11167.76"/>
    <x v="0"/>
    <x v="0"/>
  </r>
  <r>
    <x v="6"/>
    <x v="0"/>
    <x v="0"/>
    <x v="0"/>
    <x v="0"/>
    <n v="3674.17"/>
    <x v="0"/>
    <x v="0"/>
  </r>
  <r>
    <x v="6"/>
    <x v="2"/>
    <x v="3"/>
    <x v="0"/>
    <x v="0"/>
    <n v="167410.09"/>
    <x v="0"/>
    <x v="0"/>
  </r>
  <r>
    <x v="6"/>
    <x v="0"/>
    <x v="0"/>
    <x v="0"/>
    <x v="0"/>
    <n v="7298.21"/>
    <x v="0"/>
    <x v="0"/>
  </r>
  <r>
    <x v="6"/>
    <x v="0"/>
    <x v="0"/>
    <x v="0"/>
    <x v="0"/>
    <n v="4741.37"/>
    <x v="0"/>
    <x v="0"/>
  </r>
  <r>
    <x v="6"/>
    <x v="0"/>
    <x v="0"/>
    <x v="0"/>
    <x v="0"/>
    <n v="4602.77"/>
    <x v="0"/>
    <x v="0"/>
  </r>
  <r>
    <x v="6"/>
    <x v="0"/>
    <x v="1"/>
    <x v="0"/>
    <x v="0"/>
    <n v="416.8"/>
    <x v="0"/>
    <x v="0"/>
  </r>
  <r>
    <x v="6"/>
    <x v="2"/>
    <x v="3"/>
    <x v="0"/>
    <x v="0"/>
    <n v="255496.7"/>
    <x v="0"/>
    <x v="0"/>
  </r>
  <r>
    <x v="6"/>
    <x v="2"/>
    <x v="3"/>
    <x v="0"/>
    <x v="0"/>
    <n v="232784.28"/>
    <x v="0"/>
    <x v="0"/>
  </r>
  <r>
    <x v="6"/>
    <x v="3"/>
    <x v="0"/>
    <x v="0"/>
    <x v="0"/>
    <n v="4360.87"/>
    <x v="0"/>
    <x v="0"/>
  </r>
  <r>
    <x v="6"/>
    <x v="0"/>
    <x v="1"/>
    <x v="0"/>
    <x v="0"/>
    <n v="174.29"/>
    <x v="0"/>
    <x v="0"/>
  </r>
  <r>
    <x v="6"/>
    <x v="2"/>
    <x v="3"/>
    <x v="0"/>
    <x v="0"/>
    <n v="147392.81"/>
    <x v="0"/>
    <x v="0"/>
  </r>
  <r>
    <x v="6"/>
    <x v="0"/>
    <x v="0"/>
    <x v="0"/>
    <x v="0"/>
    <n v="2669.69"/>
    <x v="0"/>
    <x v="0"/>
  </r>
  <r>
    <x v="6"/>
    <x v="0"/>
    <x v="2"/>
    <x v="0"/>
    <x v="0"/>
    <n v="16038.8"/>
    <x v="0"/>
    <x v="0"/>
  </r>
  <r>
    <x v="6"/>
    <x v="0"/>
    <x v="0"/>
    <x v="0"/>
    <x v="0"/>
    <n v="8663.77"/>
    <x v="0"/>
    <x v="0"/>
  </r>
  <r>
    <x v="6"/>
    <x v="0"/>
    <x v="0"/>
    <x v="0"/>
    <x v="0"/>
    <n v="2837.05"/>
    <x v="0"/>
    <x v="0"/>
  </r>
  <r>
    <x v="6"/>
    <x v="0"/>
    <x v="0"/>
    <x v="0"/>
    <x v="0"/>
    <n v="7335.24"/>
    <x v="0"/>
    <x v="0"/>
  </r>
  <r>
    <x v="6"/>
    <x v="0"/>
    <x v="0"/>
    <x v="0"/>
    <x v="0"/>
    <n v="4300.78"/>
    <x v="0"/>
    <x v="0"/>
  </r>
  <r>
    <x v="6"/>
    <x v="1"/>
    <x v="3"/>
    <x v="0"/>
    <x v="0"/>
    <n v="335362.53"/>
    <x v="0"/>
    <x v="0"/>
  </r>
  <r>
    <x v="6"/>
    <x v="0"/>
    <x v="0"/>
    <x v="0"/>
    <x v="0"/>
    <n v="1483.31"/>
    <x v="0"/>
    <x v="0"/>
  </r>
  <r>
    <x v="6"/>
    <x v="0"/>
    <x v="0"/>
    <x v="0"/>
    <x v="0"/>
    <n v="7744.38"/>
    <x v="0"/>
    <x v="0"/>
  </r>
  <r>
    <x v="6"/>
    <x v="0"/>
    <x v="0"/>
    <x v="0"/>
    <x v="0"/>
    <n v="8000.09"/>
    <x v="0"/>
    <x v="0"/>
  </r>
  <r>
    <x v="6"/>
    <x v="1"/>
    <x v="3"/>
    <x v="0"/>
    <x v="0"/>
    <n v="608944.62"/>
    <x v="0"/>
    <x v="0"/>
  </r>
  <r>
    <x v="6"/>
    <x v="0"/>
    <x v="0"/>
    <x v="0"/>
    <x v="0"/>
    <n v="5579.16"/>
    <x v="0"/>
    <x v="0"/>
  </r>
  <r>
    <x v="6"/>
    <x v="0"/>
    <x v="0"/>
    <x v="0"/>
    <x v="0"/>
    <n v="5744.47"/>
    <x v="0"/>
    <x v="0"/>
  </r>
  <r>
    <x v="6"/>
    <x v="1"/>
    <x v="4"/>
    <x v="0"/>
    <x v="0"/>
    <n v="1174893.26"/>
    <x v="0"/>
    <x v="0"/>
  </r>
  <r>
    <x v="6"/>
    <x v="1"/>
    <x v="3"/>
    <x v="0"/>
    <x v="0"/>
    <n v="249943.5"/>
    <x v="0"/>
    <x v="0"/>
  </r>
  <r>
    <x v="6"/>
    <x v="1"/>
    <x v="4"/>
    <x v="0"/>
    <x v="0"/>
    <n v="1664987.6"/>
    <x v="0"/>
    <x v="0"/>
  </r>
  <r>
    <x v="6"/>
    <x v="1"/>
    <x v="4"/>
    <x v="0"/>
    <x v="0"/>
    <n v="1236739.5"/>
    <x v="0"/>
    <x v="0"/>
  </r>
  <r>
    <x v="6"/>
    <x v="1"/>
    <x v="3"/>
    <x v="0"/>
    <x v="0"/>
    <n v="572028.89"/>
    <x v="0"/>
    <x v="0"/>
  </r>
  <r>
    <x v="6"/>
    <x v="1"/>
    <x v="4"/>
    <x v="0"/>
    <x v="0"/>
    <n v="1532087.16"/>
    <x v="0"/>
    <x v="0"/>
  </r>
  <r>
    <x v="6"/>
    <x v="1"/>
    <x v="3"/>
    <x v="0"/>
    <x v="0"/>
    <n v="294581.69"/>
    <x v="0"/>
    <x v="0"/>
  </r>
  <r>
    <x v="6"/>
    <x v="1"/>
    <x v="2"/>
    <x v="0"/>
    <x v="0"/>
    <n v="16639.07"/>
    <x v="0"/>
    <x v="0"/>
  </r>
  <r>
    <x v="6"/>
    <x v="1"/>
    <x v="2"/>
    <x v="0"/>
    <x v="0"/>
    <n v="40108.55"/>
    <x v="0"/>
    <x v="0"/>
  </r>
  <r>
    <x v="6"/>
    <x v="1"/>
    <x v="3"/>
    <x v="0"/>
    <x v="0"/>
    <n v="130712.08"/>
    <x v="0"/>
    <x v="0"/>
  </r>
  <r>
    <x v="6"/>
    <x v="1"/>
    <x v="3"/>
    <x v="0"/>
    <x v="0"/>
    <n v="767924"/>
    <x v="0"/>
    <x v="0"/>
  </r>
  <r>
    <x v="6"/>
    <x v="1"/>
    <x v="3"/>
    <x v="0"/>
    <x v="0"/>
    <n v="397080.05"/>
    <x v="0"/>
    <x v="0"/>
  </r>
  <r>
    <x v="6"/>
    <x v="1"/>
    <x v="3"/>
    <x v="0"/>
    <x v="0"/>
    <n v="179180.78"/>
    <x v="0"/>
    <x v="0"/>
  </r>
  <r>
    <x v="6"/>
    <x v="1"/>
    <x v="3"/>
    <x v="0"/>
    <x v="0"/>
    <n v="442422.28"/>
    <x v="0"/>
    <x v="0"/>
  </r>
  <r>
    <x v="6"/>
    <x v="1"/>
    <x v="3"/>
    <x v="0"/>
    <x v="0"/>
    <n v="490606.82"/>
    <x v="0"/>
    <x v="0"/>
  </r>
  <r>
    <x v="6"/>
    <x v="0"/>
    <x v="0"/>
    <x v="0"/>
    <x v="0"/>
    <n v="5785.53"/>
    <x v="0"/>
    <x v="0"/>
  </r>
  <r>
    <x v="6"/>
    <x v="2"/>
    <x v="2"/>
    <x v="0"/>
    <x v="0"/>
    <n v="60329.37"/>
    <x v="0"/>
    <x v="0"/>
  </r>
  <r>
    <x v="6"/>
    <x v="2"/>
    <x v="3"/>
    <x v="0"/>
    <x v="0"/>
    <n v="253387.93"/>
    <x v="0"/>
    <x v="0"/>
  </r>
  <r>
    <x v="6"/>
    <x v="2"/>
    <x v="3"/>
    <x v="0"/>
    <x v="0"/>
    <n v="103041.57"/>
    <x v="0"/>
    <x v="0"/>
  </r>
  <r>
    <x v="6"/>
    <x v="2"/>
    <x v="2"/>
    <x v="0"/>
    <x v="0"/>
    <n v="72244.19"/>
    <x v="0"/>
    <x v="0"/>
  </r>
  <r>
    <x v="6"/>
    <x v="2"/>
    <x v="3"/>
    <x v="0"/>
    <x v="0"/>
    <n v="329109.11"/>
    <x v="0"/>
    <x v="0"/>
  </r>
  <r>
    <x v="6"/>
    <x v="2"/>
    <x v="3"/>
    <x v="0"/>
    <x v="0"/>
    <n v="140231.37"/>
    <x v="0"/>
    <x v="0"/>
  </r>
  <r>
    <x v="6"/>
    <x v="2"/>
    <x v="3"/>
    <x v="0"/>
    <x v="0"/>
    <n v="166504.74"/>
    <x v="0"/>
    <x v="0"/>
  </r>
  <r>
    <x v="6"/>
    <x v="2"/>
    <x v="3"/>
    <x v="0"/>
    <x v="0"/>
    <n v="105316.57"/>
    <x v="0"/>
    <x v="0"/>
  </r>
  <r>
    <x v="6"/>
    <x v="2"/>
    <x v="2"/>
    <x v="0"/>
    <x v="0"/>
    <n v="10754.33"/>
    <x v="0"/>
    <x v="0"/>
  </r>
  <r>
    <x v="6"/>
    <x v="2"/>
    <x v="3"/>
    <x v="0"/>
    <x v="0"/>
    <n v="315257.69"/>
    <x v="0"/>
    <x v="0"/>
  </r>
  <r>
    <x v="6"/>
    <x v="2"/>
    <x v="3"/>
    <x v="0"/>
    <x v="0"/>
    <n v="177159.82"/>
    <x v="0"/>
    <x v="0"/>
  </r>
  <r>
    <x v="6"/>
    <x v="2"/>
    <x v="3"/>
    <x v="0"/>
    <x v="0"/>
    <n v="156151.52"/>
    <x v="0"/>
    <x v="0"/>
  </r>
  <r>
    <x v="6"/>
    <x v="2"/>
    <x v="3"/>
    <x v="0"/>
    <x v="0"/>
    <n v="109654.05"/>
    <x v="0"/>
    <x v="0"/>
  </r>
  <r>
    <x v="6"/>
    <x v="2"/>
    <x v="3"/>
    <x v="0"/>
    <x v="0"/>
    <n v="309043.71"/>
    <x v="0"/>
    <x v="0"/>
  </r>
  <r>
    <x v="6"/>
    <x v="2"/>
    <x v="3"/>
    <x v="0"/>
    <x v="0"/>
    <n v="109247.89"/>
    <x v="0"/>
    <x v="0"/>
  </r>
  <r>
    <x v="6"/>
    <x v="2"/>
    <x v="3"/>
    <x v="0"/>
    <x v="0"/>
    <n v="191490.24"/>
    <x v="0"/>
    <x v="0"/>
  </r>
  <r>
    <x v="6"/>
    <x v="2"/>
    <x v="3"/>
    <x v="0"/>
    <x v="0"/>
    <n v="140158.67"/>
    <x v="0"/>
    <x v="0"/>
  </r>
  <r>
    <x v="6"/>
    <x v="2"/>
    <x v="3"/>
    <x v="0"/>
    <x v="0"/>
    <n v="126714.16"/>
    <x v="0"/>
    <x v="0"/>
  </r>
  <r>
    <x v="6"/>
    <x v="2"/>
    <x v="2"/>
    <x v="0"/>
    <x v="0"/>
    <n v="47819.39"/>
    <x v="0"/>
    <x v="0"/>
  </r>
  <r>
    <x v="6"/>
    <x v="2"/>
    <x v="2"/>
    <x v="0"/>
    <x v="0"/>
    <n v="78023.16"/>
    <x v="0"/>
    <x v="0"/>
  </r>
  <r>
    <x v="6"/>
    <x v="2"/>
    <x v="2"/>
    <x v="0"/>
    <x v="0"/>
    <n v="55230.19"/>
    <x v="0"/>
    <x v="0"/>
  </r>
  <r>
    <x v="6"/>
    <x v="2"/>
    <x v="3"/>
    <x v="0"/>
    <x v="0"/>
    <n v="123522.3"/>
    <x v="0"/>
    <x v="0"/>
  </r>
  <r>
    <x v="6"/>
    <x v="2"/>
    <x v="3"/>
    <x v="0"/>
    <x v="0"/>
    <n v="281934.86"/>
    <x v="0"/>
    <x v="0"/>
  </r>
  <r>
    <x v="6"/>
    <x v="2"/>
    <x v="3"/>
    <x v="0"/>
    <x v="0"/>
    <n v="261370.99"/>
    <x v="0"/>
    <x v="0"/>
  </r>
  <r>
    <x v="6"/>
    <x v="2"/>
    <x v="2"/>
    <x v="0"/>
    <x v="0"/>
    <n v="48145.49"/>
    <x v="0"/>
    <x v="0"/>
  </r>
  <r>
    <x v="6"/>
    <x v="2"/>
    <x v="3"/>
    <x v="0"/>
    <x v="0"/>
    <n v="284121.32"/>
    <x v="0"/>
    <x v="0"/>
  </r>
  <r>
    <x v="6"/>
    <x v="2"/>
    <x v="3"/>
    <x v="0"/>
    <x v="0"/>
    <n v="578514.87"/>
    <x v="0"/>
    <x v="0"/>
  </r>
  <r>
    <x v="6"/>
    <x v="2"/>
    <x v="2"/>
    <x v="0"/>
    <x v="0"/>
    <n v="74364.75"/>
    <x v="0"/>
    <x v="0"/>
  </r>
  <r>
    <x v="6"/>
    <x v="2"/>
    <x v="3"/>
    <x v="0"/>
    <x v="0"/>
    <n v="151749.75"/>
    <x v="0"/>
    <x v="0"/>
  </r>
  <r>
    <x v="6"/>
    <x v="2"/>
    <x v="2"/>
    <x v="0"/>
    <x v="0"/>
    <n v="72588.32"/>
    <x v="0"/>
    <x v="0"/>
  </r>
  <r>
    <x v="6"/>
    <x v="2"/>
    <x v="3"/>
    <x v="0"/>
    <x v="0"/>
    <n v="248431.72"/>
    <x v="0"/>
    <x v="0"/>
  </r>
  <r>
    <x v="6"/>
    <x v="2"/>
    <x v="3"/>
    <x v="0"/>
    <x v="0"/>
    <n v="243580.55"/>
    <x v="0"/>
    <x v="0"/>
  </r>
  <r>
    <x v="6"/>
    <x v="2"/>
    <x v="3"/>
    <x v="0"/>
    <x v="0"/>
    <n v="239998.35"/>
    <x v="0"/>
    <x v="0"/>
  </r>
  <r>
    <x v="6"/>
    <x v="2"/>
    <x v="3"/>
    <x v="0"/>
    <x v="0"/>
    <n v="385479.54"/>
    <x v="0"/>
    <x v="0"/>
  </r>
  <r>
    <x v="6"/>
    <x v="2"/>
    <x v="2"/>
    <x v="0"/>
    <x v="0"/>
    <n v="97217.75"/>
    <x v="0"/>
    <x v="0"/>
  </r>
  <r>
    <x v="6"/>
    <x v="2"/>
    <x v="3"/>
    <x v="0"/>
    <x v="0"/>
    <n v="386367.23"/>
    <x v="0"/>
    <x v="0"/>
  </r>
  <r>
    <x v="6"/>
    <x v="2"/>
    <x v="3"/>
    <x v="0"/>
    <x v="0"/>
    <n v="128048.76"/>
    <x v="0"/>
    <x v="0"/>
  </r>
  <r>
    <x v="6"/>
    <x v="2"/>
    <x v="3"/>
    <x v="0"/>
    <x v="0"/>
    <n v="171905.69"/>
    <x v="0"/>
    <x v="0"/>
  </r>
  <r>
    <x v="6"/>
    <x v="2"/>
    <x v="2"/>
    <x v="0"/>
    <x v="0"/>
    <n v="26210.38"/>
    <x v="0"/>
    <x v="0"/>
  </r>
  <r>
    <x v="6"/>
    <x v="2"/>
    <x v="2"/>
    <x v="0"/>
    <x v="0"/>
    <n v="36312.69"/>
    <x v="0"/>
    <x v="0"/>
  </r>
  <r>
    <x v="6"/>
    <x v="2"/>
    <x v="0"/>
    <x v="0"/>
    <x v="0"/>
    <n v="7398.24"/>
    <x v="0"/>
    <x v="0"/>
  </r>
  <r>
    <x v="6"/>
    <x v="2"/>
    <x v="2"/>
    <x v="0"/>
    <x v="0"/>
    <n v="67152.15"/>
    <x v="0"/>
    <x v="0"/>
  </r>
  <r>
    <x v="6"/>
    <x v="2"/>
    <x v="3"/>
    <x v="0"/>
    <x v="0"/>
    <n v="306323.63"/>
    <x v="0"/>
    <x v="0"/>
  </r>
  <r>
    <x v="6"/>
    <x v="2"/>
    <x v="3"/>
    <x v="0"/>
    <x v="0"/>
    <n v="116600.79"/>
    <x v="0"/>
    <x v="0"/>
  </r>
  <r>
    <x v="6"/>
    <x v="2"/>
    <x v="3"/>
    <x v="0"/>
    <x v="0"/>
    <n v="104135.08"/>
    <x v="0"/>
    <x v="0"/>
  </r>
  <r>
    <x v="6"/>
    <x v="2"/>
    <x v="3"/>
    <x v="0"/>
    <x v="0"/>
    <n v="102077.16"/>
    <x v="0"/>
    <x v="0"/>
  </r>
  <r>
    <x v="6"/>
    <x v="2"/>
    <x v="2"/>
    <x v="0"/>
    <x v="0"/>
    <n v="67429.27"/>
    <x v="0"/>
    <x v="0"/>
  </r>
  <r>
    <x v="6"/>
    <x v="2"/>
    <x v="2"/>
    <x v="0"/>
    <x v="0"/>
    <n v="13845.82"/>
    <x v="0"/>
    <x v="0"/>
  </r>
  <r>
    <x v="6"/>
    <x v="2"/>
    <x v="2"/>
    <x v="0"/>
    <x v="0"/>
    <n v="64974.45"/>
    <x v="0"/>
    <x v="0"/>
  </r>
  <r>
    <x v="6"/>
    <x v="2"/>
    <x v="2"/>
    <x v="0"/>
    <x v="0"/>
    <n v="35426.93"/>
    <x v="0"/>
    <x v="0"/>
  </r>
  <r>
    <x v="6"/>
    <x v="2"/>
    <x v="2"/>
    <x v="0"/>
    <x v="0"/>
    <n v="97919.82"/>
    <x v="0"/>
    <x v="0"/>
  </r>
  <r>
    <x v="6"/>
    <x v="2"/>
    <x v="3"/>
    <x v="0"/>
    <x v="0"/>
    <n v="153966.29"/>
    <x v="0"/>
    <x v="0"/>
  </r>
  <r>
    <x v="6"/>
    <x v="2"/>
    <x v="2"/>
    <x v="0"/>
    <x v="0"/>
    <n v="41309.02"/>
    <x v="0"/>
    <x v="0"/>
  </r>
  <r>
    <x v="6"/>
    <x v="2"/>
    <x v="2"/>
    <x v="0"/>
    <x v="0"/>
    <n v="43093.35"/>
    <x v="0"/>
    <x v="0"/>
  </r>
  <r>
    <x v="6"/>
    <x v="2"/>
    <x v="3"/>
    <x v="0"/>
    <x v="0"/>
    <n v="499343.04"/>
    <x v="0"/>
    <x v="0"/>
  </r>
  <r>
    <x v="6"/>
    <x v="2"/>
    <x v="3"/>
    <x v="0"/>
    <x v="0"/>
    <n v="379699.71"/>
    <x v="0"/>
    <x v="0"/>
  </r>
  <r>
    <x v="6"/>
    <x v="2"/>
    <x v="2"/>
    <x v="0"/>
    <x v="0"/>
    <n v="27060.81"/>
    <x v="0"/>
    <x v="0"/>
  </r>
  <r>
    <x v="6"/>
    <x v="2"/>
    <x v="3"/>
    <x v="0"/>
    <x v="0"/>
    <n v="402663.46"/>
    <x v="0"/>
    <x v="0"/>
  </r>
  <r>
    <x v="6"/>
    <x v="2"/>
    <x v="3"/>
    <x v="0"/>
    <x v="0"/>
    <n v="578730.75"/>
    <x v="0"/>
    <x v="0"/>
  </r>
  <r>
    <x v="6"/>
    <x v="2"/>
    <x v="3"/>
    <x v="0"/>
    <x v="0"/>
    <n v="471390.8"/>
    <x v="0"/>
    <x v="0"/>
  </r>
  <r>
    <x v="6"/>
    <x v="2"/>
    <x v="3"/>
    <x v="0"/>
    <x v="0"/>
    <n v="405812.31"/>
    <x v="0"/>
    <x v="0"/>
  </r>
  <r>
    <x v="6"/>
    <x v="2"/>
    <x v="3"/>
    <x v="0"/>
    <x v="0"/>
    <n v="239972.3"/>
    <x v="0"/>
    <x v="0"/>
  </r>
  <r>
    <x v="6"/>
    <x v="1"/>
    <x v="3"/>
    <x v="0"/>
    <x v="0"/>
    <n v="233938.4"/>
    <x v="0"/>
    <x v="0"/>
  </r>
  <r>
    <x v="6"/>
    <x v="3"/>
    <x v="1"/>
    <x v="0"/>
    <x v="0"/>
    <n v="660.23"/>
    <x v="0"/>
    <x v="0"/>
  </r>
  <r>
    <x v="6"/>
    <x v="0"/>
    <x v="1"/>
    <x v="0"/>
    <x v="0"/>
    <n v="515.09"/>
    <x v="0"/>
    <x v="0"/>
  </r>
  <r>
    <x v="6"/>
    <x v="2"/>
    <x v="2"/>
    <x v="0"/>
    <x v="0"/>
    <n v="50575.73"/>
    <x v="0"/>
    <x v="0"/>
  </r>
  <r>
    <x v="6"/>
    <x v="0"/>
    <x v="0"/>
    <x v="0"/>
    <x v="0"/>
    <n v="3421.65"/>
    <x v="0"/>
    <x v="0"/>
  </r>
  <r>
    <x v="6"/>
    <x v="0"/>
    <x v="1"/>
    <x v="0"/>
    <x v="0"/>
    <n v="646.76"/>
    <x v="0"/>
    <x v="0"/>
  </r>
  <r>
    <x v="6"/>
    <x v="0"/>
    <x v="2"/>
    <x v="0"/>
    <x v="0"/>
    <n v="19021.43"/>
    <x v="0"/>
    <x v="0"/>
  </r>
  <r>
    <x v="6"/>
    <x v="0"/>
    <x v="0"/>
    <x v="0"/>
    <x v="0"/>
    <n v="4962"/>
    <x v="0"/>
    <x v="0"/>
  </r>
  <r>
    <x v="6"/>
    <x v="0"/>
    <x v="2"/>
    <x v="0"/>
    <x v="0"/>
    <n v="16889.35"/>
    <x v="0"/>
    <x v="0"/>
  </r>
  <r>
    <x v="6"/>
    <x v="0"/>
    <x v="0"/>
    <x v="0"/>
    <x v="0"/>
    <n v="1539.57"/>
    <x v="0"/>
    <x v="0"/>
  </r>
  <r>
    <x v="6"/>
    <x v="0"/>
    <x v="2"/>
    <x v="0"/>
    <x v="0"/>
    <n v="13615.05"/>
    <x v="0"/>
    <x v="0"/>
  </r>
  <r>
    <x v="6"/>
    <x v="1"/>
    <x v="3"/>
    <x v="0"/>
    <x v="0"/>
    <n v="520367.43"/>
    <x v="0"/>
    <x v="0"/>
  </r>
  <r>
    <x v="6"/>
    <x v="0"/>
    <x v="0"/>
    <x v="0"/>
    <x v="0"/>
    <n v="5975.73"/>
    <x v="0"/>
    <x v="0"/>
  </r>
  <r>
    <x v="6"/>
    <x v="0"/>
    <x v="0"/>
    <x v="0"/>
    <x v="0"/>
    <n v="3602.91"/>
    <x v="0"/>
    <x v="0"/>
  </r>
  <r>
    <x v="6"/>
    <x v="1"/>
    <x v="3"/>
    <x v="0"/>
    <x v="0"/>
    <n v="155379.43"/>
    <x v="0"/>
    <x v="0"/>
  </r>
  <r>
    <x v="6"/>
    <x v="0"/>
    <x v="0"/>
    <x v="0"/>
    <x v="0"/>
    <n v="3747.13"/>
    <x v="0"/>
    <x v="0"/>
  </r>
  <r>
    <x v="6"/>
    <x v="3"/>
    <x v="0"/>
    <x v="0"/>
    <x v="0"/>
    <n v="2627.14"/>
    <x v="0"/>
    <x v="0"/>
  </r>
  <r>
    <x v="6"/>
    <x v="3"/>
    <x v="0"/>
    <x v="0"/>
    <x v="0"/>
    <n v="1676.14"/>
    <x v="0"/>
    <x v="0"/>
  </r>
  <r>
    <x v="6"/>
    <x v="2"/>
    <x v="2"/>
    <x v="0"/>
    <x v="0"/>
    <n v="90608.01"/>
    <x v="0"/>
    <x v="0"/>
  </r>
  <r>
    <x v="6"/>
    <x v="0"/>
    <x v="2"/>
    <x v="0"/>
    <x v="0"/>
    <n v="15736.28"/>
    <x v="0"/>
    <x v="0"/>
  </r>
  <r>
    <x v="6"/>
    <x v="0"/>
    <x v="0"/>
    <x v="0"/>
    <x v="0"/>
    <n v="8349.69"/>
    <x v="0"/>
    <x v="0"/>
  </r>
  <r>
    <x v="6"/>
    <x v="0"/>
    <x v="0"/>
    <x v="0"/>
    <x v="0"/>
    <n v="8269.87"/>
    <x v="0"/>
    <x v="0"/>
  </r>
  <r>
    <x v="6"/>
    <x v="4"/>
    <x v="2"/>
    <x v="0"/>
    <x v="0"/>
    <n v="39717.52"/>
    <x v="0"/>
    <x v="0"/>
  </r>
  <r>
    <x v="6"/>
    <x v="0"/>
    <x v="0"/>
    <x v="0"/>
    <x v="0"/>
    <n v="1753.6"/>
    <x v="0"/>
    <x v="0"/>
  </r>
  <r>
    <x v="6"/>
    <x v="0"/>
    <x v="1"/>
    <x v="0"/>
    <x v="0"/>
    <n v="636.76"/>
    <x v="0"/>
    <x v="0"/>
  </r>
  <r>
    <x v="6"/>
    <x v="0"/>
    <x v="0"/>
    <x v="0"/>
    <x v="0"/>
    <n v="6476.38"/>
    <x v="0"/>
    <x v="0"/>
  </r>
  <r>
    <x v="6"/>
    <x v="0"/>
    <x v="0"/>
    <x v="0"/>
    <x v="0"/>
    <n v="6990.79"/>
    <x v="0"/>
    <x v="0"/>
  </r>
  <r>
    <x v="6"/>
    <x v="0"/>
    <x v="0"/>
    <x v="0"/>
    <x v="0"/>
    <n v="6858.7"/>
    <x v="0"/>
    <x v="0"/>
  </r>
  <r>
    <x v="6"/>
    <x v="0"/>
    <x v="2"/>
    <x v="0"/>
    <x v="0"/>
    <n v="32118.97"/>
    <x v="0"/>
    <x v="0"/>
  </r>
  <r>
    <x v="6"/>
    <x v="0"/>
    <x v="2"/>
    <x v="0"/>
    <x v="0"/>
    <n v="30180.07"/>
    <x v="0"/>
    <x v="0"/>
  </r>
  <r>
    <x v="6"/>
    <x v="0"/>
    <x v="0"/>
    <x v="0"/>
    <x v="0"/>
    <n v="7048.35"/>
    <x v="0"/>
    <x v="0"/>
  </r>
  <r>
    <x v="6"/>
    <x v="0"/>
    <x v="0"/>
    <x v="0"/>
    <x v="0"/>
    <n v="2103.29"/>
    <x v="0"/>
    <x v="0"/>
  </r>
  <r>
    <x v="6"/>
    <x v="0"/>
    <x v="0"/>
    <x v="0"/>
    <x v="0"/>
    <n v="2549.04"/>
    <x v="0"/>
    <x v="0"/>
  </r>
  <r>
    <x v="6"/>
    <x v="0"/>
    <x v="0"/>
    <x v="0"/>
    <x v="0"/>
    <n v="9302.99"/>
    <x v="0"/>
    <x v="0"/>
  </r>
  <r>
    <x v="6"/>
    <x v="0"/>
    <x v="2"/>
    <x v="0"/>
    <x v="0"/>
    <n v="11703.97"/>
    <x v="0"/>
    <x v="0"/>
  </r>
  <r>
    <x v="6"/>
    <x v="0"/>
    <x v="2"/>
    <x v="0"/>
    <x v="0"/>
    <n v="19608.07"/>
    <x v="0"/>
    <x v="0"/>
  </r>
  <r>
    <x v="6"/>
    <x v="0"/>
    <x v="0"/>
    <x v="0"/>
    <x v="0"/>
    <n v="5275.62"/>
    <x v="0"/>
    <x v="0"/>
  </r>
  <r>
    <x v="6"/>
    <x v="0"/>
    <x v="0"/>
    <x v="0"/>
    <x v="0"/>
    <n v="8809.29"/>
    <x v="0"/>
    <x v="0"/>
  </r>
  <r>
    <x v="6"/>
    <x v="0"/>
    <x v="0"/>
    <x v="0"/>
    <x v="0"/>
    <n v="5698.67"/>
    <x v="0"/>
    <x v="0"/>
  </r>
  <r>
    <x v="6"/>
    <x v="0"/>
    <x v="0"/>
    <x v="0"/>
    <x v="0"/>
    <n v="7037.51"/>
    <x v="0"/>
    <x v="0"/>
  </r>
  <r>
    <x v="6"/>
    <x v="0"/>
    <x v="2"/>
    <x v="0"/>
    <x v="0"/>
    <n v="14503.24"/>
    <x v="0"/>
    <x v="0"/>
  </r>
  <r>
    <x v="6"/>
    <x v="0"/>
    <x v="0"/>
    <x v="0"/>
    <x v="0"/>
    <n v="6568.75"/>
    <x v="0"/>
    <x v="0"/>
  </r>
  <r>
    <x v="6"/>
    <x v="0"/>
    <x v="2"/>
    <x v="0"/>
    <x v="0"/>
    <n v="15960.1"/>
    <x v="0"/>
    <x v="0"/>
  </r>
  <r>
    <x v="6"/>
    <x v="0"/>
    <x v="0"/>
    <x v="0"/>
    <x v="0"/>
    <n v="8372.5"/>
    <x v="0"/>
    <x v="0"/>
  </r>
  <r>
    <x v="6"/>
    <x v="0"/>
    <x v="0"/>
    <x v="0"/>
    <x v="0"/>
    <n v="2036.46"/>
    <x v="0"/>
    <x v="0"/>
  </r>
  <r>
    <x v="6"/>
    <x v="0"/>
    <x v="0"/>
    <x v="0"/>
    <x v="0"/>
    <n v="2641.37"/>
    <x v="0"/>
    <x v="0"/>
  </r>
  <r>
    <x v="6"/>
    <x v="0"/>
    <x v="0"/>
    <x v="0"/>
    <x v="0"/>
    <n v="3956.77"/>
    <x v="0"/>
    <x v="0"/>
  </r>
  <r>
    <x v="6"/>
    <x v="2"/>
    <x v="2"/>
    <x v="0"/>
    <x v="0"/>
    <n v="60351.62"/>
    <x v="0"/>
    <x v="0"/>
  </r>
  <r>
    <x v="6"/>
    <x v="2"/>
    <x v="3"/>
    <x v="0"/>
    <x v="0"/>
    <n v="129760"/>
    <x v="0"/>
    <x v="0"/>
  </r>
  <r>
    <x v="6"/>
    <x v="2"/>
    <x v="3"/>
    <x v="0"/>
    <x v="0"/>
    <n v="302317.81"/>
    <x v="0"/>
    <x v="0"/>
  </r>
  <r>
    <x v="6"/>
    <x v="2"/>
    <x v="2"/>
    <x v="0"/>
    <x v="0"/>
    <n v="18019"/>
    <x v="0"/>
    <x v="0"/>
  </r>
  <r>
    <x v="6"/>
    <x v="2"/>
    <x v="3"/>
    <x v="0"/>
    <x v="0"/>
    <n v="228162.38"/>
    <x v="0"/>
    <x v="0"/>
  </r>
  <r>
    <x v="6"/>
    <x v="2"/>
    <x v="2"/>
    <x v="0"/>
    <x v="0"/>
    <n v="90962.75"/>
    <x v="0"/>
    <x v="0"/>
  </r>
  <r>
    <x v="6"/>
    <x v="2"/>
    <x v="3"/>
    <x v="0"/>
    <x v="0"/>
    <n v="284677.82"/>
    <x v="0"/>
    <x v="0"/>
  </r>
  <r>
    <x v="6"/>
    <x v="2"/>
    <x v="3"/>
    <x v="0"/>
    <x v="0"/>
    <n v="126296.47"/>
    <x v="0"/>
    <x v="0"/>
  </r>
  <r>
    <x v="6"/>
    <x v="2"/>
    <x v="0"/>
    <x v="0"/>
    <x v="0"/>
    <n v="9140.92"/>
    <x v="0"/>
    <x v="0"/>
  </r>
  <r>
    <x v="6"/>
    <x v="2"/>
    <x v="3"/>
    <x v="0"/>
    <x v="0"/>
    <n v="230623.52"/>
    <x v="0"/>
    <x v="0"/>
  </r>
  <r>
    <x v="6"/>
    <x v="2"/>
    <x v="2"/>
    <x v="0"/>
    <x v="0"/>
    <n v="95485.52"/>
    <x v="0"/>
    <x v="0"/>
  </r>
  <r>
    <x v="6"/>
    <x v="2"/>
    <x v="3"/>
    <x v="0"/>
    <x v="0"/>
    <n v="135471.58"/>
    <x v="0"/>
    <x v="0"/>
  </r>
  <r>
    <x v="6"/>
    <x v="2"/>
    <x v="3"/>
    <x v="0"/>
    <x v="0"/>
    <n v="126928.94"/>
    <x v="0"/>
    <x v="0"/>
  </r>
  <r>
    <x v="6"/>
    <x v="2"/>
    <x v="3"/>
    <x v="0"/>
    <x v="0"/>
    <n v="116598.79"/>
    <x v="0"/>
    <x v="0"/>
  </r>
  <r>
    <x v="6"/>
    <x v="2"/>
    <x v="0"/>
    <x v="0"/>
    <x v="0"/>
    <n v="8826.61"/>
    <x v="0"/>
    <x v="0"/>
  </r>
  <r>
    <x v="6"/>
    <x v="2"/>
    <x v="3"/>
    <x v="0"/>
    <x v="0"/>
    <n v="112327.1"/>
    <x v="0"/>
    <x v="0"/>
  </r>
  <r>
    <x v="6"/>
    <x v="2"/>
    <x v="2"/>
    <x v="0"/>
    <x v="0"/>
    <n v="95155.95"/>
    <x v="0"/>
    <x v="0"/>
  </r>
  <r>
    <x v="6"/>
    <x v="2"/>
    <x v="2"/>
    <x v="0"/>
    <x v="0"/>
    <n v="65006.66"/>
    <x v="0"/>
    <x v="0"/>
  </r>
  <r>
    <x v="6"/>
    <x v="2"/>
    <x v="3"/>
    <x v="0"/>
    <x v="0"/>
    <n v="120223.54"/>
    <x v="0"/>
    <x v="0"/>
  </r>
  <r>
    <x v="6"/>
    <x v="2"/>
    <x v="2"/>
    <x v="0"/>
    <x v="0"/>
    <n v="16322.98"/>
    <x v="0"/>
    <x v="0"/>
  </r>
  <r>
    <x v="6"/>
    <x v="2"/>
    <x v="2"/>
    <x v="0"/>
    <x v="0"/>
    <n v="86050.93"/>
    <x v="0"/>
    <x v="0"/>
  </r>
  <r>
    <x v="6"/>
    <x v="2"/>
    <x v="2"/>
    <x v="0"/>
    <x v="0"/>
    <n v="83162.16"/>
    <x v="0"/>
    <x v="0"/>
  </r>
  <r>
    <x v="6"/>
    <x v="2"/>
    <x v="3"/>
    <x v="0"/>
    <x v="0"/>
    <n v="115166.62"/>
    <x v="0"/>
    <x v="0"/>
  </r>
  <r>
    <x v="6"/>
    <x v="2"/>
    <x v="3"/>
    <x v="0"/>
    <x v="0"/>
    <n v="299337.21"/>
    <x v="0"/>
    <x v="0"/>
  </r>
  <r>
    <x v="6"/>
    <x v="2"/>
    <x v="3"/>
    <x v="0"/>
    <x v="0"/>
    <n v="122585.87"/>
    <x v="0"/>
    <x v="0"/>
  </r>
  <r>
    <x v="6"/>
    <x v="2"/>
    <x v="2"/>
    <x v="0"/>
    <x v="0"/>
    <n v="25784.58"/>
    <x v="0"/>
    <x v="0"/>
  </r>
  <r>
    <x v="6"/>
    <x v="2"/>
    <x v="3"/>
    <x v="0"/>
    <x v="0"/>
    <n v="713465.67"/>
    <x v="0"/>
    <x v="0"/>
  </r>
  <r>
    <x v="6"/>
    <x v="2"/>
    <x v="3"/>
    <x v="0"/>
    <x v="0"/>
    <n v="110439.98"/>
    <x v="0"/>
    <x v="0"/>
  </r>
  <r>
    <x v="6"/>
    <x v="2"/>
    <x v="2"/>
    <x v="0"/>
    <x v="0"/>
    <n v="39048.51"/>
    <x v="0"/>
    <x v="0"/>
  </r>
  <r>
    <x v="6"/>
    <x v="2"/>
    <x v="3"/>
    <x v="0"/>
    <x v="0"/>
    <n v="228982.7"/>
    <x v="0"/>
    <x v="0"/>
  </r>
  <r>
    <x v="6"/>
    <x v="2"/>
    <x v="3"/>
    <x v="0"/>
    <x v="0"/>
    <n v="135528.52"/>
    <x v="0"/>
    <x v="0"/>
  </r>
  <r>
    <x v="6"/>
    <x v="2"/>
    <x v="3"/>
    <x v="0"/>
    <x v="0"/>
    <n v="455512.07"/>
    <x v="0"/>
    <x v="0"/>
  </r>
  <r>
    <x v="6"/>
    <x v="2"/>
    <x v="3"/>
    <x v="0"/>
    <x v="0"/>
    <n v="104669.17"/>
    <x v="0"/>
    <x v="0"/>
  </r>
  <r>
    <x v="6"/>
    <x v="2"/>
    <x v="3"/>
    <x v="0"/>
    <x v="0"/>
    <n v="111608.93"/>
    <x v="0"/>
    <x v="0"/>
  </r>
  <r>
    <x v="6"/>
    <x v="2"/>
    <x v="2"/>
    <x v="0"/>
    <x v="0"/>
    <n v="10606.95"/>
    <x v="0"/>
    <x v="0"/>
  </r>
  <r>
    <x v="6"/>
    <x v="2"/>
    <x v="3"/>
    <x v="0"/>
    <x v="0"/>
    <n v="178055.24"/>
    <x v="0"/>
    <x v="0"/>
  </r>
  <r>
    <x v="6"/>
    <x v="2"/>
    <x v="2"/>
    <x v="0"/>
    <x v="0"/>
    <n v="55593.37"/>
    <x v="0"/>
    <x v="0"/>
  </r>
  <r>
    <x v="6"/>
    <x v="2"/>
    <x v="3"/>
    <x v="0"/>
    <x v="0"/>
    <n v="287860.49"/>
    <x v="0"/>
    <x v="0"/>
  </r>
  <r>
    <x v="6"/>
    <x v="2"/>
    <x v="3"/>
    <x v="0"/>
    <x v="0"/>
    <n v="112423.36"/>
    <x v="0"/>
    <x v="0"/>
  </r>
  <r>
    <x v="6"/>
    <x v="2"/>
    <x v="2"/>
    <x v="0"/>
    <x v="0"/>
    <n v="41059.08"/>
    <x v="0"/>
    <x v="0"/>
  </r>
  <r>
    <x v="6"/>
    <x v="2"/>
    <x v="3"/>
    <x v="0"/>
    <x v="0"/>
    <n v="357427.06"/>
    <x v="0"/>
    <x v="0"/>
  </r>
  <r>
    <x v="6"/>
    <x v="2"/>
    <x v="2"/>
    <x v="0"/>
    <x v="0"/>
    <n v="26205.91"/>
    <x v="0"/>
    <x v="0"/>
  </r>
  <r>
    <x v="6"/>
    <x v="2"/>
    <x v="2"/>
    <x v="0"/>
    <x v="0"/>
    <n v="94641.18"/>
    <x v="0"/>
    <x v="0"/>
  </r>
  <r>
    <x v="6"/>
    <x v="2"/>
    <x v="3"/>
    <x v="0"/>
    <x v="0"/>
    <n v="176673.12"/>
    <x v="0"/>
    <x v="0"/>
  </r>
  <r>
    <x v="6"/>
    <x v="2"/>
    <x v="2"/>
    <x v="0"/>
    <x v="0"/>
    <n v="80085.58"/>
    <x v="0"/>
    <x v="0"/>
  </r>
  <r>
    <x v="6"/>
    <x v="1"/>
    <x v="3"/>
    <x v="0"/>
    <x v="0"/>
    <n v="733678.95"/>
    <x v="0"/>
    <x v="0"/>
  </r>
  <r>
    <x v="6"/>
    <x v="3"/>
    <x v="0"/>
    <x v="0"/>
    <x v="0"/>
    <n v="2360.49"/>
    <x v="0"/>
    <x v="0"/>
  </r>
  <r>
    <x v="6"/>
    <x v="0"/>
    <x v="0"/>
    <x v="0"/>
    <x v="0"/>
    <n v="7426.25"/>
    <x v="0"/>
    <x v="0"/>
  </r>
  <r>
    <x v="6"/>
    <x v="0"/>
    <x v="2"/>
    <x v="0"/>
    <x v="0"/>
    <n v="15242.93"/>
    <x v="0"/>
    <x v="0"/>
  </r>
  <r>
    <x v="6"/>
    <x v="4"/>
    <x v="2"/>
    <x v="0"/>
    <x v="0"/>
    <n v="64569.23"/>
    <x v="0"/>
    <x v="0"/>
  </r>
  <r>
    <x v="6"/>
    <x v="0"/>
    <x v="0"/>
    <x v="0"/>
    <x v="0"/>
    <n v="1348.98"/>
    <x v="0"/>
    <x v="0"/>
  </r>
  <r>
    <x v="6"/>
    <x v="0"/>
    <x v="0"/>
    <x v="0"/>
    <x v="0"/>
    <n v="8414.46"/>
    <x v="0"/>
    <x v="0"/>
  </r>
  <r>
    <x v="6"/>
    <x v="0"/>
    <x v="0"/>
    <x v="0"/>
    <x v="0"/>
    <n v="5784.92"/>
    <x v="0"/>
    <x v="0"/>
  </r>
  <r>
    <x v="6"/>
    <x v="0"/>
    <x v="0"/>
    <x v="0"/>
    <x v="0"/>
    <n v="9390.53"/>
    <x v="0"/>
    <x v="0"/>
  </r>
  <r>
    <x v="6"/>
    <x v="0"/>
    <x v="0"/>
    <x v="0"/>
    <x v="0"/>
    <n v="9677.9"/>
    <x v="0"/>
    <x v="0"/>
  </r>
  <r>
    <x v="6"/>
    <x v="0"/>
    <x v="0"/>
    <x v="0"/>
    <x v="0"/>
    <n v="4172.18"/>
    <x v="0"/>
    <x v="0"/>
  </r>
  <r>
    <x v="6"/>
    <x v="2"/>
    <x v="3"/>
    <x v="0"/>
    <x v="0"/>
    <n v="309799.7"/>
    <x v="0"/>
    <x v="0"/>
  </r>
  <r>
    <x v="6"/>
    <x v="3"/>
    <x v="0"/>
    <x v="0"/>
    <x v="0"/>
    <n v="2859.77"/>
    <x v="0"/>
    <x v="0"/>
  </r>
  <r>
    <x v="6"/>
    <x v="0"/>
    <x v="2"/>
    <x v="0"/>
    <x v="0"/>
    <n v="10414.2"/>
    <x v="0"/>
    <x v="0"/>
  </r>
  <r>
    <x v="6"/>
    <x v="0"/>
    <x v="0"/>
    <x v="0"/>
    <x v="0"/>
    <n v="5803.59"/>
    <x v="0"/>
    <x v="0"/>
  </r>
  <r>
    <x v="6"/>
    <x v="1"/>
    <x v="3"/>
    <x v="0"/>
    <x v="0"/>
    <n v="915732.43"/>
    <x v="0"/>
    <x v="0"/>
  </r>
  <r>
    <x v="6"/>
    <x v="0"/>
    <x v="0"/>
    <x v="0"/>
    <x v="0"/>
    <n v="3215.11"/>
    <x v="0"/>
    <x v="0"/>
  </r>
  <r>
    <x v="6"/>
    <x v="0"/>
    <x v="0"/>
    <x v="0"/>
    <x v="0"/>
    <n v="7462.87"/>
    <x v="0"/>
    <x v="0"/>
  </r>
  <r>
    <x v="6"/>
    <x v="0"/>
    <x v="0"/>
    <x v="0"/>
    <x v="0"/>
    <n v="2070.68"/>
    <x v="0"/>
    <x v="0"/>
  </r>
  <r>
    <x v="6"/>
    <x v="0"/>
    <x v="0"/>
    <x v="0"/>
    <x v="0"/>
    <n v="3702.2"/>
    <x v="0"/>
    <x v="0"/>
  </r>
  <r>
    <x v="6"/>
    <x v="0"/>
    <x v="0"/>
    <x v="0"/>
    <x v="0"/>
    <n v="2686.44"/>
    <x v="0"/>
    <x v="0"/>
  </r>
  <r>
    <x v="6"/>
    <x v="2"/>
    <x v="3"/>
    <x v="0"/>
    <x v="0"/>
    <n v="175236.79"/>
    <x v="0"/>
    <x v="0"/>
  </r>
  <r>
    <x v="6"/>
    <x v="0"/>
    <x v="0"/>
    <x v="0"/>
    <x v="0"/>
    <n v="7176.58"/>
    <x v="0"/>
    <x v="0"/>
  </r>
  <r>
    <x v="6"/>
    <x v="2"/>
    <x v="3"/>
    <x v="0"/>
    <x v="0"/>
    <n v="316493.12"/>
    <x v="0"/>
    <x v="0"/>
  </r>
  <r>
    <x v="6"/>
    <x v="0"/>
    <x v="0"/>
    <x v="0"/>
    <x v="0"/>
    <n v="1703.96"/>
    <x v="0"/>
    <x v="0"/>
  </r>
  <r>
    <x v="6"/>
    <x v="0"/>
    <x v="0"/>
    <x v="0"/>
    <x v="0"/>
    <n v="4307.38"/>
    <x v="0"/>
    <x v="0"/>
  </r>
  <r>
    <x v="6"/>
    <x v="2"/>
    <x v="3"/>
    <x v="0"/>
    <x v="0"/>
    <n v="228251.68"/>
    <x v="0"/>
    <x v="0"/>
  </r>
  <r>
    <x v="6"/>
    <x v="0"/>
    <x v="0"/>
    <x v="0"/>
    <x v="0"/>
    <n v="4465.5"/>
    <x v="0"/>
    <x v="0"/>
  </r>
  <r>
    <x v="6"/>
    <x v="0"/>
    <x v="2"/>
    <x v="0"/>
    <x v="0"/>
    <n v="10399.11"/>
    <x v="0"/>
    <x v="0"/>
  </r>
  <r>
    <x v="6"/>
    <x v="0"/>
    <x v="0"/>
    <x v="0"/>
    <x v="0"/>
    <n v="6301.93"/>
    <x v="0"/>
    <x v="0"/>
  </r>
  <r>
    <x v="6"/>
    <x v="2"/>
    <x v="3"/>
    <x v="0"/>
    <x v="0"/>
    <n v="156329.61"/>
    <x v="0"/>
    <x v="0"/>
  </r>
  <r>
    <x v="6"/>
    <x v="1"/>
    <x v="3"/>
    <x v="0"/>
    <x v="0"/>
    <n v="392940.08"/>
    <x v="0"/>
    <x v="0"/>
  </r>
  <r>
    <x v="6"/>
    <x v="4"/>
    <x v="2"/>
    <x v="0"/>
    <x v="0"/>
    <n v="24035.29"/>
    <x v="0"/>
    <x v="0"/>
  </r>
  <r>
    <x v="6"/>
    <x v="0"/>
    <x v="2"/>
    <x v="0"/>
    <x v="0"/>
    <n v="13878.21"/>
    <x v="0"/>
    <x v="0"/>
  </r>
  <r>
    <x v="6"/>
    <x v="0"/>
    <x v="1"/>
    <x v="0"/>
    <x v="0"/>
    <n v="502.38"/>
    <x v="0"/>
    <x v="0"/>
  </r>
  <r>
    <x v="6"/>
    <x v="0"/>
    <x v="0"/>
    <x v="0"/>
    <x v="0"/>
    <n v="1589.74"/>
    <x v="0"/>
    <x v="0"/>
  </r>
  <r>
    <x v="6"/>
    <x v="0"/>
    <x v="0"/>
    <x v="0"/>
    <x v="0"/>
    <n v="2043.74"/>
    <x v="0"/>
    <x v="0"/>
  </r>
  <r>
    <x v="6"/>
    <x v="0"/>
    <x v="2"/>
    <x v="0"/>
    <x v="0"/>
    <n v="11943.88"/>
    <x v="0"/>
    <x v="0"/>
  </r>
  <r>
    <x v="6"/>
    <x v="0"/>
    <x v="0"/>
    <x v="0"/>
    <x v="0"/>
    <n v="5245.79"/>
    <x v="0"/>
    <x v="0"/>
  </r>
  <r>
    <x v="6"/>
    <x v="0"/>
    <x v="0"/>
    <x v="0"/>
    <x v="0"/>
    <n v="8976.18"/>
    <x v="0"/>
    <x v="0"/>
  </r>
  <r>
    <x v="6"/>
    <x v="2"/>
    <x v="3"/>
    <x v="0"/>
    <x v="0"/>
    <n v="175416.04"/>
    <x v="0"/>
    <x v="0"/>
  </r>
  <r>
    <x v="6"/>
    <x v="2"/>
    <x v="3"/>
    <x v="0"/>
    <x v="0"/>
    <n v="107057.5"/>
    <x v="0"/>
    <x v="0"/>
  </r>
  <r>
    <x v="6"/>
    <x v="2"/>
    <x v="2"/>
    <x v="0"/>
    <x v="0"/>
    <n v="63751.96"/>
    <x v="0"/>
    <x v="0"/>
  </r>
  <r>
    <x v="6"/>
    <x v="2"/>
    <x v="2"/>
    <x v="0"/>
    <x v="0"/>
    <n v="41210.57"/>
    <x v="0"/>
    <x v="0"/>
  </r>
  <r>
    <x v="6"/>
    <x v="2"/>
    <x v="3"/>
    <x v="0"/>
    <x v="0"/>
    <n v="284451.31"/>
    <x v="0"/>
    <x v="0"/>
  </r>
  <r>
    <x v="6"/>
    <x v="2"/>
    <x v="3"/>
    <x v="0"/>
    <x v="0"/>
    <n v="224221.08"/>
    <x v="0"/>
    <x v="0"/>
  </r>
  <r>
    <x v="6"/>
    <x v="2"/>
    <x v="3"/>
    <x v="0"/>
    <x v="0"/>
    <n v="512425.51"/>
    <x v="0"/>
    <x v="0"/>
  </r>
  <r>
    <x v="6"/>
    <x v="2"/>
    <x v="3"/>
    <x v="0"/>
    <x v="0"/>
    <n v="185882.89"/>
    <x v="0"/>
    <x v="0"/>
  </r>
  <r>
    <x v="6"/>
    <x v="2"/>
    <x v="3"/>
    <x v="0"/>
    <x v="0"/>
    <n v="162684.74"/>
    <x v="0"/>
    <x v="0"/>
  </r>
  <r>
    <x v="6"/>
    <x v="2"/>
    <x v="0"/>
    <x v="0"/>
    <x v="0"/>
    <n v="6392.64"/>
    <x v="0"/>
    <x v="0"/>
  </r>
  <r>
    <x v="6"/>
    <x v="2"/>
    <x v="3"/>
    <x v="0"/>
    <x v="0"/>
    <n v="183547.99"/>
    <x v="0"/>
    <x v="0"/>
  </r>
  <r>
    <x v="6"/>
    <x v="2"/>
    <x v="2"/>
    <x v="0"/>
    <x v="0"/>
    <n v="27416.73"/>
    <x v="0"/>
    <x v="0"/>
  </r>
  <r>
    <x v="6"/>
    <x v="2"/>
    <x v="2"/>
    <x v="0"/>
    <x v="0"/>
    <n v="89608.08"/>
    <x v="0"/>
    <x v="0"/>
  </r>
  <r>
    <x v="6"/>
    <x v="0"/>
    <x v="0"/>
    <x v="0"/>
    <x v="0"/>
    <n v="4171.95"/>
    <x v="0"/>
    <x v="0"/>
  </r>
  <r>
    <x v="6"/>
    <x v="2"/>
    <x v="2"/>
    <x v="0"/>
    <x v="0"/>
    <n v="78278.45"/>
    <x v="0"/>
    <x v="0"/>
  </r>
  <r>
    <x v="6"/>
    <x v="0"/>
    <x v="2"/>
    <x v="0"/>
    <x v="0"/>
    <n v="10659.13"/>
    <x v="0"/>
    <x v="0"/>
  </r>
  <r>
    <x v="6"/>
    <x v="0"/>
    <x v="0"/>
    <x v="0"/>
    <x v="0"/>
    <n v="8936.88"/>
    <x v="0"/>
    <x v="0"/>
  </r>
  <r>
    <x v="6"/>
    <x v="0"/>
    <x v="1"/>
    <x v="0"/>
    <x v="0"/>
    <n v="653.16"/>
    <x v="0"/>
    <x v="0"/>
  </r>
  <r>
    <x v="6"/>
    <x v="0"/>
    <x v="2"/>
    <x v="0"/>
    <x v="0"/>
    <n v="13397.45"/>
    <x v="0"/>
    <x v="0"/>
  </r>
  <r>
    <x v="6"/>
    <x v="1"/>
    <x v="3"/>
    <x v="0"/>
    <x v="0"/>
    <n v="452835.39"/>
    <x v="0"/>
    <x v="0"/>
  </r>
  <r>
    <x v="6"/>
    <x v="0"/>
    <x v="2"/>
    <x v="0"/>
    <x v="0"/>
    <n v="12187.12"/>
    <x v="0"/>
    <x v="0"/>
  </r>
  <r>
    <x v="6"/>
    <x v="1"/>
    <x v="3"/>
    <x v="0"/>
    <x v="0"/>
    <n v="141257.69"/>
    <x v="0"/>
    <x v="0"/>
  </r>
  <r>
    <x v="6"/>
    <x v="0"/>
    <x v="0"/>
    <x v="0"/>
    <x v="0"/>
    <n v="9801.54"/>
    <x v="0"/>
    <x v="0"/>
  </r>
  <r>
    <x v="6"/>
    <x v="0"/>
    <x v="0"/>
    <x v="0"/>
    <x v="0"/>
    <n v="7951.32"/>
    <x v="0"/>
    <x v="0"/>
  </r>
  <r>
    <x v="6"/>
    <x v="0"/>
    <x v="0"/>
    <x v="0"/>
    <x v="0"/>
    <n v="6929.73"/>
    <x v="0"/>
    <x v="0"/>
  </r>
  <r>
    <x v="6"/>
    <x v="0"/>
    <x v="0"/>
    <x v="0"/>
    <x v="0"/>
    <n v="3941.31"/>
    <x v="0"/>
    <x v="0"/>
  </r>
  <r>
    <x v="6"/>
    <x v="0"/>
    <x v="0"/>
    <x v="0"/>
    <x v="0"/>
    <n v="4522.72"/>
    <x v="0"/>
    <x v="0"/>
  </r>
  <r>
    <x v="6"/>
    <x v="0"/>
    <x v="1"/>
    <x v="0"/>
    <x v="0"/>
    <n v="323.01"/>
    <x v="0"/>
    <x v="0"/>
  </r>
  <r>
    <x v="6"/>
    <x v="0"/>
    <x v="0"/>
    <x v="0"/>
    <x v="0"/>
    <n v="6817.11"/>
    <x v="0"/>
    <x v="0"/>
  </r>
  <r>
    <x v="6"/>
    <x v="0"/>
    <x v="2"/>
    <x v="0"/>
    <x v="0"/>
    <n v="13201.91"/>
    <x v="0"/>
    <x v="0"/>
  </r>
  <r>
    <x v="6"/>
    <x v="0"/>
    <x v="0"/>
    <x v="0"/>
    <x v="0"/>
    <n v="2836.24"/>
    <x v="0"/>
    <x v="0"/>
  </r>
  <r>
    <x v="6"/>
    <x v="0"/>
    <x v="0"/>
    <x v="0"/>
    <x v="0"/>
    <n v="5044.45"/>
    <x v="0"/>
    <x v="0"/>
  </r>
  <r>
    <x v="6"/>
    <x v="2"/>
    <x v="3"/>
    <x v="0"/>
    <x v="0"/>
    <n v="117762.75"/>
    <x v="0"/>
    <x v="0"/>
  </r>
  <r>
    <x v="6"/>
    <x v="0"/>
    <x v="0"/>
    <x v="0"/>
    <x v="0"/>
    <n v="2278.82"/>
    <x v="0"/>
    <x v="0"/>
  </r>
  <r>
    <x v="6"/>
    <x v="0"/>
    <x v="0"/>
    <x v="0"/>
    <x v="0"/>
    <n v="3256.98"/>
    <x v="0"/>
    <x v="0"/>
  </r>
  <r>
    <x v="6"/>
    <x v="0"/>
    <x v="2"/>
    <x v="0"/>
    <x v="0"/>
    <n v="10446.63"/>
    <x v="0"/>
    <x v="0"/>
  </r>
  <r>
    <x v="6"/>
    <x v="0"/>
    <x v="0"/>
    <x v="0"/>
    <x v="0"/>
    <n v="1520.66"/>
    <x v="0"/>
    <x v="0"/>
  </r>
  <r>
    <x v="6"/>
    <x v="0"/>
    <x v="0"/>
    <x v="0"/>
    <x v="0"/>
    <n v="5961.64"/>
    <x v="0"/>
    <x v="0"/>
  </r>
  <r>
    <x v="6"/>
    <x v="0"/>
    <x v="0"/>
    <x v="0"/>
    <x v="0"/>
    <n v="9450.61"/>
    <x v="0"/>
    <x v="0"/>
  </r>
  <r>
    <x v="6"/>
    <x v="4"/>
    <x v="2"/>
    <x v="0"/>
    <x v="0"/>
    <n v="51940.57"/>
    <x v="0"/>
    <x v="0"/>
  </r>
  <r>
    <x v="6"/>
    <x v="2"/>
    <x v="2"/>
    <x v="0"/>
    <x v="0"/>
    <n v="29181.32"/>
    <x v="0"/>
    <x v="0"/>
  </r>
  <r>
    <x v="6"/>
    <x v="4"/>
    <x v="2"/>
    <x v="0"/>
    <x v="0"/>
    <n v="76185.26"/>
    <x v="0"/>
    <x v="0"/>
  </r>
  <r>
    <x v="6"/>
    <x v="0"/>
    <x v="0"/>
    <x v="0"/>
    <x v="0"/>
    <n v="3585.4"/>
    <x v="0"/>
    <x v="0"/>
  </r>
  <r>
    <x v="6"/>
    <x v="0"/>
    <x v="1"/>
    <x v="0"/>
    <x v="0"/>
    <n v="543.6"/>
    <x v="0"/>
    <x v="0"/>
  </r>
  <r>
    <x v="6"/>
    <x v="0"/>
    <x v="2"/>
    <x v="0"/>
    <x v="0"/>
    <n v="12333.76"/>
    <x v="0"/>
    <x v="0"/>
  </r>
  <r>
    <x v="6"/>
    <x v="0"/>
    <x v="0"/>
    <x v="0"/>
    <x v="0"/>
    <n v="1864.36"/>
    <x v="0"/>
    <x v="0"/>
  </r>
  <r>
    <x v="6"/>
    <x v="0"/>
    <x v="0"/>
    <x v="0"/>
    <x v="0"/>
    <n v="5563.16"/>
    <x v="0"/>
    <x v="0"/>
  </r>
  <r>
    <x v="6"/>
    <x v="0"/>
    <x v="1"/>
    <x v="0"/>
    <x v="0"/>
    <n v="991.87"/>
    <x v="0"/>
    <x v="0"/>
  </r>
  <r>
    <x v="6"/>
    <x v="0"/>
    <x v="0"/>
    <x v="0"/>
    <x v="0"/>
    <n v="1042.26"/>
    <x v="0"/>
    <x v="0"/>
  </r>
  <r>
    <x v="6"/>
    <x v="4"/>
    <x v="2"/>
    <x v="0"/>
    <x v="0"/>
    <n v="56968.61"/>
    <x v="0"/>
    <x v="0"/>
  </r>
  <r>
    <x v="6"/>
    <x v="0"/>
    <x v="2"/>
    <x v="0"/>
    <x v="0"/>
    <n v="17399.44"/>
    <x v="0"/>
    <x v="0"/>
  </r>
  <r>
    <x v="6"/>
    <x v="0"/>
    <x v="0"/>
    <x v="0"/>
    <x v="0"/>
    <n v="7839.9"/>
    <x v="0"/>
    <x v="0"/>
  </r>
  <r>
    <x v="6"/>
    <x v="1"/>
    <x v="3"/>
    <x v="0"/>
    <x v="0"/>
    <n v="393091.2"/>
    <x v="0"/>
    <x v="0"/>
  </r>
  <r>
    <x v="6"/>
    <x v="1"/>
    <x v="2"/>
    <x v="0"/>
    <x v="0"/>
    <n v="25900.29"/>
    <x v="0"/>
    <x v="0"/>
  </r>
  <r>
    <x v="6"/>
    <x v="0"/>
    <x v="0"/>
    <x v="0"/>
    <x v="0"/>
    <n v="3872.79"/>
    <x v="0"/>
    <x v="0"/>
  </r>
  <r>
    <x v="6"/>
    <x v="0"/>
    <x v="0"/>
    <x v="0"/>
    <x v="0"/>
    <n v="7396.44"/>
    <x v="0"/>
    <x v="0"/>
  </r>
  <r>
    <x v="6"/>
    <x v="0"/>
    <x v="0"/>
    <x v="0"/>
    <x v="0"/>
    <n v="5920.5"/>
    <x v="0"/>
    <x v="0"/>
  </r>
  <r>
    <x v="6"/>
    <x v="1"/>
    <x v="3"/>
    <x v="0"/>
    <x v="0"/>
    <n v="700223.91"/>
    <x v="0"/>
    <x v="0"/>
  </r>
  <r>
    <x v="6"/>
    <x v="1"/>
    <x v="3"/>
    <x v="0"/>
    <x v="0"/>
    <n v="229105.83"/>
    <x v="0"/>
    <x v="0"/>
  </r>
  <r>
    <x v="6"/>
    <x v="3"/>
    <x v="0"/>
    <x v="0"/>
    <x v="0"/>
    <n v="2512.95"/>
    <x v="0"/>
    <x v="0"/>
  </r>
  <r>
    <x v="6"/>
    <x v="0"/>
    <x v="0"/>
    <x v="0"/>
    <x v="0"/>
    <n v="4405.43"/>
    <x v="0"/>
    <x v="0"/>
  </r>
  <r>
    <x v="6"/>
    <x v="1"/>
    <x v="3"/>
    <x v="0"/>
    <x v="0"/>
    <n v="351561.05"/>
    <x v="0"/>
    <x v="0"/>
  </r>
  <r>
    <x v="6"/>
    <x v="1"/>
    <x v="3"/>
    <x v="0"/>
    <x v="0"/>
    <n v="740951.52"/>
    <x v="0"/>
    <x v="0"/>
  </r>
  <r>
    <x v="6"/>
    <x v="0"/>
    <x v="2"/>
    <x v="0"/>
    <x v="0"/>
    <n v="16918.31"/>
    <x v="0"/>
    <x v="0"/>
  </r>
  <r>
    <x v="6"/>
    <x v="0"/>
    <x v="0"/>
    <x v="0"/>
    <x v="0"/>
    <n v="9463.64"/>
    <x v="0"/>
    <x v="0"/>
  </r>
  <r>
    <x v="6"/>
    <x v="0"/>
    <x v="0"/>
    <x v="0"/>
    <x v="0"/>
    <n v="1980.51"/>
    <x v="0"/>
    <x v="0"/>
  </r>
  <r>
    <x v="6"/>
    <x v="0"/>
    <x v="0"/>
    <x v="0"/>
    <x v="0"/>
    <n v="3643.91"/>
    <x v="0"/>
    <x v="0"/>
  </r>
  <r>
    <x v="6"/>
    <x v="0"/>
    <x v="0"/>
    <x v="0"/>
    <x v="0"/>
    <n v="5196.35"/>
    <x v="0"/>
    <x v="0"/>
  </r>
  <r>
    <x v="6"/>
    <x v="1"/>
    <x v="4"/>
    <x v="0"/>
    <x v="0"/>
    <n v="1626960.47"/>
    <x v="0"/>
    <x v="0"/>
  </r>
  <r>
    <x v="6"/>
    <x v="0"/>
    <x v="0"/>
    <x v="0"/>
    <x v="0"/>
    <n v="1937.5"/>
    <x v="0"/>
    <x v="0"/>
  </r>
  <r>
    <x v="6"/>
    <x v="0"/>
    <x v="0"/>
    <x v="0"/>
    <x v="0"/>
    <n v="9024.06"/>
    <x v="0"/>
    <x v="0"/>
  </r>
  <r>
    <x v="6"/>
    <x v="0"/>
    <x v="2"/>
    <x v="0"/>
    <x v="0"/>
    <n v="10916.1"/>
    <x v="0"/>
    <x v="0"/>
  </r>
  <r>
    <x v="6"/>
    <x v="0"/>
    <x v="2"/>
    <x v="0"/>
    <x v="0"/>
    <n v="14709.78"/>
    <x v="0"/>
    <x v="0"/>
  </r>
  <r>
    <x v="6"/>
    <x v="1"/>
    <x v="3"/>
    <x v="0"/>
    <x v="0"/>
    <n v="457456.67"/>
    <x v="0"/>
    <x v="0"/>
  </r>
  <r>
    <x v="6"/>
    <x v="0"/>
    <x v="0"/>
    <x v="0"/>
    <x v="0"/>
    <n v="2327.84"/>
    <x v="0"/>
    <x v="0"/>
  </r>
  <r>
    <x v="6"/>
    <x v="0"/>
    <x v="0"/>
    <x v="0"/>
    <x v="0"/>
    <n v="1722.22"/>
    <x v="0"/>
    <x v="0"/>
  </r>
  <r>
    <x v="6"/>
    <x v="0"/>
    <x v="0"/>
    <x v="0"/>
    <x v="0"/>
    <n v="7519.45"/>
    <x v="0"/>
    <x v="0"/>
  </r>
  <r>
    <x v="6"/>
    <x v="0"/>
    <x v="0"/>
    <x v="0"/>
    <x v="0"/>
    <n v="4839.18"/>
    <x v="0"/>
    <x v="0"/>
  </r>
  <r>
    <x v="6"/>
    <x v="0"/>
    <x v="0"/>
    <x v="0"/>
    <x v="0"/>
    <n v="5285.09"/>
    <x v="0"/>
    <x v="0"/>
  </r>
  <r>
    <x v="6"/>
    <x v="0"/>
    <x v="0"/>
    <x v="0"/>
    <x v="0"/>
    <n v="7806.89"/>
    <x v="0"/>
    <x v="0"/>
  </r>
  <r>
    <x v="6"/>
    <x v="2"/>
    <x v="2"/>
    <x v="0"/>
    <x v="0"/>
    <n v="15325.4"/>
    <x v="0"/>
    <x v="0"/>
  </r>
  <r>
    <x v="6"/>
    <x v="1"/>
    <x v="3"/>
    <x v="0"/>
    <x v="0"/>
    <n v="875756.9"/>
    <x v="0"/>
    <x v="0"/>
  </r>
  <r>
    <x v="6"/>
    <x v="0"/>
    <x v="2"/>
    <x v="0"/>
    <x v="0"/>
    <n v="21374.64"/>
    <x v="0"/>
    <x v="0"/>
  </r>
  <r>
    <x v="6"/>
    <x v="0"/>
    <x v="1"/>
    <x v="0"/>
    <x v="0"/>
    <n v="908.3"/>
    <x v="0"/>
    <x v="0"/>
  </r>
  <r>
    <x v="6"/>
    <x v="1"/>
    <x v="3"/>
    <x v="0"/>
    <x v="0"/>
    <n v="399635.37"/>
    <x v="0"/>
    <x v="0"/>
  </r>
  <r>
    <x v="6"/>
    <x v="2"/>
    <x v="3"/>
    <x v="0"/>
    <x v="0"/>
    <n v="218466.18"/>
    <x v="0"/>
    <x v="0"/>
  </r>
  <r>
    <x v="6"/>
    <x v="2"/>
    <x v="3"/>
    <x v="0"/>
    <x v="0"/>
    <n v="211384.58"/>
    <x v="0"/>
    <x v="0"/>
  </r>
  <r>
    <x v="6"/>
    <x v="0"/>
    <x v="0"/>
    <x v="0"/>
    <x v="0"/>
    <n v="7718.37"/>
    <x v="0"/>
    <x v="0"/>
  </r>
  <r>
    <x v="6"/>
    <x v="2"/>
    <x v="2"/>
    <x v="0"/>
    <x v="0"/>
    <n v="72428.51"/>
    <x v="0"/>
    <x v="0"/>
  </r>
  <r>
    <x v="6"/>
    <x v="0"/>
    <x v="0"/>
    <x v="0"/>
    <x v="0"/>
    <n v="1312.68"/>
    <x v="0"/>
    <x v="0"/>
  </r>
  <r>
    <x v="6"/>
    <x v="2"/>
    <x v="3"/>
    <x v="0"/>
    <x v="0"/>
    <n v="329503.27"/>
    <x v="0"/>
    <x v="0"/>
  </r>
  <r>
    <x v="6"/>
    <x v="1"/>
    <x v="3"/>
    <x v="0"/>
    <x v="0"/>
    <n v="419296.35"/>
    <x v="0"/>
    <x v="0"/>
  </r>
  <r>
    <x v="6"/>
    <x v="2"/>
    <x v="3"/>
    <x v="0"/>
    <x v="0"/>
    <n v="154960.56"/>
    <x v="0"/>
    <x v="0"/>
  </r>
  <r>
    <x v="6"/>
    <x v="2"/>
    <x v="3"/>
    <x v="0"/>
    <x v="0"/>
    <n v="286381.33"/>
    <x v="0"/>
    <x v="0"/>
  </r>
  <r>
    <x v="6"/>
    <x v="1"/>
    <x v="3"/>
    <x v="0"/>
    <x v="0"/>
    <n v="126315.46"/>
    <x v="0"/>
    <x v="0"/>
  </r>
  <r>
    <x v="6"/>
    <x v="0"/>
    <x v="2"/>
    <x v="0"/>
    <x v="0"/>
    <n v="13155.28"/>
    <x v="0"/>
    <x v="0"/>
  </r>
  <r>
    <x v="6"/>
    <x v="0"/>
    <x v="2"/>
    <x v="0"/>
    <x v="0"/>
    <n v="17126.69"/>
    <x v="0"/>
    <x v="0"/>
  </r>
  <r>
    <x v="6"/>
    <x v="2"/>
    <x v="3"/>
    <x v="0"/>
    <x v="0"/>
    <n v="170108.96"/>
    <x v="0"/>
    <x v="0"/>
  </r>
  <r>
    <x v="6"/>
    <x v="0"/>
    <x v="2"/>
    <x v="0"/>
    <x v="0"/>
    <n v="10521.67"/>
    <x v="0"/>
    <x v="0"/>
  </r>
  <r>
    <x v="6"/>
    <x v="2"/>
    <x v="3"/>
    <x v="0"/>
    <x v="0"/>
    <n v="116118.94"/>
    <x v="0"/>
    <x v="0"/>
  </r>
  <r>
    <x v="6"/>
    <x v="0"/>
    <x v="2"/>
    <x v="0"/>
    <x v="0"/>
    <n v="11168.84"/>
    <x v="0"/>
    <x v="0"/>
  </r>
  <r>
    <x v="6"/>
    <x v="2"/>
    <x v="3"/>
    <x v="0"/>
    <x v="0"/>
    <n v="126589.22"/>
    <x v="0"/>
    <x v="0"/>
  </r>
  <r>
    <x v="6"/>
    <x v="1"/>
    <x v="3"/>
    <x v="0"/>
    <x v="0"/>
    <n v="643137.09"/>
    <x v="0"/>
    <x v="0"/>
  </r>
  <r>
    <x v="6"/>
    <x v="0"/>
    <x v="0"/>
    <x v="0"/>
    <x v="0"/>
    <n v="7436.99"/>
    <x v="0"/>
    <x v="0"/>
  </r>
  <r>
    <x v="6"/>
    <x v="1"/>
    <x v="3"/>
    <x v="0"/>
    <x v="0"/>
    <n v="548931.88"/>
    <x v="0"/>
    <x v="0"/>
  </r>
  <r>
    <x v="6"/>
    <x v="0"/>
    <x v="0"/>
    <x v="0"/>
    <x v="0"/>
    <n v="3919.19"/>
    <x v="0"/>
    <x v="0"/>
  </r>
  <r>
    <x v="6"/>
    <x v="0"/>
    <x v="0"/>
    <x v="0"/>
    <x v="0"/>
    <n v="8598.19"/>
    <x v="0"/>
    <x v="0"/>
  </r>
  <r>
    <x v="6"/>
    <x v="0"/>
    <x v="0"/>
    <x v="0"/>
    <x v="0"/>
    <n v="7598.75"/>
    <x v="0"/>
    <x v="0"/>
  </r>
  <r>
    <x v="6"/>
    <x v="2"/>
    <x v="3"/>
    <x v="0"/>
    <x v="0"/>
    <n v="267174.86"/>
    <x v="0"/>
    <x v="0"/>
  </r>
  <r>
    <x v="6"/>
    <x v="0"/>
    <x v="0"/>
    <x v="0"/>
    <x v="0"/>
    <n v="2475.15"/>
    <x v="0"/>
    <x v="0"/>
  </r>
  <r>
    <x v="6"/>
    <x v="0"/>
    <x v="0"/>
    <x v="0"/>
    <x v="0"/>
    <n v="5875.72"/>
    <x v="0"/>
    <x v="0"/>
  </r>
  <r>
    <x v="6"/>
    <x v="0"/>
    <x v="0"/>
    <x v="0"/>
    <x v="0"/>
    <n v="4185.71"/>
    <x v="0"/>
    <x v="0"/>
  </r>
  <r>
    <x v="6"/>
    <x v="0"/>
    <x v="0"/>
    <x v="0"/>
    <x v="0"/>
    <n v="2361.09"/>
    <x v="0"/>
    <x v="0"/>
  </r>
  <r>
    <x v="6"/>
    <x v="0"/>
    <x v="1"/>
    <x v="0"/>
    <x v="0"/>
    <n v="180.45"/>
    <x v="0"/>
    <x v="0"/>
  </r>
  <r>
    <x v="6"/>
    <x v="0"/>
    <x v="0"/>
    <x v="0"/>
    <x v="0"/>
    <n v="5955.29"/>
    <x v="0"/>
    <x v="0"/>
  </r>
  <r>
    <x v="6"/>
    <x v="0"/>
    <x v="0"/>
    <x v="0"/>
    <x v="0"/>
    <n v="3549.07"/>
    <x v="0"/>
    <x v="0"/>
  </r>
  <r>
    <x v="6"/>
    <x v="0"/>
    <x v="2"/>
    <x v="0"/>
    <x v="0"/>
    <n v="10837.97"/>
    <x v="0"/>
    <x v="0"/>
  </r>
  <r>
    <x v="6"/>
    <x v="0"/>
    <x v="0"/>
    <x v="0"/>
    <x v="0"/>
    <n v="6373.65"/>
    <x v="0"/>
    <x v="0"/>
  </r>
  <r>
    <x v="6"/>
    <x v="0"/>
    <x v="2"/>
    <x v="0"/>
    <x v="0"/>
    <n v="10266.02"/>
    <x v="0"/>
    <x v="0"/>
  </r>
  <r>
    <x v="6"/>
    <x v="0"/>
    <x v="0"/>
    <x v="0"/>
    <x v="0"/>
    <n v="2420.65"/>
    <x v="0"/>
    <x v="0"/>
  </r>
  <r>
    <x v="6"/>
    <x v="0"/>
    <x v="0"/>
    <x v="0"/>
    <x v="0"/>
    <n v="5306.41"/>
    <x v="0"/>
    <x v="0"/>
  </r>
  <r>
    <x v="6"/>
    <x v="0"/>
    <x v="0"/>
    <x v="0"/>
    <x v="0"/>
    <n v="1564.23"/>
    <x v="0"/>
    <x v="0"/>
  </r>
  <r>
    <x v="6"/>
    <x v="0"/>
    <x v="0"/>
    <x v="0"/>
    <x v="0"/>
    <n v="8309.89"/>
    <x v="0"/>
    <x v="0"/>
  </r>
  <r>
    <x v="6"/>
    <x v="2"/>
    <x v="3"/>
    <x v="0"/>
    <x v="0"/>
    <n v="506721.82"/>
    <x v="0"/>
    <x v="0"/>
  </r>
  <r>
    <x v="6"/>
    <x v="0"/>
    <x v="0"/>
    <x v="0"/>
    <x v="0"/>
    <n v="1623"/>
    <x v="0"/>
    <x v="0"/>
  </r>
  <r>
    <x v="6"/>
    <x v="1"/>
    <x v="3"/>
    <x v="0"/>
    <x v="0"/>
    <n v="134905.99"/>
    <x v="0"/>
    <x v="0"/>
  </r>
  <r>
    <x v="6"/>
    <x v="0"/>
    <x v="0"/>
    <x v="0"/>
    <x v="0"/>
    <n v="4068.24"/>
    <x v="0"/>
    <x v="0"/>
  </r>
  <r>
    <x v="6"/>
    <x v="2"/>
    <x v="3"/>
    <x v="0"/>
    <x v="0"/>
    <n v="217951.1"/>
    <x v="0"/>
    <x v="0"/>
  </r>
  <r>
    <x v="6"/>
    <x v="0"/>
    <x v="0"/>
    <x v="0"/>
    <x v="0"/>
    <n v="8494.23"/>
    <x v="0"/>
    <x v="0"/>
  </r>
  <r>
    <x v="6"/>
    <x v="0"/>
    <x v="0"/>
    <x v="0"/>
    <x v="0"/>
    <n v="7775.56"/>
    <x v="0"/>
    <x v="0"/>
  </r>
  <r>
    <x v="6"/>
    <x v="0"/>
    <x v="0"/>
    <x v="0"/>
    <x v="0"/>
    <n v="6917.79"/>
    <x v="0"/>
    <x v="0"/>
  </r>
  <r>
    <x v="6"/>
    <x v="3"/>
    <x v="0"/>
    <x v="0"/>
    <x v="0"/>
    <n v="1618.72"/>
    <x v="0"/>
    <x v="0"/>
  </r>
  <r>
    <x v="6"/>
    <x v="2"/>
    <x v="3"/>
    <x v="0"/>
    <x v="0"/>
    <n v="252921.55"/>
    <x v="0"/>
    <x v="0"/>
  </r>
  <r>
    <x v="6"/>
    <x v="2"/>
    <x v="3"/>
    <x v="0"/>
    <x v="0"/>
    <n v="396017.83"/>
    <x v="0"/>
    <x v="0"/>
  </r>
  <r>
    <x v="6"/>
    <x v="2"/>
    <x v="3"/>
    <x v="0"/>
    <x v="0"/>
    <n v="435330.06"/>
    <x v="0"/>
    <x v="0"/>
  </r>
  <r>
    <x v="6"/>
    <x v="2"/>
    <x v="3"/>
    <x v="0"/>
    <x v="0"/>
    <n v="346519.18"/>
    <x v="0"/>
    <x v="0"/>
  </r>
  <r>
    <x v="6"/>
    <x v="2"/>
    <x v="3"/>
    <x v="0"/>
    <x v="0"/>
    <n v="351726.3"/>
    <x v="0"/>
    <x v="0"/>
  </r>
  <r>
    <x v="6"/>
    <x v="2"/>
    <x v="3"/>
    <x v="0"/>
    <x v="0"/>
    <n v="349036"/>
    <x v="0"/>
    <x v="0"/>
  </r>
  <r>
    <x v="6"/>
    <x v="2"/>
    <x v="2"/>
    <x v="0"/>
    <x v="0"/>
    <n v="90106.13"/>
    <x v="0"/>
    <x v="0"/>
  </r>
  <r>
    <x v="6"/>
    <x v="2"/>
    <x v="3"/>
    <x v="0"/>
    <x v="0"/>
    <n v="290975.16"/>
    <x v="0"/>
    <x v="0"/>
  </r>
  <r>
    <x v="6"/>
    <x v="2"/>
    <x v="3"/>
    <x v="0"/>
    <x v="0"/>
    <n v="208168.06"/>
    <x v="0"/>
    <x v="0"/>
  </r>
  <r>
    <x v="6"/>
    <x v="2"/>
    <x v="3"/>
    <x v="0"/>
    <x v="0"/>
    <n v="280436.1"/>
    <x v="0"/>
    <x v="0"/>
  </r>
  <r>
    <x v="6"/>
    <x v="2"/>
    <x v="3"/>
    <x v="0"/>
    <x v="0"/>
    <n v="107752.32"/>
    <x v="0"/>
    <x v="0"/>
  </r>
  <r>
    <x v="6"/>
    <x v="2"/>
    <x v="2"/>
    <x v="0"/>
    <x v="0"/>
    <n v="41088.35"/>
    <x v="0"/>
    <x v="0"/>
  </r>
  <r>
    <x v="6"/>
    <x v="2"/>
    <x v="3"/>
    <x v="0"/>
    <x v="0"/>
    <n v="186948.68"/>
    <x v="0"/>
    <x v="0"/>
  </r>
  <r>
    <x v="6"/>
    <x v="0"/>
    <x v="2"/>
    <x v="0"/>
    <x v="0"/>
    <n v="14621.24"/>
    <x v="0"/>
    <x v="0"/>
  </r>
  <r>
    <x v="6"/>
    <x v="0"/>
    <x v="0"/>
    <x v="0"/>
    <x v="0"/>
    <n v="6687.89"/>
    <x v="0"/>
    <x v="0"/>
  </r>
  <r>
    <x v="6"/>
    <x v="0"/>
    <x v="0"/>
    <x v="0"/>
    <x v="0"/>
    <n v="2058.78"/>
    <x v="0"/>
    <x v="0"/>
  </r>
  <r>
    <x v="6"/>
    <x v="0"/>
    <x v="0"/>
    <x v="0"/>
    <x v="0"/>
    <n v="8284.33"/>
    <x v="0"/>
    <x v="0"/>
  </r>
  <r>
    <x v="6"/>
    <x v="0"/>
    <x v="0"/>
    <x v="0"/>
    <x v="0"/>
    <n v="9537.3"/>
    <x v="0"/>
    <x v="0"/>
  </r>
  <r>
    <x v="6"/>
    <x v="0"/>
    <x v="1"/>
    <x v="0"/>
    <x v="0"/>
    <n v="337.38"/>
    <x v="0"/>
    <x v="0"/>
  </r>
  <r>
    <x v="6"/>
    <x v="0"/>
    <x v="0"/>
    <x v="0"/>
    <x v="0"/>
    <n v="9953.07"/>
    <x v="0"/>
    <x v="0"/>
  </r>
  <r>
    <x v="6"/>
    <x v="0"/>
    <x v="2"/>
    <x v="0"/>
    <x v="0"/>
    <n v="14279.36"/>
    <x v="0"/>
    <x v="0"/>
  </r>
  <r>
    <x v="6"/>
    <x v="0"/>
    <x v="2"/>
    <x v="0"/>
    <x v="0"/>
    <n v="12687.23"/>
    <x v="0"/>
    <x v="0"/>
  </r>
  <r>
    <x v="6"/>
    <x v="0"/>
    <x v="1"/>
    <x v="0"/>
    <x v="0"/>
    <n v="267.33"/>
    <x v="0"/>
    <x v="0"/>
  </r>
  <r>
    <x v="6"/>
    <x v="0"/>
    <x v="0"/>
    <x v="0"/>
    <x v="0"/>
    <n v="5672.99"/>
    <x v="0"/>
    <x v="0"/>
  </r>
  <r>
    <x v="6"/>
    <x v="0"/>
    <x v="2"/>
    <x v="0"/>
    <x v="0"/>
    <n v="14978.23"/>
    <x v="0"/>
    <x v="0"/>
  </r>
  <r>
    <x v="6"/>
    <x v="0"/>
    <x v="2"/>
    <x v="0"/>
    <x v="0"/>
    <n v="13451.6"/>
    <x v="0"/>
    <x v="0"/>
  </r>
  <r>
    <x v="6"/>
    <x v="0"/>
    <x v="2"/>
    <x v="0"/>
    <x v="0"/>
    <n v="14731.43"/>
    <x v="0"/>
    <x v="0"/>
  </r>
  <r>
    <x v="6"/>
    <x v="0"/>
    <x v="2"/>
    <x v="0"/>
    <x v="0"/>
    <n v="10236.7"/>
    <x v="0"/>
    <x v="0"/>
  </r>
  <r>
    <x v="6"/>
    <x v="0"/>
    <x v="2"/>
    <x v="0"/>
    <x v="0"/>
    <n v="66345.42"/>
    <x v="0"/>
    <x v="0"/>
  </r>
  <r>
    <x v="6"/>
    <x v="0"/>
    <x v="0"/>
    <x v="0"/>
    <x v="0"/>
    <n v="3032.91"/>
    <x v="0"/>
    <x v="0"/>
  </r>
  <r>
    <x v="6"/>
    <x v="0"/>
    <x v="0"/>
    <x v="0"/>
    <x v="0"/>
    <n v="9246.48"/>
    <x v="0"/>
    <x v="0"/>
  </r>
  <r>
    <x v="6"/>
    <x v="0"/>
    <x v="0"/>
    <x v="0"/>
    <x v="0"/>
    <n v="1724.87"/>
    <x v="0"/>
    <x v="0"/>
  </r>
  <r>
    <x v="6"/>
    <x v="0"/>
    <x v="0"/>
    <x v="0"/>
    <x v="0"/>
    <n v="1023.05"/>
    <x v="0"/>
    <x v="0"/>
  </r>
  <r>
    <x v="6"/>
    <x v="0"/>
    <x v="2"/>
    <x v="0"/>
    <x v="0"/>
    <n v="14298.19"/>
    <x v="0"/>
    <x v="0"/>
  </r>
  <r>
    <x v="6"/>
    <x v="0"/>
    <x v="0"/>
    <x v="0"/>
    <x v="0"/>
    <n v="3157.28"/>
    <x v="0"/>
    <x v="0"/>
  </r>
  <r>
    <x v="6"/>
    <x v="0"/>
    <x v="2"/>
    <x v="0"/>
    <x v="0"/>
    <n v="21227"/>
    <x v="0"/>
    <x v="0"/>
  </r>
  <r>
    <x v="6"/>
    <x v="0"/>
    <x v="0"/>
    <x v="0"/>
    <x v="0"/>
    <n v="2268.74"/>
    <x v="0"/>
    <x v="0"/>
  </r>
  <r>
    <x v="6"/>
    <x v="0"/>
    <x v="0"/>
    <x v="0"/>
    <x v="0"/>
    <n v="1417.84"/>
    <x v="0"/>
    <x v="0"/>
  </r>
  <r>
    <x v="6"/>
    <x v="0"/>
    <x v="0"/>
    <x v="0"/>
    <x v="0"/>
    <n v="6454.56"/>
    <x v="0"/>
    <x v="0"/>
  </r>
  <r>
    <x v="6"/>
    <x v="0"/>
    <x v="0"/>
    <x v="0"/>
    <x v="0"/>
    <n v="3442.37"/>
    <x v="0"/>
    <x v="0"/>
  </r>
  <r>
    <x v="6"/>
    <x v="0"/>
    <x v="0"/>
    <x v="0"/>
    <x v="0"/>
    <n v="1476.92"/>
    <x v="0"/>
    <x v="0"/>
  </r>
  <r>
    <x v="6"/>
    <x v="0"/>
    <x v="0"/>
    <x v="0"/>
    <x v="0"/>
    <n v="7898.5"/>
    <x v="0"/>
    <x v="0"/>
  </r>
  <r>
    <x v="6"/>
    <x v="0"/>
    <x v="2"/>
    <x v="0"/>
    <x v="0"/>
    <n v="15171.77"/>
    <x v="0"/>
    <x v="0"/>
  </r>
  <r>
    <x v="6"/>
    <x v="0"/>
    <x v="0"/>
    <x v="0"/>
    <x v="0"/>
    <n v="6159.12"/>
    <x v="0"/>
    <x v="0"/>
  </r>
  <r>
    <x v="6"/>
    <x v="0"/>
    <x v="2"/>
    <x v="0"/>
    <x v="0"/>
    <n v="11396.93"/>
    <x v="0"/>
    <x v="0"/>
  </r>
  <r>
    <x v="6"/>
    <x v="0"/>
    <x v="0"/>
    <x v="0"/>
    <x v="0"/>
    <n v="1784.87"/>
    <x v="0"/>
    <x v="0"/>
  </r>
  <r>
    <x v="6"/>
    <x v="0"/>
    <x v="2"/>
    <x v="0"/>
    <x v="0"/>
    <n v="19895.93"/>
    <x v="0"/>
    <x v="0"/>
  </r>
  <r>
    <x v="6"/>
    <x v="0"/>
    <x v="2"/>
    <x v="0"/>
    <x v="0"/>
    <n v="11079.34"/>
    <x v="0"/>
    <x v="0"/>
  </r>
  <r>
    <x v="6"/>
    <x v="0"/>
    <x v="2"/>
    <x v="0"/>
    <x v="0"/>
    <n v="31142.75"/>
    <x v="0"/>
    <x v="0"/>
  </r>
  <r>
    <x v="6"/>
    <x v="0"/>
    <x v="2"/>
    <x v="0"/>
    <x v="0"/>
    <n v="12060.01"/>
    <x v="0"/>
    <x v="0"/>
  </r>
  <r>
    <x v="6"/>
    <x v="0"/>
    <x v="2"/>
    <x v="0"/>
    <x v="0"/>
    <n v="11527.48"/>
    <x v="0"/>
    <x v="0"/>
  </r>
  <r>
    <x v="6"/>
    <x v="0"/>
    <x v="0"/>
    <x v="0"/>
    <x v="0"/>
    <n v="5783.05"/>
    <x v="0"/>
    <x v="0"/>
  </r>
  <r>
    <x v="6"/>
    <x v="0"/>
    <x v="2"/>
    <x v="0"/>
    <x v="0"/>
    <n v="11454.41"/>
    <x v="0"/>
    <x v="0"/>
  </r>
  <r>
    <x v="6"/>
    <x v="0"/>
    <x v="2"/>
    <x v="0"/>
    <x v="0"/>
    <n v="13117.45"/>
    <x v="0"/>
    <x v="0"/>
  </r>
  <r>
    <x v="6"/>
    <x v="0"/>
    <x v="0"/>
    <x v="0"/>
    <x v="0"/>
    <n v="7663.31"/>
    <x v="0"/>
    <x v="0"/>
  </r>
  <r>
    <x v="6"/>
    <x v="0"/>
    <x v="0"/>
    <x v="0"/>
    <x v="0"/>
    <n v="1309.47"/>
    <x v="0"/>
    <x v="0"/>
  </r>
  <r>
    <x v="6"/>
    <x v="0"/>
    <x v="2"/>
    <x v="0"/>
    <x v="0"/>
    <n v="14436.95"/>
    <x v="0"/>
    <x v="0"/>
  </r>
  <r>
    <x v="6"/>
    <x v="0"/>
    <x v="0"/>
    <x v="0"/>
    <x v="0"/>
    <n v="5680.34"/>
    <x v="0"/>
    <x v="0"/>
  </r>
  <r>
    <x v="6"/>
    <x v="0"/>
    <x v="2"/>
    <x v="0"/>
    <x v="0"/>
    <n v="15698.38"/>
    <x v="0"/>
    <x v="0"/>
  </r>
  <r>
    <x v="6"/>
    <x v="0"/>
    <x v="0"/>
    <x v="0"/>
    <x v="0"/>
    <n v="1945.7"/>
    <x v="0"/>
    <x v="0"/>
  </r>
  <r>
    <x v="6"/>
    <x v="0"/>
    <x v="0"/>
    <x v="0"/>
    <x v="0"/>
    <n v="1740.54"/>
    <x v="0"/>
    <x v="0"/>
  </r>
  <r>
    <x v="6"/>
    <x v="0"/>
    <x v="0"/>
    <x v="0"/>
    <x v="0"/>
    <n v="3226.39"/>
    <x v="0"/>
    <x v="0"/>
  </r>
  <r>
    <x v="6"/>
    <x v="0"/>
    <x v="0"/>
    <x v="0"/>
    <x v="0"/>
    <n v="9854.52"/>
    <x v="0"/>
    <x v="0"/>
  </r>
  <r>
    <x v="6"/>
    <x v="0"/>
    <x v="0"/>
    <x v="0"/>
    <x v="0"/>
    <n v="2640.32"/>
    <x v="0"/>
    <x v="0"/>
  </r>
  <r>
    <x v="6"/>
    <x v="0"/>
    <x v="2"/>
    <x v="0"/>
    <x v="0"/>
    <n v="10114.65"/>
    <x v="0"/>
    <x v="0"/>
  </r>
  <r>
    <x v="6"/>
    <x v="0"/>
    <x v="0"/>
    <x v="0"/>
    <x v="0"/>
    <n v="3545.3"/>
    <x v="0"/>
    <x v="0"/>
  </r>
  <r>
    <x v="6"/>
    <x v="0"/>
    <x v="0"/>
    <x v="0"/>
    <x v="0"/>
    <n v="2545.53"/>
    <x v="0"/>
    <x v="0"/>
  </r>
  <r>
    <x v="6"/>
    <x v="0"/>
    <x v="0"/>
    <x v="0"/>
    <x v="0"/>
    <n v="8450.18"/>
    <x v="0"/>
    <x v="0"/>
  </r>
  <r>
    <x v="6"/>
    <x v="0"/>
    <x v="0"/>
    <x v="0"/>
    <x v="0"/>
    <n v="5238.34"/>
    <x v="0"/>
    <x v="0"/>
  </r>
  <r>
    <x v="6"/>
    <x v="0"/>
    <x v="0"/>
    <x v="0"/>
    <x v="0"/>
    <n v="4689.72"/>
    <x v="0"/>
    <x v="0"/>
  </r>
  <r>
    <x v="6"/>
    <x v="0"/>
    <x v="0"/>
    <x v="0"/>
    <x v="0"/>
    <n v="6548.13"/>
    <x v="0"/>
    <x v="0"/>
  </r>
  <r>
    <x v="6"/>
    <x v="0"/>
    <x v="0"/>
    <x v="0"/>
    <x v="0"/>
    <n v="5821.46"/>
    <x v="0"/>
    <x v="0"/>
  </r>
  <r>
    <x v="6"/>
    <x v="0"/>
    <x v="1"/>
    <x v="0"/>
    <x v="0"/>
    <n v="741.48"/>
    <x v="0"/>
    <x v="0"/>
  </r>
  <r>
    <x v="6"/>
    <x v="0"/>
    <x v="0"/>
    <x v="0"/>
    <x v="0"/>
    <n v="1349.38"/>
    <x v="0"/>
    <x v="0"/>
  </r>
  <r>
    <x v="6"/>
    <x v="0"/>
    <x v="1"/>
    <x v="0"/>
    <x v="0"/>
    <n v="993.62"/>
    <x v="0"/>
    <x v="0"/>
  </r>
  <r>
    <x v="6"/>
    <x v="0"/>
    <x v="0"/>
    <x v="0"/>
    <x v="0"/>
    <n v="2952.13"/>
    <x v="0"/>
    <x v="0"/>
  </r>
  <r>
    <x v="6"/>
    <x v="0"/>
    <x v="0"/>
    <x v="0"/>
    <x v="0"/>
    <n v="6453.67"/>
    <x v="0"/>
    <x v="0"/>
  </r>
  <r>
    <x v="6"/>
    <x v="0"/>
    <x v="0"/>
    <x v="0"/>
    <x v="0"/>
    <n v="8674.41"/>
    <x v="0"/>
    <x v="0"/>
  </r>
  <r>
    <x v="6"/>
    <x v="0"/>
    <x v="2"/>
    <x v="0"/>
    <x v="0"/>
    <n v="17602.85"/>
    <x v="0"/>
    <x v="0"/>
  </r>
  <r>
    <x v="6"/>
    <x v="0"/>
    <x v="2"/>
    <x v="0"/>
    <x v="0"/>
    <n v="24285.62"/>
    <x v="0"/>
    <x v="0"/>
  </r>
  <r>
    <x v="6"/>
    <x v="0"/>
    <x v="2"/>
    <x v="0"/>
    <x v="0"/>
    <n v="34057.28"/>
    <x v="0"/>
    <x v="0"/>
  </r>
  <r>
    <x v="6"/>
    <x v="0"/>
    <x v="2"/>
    <x v="0"/>
    <x v="0"/>
    <n v="47696.49"/>
    <x v="0"/>
    <x v="0"/>
  </r>
  <r>
    <x v="6"/>
    <x v="1"/>
    <x v="2"/>
    <x v="0"/>
    <x v="0"/>
    <n v="27494.69"/>
    <x v="0"/>
    <x v="0"/>
  </r>
  <r>
    <x v="6"/>
    <x v="0"/>
    <x v="0"/>
    <x v="0"/>
    <x v="0"/>
    <n v="2153.52"/>
    <x v="0"/>
    <x v="0"/>
  </r>
  <r>
    <x v="6"/>
    <x v="0"/>
    <x v="2"/>
    <x v="0"/>
    <x v="0"/>
    <n v="16132.3"/>
    <x v="0"/>
    <x v="0"/>
  </r>
  <r>
    <x v="6"/>
    <x v="0"/>
    <x v="2"/>
    <x v="0"/>
    <x v="0"/>
    <n v="26499.11"/>
    <x v="0"/>
    <x v="0"/>
  </r>
  <r>
    <x v="6"/>
    <x v="0"/>
    <x v="0"/>
    <x v="0"/>
    <x v="0"/>
    <n v="1534.09"/>
    <x v="0"/>
    <x v="0"/>
  </r>
  <r>
    <x v="6"/>
    <x v="2"/>
    <x v="3"/>
    <x v="0"/>
    <x v="0"/>
    <n v="440226.25"/>
    <x v="0"/>
    <x v="0"/>
  </r>
  <r>
    <x v="6"/>
    <x v="0"/>
    <x v="0"/>
    <x v="0"/>
    <x v="0"/>
    <n v="4139.79"/>
    <x v="0"/>
    <x v="0"/>
  </r>
  <r>
    <x v="6"/>
    <x v="0"/>
    <x v="2"/>
    <x v="0"/>
    <x v="0"/>
    <n v="10315.37"/>
    <x v="0"/>
    <x v="0"/>
  </r>
  <r>
    <x v="6"/>
    <x v="0"/>
    <x v="2"/>
    <x v="0"/>
    <x v="0"/>
    <n v="12434.3"/>
    <x v="0"/>
    <x v="0"/>
  </r>
  <r>
    <x v="6"/>
    <x v="0"/>
    <x v="0"/>
    <x v="0"/>
    <x v="0"/>
    <n v="6137.82"/>
    <x v="0"/>
    <x v="0"/>
  </r>
  <r>
    <x v="6"/>
    <x v="0"/>
    <x v="2"/>
    <x v="0"/>
    <x v="0"/>
    <n v="12667.99"/>
    <x v="0"/>
    <x v="0"/>
  </r>
  <r>
    <x v="6"/>
    <x v="0"/>
    <x v="2"/>
    <x v="0"/>
    <x v="0"/>
    <n v="28016.57"/>
    <x v="0"/>
    <x v="0"/>
  </r>
  <r>
    <x v="6"/>
    <x v="0"/>
    <x v="1"/>
    <x v="0"/>
    <x v="0"/>
    <n v="642.57"/>
    <x v="0"/>
    <x v="0"/>
  </r>
  <r>
    <x v="6"/>
    <x v="0"/>
    <x v="0"/>
    <x v="0"/>
    <x v="0"/>
    <n v="3451.03"/>
    <x v="0"/>
    <x v="0"/>
  </r>
  <r>
    <x v="6"/>
    <x v="0"/>
    <x v="0"/>
    <x v="0"/>
    <x v="0"/>
    <n v="1892.29"/>
    <x v="0"/>
    <x v="0"/>
  </r>
  <r>
    <x v="6"/>
    <x v="0"/>
    <x v="1"/>
    <x v="0"/>
    <x v="0"/>
    <n v="115.94"/>
    <x v="0"/>
    <x v="0"/>
  </r>
  <r>
    <x v="6"/>
    <x v="0"/>
    <x v="2"/>
    <x v="0"/>
    <x v="0"/>
    <n v="13476.01"/>
    <x v="0"/>
    <x v="0"/>
  </r>
  <r>
    <x v="6"/>
    <x v="0"/>
    <x v="2"/>
    <x v="0"/>
    <x v="0"/>
    <n v="15743.57"/>
    <x v="0"/>
    <x v="0"/>
  </r>
  <r>
    <x v="6"/>
    <x v="0"/>
    <x v="0"/>
    <x v="0"/>
    <x v="0"/>
    <n v="3325.01"/>
    <x v="0"/>
    <x v="0"/>
  </r>
  <r>
    <x v="6"/>
    <x v="0"/>
    <x v="0"/>
    <x v="0"/>
    <x v="0"/>
    <n v="1632.27"/>
    <x v="0"/>
    <x v="0"/>
  </r>
  <r>
    <x v="6"/>
    <x v="0"/>
    <x v="1"/>
    <x v="0"/>
    <x v="0"/>
    <n v="108.11"/>
    <x v="0"/>
    <x v="0"/>
  </r>
  <r>
    <x v="6"/>
    <x v="2"/>
    <x v="3"/>
    <x v="0"/>
    <x v="0"/>
    <n v="213745.3"/>
    <x v="0"/>
    <x v="0"/>
  </r>
  <r>
    <x v="6"/>
    <x v="0"/>
    <x v="0"/>
    <x v="0"/>
    <x v="0"/>
    <n v="3285.1"/>
    <x v="0"/>
    <x v="0"/>
  </r>
  <r>
    <x v="6"/>
    <x v="0"/>
    <x v="1"/>
    <x v="0"/>
    <x v="0"/>
    <n v="769.58"/>
    <x v="0"/>
    <x v="0"/>
  </r>
  <r>
    <x v="6"/>
    <x v="2"/>
    <x v="3"/>
    <x v="0"/>
    <x v="0"/>
    <n v="456997.53"/>
    <x v="0"/>
    <x v="0"/>
  </r>
  <r>
    <x v="6"/>
    <x v="2"/>
    <x v="3"/>
    <x v="0"/>
    <x v="0"/>
    <n v="211918.4"/>
    <x v="0"/>
    <x v="0"/>
  </r>
  <r>
    <x v="6"/>
    <x v="2"/>
    <x v="3"/>
    <x v="0"/>
    <x v="0"/>
    <n v="347259.03"/>
    <x v="0"/>
    <x v="0"/>
  </r>
  <r>
    <x v="6"/>
    <x v="2"/>
    <x v="3"/>
    <x v="0"/>
    <x v="0"/>
    <n v="192190.94"/>
    <x v="0"/>
    <x v="0"/>
  </r>
  <r>
    <x v="6"/>
    <x v="2"/>
    <x v="3"/>
    <x v="0"/>
    <x v="0"/>
    <n v="205238.71"/>
    <x v="0"/>
    <x v="0"/>
  </r>
  <r>
    <x v="6"/>
    <x v="2"/>
    <x v="3"/>
    <x v="0"/>
    <x v="0"/>
    <n v="171921.96"/>
    <x v="0"/>
    <x v="0"/>
  </r>
  <r>
    <x v="6"/>
    <x v="2"/>
    <x v="2"/>
    <x v="0"/>
    <x v="0"/>
    <n v="64055.98"/>
    <x v="0"/>
    <x v="0"/>
  </r>
  <r>
    <x v="6"/>
    <x v="2"/>
    <x v="3"/>
    <x v="0"/>
    <x v="0"/>
    <n v="197243.16"/>
    <x v="0"/>
    <x v="0"/>
  </r>
  <r>
    <x v="6"/>
    <x v="2"/>
    <x v="2"/>
    <x v="0"/>
    <x v="0"/>
    <n v="13279.36"/>
    <x v="0"/>
    <x v="0"/>
  </r>
  <r>
    <x v="6"/>
    <x v="2"/>
    <x v="3"/>
    <x v="0"/>
    <x v="0"/>
    <n v="199710.23"/>
    <x v="0"/>
    <x v="0"/>
  </r>
  <r>
    <x v="6"/>
    <x v="2"/>
    <x v="3"/>
    <x v="0"/>
    <x v="0"/>
    <n v="114066.94"/>
    <x v="0"/>
    <x v="0"/>
  </r>
  <r>
    <x v="6"/>
    <x v="2"/>
    <x v="2"/>
    <x v="0"/>
    <x v="0"/>
    <n v="66908.47"/>
    <x v="0"/>
    <x v="0"/>
  </r>
  <r>
    <x v="6"/>
    <x v="2"/>
    <x v="2"/>
    <x v="0"/>
    <x v="0"/>
    <n v="59241.82"/>
    <x v="0"/>
    <x v="0"/>
  </r>
  <r>
    <x v="6"/>
    <x v="2"/>
    <x v="2"/>
    <x v="0"/>
    <x v="0"/>
    <n v="77276.07"/>
    <x v="0"/>
    <x v="0"/>
  </r>
  <r>
    <x v="6"/>
    <x v="2"/>
    <x v="3"/>
    <x v="0"/>
    <x v="0"/>
    <n v="123875.88"/>
    <x v="0"/>
    <x v="0"/>
  </r>
  <r>
    <x v="6"/>
    <x v="2"/>
    <x v="3"/>
    <x v="0"/>
    <x v="0"/>
    <n v="123168.11"/>
    <x v="0"/>
    <x v="0"/>
  </r>
  <r>
    <x v="6"/>
    <x v="2"/>
    <x v="3"/>
    <x v="0"/>
    <x v="0"/>
    <n v="101552.76"/>
    <x v="0"/>
    <x v="0"/>
  </r>
  <r>
    <x v="6"/>
    <x v="2"/>
    <x v="2"/>
    <x v="0"/>
    <x v="0"/>
    <n v="56299.7"/>
    <x v="0"/>
    <x v="0"/>
  </r>
  <r>
    <x v="6"/>
    <x v="0"/>
    <x v="0"/>
    <x v="0"/>
    <x v="0"/>
    <n v="4943.15"/>
    <x v="0"/>
    <x v="0"/>
  </r>
  <r>
    <x v="6"/>
    <x v="0"/>
    <x v="0"/>
    <x v="0"/>
    <x v="0"/>
    <n v="8014.39"/>
    <x v="0"/>
    <x v="0"/>
  </r>
  <r>
    <x v="6"/>
    <x v="0"/>
    <x v="0"/>
    <x v="0"/>
    <x v="0"/>
    <n v="2998.32"/>
    <x v="0"/>
    <x v="0"/>
  </r>
  <r>
    <x v="6"/>
    <x v="3"/>
    <x v="1"/>
    <x v="0"/>
    <x v="0"/>
    <n v="332.23"/>
    <x v="0"/>
    <x v="0"/>
  </r>
  <r>
    <x v="6"/>
    <x v="0"/>
    <x v="0"/>
    <x v="0"/>
    <x v="0"/>
    <n v="5623.13"/>
    <x v="0"/>
    <x v="0"/>
  </r>
  <r>
    <x v="6"/>
    <x v="0"/>
    <x v="0"/>
    <x v="0"/>
    <x v="0"/>
    <n v="7847.31"/>
    <x v="0"/>
    <x v="0"/>
  </r>
  <r>
    <x v="6"/>
    <x v="2"/>
    <x v="3"/>
    <x v="0"/>
    <x v="0"/>
    <n v="191112.23"/>
    <x v="0"/>
    <x v="0"/>
  </r>
  <r>
    <x v="6"/>
    <x v="0"/>
    <x v="0"/>
    <x v="0"/>
    <x v="0"/>
    <n v="7095.04"/>
    <x v="0"/>
    <x v="0"/>
  </r>
  <r>
    <x v="6"/>
    <x v="2"/>
    <x v="3"/>
    <x v="0"/>
    <x v="0"/>
    <n v="174895.86"/>
    <x v="0"/>
    <x v="0"/>
  </r>
  <r>
    <x v="6"/>
    <x v="2"/>
    <x v="3"/>
    <x v="0"/>
    <x v="0"/>
    <n v="342464.49"/>
    <x v="0"/>
    <x v="0"/>
  </r>
  <r>
    <x v="6"/>
    <x v="0"/>
    <x v="0"/>
    <x v="0"/>
    <x v="0"/>
    <n v="8666.76"/>
    <x v="0"/>
    <x v="0"/>
  </r>
  <r>
    <x v="6"/>
    <x v="0"/>
    <x v="0"/>
    <x v="0"/>
    <x v="0"/>
    <n v="3161.35"/>
    <x v="0"/>
    <x v="0"/>
  </r>
  <r>
    <x v="6"/>
    <x v="0"/>
    <x v="2"/>
    <x v="0"/>
    <x v="0"/>
    <n v="11855.45"/>
    <x v="0"/>
    <x v="0"/>
  </r>
  <r>
    <x v="6"/>
    <x v="0"/>
    <x v="0"/>
    <x v="0"/>
    <x v="0"/>
    <n v="4696.68"/>
    <x v="0"/>
    <x v="0"/>
  </r>
  <r>
    <x v="6"/>
    <x v="0"/>
    <x v="1"/>
    <x v="0"/>
    <x v="0"/>
    <n v="573.28"/>
    <x v="0"/>
    <x v="0"/>
  </r>
  <r>
    <x v="6"/>
    <x v="0"/>
    <x v="0"/>
    <x v="0"/>
    <x v="0"/>
    <n v="9345.74"/>
    <x v="0"/>
    <x v="0"/>
  </r>
  <r>
    <x v="6"/>
    <x v="0"/>
    <x v="2"/>
    <x v="0"/>
    <x v="0"/>
    <n v="10087.12"/>
    <x v="0"/>
    <x v="0"/>
  </r>
  <r>
    <x v="6"/>
    <x v="0"/>
    <x v="0"/>
    <x v="0"/>
    <x v="0"/>
    <n v="5138.36"/>
    <x v="0"/>
    <x v="0"/>
  </r>
  <r>
    <x v="6"/>
    <x v="3"/>
    <x v="0"/>
    <x v="0"/>
    <x v="0"/>
    <n v="5087.96"/>
    <x v="0"/>
    <x v="0"/>
  </r>
  <r>
    <x v="6"/>
    <x v="0"/>
    <x v="0"/>
    <x v="0"/>
    <x v="0"/>
    <n v="6008.89"/>
    <x v="0"/>
    <x v="0"/>
  </r>
  <r>
    <x v="6"/>
    <x v="0"/>
    <x v="0"/>
    <x v="0"/>
    <x v="0"/>
    <n v="8014.59"/>
    <x v="0"/>
    <x v="0"/>
  </r>
  <r>
    <x v="6"/>
    <x v="0"/>
    <x v="2"/>
    <x v="0"/>
    <x v="0"/>
    <n v="12840.44"/>
    <x v="0"/>
    <x v="0"/>
  </r>
  <r>
    <x v="6"/>
    <x v="1"/>
    <x v="4"/>
    <x v="0"/>
    <x v="0"/>
    <n v="1067743.66"/>
    <x v="0"/>
    <x v="0"/>
  </r>
  <r>
    <x v="6"/>
    <x v="0"/>
    <x v="0"/>
    <x v="0"/>
    <x v="0"/>
    <n v="2832.34"/>
    <x v="0"/>
    <x v="0"/>
  </r>
  <r>
    <x v="6"/>
    <x v="0"/>
    <x v="0"/>
    <x v="0"/>
    <x v="0"/>
    <n v="4008.38"/>
    <x v="0"/>
    <x v="0"/>
  </r>
  <r>
    <x v="6"/>
    <x v="0"/>
    <x v="1"/>
    <x v="0"/>
    <x v="0"/>
    <n v="332.63"/>
    <x v="0"/>
    <x v="0"/>
  </r>
  <r>
    <x v="6"/>
    <x v="0"/>
    <x v="2"/>
    <x v="0"/>
    <x v="0"/>
    <n v="28378.48"/>
    <x v="0"/>
    <x v="0"/>
  </r>
  <r>
    <x v="6"/>
    <x v="0"/>
    <x v="0"/>
    <x v="0"/>
    <x v="0"/>
    <n v="8001.95"/>
    <x v="0"/>
    <x v="0"/>
  </r>
  <r>
    <x v="6"/>
    <x v="0"/>
    <x v="2"/>
    <x v="0"/>
    <x v="0"/>
    <n v="23139.47"/>
    <x v="0"/>
    <x v="0"/>
  </r>
  <r>
    <x v="6"/>
    <x v="0"/>
    <x v="0"/>
    <x v="0"/>
    <x v="0"/>
    <n v="3646.2"/>
    <x v="0"/>
    <x v="0"/>
  </r>
  <r>
    <x v="6"/>
    <x v="0"/>
    <x v="2"/>
    <x v="0"/>
    <x v="0"/>
    <n v="33812.13"/>
    <x v="0"/>
    <x v="0"/>
  </r>
  <r>
    <x v="6"/>
    <x v="0"/>
    <x v="0"/>
    <x v="0"/>
    <x v="0"/>
    <n v="9103.52"/>
    <x v="0"/>
    <x v="0"/>
  </r>
  <r>
    <x v="6"/>
    <x v="0"/>
    <x v="2"/>
    <x v="0"/>
    <x v="0"/>
    <n v="10547.99"/>
    <x v="0"/>
    <x v="0"/>
  </r>
  <r>
    <x v="6"/>
    <x v="0"/>
    <x v="0"/>
    <x v="0"/>
    <x v="0"/>
    <n v="8019.57"/>
    <x v="0"/>
    <x v="0"/>
  </r>
  <r>
    <x v="6"/>
    <x v="0"/>
    <x v="0"/>
    <x v="0"/>
    <x v="0"/>
    <n v="4971.82"/>
    <x v="0"/>
    <x v="0"/>
  </r>
  <r>
    <x v="6"/>
    <x v="0"/>
    <x v="0"/>
    <x v="0"/>
    <x v="0"/>
    <n v="8151.69"/>
    <x v="0"/>
    <x v="0"/>
  </r>
  <r>
    <x v="6"/>
    <x v="0"/>
    <x v="0"/>
    <x v="0"/>
    <x v="0"/>
    <n v="3348.1"/>
    <x v="0"/>
    <x v="0"/>
  </r>
  <r>
    <x v="6"/>
    <x v="2"/>
    <x v="2"/>
    <x v="0"/>
    <x v="0"/>
    <n v="98540.13"/>
    <x v="0"/>
    <x v="0"/>
  </r>
  <r>
    <x v="6"/>
    <x v="0"/>
    <x v="0"/>
    <x v="0"/>
    <x v="0"/>
    <n v="3545.34"/>
    <x v="0"/>
    <x v="0"/>
  </r>
  <r>
    <x v="6"/>
    <x v="0"/>
    <x v="2"/>
    <x v="0"/>
    <x v="0"/>
    <n v="17819.61"/>
    <x v="0"/>
    <x v="0"/>
  </r>
  <r>
    <x v="6"/>
    <x v="0"/>
    <x v="0"/>
    <x v="0"/>
    <x v="0"/>
    <n v="4761.57"/>
    <x v="0"/>
    <x v="0"/>
  </r>
  <r>
    <x v="6"/>
    <x v="0"/>
    <x v="0"/>
    <x v="0"/>
    <x v="0"/>
    <n v="1016.98"/>
    <x v="0"/>
    <x v="0"/>
  </r>
  <r>
    <x v="6"/>
    <x v="0"/>
    <x v="2"/>
    <x v="0"/>
    <x v="0"/>
    <n v="14065.07"/>
    <x v="0"/>
    <x v="0"/>
  </r>
  <r>
    <x v="6"/>
    <x v="0"/>
    <x v="0"/>
    <x v="0"/>
    <x v="0"/>
    <n v="6512.87"/>
    <x v="0"/>
    <x v="0"/>
  </r>
  <r>
    <x v="6"/>
    <x v="0"/>
    <x v="0"/>
    <x v="0"/>
    <x v="0"/>
    <n v="5406.93"/>
    <x v="0"/>
    <x v="0"/>
  </r>
  <r>
    <x v="6"/>
    <x v="1"/>
    <x v="3"/>
    <x v="0"/>
    <x v="0"/>
    <n v="133531.07"/>
    <x v="0"/>
    <x v="0"/>
  </r>
  <r>
    <x v="6"/>
    <x v="1"/>
    <x v="4"/>
    <x v="0"/>
    <x v="0"/>
    <n v="1571619.71"/>
    <x v="0"/>
    <x v="0"/>
  </r>
  <r>
    <x v="6"/>
    <x v="1"/>
    <x v="4"/>
    <x v="0"/>
    <x v="0"/>
    <n v="1789373.23"/>
    <x v="0"/>
    <x v="0"/>
  </r>
  <r>
    <x v="6"/>
    <x v="1"/>
    <x v="4"/>
    <x v="0"/>
    <x v="0"/>
    <n v="1541543.1"/>
    <x v="0"/>
    <x v="0"/>
  </r>
  <r>
    <x v="6"/>
    <x v="1"/>
    <x v="3"/>
    <x v="0"/>
    <x v="0"/>
    <n v="515061.08"/>
    <x v="0"/>
    <x v="0"/>
  </r>
  <r>
    <x v="6"/>
    <x v="1"/>
    <x v="4"/>
    <x v="0"/>
    <x v="0"/>
    <n v="2511647.23"/>
    <x v="0"/>
    <x v="0"/>
  </r>
  <r>
    <x v="6"/>
    <x v="1"/>
    <x v="3"/>
    <x v="0"/>
    <x v="0"/>
    <n v="822798.92"/>
    <x v="0"/>
    <x v="0"/>
  </r>
  <r>
    <x v="6"/>
    <x v="1"/>
    <x v="3"/>
    <x v="0"/>
    <x v="0"/>
    <n v="241160.57"/>
    <x v="0"/>
    <x v="0"/>
  </r>
  <r>
    <x v="6"/>
    <x v="1"/>
    <x v="4"/>
    <x v="0"/>
    <x v="0"/>
    <n v="1002954.19"/>
    <x v="0"/>
    <x v="0"/>
  </r>
  <r>
    <x v="6"/>
    <x v="1"/>
    <x v="0"/>
    <x v="0"/>
    <x v="0"/>
    <n v="3541.16"/>
    <x v="0"/>
    <x v="0"/>
  </r>
  <r>
    <x v="6"/>
    <x v="1"/>
    <x v="3"/>
    <x v="0"/>
    <x v="0"/>
    <n v="916428.17"/>
    <x v="0"/>
    <x v="0"/>
  </r>
  <r>
    <x v="6"/>
    <x v="0"/>
    <x v="0"/>
    <x v="0"/>
    <x v="0"/>
    <n v="9071.09"/>
    <x v="0"/>
    <x v="0"/>
  </r>
  <r>
    <x v="6"/>
    <x v="2"/>
    <x v="3"/>
    <x v="0"/>
    <x v="0"/>
    <n v="326244.05"/>
    <x v="0"/>
    <x v="0"/>
  </r>
  <r>
    <x v="6"/>
    <x v="2"/>
    <x v="3"/>
    <x v="0"/>
    <x v="0"/>
    <n v="256641.44"/>
    <x v="0"/>
    <x v="0"/>
  </r>
  <r>
    <x v="6"/>
    <x v="0"/>
    <x v="2"/>
    <x v="0"/>
    <x v="0"/>
    <n v="12119.88"/>
    <x v="0"/>
    <x v="0"/>
  </r>
  <r>
    <x v="6"/>
    <x v="0"/>
    <x v="0"/>
    <x v="0"/>
    <x v="0"/>
    <n v="5939.55"/>
    <x v="0"/>
    <x v="0"/>
  </r>
  <r>
    <x v="6"/>
    <x v="0"/>
    <x v="2"/>
    <x v="0"/>
    <x v="0"/>
    <n v="10711.55"/>
    <x v="0"/>
    <x v="0"/>
  </r>
  <r>
    <x v="6"/>
    <x v="0"/>
    <x v="0"/>
    <x v="0"/>
    <x v="0"/>
    <n v="7150.21"/>
    <x v="0"/>
    <x v="0"/>
  </r>
  <r>
    <x v="6"/>
    <x v="2"/>
    <x v="3"/>
    <x v="0"/>
    <x v="0"/>
    <n v="409358.66"/>
    <x v="0"/>
    <x v="0"/>
  </r>
  <r>
    <x v="6"/>
    <x v="2"/>
    <x v="3"/>
    <x v="0"/>
    <x v="0"/>
    <n v="164411.83"/>
    <x v="0"/>
    <x v="0"/>
  </r>
  <r>
    <x v="6"/>
    <x v="0"/>
    <x v="0"/>
    <x v="0"/>
    <x v="0"/>
    <n v="7707.68"/>
    <x v="0"/>
    <x v="0"/>
  </r>
  <r>
    <x v="6"/>
    <x v="0"/>
    <x v="2"/>
    <x v="0"/>
    <x v="0"/>
    <n v="11918.74"/>
    <x v="0"/>
    <x v="0"/>
  </r>
  <r>
    <x v="6"/>
    <x v="0"/>
    <x v="2"/>
    <x v="0"/>
    <x v="0"/>
    <n v="10146.8"/>
    <x v="0"/>
    <x v="0"/>
  </r>
  <r>
    <x v="6"/>
    <x v="0"/>
    <x v="2"/>
    <x v="0"/>
    <x v="0"/>
    <n v="20293.35"/>
    <x v="0"/>
    <x v="0"/>
  </r>
  <r>
    <x v="6"/>
    <x v="0"/>
    <x v="0"/>
    <x v="0"/>
    <x v="0"/>
    <n v="9511.21"/>
    <x v="0"/>
    <x v="0"/>
  </r>
  <r>
    <x v="6"/>
    <x v="0"/>
    <x v="2"/>
    <x v="0"/>
    <x v="0"/>
    <n v="39554.82"/>
    <x v="0"/>
    <x v="0"/>
  </r>
  <r>
    <x v="6"/>
    <x v="0"/>
    <x v="0"/>
    <x v="0"/>
    <x v="0"/>
    <n v="2008.49"/>
    <x v="0"/>
    <x v="0"/>
  </r>
  <r>
    <x v="6"/>
    <x v="0"/>
    <x v="2"/>
    <x v="0"/>
    <x v="0"/>
    <n v="12724.43"/>
    <x v="0"/>
    <x v="0"/>
  </r>
  <r>
    <x v="6"/>
    <x v="0"/>
    <x v="0"/>
    <x v="0"/>
    <x v="0"/>
    <n v="6192.38"/>
    <x v="0"/>
    <x v="0"/>
  </r>
  <r>
    <x v="6"/>
    <x v="0"/>
    <x v="0"/>
    <x v="0"/>
    <x v="0"/>
    <n v="1213.01"/>
    <x v="0"/>
    <x v="0"/>
  </r>
  <r>
    <x v="6"/>
    <x v="0"/>
    <x v="0"/>
    <x v="0"/>
    <x v="0"/>
    <n v="1089.75"/>
    <x v="0"/>
    <x v="0"/>
  </r>
  <r>
    <x v="6"/>
    <x v="0"/>
    <x v="2"/>
    <x v="0"/>
    <x v="0"/>
    <n v="20001.6"/>
    <x v="0"/>
    <x v="0"/>
  </r>
  <r>
    <x v="6"/>
    <x v="0"/>
    <x v="0"/>
    <x v="0"/>
    <x v="0"/>
    <n v="3639.28"/>
    <x v="0"/>
    <x v="0"/>
  </r>
  <r>
    <x v="6"/>
    <x v="4"/>
    <x v="2"/>
    <x v="0"/>
    <x v="0"/>
    <n v="26287.58"/>
    <x v="0"/>
    <x v="0"/>
  </r>
  <r>
    <x v="6"/>
    <x v="0"/>
    <x v="0"/>
    <x v="0"/>
    <x v="0"/>
    <n v="1536.68"/>
    <x v="0"/>
    <x v="0"/>
  </r>
  <r>
    <x v="6"/>
    <x v="0"/>
    <x v="0"/>
    <x v="0"/>
    <x v="0"/>
    <n v="7157.22"/>
    <x v="0"/>
    <x v="0"/>
  </r>
  <r>
    <x v="6"/>
    <x v="0"/>
    <x v="2"/>
    <x v="0"/>
    <x v="0"/>
    <n v="12397.18"/>
    <x v="0"/>
    <x v="0"/>
  </r>
  <r>
    <x v="6"/>
    <x v="0"/>
    <x v="2"/>
    <x v="0"/>
    <x v="0"/>
    <n v="11999.97"/>
    <x v="0"/>
    <x v="0"/>
  </r>
  <r>
    <x v="6"/>
    <x v="0"/>
    <x v="0"/>
    <x v="0"/>
    <x v="0"/>
    <n v="5025.19"/>
    <x v="0"/>
    <x v="0"/>
  </r>
  <r>
    <x v="6"/>
    <x v="2"/>
    <x v="3"/>
    <x v="0"/>
    <x v="0"/>
    <n v="104945.48"/>
    <x v="0"/>
    <x v="0"/>
  </r>
  <r>
    <x v="6"/>
    <x v="0"/>
    <x v="0"/>
    <x v="0"/>
    <x v="0"/>
    <n v="6142.8"/>
    <x v="0"/>
    <x v="0"/>
  </r>
  <r>
    <x v="6"/>
    <x v="0"/>
    <x v="0"/>
    <x v="0"/>
    <x v="0"/>
    <n v="4533.62"/>
    <x v="0"/>
    <x v="0"/>
  </r>
  <r>
    <x v="6"/>
    <x v="0"/>
    <x v="0"/>
    <x v="0"/>
    <x v="0"/>
    <n v="8300.42"/>
    <x v="0"/>
    <x v="0"/>
  </r>
  <r>
    <x v="6"/>
    <x v="0"/>
    <x v="0"/>
    <x v="0"/>
    <x v="0"/>
    <n v="2782.56"/>
    <x v="0"/>
    <x v="0"/>
  </r>
  <r>
    <x v="6"/>
    <x v="0"/>
    <x v="0"/>
    <x v="0"/>
    <x v="0"/>
    <n v="4018.89"/>
    <x v="0"/>
    <x v="0"/>
  </r>
  <r>
    <x v="6"/>
    <x v="0"/>
    <x v="0"/>
    <x v="0"/>
    <x v="0"/>
    <n v="6719.58"/>
    <x v="0"/>
    <x v="0"/>
  </r>
  <r>
    <x v="6"/>
    <x v="0"/>
    <x v="0"/>
    <x v="0"/>
    <x v="0"/>
    <n v="1969.13"/>
    <x v="0"/>
    <x v="0"/>
  </r>
  <r>
    <x v="6"/>
    <x v="0"/>
    <x v="0"/>
    <x v="0"/>
    <x v="0"/>
    <n v="2980.08"/>
    <x v="0"/>
    <x v="0"/>
  </r>
  <r>
    <x v="6"/>
    <x v="0"/>
    <x v="0"/>
    <x v="0"/>
    <x v="0"/>
    <n v="5146.88"/>
    <x v="0"/>
    <x v="0"/>
  </r>
  <r>
    <x v="6"/>
    <x v="1"/>
    <x v="3"/>
    <x v="0"/>
    <x v="0"/>
    <n v="115697.98"/>
    <x v="0"/>
    <x v="0"/>
  </r>
  <r>
    <x v="6"/>
    <x v="0"/>
    <x v="0"/>
    <x v="0"/>
    <x v="0"/>
    <n v="6727.34"/>
    <x v="0"/>
    <x v="0"/>
  </r>
  <r>
    <x v="6"/>
    <x v="4"/>
    <x v="3"/>
    <x v="0"/>
    <x v="0"/>
    <n v="272270.8"/>
    <x v="0"/>
    <x v="0"/>
  </r>
  <r>
    <x v="6"/>
    <x v="0"/>
    <x v="2"/>
    <x v="0"/>
    <x v="0"/>
    <n v="14163.73"/>
    <x v="0"/>
    <x v="0"/>
  </r>
  <r>
    <x v="6"/>
    <x v="0"/>
    <x v="1"/>
    <x v="0"/>
    <x v="0"/>
    <n v="6.36"/>
    <x v="0"/>
    <x v="0"/>
  </r>
  <r>
    <x v="6"/>
    <x v="0"/>
    <x v="2"/>
    <x v="0"/>
    <x v="0"/>
    <n v="12700.77"/>
    <x v="0"/>
    <x v="0"/>
  </r>
  <r>
    <x v="6"/>
    <x v="0"/>
    <x v="1"/>
    <x v="0"/>
    <x v="0"/>
    <n v="385.43"/>
    <x v="0"/>
    <x v="0"/>
  </r>
  <r>
    <x v="6"/>
    <x v="1"/>
    <x v="3"/>
    <x v="0"/>
    <x v="0"/>
    <n v="423234.24"/>
    <x v="0"/>
    <x v="0"/>
  </r>
  <r>
    <x v="6"/>
    <x v="1"/>
    <x v="4"/>
    <x v="0"/>
    <x v="0"/>
    <n v="2241254.39"/>
    <x v="0"/>
    <x v="0"/>
  </r>
  <r>
    <x v="6"/>
    <x v="1"/>
    <x v="4"/>
    <x v="0"/>
    <x v="0"/>
    <n v="1737772.93"/>
    <x v="0"/>
    <x v="0"/>
  </r>
  <r>
    <x v="6"/>
    <x v="1"/>
    <x v="3"/>
    <x v="0"/>
    <x v="0"/>
    <n v="401672.66"/>
    <x v="0"/>
    <x v="0"/>
  </r>
  <r>
    <x v="6"/>
    <x v="1"/>
    <x v="4"/>
    <x v="0"/>
    <x v="0"/>
    <n v="1658697.08"/>
    <x v="0"/>
    <x v="0"/>
  </r>
  <r>
    <x v="6"/>
    <x v="1"/>
    <x v="3"/>
    <x v="0"/>
    <x v="0"/>
    <n v="140812.05"/>
    <x v="0"/>
    <x v="0"/>
  </r>
  <r>
    <x v="6"/>
    <x v="1"/>
    <x v="3"/>
    <x v="0"/>
    <x v="0"/>
    <n v="566270.79"/>
    <x v="0"/>
    <x v="0"/>
  </r>
  <r>
    <x v="6"/>
    <x v="1"/>
    <x v="3"/>
    <x v="0"/>
    <x v="0"/>
    <n v="243318.08"/>
    <x v="0"/>
    <x v="0"/>
  </r>
  <r>
    <x v="6"/>
    <x v="1"/>
    <x v="3"/>
    <x v="0"/>
    <x v="0"/>
    <n v="337085.02"/>
    <x v="0"/>
    <x v="0"/>
  </r>
  <r>
    <x v="6"/>
    <x v="1"/>
    <x v="4"/>
    <x v="0"/>
    <x v="0"/>
    <n v="2011670.91"/>
    <x v="0"/>
    <x v="0"/>
  </r>
  <r>
    <x v="6"/>
    <x v="1"/>
    <x v="3"/>
    <x v="0"/>
    <x v="0"/>
    <n v="113688.15"/>
    <x v="0"/>
    <x v="0"/>
  </r>
  <r>
    <x v="6"/>
    <x v="1"/>
    <x v="3"/>
    <x v="0"/>
    <x v="0"/>
    <n v="114384.61"/>
    <x v="0"/>
    <x v="0"/>
  </r>
  <r>
    <x v="6"/>
    <x v="1"/>
    <x v="3"/>
    <x v="0"/>
    <x v="0"/>
    <n v="281889.38"/>
    <x v="0"/>
    <x v="0"/>
  </r>
  <r>
    <x v="6"/>
    <x v="1"/>
    <x v="3"/>
    <x v="0"/>
    <x v="0"/>
    <n v="107644.48"/>
    <x v="0"/>
    <x v="0"/>
  </r>
  <r>
    <x v="6"/>
    <x v="0"/>
    <x v="0"/>
    <x v="0"/>
    <x v="0"/>
    <n v="1322.25"/>
    <x v="0"/>
    <x v="0"/>
  </r>
  <r>
    <x v="6"/>
    <x v="0"/>
    <x v="2"/>
    <x v="0"/>
    <x v="0"/>
    <n v="18355.13"/>
    <x v="0"/>
    <x v="0"/>
  </r>
  <r>
    <x v="6"/>
    <x v="0"/>
    <x v="2"/>
    <x v="0"/>
    <x v="0"/>
    <n v="13367.64"/>
    <x v="0"/>
    <x v="0"/>
  </r>
  <r>
    <x v="6"/>
    <x v="0"/>
    <x v="0"/>
    <x v="0"/>
    <x v="0"/>
    <n v="2769.02"/>
    <x v="0"/>
    <x v="0"/>
  </r>
  <r>
    <x v="6"/>
    <x v="0"/>
    <x v="0"/>
    <x v="0"/>
    <x v="0"/>
    <n v="2890.81"/>
    <x v="0"/>
    <x v="0"/>
  </r>
  <r>
    <x v="6"/>
    <x v="0"/>
    <x v="0"/>
    <x v="0"/>
    <x v="0"/>
    <n v="4568.07"/>
    <x v="0"/>
    <x v="0"/>
  </r>
  <r>
    <x v="6"/>
    <x v="0"/>
    <x v="0"/>
    <x v="0"/>
    <x v="0"/>
    <n v="7417.42"/>
    <x v="0"/>
    <x v="0"/>
  </r>
  <r>
    <x v="6"/>
    <x v="0"/>
    <x v="0"/>
    <x v="0"/>
    <x v="0"/>
    <n v="2991.18"/>
    <x v="0"/>
    <x v="0"/>
  </r>
  <r>
    <x v="6"/>
    <x v="1"/>
    <x v="3"/>
    <x v="0"/>
    <x v="0"/>
    <n v="486780.94"/>
    <x v="0"/>
    <x v="0"/>
  </r>
  <r>
    <x v="6"/>
    <x v="0"/>
    <x v="2"/>
    <x v="0"/>
    <x v="0"/>
    <n v="16498.15"/>
    <x v="0"/>
    <x v="0"/>
  </r>
  <r>
    <x v="6"/>
    <x v="0"/>
    <x v="0"/>
    <x v="0"/>
    <x v="0"/>
    <n v="6037.15"/>
    <x v="0"/>
    <x v="0"/>
  </r>
  <r>
    <x v="6"/>
    <x v="0"/>
    <x v="0"/>
    <x v="0"/>
    <x v="0"/>
    <n v="5552.23"/>
    <x v="0"/>
    <x v="0"/>
  </r>
  <r>
    <x v="6"/>
    <x v="0"/>
    <x v="0"/>
    <x v="0"/>
    <x v="0"/>
    <n v="3177.01"/>
    <x v="0"/>
    <x v="0"/>
  </r>
  <r>
    <x v="6"/>
    <x v="0"/>
    <x v="2"/>
    <x v="0"/>
    <x v="0"/>
    <n v="19286.24"/>
    <x v="0"/>
    <x v="0"/>
  </r>
  <r>
    <x v="6"/>
    <x v="0"/>
    <x v="0"/>
    <x v="0"/>
    <x v="0"/>
    <n v="9466.19"/>
    <x v="0"/>
    <x v="0"/>
  </r>
  <r>
    <x v="6"/>
    <x v="0"/>
    <x v="0"/>
    <x v="0"/>
    <x v="0"/>
    <n v="4861.27"/>
    <x v="0"/>
    <x v="0"/>
  </r>
  <r>
    <x v="6"/>
    <x v="2"/>
    <x v="2"/>
    <x v="0"/>
    <x v="0"/>
    <n v="24461.49"/>
    <x v="0"/>
    <x v="0"/>
  </r>
  <r>
    <x v="6"/>
    <x v="0"/>
    <x v="0"/>
    <x v="0"/>
    <x v="0"/>
    <n v="2168.42"/>
    <x v="0"/>
    <x v="0"/>
  </r>
  <r>
    <x v="6"/>
    <x v="1"/>
    <x v="3"/>
    <x v="0"/>
    <x v="0"/>
    <n v="889053.15"/>
    <x v="0"/>
    <x v="0"/>
  </r>
  <r>
    <x v="6"/>
    <x v="0"/>
    <x v="0"/>
    <x v="0"/>
    <x v="0"/>
    <n v="5120.67"/>
    <x v="0"/>
    <x v="0"/>
  </r>
  <r>
    <x v="6"/>
    <x v="0"/>
    <x v="0"/>
    <x v="0"/>
    <x v="0"/>
    <n v="3851.72"/>
    <x v="0"/>
    <x v="0"/>
  </r>
  <r>
    <x v="6"/>
    <x v="0"/>
    <x v="0"/>
    <x v="0"/>
    <x v="0"/>
    <n v="7515.13"/>
    <x v="0"/>
    <x v="0"/>
  </r>
  <r>
    <x v="6"/>
    <x v="1"/>
    <x v="3"/>
    <x v="1"/>
    <x v="0"/>
    <n v="262434.54"/>
    <x v="1"/>
    <x v="35"/>
  </r>
  <r>
    <x v="6"/>
    <x v="2"/>
    <x v="3"/>
    <x v="1"/>
    <x v="0"/>
    <n v="262434.54"/>
    <x v="1"/>
    <x v="35"/>
  </r>
  <r>
    <x v="6"/>
    <x v="0"/>
    <x v="0"/>
    <x v="0"/>
    <x v="0"/>
    <n v="2069.31"/>
    <x v="0"/>
    <x v="0"/>
  </r>
  <r>
    <x v="6"/>
    <x v="0"/>
    <x v="0"/>
    <x v="0"/>
    <x v="0"/>
    <n v="5171.26"/>
    <x v="0"/>
    <x v="0"/>
  </r>
  <r>
    <x v="6"/>
    <x v="0"/>
    <x v="0"/>
    <x v="0"/>
    <x v="0"/>
    <n v="2144.11"/>
    <x v="0"/>
    <x v="0"/>
  </r>
  <r>
    <x v="6"/>
    <x v="0"/>
    <x v="0"/>
    <x v="0"/>
    <x v="0"/>
    <n v="6631.67"/>
    <x v="0"/>
    <x v="0"/>
  </r>
  <r>
    <x v="6"/>
    <x v="0"/>
    <x v="0"/>
    <x v="0"/>
    <x v="0"/>
    <n v="2236.04"/>
    <x v="0"/>
    <x v="0"/>
  </r>
  <r>
    <x v="6"/>
    <x v="0"/>
    <x v="0"/>
    <x v="0"/>
    <x v="0"/>
    <n v="2506.93"/>
    <x v="0"/>
    <x v="0"/>
  </r>
  <r>
    <x v="6"/>
    <x v="0"/>
    <x v="0"/>
    <x v="0"/>
    <x v="0"/>
    <n v="6050.35"/>
    <x v="0"/>
    <x v="0"/>
  </r>
  <r>
    <x v="6"/>
    <x v="0"/>
    <x v="0"/>
    <x v="0"/>
    <x v="0"/>
    <n v="1110.87"/>
    <x v="0"/>
    <x v="0"/>
  </r>
  <r>
    <x v="6"/>
    <x v="2"/>
    <x v="3"/>
    <x v="0"/>
    <x v="0"/>
    <n v="134800.04"/>
    <x v="0"/>
    <x v="0"/>
  </r>
  <r>
    <x v="6"/>
    <x v="2"/>
    <x v="3"/>
    <x v="0"/>
    <x v="0"/>
    <n v="109259.68"/>
    <x v="0"/>
    <x v="0"/>
  </r>
  <r>
    <x v="6"/>
    <x v="0"/>
    <x v="2"/>
    <x v="0"/>
    <x v="0"/>
    <n v="18372.81"/>
    <x v="0"/>
    <x v="0"/>
  </r>
  <r>
    <x v="6"/>
    <x v="0"/>
    <x v="0"/>
    <x v="0"/>
    <x v="0"/>
    <n v="6805.26"/>
    <x v="0"/>
    <x v="0"/>
  </r>
  <r>
    <x v="6"/>
    <x v="0"/>
    <x v="0"/>
    <x v="0"/>
    <x v="0"/>
    <n v="7261.64"/>
    <x v="0"/>
    <x v="0"/>
  </r>
  <r>
    <x v="6"/>
    <x v="0"/>
    <x v="0"/>
    <x v="0"/>
    <x v="0"/>
    <n v="7614.89"/>
    <x v="0"/>
    <x v="0"/>
  </r>
  <r>
    <x v="6"/>
    <x v="2"/>
    <x v="3"/>
    <x v="0"/>
    <x v="0"/>
    <n v="112683.32"/>
    <x v="0"/>
    <x v="0"/>
  </r>
  <r>
    <x v="6"/>
    <x v="2"/>
    <x v="2"/>
    <x v="0"/>
    <x v="0"/>
    <n v="11830.05"/>
    <x v="0"/>
    <x v="0"/>
  </r>
  <r>
    <x v="6"/>
    <x v="2"/>
    <x v="3"/>
    <x v="0"/>
    <x v="0"/>
    <n v="435704.21"/>
    <x v="0"/>
    <x v="0"/>
  </r>
  <r>
    <x v="6"/>
    <x v="2"/>
    <x v="2"/>
    <x v="0"/>
    <x v="0"/>
    <n v="12346.69"/>
    <x v="0"/>
    <x v="0"/>
  </r>
  <r>
    <x v="6"/>
    <x v="2"/>
    <x v="3"/>
    <x v="0"/>
    <x v="0"/>
    <n v="595879.01"/>
    <x v="0"/>
    <x v="0"/>
  </r>
  <r>
    <x v="6"/>
    <x v="2"/>
    <x v="3"/>
    <x v="0"/>
    <x v="0"/>
    <n v="170745.6"/>
    <x v="0"/>
    <x v="0"/>
  </r>
  <r>
    <x v="6"/>
    <x v="2"/>
    <x v="3"/>
    <x v="0"/>
    <x v="0"/>
    <n v="172180.99"/>
    <x v="0"/>
    <x v="0"/>
  </r>
  <r>
    <x v="6"/>
    <x v="2"/>
    <x v="3"/>
    <x v="0"/>
    <x v="0"/>
    <n v="109673.97"/>
    <x v="0"/>
    <x v="0"/>
  </r>
  <r>
    <x v="6"/>
    <x v="2"/>
    <x v="3"/>
    <x v="0"/>
    <x v="0"/>
    <n v="266192.8"/>
    <x v="0"/>
    <x v="0"/>
  </r>
  <r>
    <x v="6"/>
    <x v="0"/>
    <x v="2"/>
    <x v="0"/>
    <x v="0"/>
    <n v="11248.16"/>
    <x v="0"/>
    <x v="0"/>
  </r>
  <r>
    <x v="6"/>
    <x v="1"/>
    <x v="3"/>
    <x v="0"/>
    <x v="0"/>
    <n v="655143.29"/>
    <x v="0"/>
    <x v="0"/>
  </r>
  <r>
    <x v="6"/>
    <x v="0"/>
    <x v="2"/>
    <x v="0"/>
    <x v="0"/>
    <n v="17283.98"/>
    <x v="0"/>
    <x v="0"/>
  </r>
  <r>
    <x v="6"/>
    <x v="0"/>
    <x v="0"/>
    <x v="0"/>
    <x v="0"/>
    <n v="7285.08"/>
    <x v="0"/>
    <x v="0"/>
  </r>
  <r>
    <x v="6"/>
    <x v="0"/>
    <x v="0"/>
    <x v="0"/>
    <x v="0"/>
    <n v="2423.63"/>
    <x v="0"/>
    <x v="0"/>
  </r>
  <r>
    <x v="6"/>
    <x v="0"/>
    <x v="2"/>
    <x v="0"/>
    <x v="0"/>
    <n v="12344.75"/>
    <x v="0"/>
    <x v="0"/>
  </r>
  <r>
    <x v="6"/>
    <x v="0"/>
    <x v="0"/>
    <x v="0"/>
    <x v="0"/>
    <n v="1500.48"/>
    <x v="0"/>
    <x v="0"/>
  </r>
  <r>
    <x v="6"/>
    <x v="0"/>
    <x v="0"/>
    <x v="0"/>
    <x v="0"/>
    <n v="3780.47"/>
    <x v="0"/>
    <x v="0"/>
  </r>
  <r>
    <x v="6"/>
    <x v="0"/>
    <x v="0"/>
    <x v="0"/>
    <x v="0"/>
    <n v="8154.19"/>
    <x v="0"/>
    <x v="0"/>
  </r>
  <r>
    <x v="6"/>
    <x v="1"/>
    <x v="3"/>
    <x v="0"/>
    <x v="0"/>
    <n v="423000.44"/>
    <x v="0"/>
    <x v="0"/>
  </r>
  <r>
    <x v="6"/>
    <x v="0"/>
    <x v="2"/>
    <x v="0"/>
    <x v="0"/>
    <n v="13746.26"/>
    <x v="0"/>
    <x v="0"/>
  </r>
  <r>
    <x v="6"/>
    <x v="0"/>
    <x v="0"/>
    <x v="0"/>
    <x v="0"/>
    <n v="2527.21"/>
    <x v="0"/>
    <x v="0"/>
  </r>
  <r>
    <x v="6"/>
    <x v="4"/>
    <x v="3"/>
    <x v="0"/>
    <x v="0"/>
    <n v="302756.57"/>
    <x v="0"/>
    <x v="0"/>
  </r>
  <r>
    <x v="6"/>
    <x v="4"/>
    <x v="3"/>
    <x v="0"/>
    <x v="0"/>
    <n v="174253.85"/>
    <x v="0"/>
    <x v="0"/>
  </r>
  <r>
    <x v="6"/>
    <x v="4"/>
    <x v="3"/>
    <x v="0"/>
    <x v="0"/>
    <n v="148407.53"/>
    <x v="0"/>
    <x v="0"/>
  </r>
  <r>
    <x v="6"/>
    <x v="4"/>
    <x v="3"/>
    <x v="0"/>
    <x v="0"/>
    <n v="315626.22"/>
    <x v="0"/>
    <x v="0"/>
  </r>
  <r>
    <x v="6"/>
    <x v="4"/>
    <x v="3"/>
    <x v="0"/>
    <x v="0"/>
    <n v="410211.27"/>
    <x v="0"/>
    <x v="0"/>
  </r>
  <r>
    <x v="6"/>
    <x v="4"/>
    <x v="3"/>
    <x v="0"/>
    <x v="0"/>
    <n v="343680.72"/>
    <x v="0"/>
    <x v="0"/>
  </r>
  <r>
    <x v="6"/>
    <x v="4"/>
    <x v="2"/>
    <x v="0"/>
    <x v="0"/>
    <n v="69915.54"/>
    <x v="0"/>
    <x v="0"/>
  </r>
  <r>
    <x v="6"/>
    <x v="4"/>
    <x v="3"/>
    <x v="0"/>
    <x v="0"/>
    <n v="271415.06"/>
    <x v="0"/>
    <x v="0"/>
  </r>
  <r>
    <x v="6"/>
    <x v="4"/>
    <x v="2"/>
    <x v="0"/>
    <x v="0"/>
    <n v="39683.51"/>
    <x v="0"/>
    <x v="0"/>
  </r>
  <r>
    <x v="6"/>
    <x v="4"/>
    <x v="2"/>
    <x v="0"/>
    <x v="0"/>
    <n v="54291.7"/>
    <x v="0"/>
    <x v="0"/>
  </r>
  <r>
    <x v="6"/>
    <x v="4"/>
    <x v="3"/>
    <x v="0"/>
    <x v="0"/>
    <n v="132351.05"/>
    <x v="0"/>
    <x v="0"/>
  </r>
  <r>
    <x v="6"/>
    <x v="4"/>
    <x v="0"/>
    <x v="0"/>
    <x v="0"/>
    <n v="9990.6"/>
    <x v="0"/>
    <x v="0"/>
  </r>
  <r>
    <x v="6"/>
    <x v="4"/>
    <x v="2"/>
    <x v="0"/>
    <x v="0"/>
    <n v="33855.24"/>
    <x v="0"/>
    <x v="0"/>
  </r>
  <r>
    <x v="6"/>
    <x v="4"/>
    <x v="3"/>
    <x v="0"/>
    <x v="0"/>
    <n v="106286.15"/>
    <x v="0"/>
    <x v="0"/>
  </r>
  <r>
    <x v="6"/>
    <x v="4"/>
    <x v="2"/>
    <x v="0"/>
    <x v="0"/>
    <n v="89385.18"/>
    <x v="0"/>
    <x v="0"/>
  </r>
  <r>
    <x v="6"/>
    <x v="4"/>
    <x v="3"/>
    <x v="0"/>
    <x v="0"/>
    <n v="223760.9"/>
    <x v="0"/>
    <x v="0"/>
  </r>
  <r>
    <x v="6"/>
    <x v="4"/>
    <x v="3"/>
    <x v="0"/>
    <x v="0"/>
    <n v="506375.58"/>
    <x v="0"/>
    <x v="0"/>
  </r>
  <r>
    <x v="6"/>
    <x v="4"/>
    <x v="3"/>
    <x v="0"/>
    <x v="0"/>
    <n v="243541.7"/>
    <x v="0"/>
    <x v="0"/>
  </r>
  <r>
    <x v="6"/>
    <x v="4"/>
    <x v="2"/>
    <x v="0"/>
    <x v="0"/>
    <n v="62485.46"/>
    <x v="0"/>
    <x v="0"/>
  </r>
  <r>
    <x v="6"/>
    <x v="3"/>
    <x v="0"/>
    <x v="0"/>
    <x v="0"/>
    <n v="2910.94"/>
    <x v="0"/>
    <x v="0"/>
  </r>
  <r>
    <x v="6"/>
    <x v="2"/>
    <x v="2"/>
    <x v="0"/>
    <x v="0"/>
    <n v="51861.21"/>
    <x v="0"/>
    <x v="0"/>
  </r>
  <r>
    <x v="6"/>
    <x v="0"/>
    <x v="0"/>
    <x v="0"/>
    <x v="0"/>
    <n v="9098.14"/>
    <x v="0"/>
    <x v="0"/>
  </r>
  <r>
    <x v="6"/>
    <x v="2"/>
    <x v="3"/>
    <x v="0"/>
    <x v="0"/>
    <n v="126331.28"/>
    <x v="0"/>
    <x v="0"/>
  </r>
  <r>
    <x v="6"/>
    <x v="0"/>
    <x v="2"/>
    <x v="0"/>
    <x v="0"/>
    <n v="14825.9"/>
    <x v="0"/>
    <x v="0"/>
  </r>
  <r>
    <x v="6"/>
    <x v="0"/>
    <x v="0"/>
    <x v="0"/>
    <x v="0"/>
    <n v="8340.39"/>
    <x v="0"/>
    <x v="0"/>
  </r>
  <r>
    <x v="6"/>
    <x v="0"/>
    <x v="2"/>
    <x v="0"/>
    <x v="0"/>
    <n v="12532.47"/>
    <x v="0"/>
    <x v="0"/>
  </r>
  <r>
    <x v="6"/>
    <x v="0"/>
    <x v="1"/>
    <x v="0"/>
    <x v="0"/>
    <n v="427"/>
    <x v="0"/>
    <x v="0"/>
  </r>
  <r>
    <x v="6"/>
    <x v="0"/>
    <x v="0"/>
    <x v="0"/>
    <x v="0"/>
    <n v="1140.43"/>
    <x v="0"/>
    <x v="0"/>
  </r>
  <r>
    <x v="6"/>
    <x v="0"/>
    <x v="1"/>
    <x v="0"/>
    <x v="0"/>
    <n v="427.62"/>
    <x v="0"/>
    <x v="0"/>
  </r>
  <r>
    <x v="6"/>
    <x v="0"/>
    <x v="2"/>
    <x v="0"/>
    <x v="0"/>
    <n v="15109.46"/>
    <x v="0"/>
    <x v="0"/>
  </r>
  <r>
    <x v="6"/>
    <x v="0"/>
    <x v="2"/>
    <x v="0"/>
    <x v="0"/>
    <n v="16050.88"/>
    <x v="0"/>
    <x v="0"/>
  </r>
  <r>
    <x v="6"/>
    <x v="2"/>
    <x v="3"/>
    <x v="0"/>
    <x v="0"/>
    <n v="153179.07"/>
    <x v="0"/>
    <x v="0"/>
  </r>
  <r>
    <x v="6"/>
    <x v="0"/>
    <x v="0"/>
    <x v="0"/>
    <x v="0"/>
    <n v="2635.27"/>
    <x v="0"/>
    <x v="0"/>
  </r>
  <r>
    <x v="6"/>
    <x v="0"/>
    <x v="0"/>
    <x v="0"/>
    <x v="0"/>
    <n v="1519.53"/>
    <x v="0"/>
    <x v="0"/>
  </r>
  <r>
    <x v="6"/>
    <x v="0"/>
    <x v="0"/>
    <x v="0"/>
    <x v="0"/>
    <n v="9074.62"/>
    <x v="0"/>
    <x v="0"/>
  </r>
  <r>
    <x v="6"/>
    <x v="0"/>
    <x v="0"/>
    <x v="0"/>
    <x v="0"/>
    <n v="5744.4"/>
    <x v="0"/>
    <x v="0"/>
  </r>
  <r>
    <x v="6"/>
    <x v="0"/>
    <x v="2"/>
    <x v="0"/>
    <x v="0"/>
    <n v="11608.19"/>
    <x v="0"/>
    <x v="0"/>
  </r>
  <r>
    <x v="6"/>
    <x v="0"/>
    <x v="2"/>
    <x v="0"/>
    <x v="0"/>
    <n v="12327.45"/>
    <x v="0"/>
    <x v="0"/>
  </r>
  <r>
    <x v="6"/>
    <x v="4"/>
    <x v="2"/>
    <x v="0"/>
    <x v="0"/>
    <n v="36753.81"/>
    <x v="0"/>
    <x v="0"/>
  </r>
  <r>
    <x v="6"/>
    <x v="4"/>
    <x v="2"/>
    <x v="0"/>
    <x v="0"/>
    <n v="84265.18"/>
    <x v="0"/>
    <x v="0"/>
  </r>
  <r>
    <x v="6"/>
    <x v="4"/>
    <x v="2"/>
    <x v="0"/>
    <x v="0"/>
    <n v="12089.51"/>
    <x v="0"/>
    <x v="0"/>
  </r>
  <r>
    <x v="6"/>
    <x v="4"/>
    <x v="3"/>
    <x v="0"/>
    <x v="0"/>
    <n v="254934.1"/>
    <x v="0"/>
    <x v="0"/>
  </r>
  <r>
    <x v="6"/>
    <x v="4"/>
    <x v="3"/>
    <x v="0"/>
    <x v="0"/>
    <n v="170600.43"/>
    <x v="0"/>
    <x v="0"/>
  </r>
  <r>
    <x v="6"/>
    <x v="4"/>
    <x v="2"/>
    <x v="0"/>
    <x v="0"/>
    <n v="31159.89"/>
    <x v="0"/>
    <x v="0"/>
  </r>
  <r>
    <x v="6"/>
    <x v="4"/>
    <x v="3"/>
    <x v="0"/>
    <x v="0"/>
    <n v="271304.21"/>
    <x v="0"/>
    <x v="0"/>
  </r>
  <r>
    <x v="6"/>
    <x v="4"/>
    <x v="2"/>
    <x v="0"/>
    <x v="0"/>
    <n v="96244.27"/>
    <x v="0"/>
    <x v="0"/>
  </r>
  <r>
    <x v="6"/>
    <x v="4"/>
    <x v="3"/>
    <x v="0"/>
    <x v="0"/>
    <n v="197498.84"/>
    <x v="0"/>
    <x v="0"/>
  </r>
  <r>
    <x v="6"/>
    <x v="4"/>
    <x v="2"/>
    <x v="0"/>
    <x v="0"/>
    <n v="99772.4"/>
    <x v="0"/>
    <x v="0"/>
  </r>
  <r>
    <x v="6"/>
    <x v="4"/>
    <x v="3"/>
    <x v="0"/>
    <x v="0"/>
    <n v="102359.63"/>
    <x v="0"/>
    <x v="0"/>
  </r>
  <r>
    <x v="6"/>
    <x v="4"/>
    <x v="2"/>
    <x v="0"/>
    <x v="0"/>
    <n v="50907.95"/>
    <x v="0"/>
    <x v="0"/>
  </r>
  <r>
    <x v="6"/>
    <x v="4"/>
    <x v="2"/>
    <x v="0"/>
    <x v="0"/>
    <n v="24268.52"/>
    <x v="0"/>
    <x v="0"/>
  </r>
  <r>
    <x v="6"/>
    <x v="4"/>
    <x v="2"/>
    <x v="0"/>
    <x v="0"/>
    <n v="90519.47"/>
    <x v="0"/>
    <x v="0"/>
  </r>
  <r>
    <x v="6"/>
    <x v="4"/>
    <x v="2"/>
    <x v="0"/>
    <x v="0"/>
    <n v="17809.04"/>
    <x v="0"/>
    <x v="0"/>
  </r>
  <r>
    <x v="6"/>
    <x v="4"/>
    <x v="0"/>
    <x v="0"/>
    <x v="0"/>
    <n v="5796.91"/>
    <x v="0"/>
    <x v="0"/>
  </r>
  <r>
    <x v="6"/>
    <x v="4"/>
    <x v="3"/>
    <x v="0"/>
    <x v="0"/>
    <n v="736383.61"/>
    <x v="0"/>
    <x v="0"/>
  </r>
  <r>
    <x v="6"/>
    <x v="4"/>
    <x v="3"/>
    <x v="0"/>
    <x v="0"/>
    <n v="103210.32"/>
    <x v="0"/>
    <x v="0"/>
  </r>
  <r>
    <x v="6"/>
    <x v="4"/>
    <x v="0"/>
    <x v="0"/>
    <x v="0"/>
    <n v="7880.94"/>
    <x v="0"/>
    <x v="0"/>
  </r>
  <r>
    <x v="6"/>
    <x v="4"/>
    <x v="2"/>
    <x v="0"/>
    <x v="0"/>
    <n v="67379.32"/>
    <x v="0"/>
    <x v="0"/>
  </r>
  <r>
    <x v="6"/>
    <x v="4"/>
    <x v="2"/>
    <x v="0"/>
    <x v="0"/>
    <n v="46526.41"/>
    <x v="0"/>
    <x v="0"/>
  </r>
  <r>
    <x v="6"/>
    <x v="4"/>
    <x v="2"/>
    <x v="0"/>
    <x v="0"/>
    <n v="80014.35"/>
    <x v="0"/>
    <x v="0"/>
  </r>
  <r>
    <x v="6"/>
    <x v="4"/>
    <x v="2"/>
    <x v="0"/>
    <x v="0"/>
    <n v="21755.1"/>
    <x v="0"/>
    <x v="0"/>
  </r>
  <r>
    <x v="6"/>
    <x v="4"/>
    <x v="2"/>
    <x v="0"/>
    <x v="0"/>
    <n v="33465.54"/>
    <x v="0"/>
    <x v="0"/>
  </r>
  <r>
    <x v="6"/>
    <x v="4"/>
    <x v="3"/>
    <x v="0"/>
    <x v="0"/>
    <n v="119539.4"/>
    <x v="0"/>
    <x v="0"/>
  </r>
  <r>
    <x v="6"/>
    <x v="4"/>
    <x v="3"/>
    <x v="0"/>
    <x v="0"/>
    <n v="219896.67"/>
    <x v="0"/>
    <x v="0"/>
  </r>
  <r>
    <x v="6"/>
    <x v="4"/>
    <x v="3"/>
    <x v="0"/>
    <x v="0"/>
    <n v="310104.75"/>
    <x v="0"/>
    <x v="0"/>
  </r>
  <r>
    <x v="6"/>
    <x v="4"/>
    <x v="2"/>
    <x v="0"/>
    <x v="0"/>
    <n v="15835.12"/>
    <x v="0"/>
    <x v="0"/>
  </r>
  <r>
    <x v="6"/>
    <x v="4"/>
    <x v="3"/>
    <x v="0"/>
    <x v="0"/>
    <n v="126257.93"/>
    <x v="0"/>
    <x v="0"/>
  </r>
  <r>
    <x v="6"/>
    <x v="4"/>
    <x v="2"/>
    <x v="0"/>
    <x v="0"/>
    <n v="79647.21"/>
    <x v="0"/>
    <x v="0"/>
  </r>
  <r>
    <x v="6"/>
    <x v="4"/>
    <x v="3"/>
    <x v="0"/>
    <x v="0"/>
    <n v="208404.48"/>
    <x v="0"/>
    <x v="0"/>
  </r>
  <r>
    <x v="6"/>
    <x v="4"/>
    <x v="2"/>
    <x v="0"/>
    <x v="0"/>
    <n v="64257.25"/>
    <x v="0"/>
    <x v="0"/>
  </r>
  <r>
    <x v="6"/>
    <x v="4"/>
    <x v="2"/>
    <x v="0"/>
    <x v="0"/>
    <n v="75813.52"/>
    <x v="0"/>
    <x v="0"/>
  </r>
  <r>
    <x v="6"/>
    <x v="4"/>
    <x v="2"/>
    <x v="0"/>
    <x v="0"/>
    <n v="89650.79"/>
    <x v="0"/>
    <x v="0"/>
  </r>
  <r>
    <x v="6"/>
    <x v="4"/>
    <x v="2"/>
    <x v="0"/>
    <x v="0"/>
    <n v="84504.62"/>
    <x v="0"/>
    <x v="0"/>
  </r>
  <r>
    <x v="6"/>
    <x v="4"/>
    <x v="3"/>
    <x v="0"/>
    <x v="0"/>
    <n v="131707.8"/>
    <x v="0"/>
    <x v="0"/>
  </r>
  <r>
    <x v="6"/>
    <x v="4"/>
    <x v="3"/>
    <x v="0"/>
    <x v="0"/>
    <n v="223311.81"/>
    <x v="0"/>
    <x v="0"/>
  </r>
  <r>
    <x v="6"/>
    <x v="4"/>
    <x v="2"/>
    <x v="0"/>
    <x v="0"/>
    <n v="73152.03"/>
    <x v="0"/>
    <x v="0"/>
  </r>
  <r>
    <x v="6"/>
    <x v="4"/>
    <x v="3"/>
    <x v="0"/>
    <x v="0"/>
    <n v="283056.95"/>
    <x v="0"/>
    <x v="0"/>
  </r>
  <r>
    <x v="6"/>
    <x v="4"/>
    <x v="2"/>
    <x v="0"/>
    <x v="0"/>
    <n v="20042.9"/>
    <x v="0"/>
    <x v="0"/>
  </r>
  <r>
    <x v="6"/>
    <x v="4"/>
    <x v="3"/>
    <x v="0"/>
    <x v="0"/>
    <n v="137054.9"/>
    <x v="0"/>
    <x v="0"/>
  </r>
  <r>
    <x v="6"/>
    <x v="4"/>
    <x v="3"/>
    <x v="0"/>
    <x v="0"/>
    <n v="113656.68"/>
    <x v="0"/>
    <x v="0"/>
  </r>
  <r>
    <x v="6"/>
    <x v="4"/>
    <x v="2"/>
    <x v="0"/>
    <x v="0"/>
    <n v="65256.48"/>
    <x v="0"/>
    <x v="0"/>
  </r>
  <r>
    <x v="6"/>
    <x v="4"/>
    <x v="3"/>
    <x v="0"/>
    <x v="0"/>
    <n v="222536.02"/>
    <x v="0"/>
    <x v="0"/>
  </r>
  <r>
    <x v="6"/>
    <x v="4"/>
    <x v="3"/>
    <x v="0"/>
    <x v="0"/>
    <n v="167766.5"/>
    <x v="0"/>
    <x v="0"/>
  </r>
  <r>
    <x v="6"/>
    <x v="4"/>
    <x v="3"/>
    <x v="0"/>
    <x v="0"/>
    <n v="201410.49"/>
    <x v="0"/>
    <x v="0"/>
  </r>
  <r>
    <x v="6"/>
    <x v="4"/>
    <x v="2"/>
    <x v="0"/>
    <x v="0"/>
    <n v="32923.07"/>
    <x v="0"/>
    <x v="0"/>
  </r>
  <r>
    <x v="6"/>
    <x v="4"/>
    <x v="3"/>
    <x v="0"/>
    <x v="0"/>
    <n v="163514.32"/>
    <x v="0"/>
    <x v="0"/>
  </r>
  <r>
    <x v="6"/>
    <x v="4"/>
    <x v="2"/>
    <x v="0"/>
    <x v="0"/>
    <n v="54944.45"/>
    <x v="0"/>
    <x v="0"/>
  </r>
  <r>
    <x v="6"/>
    <x v="4"/>
    <x v="2"/>
    <x v="0"/>
    <x v="0"/>
    <n v="55863.88"/>
    <x v="0"/>
    <x v="0"/>
  </r>
  <r>
    <x v="6"/>
    <x v="4"/>
    <x v="3"/>
    <x v="0"/>
    <x v="0"/>
    <n v="165449.12"/>
    <x v="0"/>
    <x v="0"/>
  </r>
  <r>
    <x v="6"/>
    <x v="4"/>
    <x v="3"/>
    <x v="0"/>
    <x v="0"/>
    <n v="153472.72"/>
    <x v="0"/>
    <x v="0"/>
  </r>
  <r>
    <x v="6"/>
    <x v="4"/>
    <x v="2"/>
    <x v="0"/>
    <x v="0"/>
    <n v="12401.8"/>
    <x v="0"/>
    <x v="0"/>
  </r>
  <r>
    <x v="6"/>
    <x v="4"/>
    <x v="0"/>
    <x v="0"/>
    <x v="0"/>
    <n v="6189.93"/>
    <x v="0"/>
    <x v="0"/>
  </r>
  <r>
    <x v="6"/>
    <x v="4"/>
    <x v="2"/>
    <x v="0"/>
    <x v="0"/>
    <n v="74145.33"/>
    <x v="0"/>
    <x v="0"/>
  </r>
  <r>
    <x v="6"/>
    <x v="4"/>
    <x v="3"/>
    <x v="0"/>
    <x v="0"/>
    <n v="224142.13"/>
    <x v="0"/>
    <x v="0"/>
  </r>
  <r>
    <x v="6"/>
    <x v="4"/>
    <x v="3"/>
    <x v="0"/>
    <x v="0"/>
    <n v="249374.52"/>
    <x v="0"/>
    <x v="0"/>
  </r>
  <r>
    <x v="6"/>
    <x v="4"/>
    <x v="2"/>
    <x v="0"/>
    <x v="0"/>
    <n v="97150.04"/>
    <x v="0"/>
    <x v="0"/>
  </r>
  <r>
    <x v="6"/>
    <x v="4"/>
    <x v="3"/>
    <x v="0"/>
    <x v="0"/>
    <n v="179435.15"/>
    <x v="0"/>
    <x v="0"/>
  </r>
  <r>
    <x v="6"/>
    <x v="4"/>
    <x v="3"/>
    <x v="0"/>
    <x v="0"/>
    <n v="245192"/>
    <x v="0"/>
    <x v="0"/>
  </r>
  <r>
    <x v="6"/>
    <x v="4"/>
    <x v="2"/>
    <x v="0"/>
    <x v="0"/>
    <n v="33031.47"/>
    <x v="0"/>
    <x v="0"/>
  </r>
  <r>
    <x v="6"/>
    <x v="4"/>
    <x v="3"/>
    <x v="0"/>
    <x v="0"/>
    <n v="283223.78"/>
    <x v="0"/>
    <x v="0"/>
  </r>
  <r>
    <x v="6"/>
    <x v="4"/>
    <x v="3"/>
    <x v="0"/>
    <x v="0"/>
    <n v="202241.9"/>
    <x v="0"/>
    <x v="0"/>
  </r>
  <r>
    <x v="6"/>
    <x v="4"/>
    <x v="3"/>
    <x v="0"/>
    <x v="0"/>
    <n v="569038.9"/>
    <x v="0"/>
    <x v="0"/>
  </r>
  <r>
    <x v="6"/>
    <x v="4"/>
    <x v="3"/>
    <x v="0"/>
    <x v="0"/>
    <n v="168209.67"/>
    <x v="0"/>
    <x v="0"/>
  </r>
  <r>
    <x v="6"/>
    <x v="0"/>
    <x v="2"/>
    <x v="0"/>
    <x v="0"/>
    <n v="12051.83"/>
    <x v="0"/>
    <x v="0"/>
  </r>
  <r>
    <x v="6"/>
    <x v="0"/>
    <x v="0"/>
    <x v="0"/>
    <x v="0"/>
    <n v="5341.97"/>
    <x v="0"/>
    <x v="0"/>
  </r>
  <r>
    <x v="6"/>
    <x v="0"/>
    <x v="0"/>
    <x v="0"/>
    <x v="0"/>
    <n v="6403.08"/>
    <x v="0"/>
    <x v="0"/>
  </r>
  <r>
    <x v="6"/>
    <x v="0"/>
    <x v="0"/>
    <x v="0"/>
    <x v="0"/>
    <n v="2893.18"/>
    <x v="0"/>
    <x v="0"/>
  </r>
  <r>
    <x v="6"/>
    <x v="0"/>
    <x v="0"/>
    <x v="0"/>
    <x v="0"/>
    <n v="3146.09"/>
    <x v="0"/>
    <x v="0"/>
  </r>
  <r>
    <x v="6"/>
    <x v="0"/>
    <x v="0"/>
    <x v="0"/>
    <x v="0"/>
    <n v="6823.06"/>
    <x v="0"/>
    <x v="0"/>
  </r>
  <r>
    <x v="6"/>
    <x v="0"/>
    <x v="0"/>
    <x v="0"/>
    <x v="0"/>
    <n v="8832.42"/>
    <x v="0"/>
    <x v="0"/>
  </r>
  <r>
    <x v="6"/>
    <x v="0"/>
    <x v="0"/>
    <x v="0"/>
    <x v="0"/>
    <n v="5653.02"/>
    <x v="0"/>
    <x v="0"/>
  </r>
  <r>
    <x v="6"/>
    <x v="0"/>
    <x v="1"/>
    <x v="0"/>
    <x v="0"/>
    <n v="504.83"/>
    <x v="0"/>
    <x v="0"/>
  </r>
  <r>
    <x v="6"/>
    <x v="0"/>
    <x v="0"/>
    <x v="0"/>
    <x v="0"/>
    <n v="9972.12"/>
    <x v="0"/>
    <x v="0"/>
  </r>
  <r>
    <x v="6"/>
    <x v="0"/>
    <x v="0"/>
    <x v="0"/>
    <x v="0"/>
    <n v="8700.92"/>
    <x v="0"/>
    <x v="0"/>
  </r>
  <r>
    <x v="6"/>
    <x v="0"/>
    <x v="0"/>
    <x v="0"/>
    <x v="0"/>
    <n v="2047.33"/>
    <x v="0"/>
    <x v="0"/>
  </r>
  <r>
    <x v="6"/>
    <x v="0"/>
    <x v="0"/>
    <x v="0"/>
    <x v="0"/>
    <n v="2656.21"/>
    <x v="0"/>
    <x v="0"/>
  </r>
  <r>
    <x v="6"/>
    <x v="0"/>
    <x v="0"/>
    <x v="0"/>
    <x v="0"/>
    <n v="2067.57"/>
    <x v="0"/>
    <x v="0"/>
  </r>
  <r>
    <x v="6"/>
    <x v="1"/>
    <x v="3"/>
    <x v="0"/>
    <x v="0"/>
    <n v="295226.09"/>
    <x v="0"/>
    <x v="0"/>
  </r>
  <r>
    <x v="6"/>
    <x v="1"/>
    <x v="3"/>
    <x v="0"/>
    <x v="0"/>
    <n v="104225.08"/>
    <x v="0"/>
    <x v="0"/>
  </r>
  <r>
    <x v="6"/>
    <x v="1"/>
    <x v="3"/>
    <x v="0"/>
    <x v="0"/>
    <n v="573285.84"/>
    <x v="0"/>
    <x v="0"/>
  </r>
  <r>
    <x v="6"/>
    <x v="2"/>
    <x v="3"/>
    <x v="0"/>
    <x v="0"/>
    <n v="223310.57"/>
    <x v="0"/>
    <x v="0"/>
  </r>
  <r>
    <x v="6"/>
    <x v="0"/>
    <x v="2"/>
    <x v="0"/>
    <x v="0"/>
    <n v="13256.84"/>
    <x v="0"/>
    <x v="0"/>
  </r>
  <r>
    <x v="6"/>
    <x v="1"/>
    <x v="4"/>
    <x v="0"/>
    <x v="0"/>
    <n v="1277771.78"/>
    <x v="0"/>
    <x v="0"/>
  </r>
  <r>
    <x v="6"/>
    <x v="0"/>
    <x v="2"/>
    <x v="0"/>
    <x v="0"/>
    <n v="13524.51"/>
    <x v="0"/>
    <x v="0"/>
  </r>
  <r>
    <x v="6"/>
    <x v="0"/>
    <x v="2"/>
    <x v="0"/>
    <x v="0"/>
    <n v="27004.28"/>
    <x v="0"/>
    <x v="0"/>
  </r>
  <r>
    <x v="6"/>
    <x v="0"/>
    <x v="0"/>
    <x v="0"/>
    <x v="0"/>
    <n v="9413.91"/>
    <x v="0"/>
    <x v="0"/>
  </r>
  <r>
    <x v="6"/>
    <x v="0"/>
    <x v="0"/>
    <x v="0"/>
    <x v="0"/>
    <n v="8095.81"/>
    <x v="0"/>
    <x v="0"/>
  </r>
  <r>
    <x v="6"/>
    <x v="1"/>
    <x v="3"/>
    <x v="0"/>
    <x v="0"/>
    <n v="793967.31"/>
    <x v="0"/>
    <x v="0"/>
  </r>
  <r>
    <x v="6"/>
    <x v="0"/>
    <x v="0"/>
    <x v="0"/>
    <x v="0"/>
    <n v="3254.52"/>
    <x v="0"/>
    <x v="0"/>
  </r>
  <r>
    <x v="6"/>
    <x v="0"/>
    <x v="2"/>
    <x v="0"/>
    <x v="0"/>
    <n v="10815.32"/>
    <x v="0"/>
    <x v="0"/>
  </r>
  <r>
    <x v="6"/>
    <x v="1"/>
    <x v="4"/>
    <x v="0"/>
    <x v="0"/>
    <n v="1167278.82"/>
    <x v="0"/>
    <x v="0"/>
  </r>
  <r>
    <x v="6"/>
    <x v="0"/>
    <x v="0"/>
    <x v="0"/>
    <x v="0"/>
    <n v="8111.83"/>
    <x v="0"/>
    <x v="0"/>
  </r>
  <r>
    <x v="6"/>
    <x v="0"/>
    <x v="0"/>
    <x v="0"/>
    <x v="0"/>
    <n v="6256.13"/>
    <x v="0"/>
    <x v="0"/>
  </r>
  <r>
    <x v="6"/>
    <x v="0"/>
    <x v="0"/>
    <x v="0"/>
    <x v="0"/>
    <n v="5383.03"/>
    <x v="0"/>
    <x v="0"/>
  </r>
  <r>
    <x v="6"/>
    <x v="0"/>
    <x v="0"/>
    <x v="0"/>
    <x v="0"/>
    <n v="9161.94"/>
    <x v="0"/>
    <x v="0"/>
  </r>
  <r>
    <x v="6"/>
    <x v="0"/>
    <x v="1"/>
    <x v="0"/>
    <x v="0"/>
    <n v="24.75"/>
    <x v="0"/>
    <x v="0"/>
  </r>
  <r>
    <x v="6"/>
    <x v="0"/>
    <x v="1"/>
    <x v="0"/>
    <x v="0"/>
    <n v="253.22"/>
    <x v="0"/>
    <x v="0"/>
  </r>
  <r>
    <x v="6"/>
    <x v="2"/>
    <x v="3"/>
    <x v="0"/>
    <x v="0"/>
    <n v="164382.42"/>
    <x v="0"/>
    <x v="0"/>
  </r>
  <r>
    <x v="6"/>
    <x v="0"/>
    <x v="0"/>
    <x v="0"/>
    <x v="0"/>
    <n v="8134.08"/>
    <x v="0"/>
    <x v="0"/>
  </r>
  <r>
    <x v="6"/>
    <x v="0"/>
    <x v="0"/>
    <x v="0"/>
    <x v="0"/>
    <n v="9295.61"/>
    <x v="0"/>
    <x v="0"/>
  </r>
  <r>
    <x v="6"/>
    <x v="0"/>
    <x v="2"/>
    <x v="0"/>
    <x v="0"/>
    <n v="23140.34"/>
    <x v="0"/>
    <x v="0"/>
  </r>
  <r>
    <x v="6"/>
    <x v="0"/>
    <x v="2"/>
    <x v="0"/>
    <x v="0"/>
    <n v="17313.59"/>
    <x v="0"/>
    <x v="0"/>
  </r>
  <r>
    <x v="6"/>
    <x v="1"/>
    <x v="3"/>
    <x v="0"/>
    <x v="0"/>
    <n v="773026.68"/>
    <x v="0"/>
    <x v="0"/>
  </r>
  <r>
    <x v="6"/>
    <x v="0"/>
    <x v="1"/>
    <x v="0"/>
    <x v="0"/>
    <n v="300.74"/>
    <x v="0"/>
    <x v="0"/>
  </r>
  <r>
    <x v="6"/>
    <x v="0"/>
    <x v="2"/>
    <x v="0"/>
    <x v="0"/>
    <n v="11425.82"/>
    <x v="0"/>
    <x v="0"/>
  </r>
  <r>
    <x v="6"/>
    <x v="0"/>
    <x v="0"/>
    <x v="0"/>
    <x v="0"/>
    <n v="6036.56"/>
    <x v="0"/>
    <x v="0"/>
  </r>
  <r>
    <x v="6"/>
    <x v="0"/>
    <x v="0"/>
    <x v="0"/>
    <x v="0"/>
    <n v="5131.26"/>
    <x v="0"/>
    <x v="0"/>
  </r>
  <r>
    <x v="6"/>
    <x v="0"/>
    <x v="0"/>
    <x v="0"/>
    <x v="0"/>
    <n v="4857.92"/>
    <x v="0"/>
    <x v="0"/>
  </r>
  <r>
    <x v="6"/>
    <x v="4"/>
    <x v="3"/>
    <x v="0"/>
    <x v="0"/>
    <n v="104532.52"/>
    <x v="0"/>
    <x v="0"/>
  </r>
  <r>
    <x v="6"/>
    <x v="0"/>
    <x v="0"/>
    <x v="0"/>
    <x v="0"/>
    <n v="3188.19"/>
    <x v="0"/>
    <x v="0"/>
  </r>
  <r>
    <x v="6"/>
    <x v="0"/>
    <x v="0"/>
    <x v="0"/>
    <x v="0"/>
    <n v="2609.34"/>
    <x v="0"/>
    <x v="0"/>
  </r>
  <r>
    <x v="6"/>
    <x v="1"/>
    <x v="2"/>
    <x v="0"/>
    <x v="0"/>
    <n v="21172.65"/>
    <x v="0"/>
    <x v="0"/>
  </r>
  <r>
    <x v="6"/>
    <x v="2"/>
    <x v="2"/>
    <x v="0"/>
    <x v="0"/>
    <n v="12910.33"/>
    <x v="0"/>
    <x v="0"/>
  </r>
  <r>
    <x v="6"/>
    <x v="0"/>
    <x v="0"/>
    <x v="0"/>
    <x v="0"/>
    <n v="5128.14"/>
    <x v="0"/>
    <x v="0"/>
  </r>
  <r>
    <x v="6"/>
    <x v="1"/>
    <x v="3"/>
    <x v="0"/>
    <x v="0"/>
    <n v="245565.33"/>
    <x v="0"/>
    <x v="0"/>
  </r>
  <r>
    <x v="6"/>
    <x v="0"/>
    <x v="0"/>
    <x v="0"/>
    <x v="0"/>
    <n v="2510.38"/>
    <x v="0"/>
    <x v="0"/>
  </r>
  <r>
    <x v="6"/>
    <x v="2"/>
    <x v="2"/>
    <x v="0"/>
    <x v="0"/>
    <n v="88414.44"/>
    <x v="0"/>
    <x v="0"/>
  </r>
  <r>
    <x v="6"/>
    <x v="0"/>
    <x v="1"/>
    <x v="0"/>
    <x v="0"/>
    <n v="276.2"/>
    <x v="0"/>
    <x v="0"/>
  </r>
  <r>
    <x v="6"/>
    <x v="0"/>
    <x v="2"/>
    <x v="0"/>
    <x v="0"/>
    <n v="13866.78"/>
    <x v="0"/>
    <x v="0"/>
  </r>
  <r>
    <x v="6"/>
    <x v="0"/>
    <x v="2"/>
    <x v="0"/>
    <x v="0"/>
    <n v="24079.53"/>
    <x v="0"/>
    <x v="0"/>
  </r>
  <r>
    <x v="6"/>
    <x v="0"/>
    <x v="0"/>
    <x v="0"/>
    <x v="0"/>
    <n v="7860.26"/>
    <x v="0"/>
    <x v="0"/>
  </r>
  <r>
    <x v="6"/>
    <x v="0"/>
    <x v="2"/>
    <x v="0"/>
    <x v="0"/>
    <n v="29401.85"/>
    <x v="0"/>
    <x v="0"/>
  </r>
  <r>
    <x v="6"/>
    <x v="0"/>
    <x v="2"/>
    <x v="0"/>
    <x v="0"/>
    <n v="35499.54"/>
    <x v="0"/>
    <x v="0"/>
  </r>
  <r>
    <x v="6"/>
    <x v="0"/>
    <x v="0"/>
    <x v="0"/>
    <x v="0"/>
    <n v="8935.7"/>
    <x v="0"/>
    <x v="0"/>
  </r>
  <r>
    <x v="6"/>
    <x v="0"/>
    <x v="0"/>
    <x v="0"/>
    <x v="0"/>
    <n v="6248.42"/>
    <x v="0"/>
    <x v="0"/>
  </r>
  <r>
    <x v="6"/>
    <x v="0"/>
    <x v="2"/>
    <x v="0"/>
    <x v="0"/>
    <n v="12066.94"/>
    <x v="0"/>
    <x v="0"/>
  </r>
  <r>
    <x v="6"/>
    <x v="0"/>
    <x v="2"/>
    <x v="0"/>
    <x v="0"/>
    <n v="36977.71"/>
    <x v="0"/>
    <x v="0"/>
  </r>
  <r>
    <x v="6"/>
    <x v="0"/>
    <x v="0"/>
    <x v="0"/>
    <x v="0"/>
    <n v="5203.96"/>
    <x v="0"/>
    <x v="0"/>
  </r>
  <r>
    <x v="6"/>
    <x v="0"/>
    <x v="0"/>
    <x v="0"/>
    <x v="0"/>
    <n v="2318.74"/>
    <x v="0"/>
    <x v="0"/>
  </r>
  <r>
    <x v="6"/>
    <x v="0"/>
    <x v="2"/>
    <x v="0"/>
    <x v="0"/>
    <n v="11759.29"/>
    <x v="0"/>
    <x v="0"/>
  </r>
  <r>
    <x v="6"/>
    <x v="0"/>
    <x v="0"/>
    <x v="0"/>
    <x v="0"/>
    <n v="8632.38"/>
    <x v="0"/>
    <x v="0"/>
  </r>
  <r>
    <x v="6"/>
    <x v="0"/>
    <x v="1"/>
    <x v="0"/>
    <x v="0"/>
    <n v="957.47"/>
    <x v="0"/>
    <x v="0"/>
  </r>
  <r>
    <x v="6"/>
    <x v="0"/>
    <x v="2"/>
    <x v="0"/>
    <x v="0"/>
    <n v="10310.58"/>
    <x v="0"/>
    <x v="0"/>
  </r>
  <r>
    <x v="6"/>
    <x v="0"/>
    <x v="0"/>
    <x v="0"/>
    <x v="0"/>
    <n v="7324.56"/>
    <x v="0"/>
    <x v="0"/>
  </r>
  <r>
    <x v="6"/>
    <x v="0"/>
    <x v="2"/>
    <x v="0"/>
    <x v="0"/>
    <n v="13530.98"/>
    <x v="0"/>
    <x v="0"/>
  </r>
  <r>
    <x v="6"/>
    <x v="0"/>
    <x v="0"/>
    <x v="0"/>
    <x v="0"/>
    <n v="8072.47"/>
    <x v="0"/>
    <x v="0"/>
  </r>
  <r>
    <x v="6"/>
    <x v="0"/>
    <x v="0"/>
    <x v="0"/>
    <x v="0"/>
    <n v="4156.18"/>
    <x v="0"/>
    <x v="0"/>
  </r>
  <r>
    <x v="6"/>
    <x v="0"/>
    <x v="0"/>
    <x v="0"/>
    <x v="0"/>
    <n v="5933.77"/>
    <x v="0"/>
    <x v="0"/>
  </r>
  <r>
    <x v="6"/>
    <x v="0"/>
    <x v="0"/>
    <x v="0"/>
    <x v="0"/>
    <n v="8012.89"/>
    <x v="0"/>
    <x v="0"/>
  </r>
  <r>
    <x v="6"/>
    <x v="0"/>
    <x v="0"/>
    <x v="0"/>
    <x v="0"/>
    <n v="8384.24"/>
    <x v="0"/>
    <x v="0"/>
  </r>
  <r>
    <x v="6"/>
    <x v="0"/>
    <x v="2"/>
    <x v="0"/>
    <x v="0"/>
    <n v="15252.67"/>
    <x v="0"/>
    <x v="0"/>
  </r>
  <r>
    <x v="6"/>
    <x v="0"/>
    <x v="0"/>
    <x v="0"/>
    <x v="0"/>
    <n v="2226"/>
    <x v="0"/>
    <x v="0"/>
  </r>
  <r>
    <x v="6"/>
    <x v="1"/>
    <x v="2"/>
    <x v="0"/>
    <x v="0"/>
    <n v="61824.71"/>
    <x v="0"/>
    <x v="0"/>
  </r>
  <r>
    <x v="6"/>
    <x v="1"/>
    <x v="2"/>
    <x v="0"/>
    <x v="0"/>
    <n v="26544.65"/>
    <x v="0"/>
    <x v="0"/>
  </r>
  <r>
    <x v="6"/>
    <x v="0"/>
    <x v="0"/>
    <x v="0"/>
    <x v="0"/>
    <n v="7859.42"/>
    <x v="0"/>
    <x v="0"/>
  </r>
  <r>
    <x v="6"/>
    <x v="0"/>
    <x v="0"/>
    <x v="0"/>
    <x v="0"/>
    <n v="3051.93"/>
    <x v="0"/>
    <x v="0"/>
  </r>
  <r>
    <x v="6"/>
    <x v="0"/>
    <x v="2"/>
    <x v="0"/>
    <x v="0"/>
    <n v="18152.45"/>
    <x v="0"/>
    <x v="0"/>
  </r>
  <r>
    <x v="6"/>
    <x v="0"/>
    <x v="2"/>
    <x v="0"/>
    <x v="0"/>
    <n v="11591.3"/>
    <x v="0"/>
    <x v="0"/>
  </r>
  <r>
    <x v="6"/>
    <x v="0"/>
    <x v="2"/>
    <x v="0"/>
    <x v="0"/>
    <n v="30772.28"/>
    <x v="0"/>
    <x v="0"/>
  </r>
  <r>
    <x v="6"/>
    <x v="0"/>
    <x v="0"/>
    <x v="0"/>
    <x v="0"/>
    <n v="8971.91"/>
    <x v="0"/>
    <x v="0"/>
  </r>
  <r>
    <x v="6"/>
    <x v="0"/>
    <x v="0"/>
    <x v="0"/>
    <x v="0"/>
    <n v="8728.69"/>
    <x v="0"/>
    <x v="0"/>
  </r>
  <r>
    <x v="6"/>
    <x v="0"/>
    <x v="0"/>
    <x v="0"/>
    <x v="0"/>
    <n v="9782.98"/>
    <x v="0"/>
    <x v="0"/>
  </r>
  <r>
    <x v="6"/>
    <x v="2"/>
    <x v="2"/>
    <x v="0"/>
    <x v="0"/>
    <n v="54120.86"/>
    <x v="0"/>
    <x v="0"/>
  </r>
  <r>
    <x v="6"/>
    <x v="1"/>
    <x v="3"/>
    <x v="0"/>
    <x v="0"/>
    <n v="591002.43"/>
    <x v="0"/>
    <x v="0"/>
  </r>
  <r>
    <x v="6"/>
    <x v="0"/>
    <x v="0"/>
    <x v="0"/>
    <x v="0"/>
    <n v="2012.08"/>
    <x v="0"/>
    <x v="0"/>
  </r>
  <r>
    <x v="6"/>
    <x v="0"/>
    <x v="0"/>
    <x v="0"/>
    <x v="0"/>
    <n v="2273.35"/>
    <x v="0"/>
    <x v="0"/>
  </r>
  <r>
    <x v="6"/>
    <x v="0"/>
    <x v="0"/>
    <x v="0"/>
    <x v="0"/>
    <n v="3810.43"/>
    <x v="0"/>
    <x v="0"/>
  </r>
  <r>
    <x v="6"/>
    <x v="4"/>
    <x v="3"/>
    <x v="0"/>
    <x v="0"/>
    <n v="159441.76"/>
    <x v="0"/>
    <x v="0"/>
  </r>
  <r>
    <x v="6"/>
    <x v="4"/>
    <x v="3"/>
    <x v="0"/>
    <x v="0"/>
    <n v="109182.14"/>
    <x v="0"/>
    <x v="0"/>
  </r>
  <r>
    <x v="6"/>
    <x v="4"/>
    <x v="3"/>
    <x v="0"/>
    <x v="0"/>
    <n v="478430.17"/>
    <x v="0"/>
    <x v="0"/>
  </r>
  <r>
    <x v="6"/>
    <x v="4"/>
    <x v="2"/>
    <x v="0"/>
    <x v="0"/>
    <n v="48883.87"/>
    <x v="0"/>
    <x v="0"/>
  </r>
  <r>
    <x v="6"/>
    <x v="4"/>
    <x v="2"/>
    <x v="0"/>
    <x v="0"/>
    <n v="93766.05"/>
    <x v="0"/>
    <x v="0"/>
  </r>
  <r>
    <x v="6"/>
    <x v="4"/>
    <x v="3"/>
    <x v="0"/>
    <x v="0"/>
    <n v="367834.87"/>
    <x v="0"/>
    <x v="0"/>
  </r>
  <r>
    <x v="6"/>
    <x v="4"/>
    <x v="3"/>
    <x v="0"/>
    <x v="0"/>
    <n v="287937.99"/>
    <x v="0"/>
    <x v="0"/>
  </r>
  <r>
    <x v="6"/>
    <x v="4"/>
    <x v="2"/>
    <x v="0"/>
    <x v="0"/>
    <n v="37360"/>
    <x v="0"/>
    <x v="0"/>
  </r>
  <r>
    <x v="6"/>
    <x v="4"/>
    <x v="3"/>
    <x v="0"/>
    <x v="0"/>
    <n v="130417.04"/>
    <x v="0"/>
    <x v="0"/>
  </r>
  <r>
    <x v="6"/>
    <x v="4"/>
    <x v="3"/>
    <x v="0"/>
    <x v="0"/>
    <n v="144711.18"/>
    <x v="0"/>
    <x v="0"/>
  </r>
  <r>
    <x v="6"/>
    <x v="4"/>
    <x v="3"/>
    <x v="0"/>
    <x v="0"/>
    <n v="356514.11"/>
    <x v="0"/>
    <x v="0"/>
  </r>
  <r>
    <x v="6"/>
    <x v="4"/>
    <x v="2"/>
    <x v="0"/>
    <x v="0"/>
    <n v="69970.41"/>
    <x v="0"/>
    <x v="0"/>
  </r>
  <r>
    <x v="6"/>
    <x v="4"/>
    <x v="3"/>
    <x v="0"/>
    <x v="0"/>
    <n v="310052.3"/>
    <x v="0"/>
    <x v="0"/>
  </r>
  <r>
    <x v="6"/>
    <x v="4"/>
    <x v="3"/>
    <x v="0"/>
    <x v="0"/>
    <n v="193934.43"/>
    <x v="0"/>
    <x v="0"/>
  </r>
  <r>
    <x v="6"/>
    <x v="4"/>
    <x v="0"/>
    <x v="0"/>
    <x v="0"/>
    <n v="3414.74"/>
    <x v="0"/>
    <x v="0"/>
  </r>
  <r>
    <x v="6"/>
    <x v="4"/>
    <x v="3"/>
    <x v="0"/>
    <x v="0"/>
    <n v="111325.33"/>
    <x v="0"/>
    <x v="0"/>
  </r>
  <r>
    <x v="6"/>
    <x v="4"/>
    <x v="3"/>
    <x v="0"/>
    <x v="0"/>
    <n v="405114.48"/>
    <x v="0"/>
    <x v="0"/>
  </r>
  <r>
    <x v="6"/>
    <x v="4"/>
    <x v="3"/>
    <x v="0"/>
    <x v="0"/>
    <n v="255660.11"/>
    <x v="0"/>
    <x v="0"/>
  </r>
  <r>
    <x v="6"/>
    <x v="4"/>
    <x v="3"/>
    <x v="0"/>
    <x v="0"/>
    <n v="155673.42"/>
    <x v="0"/>
    <x v="0"/>
  </r>
  <r>
    <x v="6"/>
    <x v="4"/>
    <x v="2"/>
    <x v="0"/>
    <x v="0"/>
    <n v="29679.97"/>
    <x v="0"/>
    <x v="0"/>
  </r>
  <r>
    <x v="6"/>
    <x v="4"/>
    <x v="2"/>
    <x v="0"/>
    <x v="0"/>
    <n v="33516.07"/>
    <x v="0"/>
    <x v="0"/>
  </r>
  <r>
    <x v="6"/>
    <x v="4"/>
    <x v="2"/>
    <x v="0"/>
    <x v="0"/>
    <n v="13795.35"/>
    <x v="0"/>
    <x v="0"/>
  </r>
  <r>
    <x v="6"/>
    <x v="4"/>
    <x v="2"/>
    <x v="0"/>
    <x v="0"/>
    <n v="50785.92"/>
    <x v="0"/>
    <x v="0"/>
  </r>
  <r>
    <x v="6"/>
    <x v="0"/>
    <x v="1"/>
    <x v="0"/>
    <x v="0"/>
    <n v="270.88"/>
    <x v="0"/>
    <x v="0"/>
  </r>
  <r>
    <x v="6"/>
    <x v="1"/>
    <x v="3"/>
    <x v="0"/>
    <x v="0"/>
    <n v="529611.71"/>
    <x v="0"/>
    <x v="0"/>
  </r>
  <r>
    <x v="6"/>
    <x v="0"/>
    <x v="1"/>
    <x v="0"/>
    <x v="0"/>
    <n v="295.31"/>
    <x v="0"/>
    <x v="0"/>
  </r>
  <r>
    <x v="6"/>
    <x v="2"/>
    <x v="3"/>
    <x v="0"/>
    <x v="0"/>
    <n v="302788.52"/>
    <x v="0"/>
    <x v="0"/>
  </r>
  <r>
    <x v="6"/>
    <x v="0"/>
    <x v="0"/>
    <x v="0"/>
    <x v="0"/>
    <n v="4536.73"/>
    <x v="0"/>
    <x v="0"/>
  </r>
  <r>
    <x v="6"/>
    <x v="0"/>
    <x v="0"/>
    <x v="0"/>
    <x v="0"/>
    <n v="7481.86"/>
    <x v="0"/>
    <x v="0"/>
  </r>
  <r>
    <x v="6"/>
    <x v="0"/>
    <x v="1"/>
    <x v="0"/>
    <x v="0"/>
    <n v="584.62"/>
    <x v="0"/>
    <x v="0"/>
  </r>
  <r>
    <x v="6"/>
    <x v="2"/>
    <x v="3"/>
    <x v="0"/>
    <x v="0"/>
    <n v="371574.2"/>
    <x v="0"/>
    <x v="0"/>
  </r>
  <r>
    <x v="6"/>
    <x v="0"/>
    <x v="0"/>
    <x v="0"/>
    <x v="0"/>
    <n v="1088.75"/>
    <x v="0"/>
    <x v="0"/>
  </r>
  <r>
    <x v="6"/>
    <x v="3"/>
    <x v="0"/>
    <x v="0"/>
    <x v="0"/>
    <n v="1411.62"/>
    <x v="0"/>
    <x v="0"/>
  </r>
  <r>
    <x v="6"/>
    <x v="0"/>
    <x v="1"/>
    <x v="0"/>
    <x v="0"/>
    <n v="922.93"/>
    <x v="0"/>
    <x v="0"/>
  </r>
  <r>
    <x v="6"/>
    <x v="0"/>
    <x v="2"/>
    <x v="0"/>
    <x v="0"/>
    <n v="14290.67"/>
    <x v="0"/>
    <x v="0"/>
  </r>
  <r>
    <x v="6"/>
    <x v="0"/>
    <x v="0"/>
    <x v="0"/>
    <x v="0"/>
    <n v="6876.93"/>
    <x v="0"/>
    <x v="0"/>
  </r>
  <r>
    <x v="6"/>
    <x v="0"/>
    <x v="0"/>
    <x v="0"/>
    <x v="0"/>
    <n v="7669.67"/>
    <x v="0"/>
    <x v="0"/>
  </r>
  <r>
    <x v="6"/>
    <x v="0"/>
    <x v="1"/>
    <x v="0"/>
    <x v="0"/>
    <n v="19.06"/>
    <x v="0"/>
    <x v="0"/>
  </r>
  <r>
    <x v="6"/>
    <x v="0"/>
    <x v="0"/>
    <x v="0"/>
    <x v="0"/>
    <n v="3123.29"/>
    <x v="0"/>
    <x v="0"/>
  </r>
  <r>
    <x v="6"/>
    <x v="1"/>
    <x v="3"/>
    <x v="0"/>
    <x v="0"/>
    <n v="388950.76"/>
    <x v="0"/>
    <x v="0"/>
  </r>
  <r>
    <x v="6"/>
    <x v="0"/>
    <x v="2"/>
    <x v="0"/>
    <x v="0"/>
    <n v="13439.35"/>
    <x v="0"/>
    <x v="0"/>
  </r>
  <r>
    <x v="6"/>
    <x v="3"/>
    <x v="0"/>
    <x v="0"/>
    <x v="0"/>
    <n v="6508.96"/>
    <x v="0"/>
    <x v="0"/>
  </r>
  <r>
    <x v="6"/>
    <x v="0"/>
    <x v="2"/>
    <x v="0"/>
    <x v="0"/>
    <n v="10751.65"/>
    <x v="0"/>
    <x v="0"/>
  </r>
  <r>
    <x v="6"/>
    <x v="0"/>
    <x v="0"/>
    <x v="0"/>
    <x v="0"/>
    <n v="3772.29"/>
    <x v="0"/>
    <x v="0"/>
  </r>
  <r>
    <x v="6"/>
    <x v="0"/>
    <x v="2"/>
    <x v="0"/>
    <x v="0"/>
    <n v="26470.27"/>
    <x v="0"/>
    <x v="0"/>
  </r>
  <r>
    <x v="6"/>
    <x v="0"/>
    <x v="0"/>
    <x v="0"/>
    <x v="0"/>
    <n v="8609.96"/>
    <x v="0"/>
    <x v="0"/>
  </r>
  <r>
    <x v="6"/>
    <x v="0"/>
    <x v="0"/>
    <x v="0"/>
    <x v="0"/>
    <n v="3090.43"/>
    <x v="0"/>
    <x v="0"/>
  </r>
  <r>
    <x v="6"/>
    <x v="0"/>
    <x v="0"/>
    <x v="0"/>
    <x v="0"/>
    <n v="4605.97"/>
    <x v="0"/>
    <x v="0"/>
  </r>
  <r>
    <x v="6"/>
    <x v="0"/>
    <x v="0"/>
    <x v="0"/>
    <x v="0"/>
    <n v="5664.36"/>
    <x v="0"/>
    <x v="0"/>
  </r>
  <r>
    <x v="6"/>
    <x v="0"/>
    <x v="0"/>
    <x v="0"/>
    <x v="0"/>
    <n v="7510.32"/>
    <x v="0"/>
    <x v="0"/>
  </r>
  <r>
    <x v="6"/>
    <x v="0"/>
    <x v="0"/>
    <x v="0"/>
    <x v="0"/>
    <n v="6132.71"/>
    <x v="0"/>
    <x v="0"/>
  </r>
  <r>
    <x v="6"/>
    <x v="0"/>
    <x v="0"/>
    <x v="0"/>
    <x v="0"/>
    <n v="4841.21"/>
    <x v="0"/>
    <x v="0"/>
  </r>
  <r>
    <x v="6"/>
    <x v="0"/>
    <x v="2"/>
    <x v="0"/>
    <x v="0"/>
    <n v="13019.49"/>
    <x v="0"/>
    <x v="0"/>
  </r>
  <r>
    <x v="6"/>
    <x v="0"/>
    <x v="2"/>
    <x v="0"/>
    <x v="0"/>
    <n v="15430"/>
    <x v="0"/>
    <x v="0"/>
  </r>
  <r>
    <x v="6"/>
    <x v="0"/>
    <x v="2"/>
    <x v="0"/>
    <x v="0"/>
    <n v="16751.47"/>
    <x v="0"/>
    <x v="0"/>
  </r>
  <r>
    <x v="6"/>
    <x v="0"/>
    <x v="1"/>
    <x v="0"/>
    <x v="0"/>
    <n v="411.33"/>
    <x v="0"/>
    <x v="0"/>
  </r>
  <r>
    <x v="6"/>
    <x v="0"/>
    <x v="2"/>
    <x v="0"/>
    <x v="0"/>
    <n v="14688.56"/>
    <x v="0"/>
    <x v="0"/>
  </r>
  <r>
    <x v="6"/>
    <x v="0"/>
    <x v="0"/>
    <x v="0"/>
    <x v="0"/>
    <n v="1770.69"/>
    <x v="0"/>
    <x v="0"/>
  </r>
  <r>
    <x v="6"/>
    <x v="0"/>
    <x v="0"/>
    <x v="0"/>
    <x v="0"/>
    <n v="8782.04"/>
    <x v="0"/>
    <x v="0"/>
  </r>
  <r>
    <x v="6"/>
    <x v="0"/>
    <x v="0"/>
    <x v="0"/>
    <x v="0"/>
    <n v="8471.49"/>
    <x v="0"/>
    <x v="0"/>
  </r>
  <r>
    <x v="6"/>
    <x v="0"/>
    <x v="2"/>
    <x v="0"/>
    <x v="0"/>
    <n v="34061.71"/>
    <x v="0"/>
    <x v="0"/>
  </r>
  <r>
    <x v="6"/>
    <x v="0"/>
    <x v="2"/>
    <x v="0"/>
    <x v="0"/>
    <n v="10386.18"/>
    <x v="0"/>
    <x v="0"/>
  </r>
  <r>
    <x v="6"/>
    <x v="0"/>
    <x v="2"/>
    <x v="0"/>
    <x v="0"/>
    <n v="18068.4"/>
    <x v="0"/>
    <x v="0"/>
  </r>
  <r>
    <x v="6"/>
    <x v="0"/>
    <x v="0"/>
    <x v="0"/>
    <x v="0"/>
    <n v="6185.97"/>
    <x v="0"/>
    <x v="0"/>
  </r>
  <r>
    <x v="6"/>
    <x v="0"/>
    <x v="2"/>
    <x v="0"/>
    <x v="0"/>
    <n v="14503.64"/>
    <x v="0"/>
    <x v="0"/>
  </r>
  <r>
    <x v="6"/>
    <x v="0"/>
    <x v="0"/>
    <x v="0"/>
    <x v="0"/>
    <n v="9665.85"/>
    <x v="0"/>
    <x v="0"/>
  </r>
  <r>
    <x v="6"/>
    <x v="0"/>
    <x v="1"/>
    <x v="0"/>
    <x v="0"/>
    <n v="309.12"/>
    <x v="0"/>
    <x v="0"/>
  </r>
  <r>
    <x v="6"/>
    <x v="0"/>
    <x v="2"/>
    <x v="0"/>
    <x v="0"/>
    <n v="17320.1"/>
    <x v="0"/>
    <x v="0"/>
  </r>
  <r>
    <x v="6"/>
    <x v="0"/>
    <x v="2"/>
    <x v="0"/>
    <x v="0"/>
    <n v="12073.8"/>
    <x v="0"/>
    <x v="0"/>
  </r>
  <r>
    <x v="6"/>
    <x v="0"/>
    <x v="1"/>
    <x v="0"/>
    <x v="0"/>
    <n v="142.36"/>
    <x v="0"/>
    <x v="0"/>
  </r>
  <r>
    <x v="6"/>
    <x v="0"/>
    <x v="0"/>
    <x v="0"/>
    <x v="0"/>
    <n v="2885.37"/>
    <x v="0"/>
    <x v="0"/>
  </r>
  <r>
    <x v="6"/>
    <x v="0"/>
    <x v="0"/>
    <x v="0"/>
    <x v="0"/>
    <n v="1058.74"/>
    <x v="0"/>
    <x v="0"/>
  </r>
  <r>
    <x v="6"/>
    <x v="2"/>
    <x v="2"/>
    <x v="0"/>
    <x v="0"/>
    <n v="44762.67"/>
    <x v="0"/>
    <x v="0"/>
  </r>
  <r>
    <x v="6"/>
    <x v="0"/>
    <x v="0"/>
    <x v="0"/>
    <x v="0"/>
    <n v="9208.1"/>
    <x v="0"/>
    <x v="0"/>
  </r>
  <r>
    <x v="6"/>
    <x v="0"/>
    <x v="0"/>
    <x v="0"/>
    <x v="0"/>
    <n v="8690.52"/>
    <x v="0"/>
    <x v="0"/>
  </r>
  <r>
    <x v="6"/>
    <x v="0"/>
    <x v="2"/>
    <x v="0"/>
    <x v="0"/>
    <n v="12999.83"/>
    <x v="0"/>
    <x v="0"/>
  </r>
  <r>
    <x v="6"/>
    <x v="0"/>
    <x v="2"/>
    <x v="0"/>
    <x v="0"/>
    <n v="16898.93"/>
    <x v="0"/>
    <x v="0"/>
  </r>
  <r>
    <x v="6"/>
    <x v="0"/>
    <x v="0"/>
    <x v="0"/>
    <x v="0"/>
    <n v="2212.69"/>
    <x v="0"/>
    <x v="0"/>
  </r>
  <r>
    <x v="6"/>
    <x v="0"/>
    <x v="0"/>
    <x v="0"/>
    <x v="0"/>
    <n v="7388.49"/>
    <x v="0"/>
    <x v="0"/>
  </r>
  <r>
    <x v="6"/>
    <x v="0"/>
    <x v="0"/>
    <x v="0"/>
    <x v="0"/>
    <n v="6488.26"/>
    <x v="0"/>
    <x v="0"/>
  </r>
  <r>
    <x v="6"/>
    <x v="4"/>
    <x v="3"/>
    <x v="0"/>
    <x v="0"/>
    <n v="152896.27"/>
    <x v="0"/>
    <x v="0"/>
  </r>
  <r>
    <x v="6"/>
    <x v="0"/>
    <x v="0"/>
    <x v="0"/>
    <x v="0"/>
    <n v="2134.97"/>
    <x v="0"/>
    <x v="0"/>
  </r>
  <r>
    <x v="6"/>
    <x v="0"/>
    <x v="0"/>
    <x v="0"/>
    <x v="0"/>
    <n v="6913.08"/>
    <x v="0"/>
    <x v="0"/>
  </r>
  <r>
    <x v="6"/>
    <x v="0"/>
    <x v="0"/>
    <x v="0"/>
    <x v="0"/>
    <n v="6650.58"/>
    <x v="0"/>
    <x v="0"/>
  </r>
  <r>
    <x v="6"/>
    <x v="0"/>
    <x v="2"/>
    <x v="0"/>
    <x v="0"/>
    <n v="14995.9"/>
    <x v="0"/>
    <x v="0"/>
  </r>
  <r>
    <x v="6"/>
    <x v="0"/>
    <x v="2"/>
    <x v="0"/>
    <x v="0"/>
    <n v="39000.87"/>
    <x v="0"/>
    <x v="0"/>
  </r>
  <r>
    <x v="6"/>
    <x v="1"/>
    <x v="3"/>
    <x v="0"/>
    <x v="0"/>
    <n v="528622.86"/>
    <x v="0"/>
    <x v="0"/>
  </r>
  <r>
    <x v="6"/>
    <x v="0"/>
    <x v="0"/>
    <x v="0"/>
    <x v="0"/>
    <n v="1089.98"/>
    <x v="0"/>
    <x v="0"/>
  </r>
  <r>
    <x v="6"/>
    <x v="0"/>
    <x v="2"/>
    <x v="0"/>
    <x v="0"/>
    <n v="10526.04"/>
    <x v="0"/>
    <x v="0"/>
  </r>
  <r>
    <x v="6"/>
    <x v="0"/>
    <x v="2"/>
    <x v="0"/>
    <x v="0"/>
    <n v="11178.56"/>
    <x v="0"/>
    <x v="0"/>
  </r>
  <r>
    <x v="6"/>
    <x v="0"/>
    <x v="2"/>
    <x v="0"/>
    <x v="0"/>
    <n v="10808.71"/>
    <x v="0"/>
    <x v="0"/>
  </r>
  <r>
    <x v="6"/>
    <x v="0"/>
    <x v="2"/>
    <x v="0"/>
    <x v="0"/>
    <n v="15527.03"/>
    <x v="0"/>
    <x v="0"/>
  </r>
  <r>
    <x v="6"/>
    <x v="2"/>
    <x v="3"/>
    <x v="0"/>
    <x v="0"/>
    <n v="125132"/>
    <x v="0"/>
    <x v="0"/>
  </r>
  <r>
    <x v="6"/>
    <x v="0"/>
    <x v="0"/>
    <x v="0"/>
    <x v="0"/>
    <n v="4461.48"/>
    <x v="0"/>
    <x v="0"/>
  </r>
  <r>
    <x v="6"/>
    <x v="0"/>
    <x v="0"/>
    <x v="0"/>
    <x v="0"/>
    <n v="3702.39"/>
    <x v="0"/>
    <x v="0"/>
  </r>
  <r>
    <x v="6"/>
    <x v="0"/>
    <x v="1"/>
    <x v="0"/>
    <x v="0"/>
    <n v="393.7"/>
    <x v="0"/>
    <x v="0"/>
  </r>
  <r>
    <x v="6"/>
    <x v="0"/>
    <x v="1"/>
    <x v="0"/>
    <x v="0"/>
    <n v="804.71"/>
    <x v="0"/>
    <x v="0"/>
  </r>
  <r>
    <x v="6"/>
    <x v="0"/>
    <x v="0"/>
    <x v="0"/>
    <x v="0"/>
    <n v="2518.79"/>
    <x v="0"/>
    <x v="0"/>
  </r>
  <r>
    <x v="6"/>
    <x v="0"/>
    <x v="0"/>
    <x v="0"/>
    <x v="0"/>
    <n v="2136"/>
    <x v="0"/>
    <x v="0"/>
  </r>
  <r>
    <x v="6"/>
    <x v="0"/>
    <x v="0"/>
    <x v="0"/>
    <x v="0"/>
    <n v="2066.04"/>
    <x v="0"/>
    <x v="0"/>
  </r>
  <r>
    <x v="6"/>
    <x v="0"/>
    <x v="0"/>
    <x v="0"/>
    <x v="0"/>
    <n v="2239.6"/>
    <x v="0"/>
    <x v="0"/>
  </r>
  <r>
    <x v="6"/>
    <x v="0"/>
    <x v="0"/>
    <x v="0"/>
    <x v="0"/>
    <n v="5704.64"/>
    <x v="0"/>
    <x v="0"/>
  </r>
  <r>
    <x v="6"/>
    <x v="1"/>
    <x v="3"/>
    <x v="0"/>
    <x v="0"/>
    <n v="238567.79"/>
    <x v="0"/>
    <x v="0"/>
  </r>
  <r>
    <x v="6"/>
    <x v="0"/>
    <x v="0"/>
    <x v="0"/>
    <x v="0"/>
    <n v="4180.78"/>
    <x v="0"/>
    <x v="0"/>
  </r>
  <r>
    <x v="6"/>
    <x v="0"/>
    <x v="0"/>
    <x v="0"/>
    <x v="0"/>
    <n v="7928.7"/>
    <x v="0"/>
    <x v="0"/>
  </r>
  <r>
    <x v="6"/>
    <x v="0"/>
    <x v="0"/>
    <x v="0"/>
    <x v="0"/>
    <n v="6504.7"/>
    <x v="0"/>
    <x v="0"/>
  </r>
  <r>
    <x v="6"/>
    <x v="0"/>
    <x v="0"/>
    <x v="0"/>
    <x v="0"/>
    <n v="1155.58"/>
    <x v="0"/>
    <x v="0"/>
  </r>
  <r>
    <x v="6"/>
    <x v="0"/>
    <x v="1"/>
    <x v="0"/>
    <x v="0"/>
    <n v="408.24"/>
    <x v="0"/>
    <x v="0"/>
  </r>
  <r>
    <x v="6"/>
    <x v="0"/>
    <x v="0"/>
    <x v="0"/>
    <x v="0"/>
    <n v="1028.41"/>
    <x v="0"/>
    <x v="0"/>
  </r>
  <r>
    <x v="6"/>
    <x v="1"/>
    <x v="3"/>
    <x v="0"/>
    <x v="0"/>
    <n v="514977.05"/>
    <x v="0"/>
    <x v="0"/>
  </r>
  <r>
    <x v="6"/>
    <x v="0"/>
    <x v="0"/>
    <x v="0"/>
    <x v="0"/>
    <n v="4527.22"/>
    <x v="0"/>
    <x v="0"/>
  </r>
  <r>
    <x v="6"/>
    <x v="0"/>
    <x v="1"/>
    <x v="0"/>
    <x v="0"/>
    <n v="575.79"/>
    <x v="0"/>
    <x v="0"/>
  </r>
  <r>
    <x v="6"/>
    <x v="2"/>
    <x v="3"/>
    <x v="0"/>
    <x v="0"/>
    <n v="183406.12"/>
    <x v="0"/>
    <x v="0"/>
  </r>
  <r>
    <x v="6"/>
    <x v="2"/>
    <x v="2"/>
    <x v="0"/>
    <x v="0"/>
    <n v="41829.08"/>
    <x v="0"/>
    <x v="0"/>
  </r>
  <r>
    <x v="6"/>
    <x v="4"/>
    <x v="3"/>
    <x v="0"/>
    <x v="0"/>
    <n v="289222.51"/>
    <x v="0"/>
    <x v="0"/>
  </r>
  <r>
    <x v="6"/>
    <x v="1"/>
    <x v="4"/>
    <x v="0"/>
    <x v="0"/>
    <n v="1656720.92"/>
    <x v="0"/>
    <x v="0"/>
  </r>
  <r>
    <x v="6"/>
    <x v="1"/>
    <x v="3"/>
    <x v="0"/>
    <x v="0"/>
    <n v="617735.13"/>
    <x v="0"/>
    <x v="0"/>
  </r>
  <r>
    <x v="6"/>
    <x v="1"/>
    <x v="4"/>
    <x v="0"/>
    <x v="0"/>
    <n v="2940764.72"/>
    <x v="0"/>
    <x v="0"/>
  </r>
  <r>
    <x v="6"/>
    <x v="1"/>
    <x v="4"/>
    <x v="0"/>
    <x v="0"/>
    <n v="1575365.68"/>
    <x v="0"/>
    <x v="0"/>
  </r>
  <r>
    <x v="6"/>
    <x v="1"/>
    <x v="3"/>
    <x v="0"/>
    <x v="0"/>
    <n v="243525.21"/>
    <x v="0"/>
    <x v="0"/>
  </r>
  <r>
    <x v="6"/>
    <x v="1"/>
    <x v="3"/>
    <x v="0"/>
    <x v="0"/>
    <n v="939538.85"/>
    <x v="0"/>
    <x v="0"/>
  </r>
  <r>
    <x v="6"/>
    <x v="1"/>
    <x v="4"/>
    <x v="0"/>
    <x v="0"/>
    <n v="1055284.91"/>
    <x v="0"/>
    <x v="0"/>
  </r>
  <r>
    <x v="6"/>
    <x v="1"/>
    <x v="3"/>
    <x v="0"/>
    <x v="0"/>
    <n v="187429.05"/>
    <x v="0"/>
    <x v="0"/>
  </r>
  <r>
    <x v="6"/>
    <x v="1"/>
    <x v="3"/>
    <x v="0"/>
    <x v="0"/>
    <n v="453233.63"/>
    <x v="0"/>
    <x v="0"/>
  </r>
  <r>
    <x v="6"/>
    <x v="1"/>
    <x v="3"/>
    <x v="0"/>
    <x v="0"/>
    <n v="127408.65"/>
    <x v="0"/>
    <x v="0"/>
  </r>
  <r>
    <x v="6"/>
    <x v="1"/>
    <x v="3"/>
    <x v="0"/>
    <x v="0"/>
    <n v="570796.52"/>
    <x v="0"/>
    <x v="0"/>
  </r>
  <r>
    <x v="6"/>
    <x v="1"/>
    <x v="3"/>
    <x v="0"/>
    <x v="0"/>
    <n v="111913.25"/>
    <x v="0"/>
    <x v="0"/>
  </r>
  <r>
    <x v="6"/>
    <x v="1"/>
    <x v="3"/>
    <x v="0"/>
    <x v="0"/>
    <n v="462678.47"/>
    <x v="0"/>
    <x v="0"/>
  </r>
  <r>
    <x v="6"/>
    <x v="1"/>
    <x v="2"/>
    <x v="0"/>
    <x v="0"/>
    <n v="16657.05"/>
    <x v="0"/>
    <x v="0"/>
  </r>
  <r>
    <x v="6"/>
    <x v="1"/>
    <x v="2"/>
    <x v="0"/>
    <x v="0"/>
    <n v="97708.32"/>
    <x v="0"/>
    <x v="0"/>
  </r>
  <r>
    <x v="6"/>
    <x v="1"/>
    <x v="2"/>
    <x v="0"/>
    <x v="0"/>
    <n v="37636.22"/>
    <x v="0"/>
    <x v="0"/>
  </r>
  <r>
    <x v="6"/>
    <x v="1"/>
    <x v="3"/>
    <x v="0"/>
    <x v="0"/>
    <n v="253411.19"/>
    <x v="0"/>
    <x v="0"/>
  </r>
  <r>
    <x v="6"/>
    <x v="1"/>
    <x v="3"/>
    <x v="0"/>
    <x v="0"/>
    <n v="134662.68"/>
    <x v="0"/>
    <x v="0"/>
  </r>
  <r>
    <x v="6"/>
    <x v="1"/>
    <x v="3"/>
    <x v="0"/>
    <x v="0"/>
    <n v="156273.53"/>
    <x v="0"/>
    <x v="0"/>
  </r>
  <r>
    <x v="6"/>
    <x v="1"/>
    <x v="2"/>
    <x v="0"/>
    <x v="0"/>
    <n v="85304.05"/>
    <x v="0"/>
    <x v="0"/>
  </r>
  <r>
    <x v="6"/>
    <x v="1"/>
    <x v="2"/>
    <x v="0"/>
    <x v="0"/>
    <n v="81678.71"/>
    <x v="0"/>
    <x v="0"/>
  </r>
  <r>
    <x v="6"/>
    <x v="1"/>
    <x v="2"/>
    <x v="0"/>
    <x v="0"/>
    <n v="88189.43"/>
    <x v="0"/>
    <x v="0"/>
  </r>
  <r>
    <x v="6"/>
    <x v="1"/>
    <x v="2"/>
    <x v="0"/>
    <x v="0"/>
    <n v="95178.13"/>
    <x v="0"/>
    <x v="0"/>
  </r>
  <r>
    <x v="6"/>
    <x v="0"/>
    <x v="0"/>
    <x v="0"/>
    <x v="0"/>
    <n v="7785.98"/>
    <x v="0"/>
    <x v="0"/>
  </r>
  <r>
    <x v="6"/>
    <x v="2"/>
    <x v="3"/>
    <x v="0"/>
    <x v="0"/>
    <n v="150955.19"/>
    <x v="0"/>
    <x v="0"/>
  </r>
  <r>
    <x v="6"/>
    <x v="0"/>
    <x v="0"/>
    <x v="0"/>
    <x v="0"/>
    <n v="3228.14"/>
    <x v="0"/>
    <x v="0"/>
  </r>
  <r>
    <x v="6"/>
    <x v="0"/>
    <x v="2"/>
    <x v="0"/>
    <x v="0"/>
    <n v="18106.63"/>
    <x v="0"/>
    <x v="0"/>
  </r>
  <r>
    <x v="6"/>
    <x v="0"/>
    <x v="2"/>
    <x v="0"/>
    <x v="0"/>
    <n v="12255.05"/>
    <x v="0"/>
    <x v="0"/>
  </r>
  <r>
    <x v="6"/>
    <x v="0"/>
    <x v="0"/>
    <x v="0"/>
    <x v="0"/>
    <n v="2686.38"/>
    <x v="0"/>
    <x v="0"/>
  </r>
  <r>
    <x v="6"/>
    <x v="0"/>
    <x v="0"/>
    <x v="0"/>
    <x v="0"/>
    <n v="9118"/>
    <x v="0"/>
    <x v="0"/>
  </r>
  <r>
    <x v="6"/>
    <x v="3"/>
    <x v="1"/>
    <x v="0"/>
    <x v="0"/>
    <n v="394.24"/>
    <x v="0"/>
    <x v="0"/>
  </r>
  <r>
    <x v="6"/>
    <x v="1"/>
    <x v="3"/>
    <x v="0"/>
    <x v="0"/>
    <n v="703911.36"/>
    <x v="0"/>
    <x v="0"/>
  </r>
  <r>
    <x v="6"/>
    <x v="0"/>
    <x v="2"/>
    <x v="0"/>
    <x v="0"/>
    <n v="12923.2"/>
    <x v="0"/>
    <x v="0"/>
  </r>
  <r>
    <x v="6"/>
    <x v="0"/>
    <x v="0"/>
    <x v="0"/>
    <x v="0"/>
    <n v="4732.25"/>
    <x v="0"/>
    <x v="0"/>
  </r>
  <r>
    <x v="6"/>
    <x v="0"/>
    <x v="0"/>
    <x v="0"/>
    <x v="0"/>
    <n v="8414.06"/>
    <x v="0"/>
    <x v="0"/>
  </r>
  <r>
    <x v="6"/>
    <x v="0"/>
    <x v="0"/>
    <x v="0"/>
    <x v="0"/>
    <n v="7283.63"/>
    <x v="0"/>
    <x v="0"/>
  </r>
  <r>
    <x v="6"/>
    <x v="1"/>
    <x v="4"/>
    <x v="0"/>
    <x v="0"/>
    <n v="1379628.76"/>
    <x v="0"/>
    <x v="0"/>
  </r>
  <r>
    <x v="6"/>
    <x v="1"/>
    <x v="3"/>
    <x v="0"/>
    <x v="0"/>
    <n v="492198.86"/>
    <x v="0"/>
    <x v="0"/>
  </r>
  <r>
    <x v="6"/>
    <x v="0"/>
    <x v="0"/>
    <x v="0"/>
    <x v="0"/>
    <n v="3212.49"/>
    <x v="0"/>
    <x v="0"/>
  </r>
  <r>
    <x v="6"/>
    <x v="0"/>
    <x v="0"/>
    <x v="0"/>
    <x v="0"/>
    <n v="1730.73"/>
    <x v="0"/>
    <x v="0"/>
  </r>
  <r>
    <x v="6"/>
    <x v="0"/>
    <x v="0"/>
    <x v="0"/>
    <x v="0"/>
    <n v="3046.56"/>
    <x v="0"/>
    <x v="0"/>
  </r>
  <r>
    <x v="6"/>
    <x v="2"/>
    <x v="2"/>
    <x v="0"/>
    <x v="0"/>
    <n v="92589.97"/>
    <x v="0"/>
    <x v="0"/>
  </r>
  <r>
    <x v="6"/>
    <x v="0"/>
    <x v="0"/>
    <x v="0"/>
    <x v="0"/>
    <n v="4483.02"/>
    <x v="0"/>
    <x v="0"/>
  </r>
  <r>
    <x v="6"/>
    <x v="2"/>
    <x v="2"/>
    <x v="0"/>
    <x v="0"/>
    <n v="42055.67"/>
    <x v="0"/>
    <x v="0"/>
  </r>
  <r>
    <x v="6"/>
    <x v="2"/>
    <x v="3"/>
    <x v="0"/>
    <x v="0"/>
    <n v="261230.56"/>
    <x v="0"/>
    <x v="0"/>
  </r>
  <r>
    <x v="6"/>
    <x v="2"/>
    <x v="2"/>
    <x v="0"/>
    <x v="0"/>
    <n v="35447.66"/>
    <x v="0"/>
    <x v="0"/>
  </r>
  <r>
    <x v="6"/>
    <x v="2"/>
    <x v="2"/>
    <x v="0"/>
    <x v="0"/>
    <n v="43721.63"/>
    <x v="0"/>
    <x v="0"/>
  </r>
  <r>
    <x v="6"/>
    <x v="2"/>
    <x v="3"/>
    <x v="0"/>
    <x v="0"/>
    <n v="175230.37"/>
    <x v="0"/>
    <x v="0"/>
  </r>
  <r>
    <x v="6"/>
    <x v="2"/>
    <x v="3"/>
    <x v="0"/>
    <x v="0"/>
    <n v="137197.06"/>
    <x v="0"/>
    <x v="0"/>
  </r>
  <r>
    <x v="6"/>
    <x v="2"/>
    <x v="3"/>
    <x v="0"/>
    <x v="0"/>
    <n v="268149.38"/>
    <x v="0"/>
    <x v="0"/>
  </r>
  <r>
    <x v="6"/>
    <x v="2"/>
    <x v="3"/>
    <x v="0"/>
    <x v="0"/>
    <n v="285134.78"/>
    <x v="0"/>
    <x v="0"/>
  </r>
  <r>
    <x v="6"/>
    <x v="2"/>
    <x v="3"/>
    <x v="0"/>
    <x v="0"/>
    <n v="136032.35"/>
    <x v="0"/>
    <x v="0"/>
  </r>
  <r>
    <x v="6"/>
    <x v="2"/>
    <x v="3"/>
    <x v="0"/>
    <x v="0"/>
    <n v="258307.33"/>
    <x v="0"/>
    <x v="0"/>
  </r>
  <r>
    <x v="6"/>
    <x v="2"/>
    <x v="3"/>
    <x v="0"/>
    <x v="0"/>
    <n v="239049.7"/>
    <x v="0"/>
    <x v="0"/>
  </r>
  <r>
    <x v="6"/>
    <x v="2"/>
    <x v="3"/>
    <x v="0"/>
    <x v="0"/>
    <n v="211326.73"/>
    <x v="0"/>
    <x v="0"/>
  </r>
  <r>
    <x v="6"/>
    <x v="2"/>
    <x v="3"/>
    <x v="0"/>
    <x v="0"/>
    <n v="151095.37"/>
    <x v="0"/>
    <x v="0"/>
  </r>
  <r>
    <x v="6"/>
    <x v="2"/>
    <x v="2"/>
    <x v="0"/>
    <x v="0"/>
    <n v="69844.46"/>
    <x v="0"/>
    <x v="0"/>
  </r>
  <r>
    <x v="6"/>
    <x v="2"/>
    <x v="2"/>
    <x v="0"/>
    <x v="0"/>
    <n v="31980.86"/>
    <x v="0"/>
    <x v="0"/>
  </r>
  <r>
    <x v="6"/>
    <x v="2"/>
    <x v="3"/>
    <x v="0"/>
    <x v="0"/>
    <n v="226443.9"/>
    <x v="0"/>
    <x v="0"/>
  </r>
  <r>
    <x v="6"/>
    <x v="2"/>
    <x v="3"/>
    <x v="0"/>
    <x v="0"/>
    <n v="122859.05"/>
    <x v="0"/>
    <x v="0"/>
  </r>
  <r>
    <x v="6"/>
    <x v="2"/>
    <x v="2"/>
    <x v="0"/>
    <x v="0"/>
    <n v="38040.24"/>
    <x v="0"/>
    <x v="0"/>
  </r>
  <r>
    <x v="6"/>
    <x v="2"/>
    <x v="2"/>
    <x v="0"/>
    <x v="0"/>
    <n v="30030.44"/>
    <x v="0"/>
    <x v="0"/>
  </r>
  <r>
    <x v="6"/>
    <x v="2"/>
    <x v="3"/>
    <x v="0"/>
    <x v="0"/>
    <n v="133897.63"/>
    <x v="0"/>
    <x v="0"/>
  </r>
  <r>
    <x v="6"/>
    <x v="2"/>
    <x v="2"/>
    <x v="0"/>
    <x v="0"/>
    <n v="29066.84"/>
    <x v="0"/>
    <x v="0"/>
  </r>
  <r>
    <x v="6"/>
    <x v="2"/>
    <x v="3"/>
    <x v="0"/>
    <x v="0"/>
    <n v="344693.57"/>
    <x v="0"/>
    <x v="0"/>
  </r>
  <r>
    <x v="6"/>
    <x v="2"/>
    <x v="3"/>
    <x v="0"/>
    <x v="0"/>
    <n v="141623.72"/>
    <x v="0"/>
    <x v="0"/>
  </r>
  <r>
    <x v="6"/>
    <x v="2"/>
    <x v="3"/>
    <x v="0"/>
    <x v="0"/>
    <n v="235427.33"/>
    <x v="0"/>
    <x v="0"/>
  </r>
  <r>
    <x v="6"/>
    <x v="4"/>
    <x v="2"/>
    <x v="0"/>
    <x v="0"/>
    <n v="25221.1"/>
    <x v="0"/>
    <x v="0"/>
  </r>
  <r>
    <x v="6"/>
    <x v="0"/>
    <x v="1"/>
    <x v="0"/>
    <x v="0"/>
    <n v="656.31"/>
    <x v="0"/>
    <x v="0"/>
  </r>
  <r>
    <x v="6"/>
    <x v="0"/>
    <x v="0"/>
    <x v="0"/>
    <x v="0"/>
    <n v="1014.52"/>
    <x v="0"/>
    <x v="0"/>
  </r>
  <r>
    <x v="6"/>
    <x v="0"/>
    <x v="2"/>
    <x v="0"/>
    <x v="0"/>
    <n v="12921.9"/>
    <x v="0"/>
    <x v="0"/>
  </r>
  <r>
    <x v="6"/>
    <x v="0"/>
    <x v="1"/>
    <x v="0"/>
    <x v="0"/>
    <n v="59.12"/>
    <x v="0"/>
    <x v="0"/>
  </r>
  <r>
    <x v="6"/>
    <x v="0"/>
    <x v="0"/>
    <x v="0"/>
    <x v="0"/>
    <n v="7995.66"/>
    <x v="0"/>
    <x v="0"/>
  </r>
  <r>
    <x v="6"/>
    <x v="1"/>
    <x v="3"/>
    <x v="0"/>
    <x v="0"/>
    <n v="457008.04"/>
    <x v="0"/>
    <x v="0"/>
  </r>
  <r>
    <x v="6"/>
    <x v="1"/>
    <x v="3"/>
    <x v="0"/>
    <x v="0"/>
    <n v="810479.77"/>
    <x v="0"/>
    <x v="0"/>
  </r>
  <r>
    <x v="6"/>
    <x v="0"/>
    <x v="0"/>
    <x v="0"/>
    <x v="0"/>
    <n v="1915.86"/>
    <x v="0"/>
    <x v="0"/>
  </r>
  <r>
    <x v="6"/>
    <x v="1"/>
    <x v="3"/>
    <x v="0"/>
    <x v="0"/>
    <n v="595846.21"/>
    <x v="0"/>
    <x v="0"/>
  </r>
  <r>
    <x v="6"/>
    <x v="0"/>
    <x v="2"/>
    <x v="0"/>
    <x v="0"/>
    <n v="18596.2"/>
    <x v="0"/>
    <x v="0"/>
  </r>
  <r>
    <x v="6"/>
    <x v="0"/>
    <x v="1"/>
    <x v="0"/>
    <x v="0"/>
    <n v="775.28"/>
    <x v="0"/>
    <x v="0"/>
  </r>
  <r>
    <x v="6"/>
    <x v="0"/>
    <x v="2"/>
    <x v="0"/>
    <x v="0"/>
    <n v="11177.15"/>
    <x v="0"/>
    <x v="0"/>
  </r>
  <r>
    <x v="6"/>
    <x v="0"/>
    <x v="1"/>
    <x v="0"/>
    <x v="0"/>
    <n v="132"/>
    <x v="0"/>
    <x v="0"/>
  </r>
  <r>
    <x v="6"/>
    <x v="4"/>
    <x v="2"/>
    <x v="0"/>
    <x v="0"/>
    <n v="12745.74"/>
    <x v="0"/>
    <x v="0"/>
  </r>
  <r>
    <x v="6"/>
    <x v="0"/>
    <x v="0"/>
    <x v="0"/>
    <x v="0"/>
    <n v="7733.71"/>
    <x v="0"/>
    <x v="0"/>
  </r>
  <r>
    <x v="6"/>
    <x v="0"/>
    <x v="0"/>
    <x v="0"/>
    <x v="0"/>
    <n v="3966.45"/>
    <x v="0"/>
    <x v="0"/>
  </r>
  <r>
    <x v="6"/>
    <x v="0"/>
    <x v="0"/>
    <x v="0"/>
    <x v="0"/>
    <n v="4514.37"/>
    <x v="0"/>
    <x v="0"/>
  </r>
  <r>
    <x v="6"/>
    <x v="0"/>
    <x v="0"/>
    <x v="0"/>
    <x v="0"/>
    <n v="4671.39"/>
    <x v="0"/>
    <x v="0"/>
  </r>
  <r>
    <x v="6"/>
    <x v="0"/>
    <x v="1"/>
    <x v="0"/>
    <x v="0"/>
    <n v="173.52"/>
    <x v="0"/>
    <x v="0"/>
  </r>
  <r>
    <x v="6"/>
    <x v="0"/>
    <x v="0"/>
    <x v="0"/>
    <x v="0"/>
    <n v="7813.41"/>
    <x v="0"/>
    <x v="0"/>
  </r>
  <r>
    <x v="6"/>
    <x v="2"/>
    <x v="3"/>
    <x v="0"/>
    <x v="0"/>
    <n v="129079.67"/>
    <x v="0"/>
    <x v="0"/>
  </r>
  <r>
    <x v="6"/>
    <x v="2"/>
    <x v="2"/>
    <x v="0"/>
    <x v="0"/>
    <n v="80117.92"/>
    <x v="0"/>
    <x v="0"/>
  </r>
  <r>
    <x v="6"/>
    <x v="0"/>
    <x v="0"/>
    <x v="0"/>
    <x v="0"/>
    <n v="1962.68"/>
    <x v="0"/>
    <x v="0"/>
  </r>
  <r>
    <x v="6"/>
    <x v="1"/>
    <x v="3"/>
    <x v="0"/>
    <x v="0"/>
    <n v="138389.21"/>
    <x v="0"/>
    <x v="0"/>
  </r>
  <r>
    <x v="6"/>
    <x v="0"/>
    <x v="0"/>
    <x v="0"/>
    <x v="0"/>
    <n v="3737.22"/>
    <x v="0"/>
    <x v="0"/>
  </r>
  <r>
    <x v="6"/>
    <x v="0"/>
    <x v="0"/>
    <x v="0"/>
    <x v="0"/>
    <n v="2506.06"/>
    <x v="0"/>
    <x v="0"/>
  </r>
  <r>
    <x v="6"/>
    <x v="0"/>
    <x v="2"/>
    <x v="0"/>
    <x v="0"/>
    <n v="13670"/>
    <x v="0"/>
    <x v="0"/>
  </r>
  <r>
    <x v="6"/>
    <x v="0"/>
    <x v="0"/>
    <x v="0"/>
    <x v="0"/>
    <n v="8582.89"/>
    <x v="0"/>
    <x v="0"/>
  </r>
  <r>
    <x v="6"/>
    <x v="0"/>
    <x v="2"/>
    <x v="0"/>
    <x v="0"/>
    <n v="13006.27"/>
    <x v="0"/>
    <x v="0"/>
  </r>
  <r>
    <x v="6"/>
    <x v="0"/>
    <x v="0"/>
    <x v="0"/>
    <x v="0"/>
    <n v="6686.54"/>
    <x v="0"/>
    <x v="0"/>
  </r>
  <r>
    <x v="6"/>
    <x v="0"/>
    <x v="0"/>
    <x v="0"/>
    <x v="0"/>
    <n v="1410.56"/>
    <x v="0"/>
    <x v="0"/>
  </r>
  <r>
    <x v="6"/>
    <x v="0"/>
    <x v="0"/>
    <x v="0"/>
    <x v="0"/>
    <n v="1157.15"/>
    <x v="0"/>
    <x v="0"/>
  </r>
  <r>
    <x v="6"/>
    <x v="1"/>
    <x v="3"/>
    <x v="0"/>
    <x v="0"/>
    <n v="436465.06"/>
    <x v="0"/>
    <x v="0"/>
  </r>
  <r>
    <x v="6"/>
    <x v="0"/>
    <x v="0"/>
    <x v="0"/>
    <x v="0"/>
    <n v="3060.2"/>
    <x v="0"/>
    <x v="0"/>
  </r>
  <r>
    <x v="6"/>
    <x v="0"/>
    <x v="0"/>
    <x v="0"/>
    <x v="0"/>
    <n v="2344.4"/>
    <x v="0"/>
    <x v="0"/>
  </r>
  <r>
    <x v="6"/>
    <x v="0"/>
    <x v="0"/>
    <x v="0"/>
    <x v="0"/>
    <n v="6933.54"/>
    <x v="0"/>
    <x v="0"/>
  </r>
  <r>
    <x v="6"/>
    <x v="0"/>
    <x v="1"/>
    <x v="0"/>
    <x v="0"/>
    <n v="738.02"/>
    <x v="0"/>
    <x v="0"/>
  </r>
  <r>
    <x v="6"/>
    <x v="0"/>
    <x v="2"/>
    <x v="0"/>
    <x v="0"/>
    <n v="15619.46"/>
    <x v="0"/>
    <x v="0"/>
  </r>
  <r>
    <x v="6"/>
    <x v="0"/>
    <x v="0"/>
    <x v="0"/>
    <x v="0"/>
    <n v="8164.1"/>
    <x v="0"/>
    <x v="0"/>
  </r>
  <r>
    <x v="6"/>
    <x v="0"/>
    <x v="0"/>
    <x v="0"/>
    <x v="0"/>
    <n v="2065.03"/>
    <x v="0"/>
    <x v="0"/>
  </r>
  <r>
    <x v="6"/>
    <x v="0"/>
    <x v="1"/>
    <x v="0"/>
    <x v="0"/>
    <n v="758.61"/>
    <x v="0"/>
    <x v="0"/>
  </r>
  <r>
    <x v="6"/>
    <x v="0"/>
    <x v="0"/>
    <x v="0"/>
    <x v="0"/>
    <n v="4490.35"/>
    <x v="0"/>
    <x v="0"/>
  </r>
  <r>
    <x v="6"/>
    <x v="0"/>
    <x v="0"/>
    <x v="0"/>
    <x v="0"/>
    <n v="2413.14"/>
    <x v="0"/>
    <x v="0"/>
  </r>
  <r>
    <x v="6"/>
    <x v="1"/>
    <x v="3"/>
    <x v="0"/>
    <x v="0"/>
    <n v="340862.96"/>
    <x v="0"/>
    <x v="0"/>
  </r>
  <r>
    <x v="6"/>
    <x v="1"/>
    <x v="3"/>
    <x v="0"/>
    <x v="0"/>
    <n v="154402.33"/>
    <x v="0"/>
    <x v="0"/>
  </r>
  <r>
    <x v="6"/>
    <x v="0"/>
    <x v="0"/>
    <x v="0"/>
    <x v="0"/>
    <n v="3530.38"/>
    <x v="0"/>
    <x v="0"/>
  </r>
  <r>
    <x v="6"/>
    <x v="0"/>
    <x v="2"/>
    <x v="0"/>
    <x v="0"/>
    <n v="16261.55"/>
    <x v="0"/>
    <x v="0"/>
  </r>
  <r>
    <x v="6"/>
    <x v="0"/>
    <x v="0"/>
    <x v="0"/>
    <x v="0"/>
    <n v="7021.77"/>
    <x v="0"/>
    <x v="0"/>
  </r>
  <r>
    <x v="6"/>
    <x v="0"/>
    <x v="2"/>
    <x v="0"/>
    <x v="0"/>
    <n v="10701.58"/>
    <x v="0"/>
    <x v="0"/>
  </r>
  <r>
    <x v="6"/>
    <x v="0"/>
    <x v="0"/>
    <x v="0"/>
    <x v="0"/>
    <n v="2834.08"/>
    <x v="0"/>
    <x v="0"/>
  </r>
  <r>
    <x v="6"/>
    <x v="0"/>
    <x v="0"/>
    <x v="0"/>
    <x v="0"/>
    <n v="3687.46"/>
    <x v="0"/>
    <x v="0"/>
  </r>
  <r>
    <x v="6"/>
    <x v="0"/>
    <x v="1"/>
    <x v="0"/>
    <x v="0"/>
    <n v="808.34"/>
    <x v="0"/>
    <x v="0"/>
  </r>
  <r>
    <x v="6"/>
    <x v="0"/>
    <x v="0"/>
    <x v="0"/>
    <x v="0"/>
    <n v="2894.91"/>
    <x v="0"/>
    <x v="0"/>
  </r>
  <r>
    <x v="6"/>
    <x v="2"/>
    <x v="2"/>
    <x v="0"/>
    <x v="0"/>
    <n v="55412.64"/>
    <x v="0"/>
    <x v="0"/>
  </r>
  <r>
    <x v="6"/>
    <x v="2"/>
    <x v="3"/>
    <x v="0"/>
    <x v="0"/>
    <n v="263017.13"/>
    <x v="0"/>
    <x v="0"/>
  </r>
  <r>
    <x v="6"/>
    <x v="0"/>
    <x v="0"/>
    <x v="0"/>
    <x v="0"/>
    <n v="1800.78"/>
    <x v="0"/>
    <x v="0"/>
  </r>
  <r>
    <x v="6"/>
    <x v="0"/>
    <x v="1"/>
    <x v="0"/>
    <x v="0"/>
    <n v="556.8"/>
    <x v="0"/>
    <x v="0"/>
  </r>
  <r>
    <x v="6"/>
    <x v="2"/>
    <x v="3"/>
    <x v="0"/>
    <x v="0"/>
    <n v="143860.31"/>
    <x v="0"/>
    <x v="0"/>
  </r>
  <r>
    <x v="6"/>
    <x v="0"/>
    <x v="0"/>
    <x v="0"/>
    <x v="0"/>
    <n v="6769.62"/>
    <x v="0"/>
    <x v="0"/>
  </r>
  <r>
    <x v="6"/>
    <x v="0"/>
    <x v="0"/>
    <x v="0"/>
    <x v="0"/>
    <n v="4470.86"/>
    <x v="0"/>
    <x v="0"/>
  </r>
  <r>
    <x v="6"/>
    <x v="0"/>
    <x v="1"/>
    <x v="0"/>
    <x v="0"/>
    <n v="386.54"/>
    <x v="0"/>
    <x v="0"/>
  </r>
  <r>
    <x v="6"/>
    <x v="0"/>
    <x v="0"/>
    <x v="0"/>
    <x v="0"/>
    <n v="5688.89"/>
    <x v="0"/>
    <x v="0"/>
  </r>
  <r>
    <x v="6"/>
    <x v="0"/>
    <x v="2"/>
    <x v="0"/>
    <x v="0"/>
    <n v="12064.58"/>
    <x v="0"/>
    <x v="0"/>
  </r>
  <r>
    <x v="6"/>
    <x v="0"/>
    <x v="0"/>
    <x v="0"/>
    <x v="0"/>
    <n v="2734.82"/>
    <x v="0"/>
    <x v="0"/>
  </r>
  <r>
    <x v="6"/>
    <x v="0"/>
    <x v="0"/>
    <x v="0"/>
    <x v="0"/>
    <n v="5047.01"/>
    <x v="0"/>
    <x v="0"/>
  </r>
  <r>
    <x v="6"/>
    <x v="0"/>
    <x v="0"/>
    <x v="0"/>
    <x v="0"/>
    <n v="5593.85"/>
    <x v="0"/>
    <x v="0"/>
  </r>
  <r>
    <x v="6"/>
    <x v="3"/>
    <x v="0"/>
    <x v="0"/>
    <x v="0"/>
    <n v="1095.24"/>
    <x v="0"/>
    <x v="0"/>
  </r>
  <r>
    <x v="6"/>
    <x v="0"/>
    <x v="2"/>
    <x v="0"/>
    <x v="0"/>
    <n v="11160.28"/>
    <x v="0"/>
    <x v="0"/>
  </r>
  <r>
    <x v="6"/>
    <x v="0"/>
    <x v="0"/>
    <x v="0"/>
    <x v="0"/>
    <n v="9690.05"/>
    <x v="0"/>
    <x v="0"/>
  </r>
  <r>
    <x v="6"/>
    <x v="0"/>
    <x v="0"/>
    <x v="0"/>
    <x v="0"/>
    <n v="4895.1"/>
    <x v="0"/>
    <x v="0"/>
  </r>
  <r>
    <x v="6"/>
    <x v="4"/>
    <x v="3"/>
    <x v="0"/>
    <x v="0"/>
    <n v="151466.86"/>
    <x v="0"/>
    <x v="0"/>
  </r>
  <r>
    <x v="6"/>
    <x v="4"/>
    <x v="3"/>
    <x v="0"/>
    <x v="0"/>
    <n v="196034.13"/>
    <x v="0"/>
    <x v="0"/>
  </r>
  <r>
    <x v="6"/>
    <x v="4"/>
    <x v="3"/>
    <x v="0"/>
    <x v="0"/>
    <n v="165559.32"/>
    <x v="0"/>
    <x v="0"/>
  </r>
  <r>
    <x v="6"/>
    <x v="4"/>
    <x v="2"/>
    <x v="0"/>
    <x v="0"/>
    <n v="71440.65"/>
    <x v="0"/>
    <x v="0"/>
  </r>
  <r>
    <x v="6"/>
    <x v="4"/>
    <x v="3"/>
    <x v="0"/>
    <x v="0"/>
    <n v="129759.91"/>
    <x v="0"/>
    <x v="0"/>
  </r>
  <r>
    <x v="6"/>
    <x v="4"/>
    <x v="3"/>
    <x v="0"/>
    <x v="0"/>
    <n v="137890.93"/>
    <x v="0"/>
    <x v="0"/>
  </r>
  <r>
    <x v="6"/>
    <x v="4"/>
    <x v="2"/>
    <x v="0"/>
    <x v="0"/>
    <n v="42354.06"/>
    <x v="0"/>
    <x v="0"/>
  </r>
  <r>
    <x v="6"/>
    <x v="4"/>
    <x v="3"/>
    <x v="0"/>
    <x v="0"/>
    <n v="438047.1"/>
    <x v="0"/>
    <x v="0"/>
  </r>
  <r>
    <x v="6"/>
    <x v="4"/>
    <x v="2"/>
    <x v="0"/>
    <x v="0"/>
    <n v="80280.3"/>
    <x v="0"/>
    <x v="0"/>
  </r>
  <r>
    <x v="6"/>
    <x v="4"/>
    <x v="2"/>
    <x v="0"/>
    <x v="0"/>
    <n v="32532.12"/>
    <x v="0"/>
    <x v="0"/>
  </r>
  <r>
    <x v="6"/>
    <x v="4"/>
    <x v="3"/>
    <x v="0"/>
    <x v="0"/>
    <n v="178823.75"/>
    <x v="0"/>
    <x v="0"/>
  </r>
  <r>
    <x v="6"/>
    <x v="4"/>
    <x v="3"/>
    <x v="0"/>
    <x v="0"/>
    <n v="223559.66"/>
    <x v="0"/>
    <x v="0"/>
  </r>
  <r>
    <x v="6"/>
    <x v="4"/>
    <x v="3"/>
    <x v="0"/>
    <x v="0"/>
    <n v="290124.75"/>
    <x v="0"/>
    <x v="0"/>
  </r>
  <r>
    <x v="6"/>
    <x v="4"/>
    <x v="3"/>
    <x v="0"/>
    <x v="0"/>
    <n v="173061.52"/>
    <x v="0"/>
    <x v="0"/>
  </r>
  <r>
    <x v="6"/>
    <x v="4"/>
    <x v="2"/>
    <x v="0"/>
    <x v="0"/>
    <n v="52429.68"/>
    <x v="0"/>
    <x v="0"/>
  </r>
  <r>
    <x v="6"/>
    <x v="4"/>
    <x v="3"/>
    <x v="0"/>
    <x v="0"/>
    <n v="128998.92"/>
    <x v="0"/>
    <x v="0"/>
  </r>
  <r>
    <x v="6"/>
    <x v="4"/>
    <x v="3"/>
    <x v="0"/>
    <x v="0"/>
    <n v="502571.35"/>
    <x v="0"/>
    <x v="0"/>
  </r>
  <r>
    <x v="6"/>
    <x v="4"/>
    <x v="3"/>
    <x v="0"/>
    <x v="0"/>
    <n v="815501.07"/>
    <x v="0"/>
    <x v="0"/>
  </r>
  <r>
    <x v="6"/>
    <x v="4"/>
    <x v="3"/>
    <x v="0"/>
    <x v="0"/>
    <n v="140862.84"/>
    <x v="0"/>
    <x v="0"/>
  </r>
  <r>
    <x v="6"/>
    <x v="4"/>
    <x v="0"/>
    <x v="0"/>
    <x v="0"/>
    <n v="2654.73"/>
    <x v="0"/>
    <x v="0"/>
  </r>
  <r>
    <x v="6"/>
    <x v="4"/>
    <x v="2"/>
    <x v="0"/>
    <x v="0"/>
    <n v="44740"/>
    <x v="0"/>
    <x v="0"/>
  </r>
  <r>
    <x v="6"/>
    <x v="4"/>
    <x v="2"/>
    <x v="0"/>
    <x v="0"/>
    <n v="56976.46"/>
    <x v="0"/>
    <x v="0"/>
  </r>
  <r>
    <x v="6"/>
    <x v="4"/>
    <x v="2"/>
    <x v="0"/>
    <x v="0"/>
    <n v="58195.71"/>
    <x v="0"/>
    <x v="0"/>
  </r>
  <r>
    <x v="6"/>
    <x v="4"/>
    <x v="2"/>
    <x v="0"/>
    <x v="0"/>
    <n v="18097.74"/>
    <x v="0"/>
    <x v="0"/>
  </r>
  <r>
    <x v="6"/>
    <x v="4"/>
    <x v="3"/>
    <x v="0"/>
    <x v="0"/>
    <n v="235190.76"/>
    <x v="0"/>
    <x v="0"/>
  </r>
  <r>
    <x v="6"/>
    <x v="4"/>
    <x v="3"/>
    <x v="0"/>
    <x v="0"/>
    <n v="272342.01"/>
    <x v="0"/>
    <x v="0"/>
  </r>
  <r>
    <x v="6"/>
    <x v="4"/>
    <x v="3"/>
    <x v="0"/>
    <x v="0"/>
    <n v="336844.89"/>
    <x v="0"/>
    <x v="0"/>
  </r>
  <r>
    <x v="6"/>
    <x v="4"/>
    <x v="3"/>
    <x v="0"/>
    <x v="0"/>
    <n v="209715.24"/>
    <x v="0"/>
    <x v="0"/>
  </r>
  <r>
    <x v="6"/>
    <x v="4"/>
    <x v="3"/>
    <x v="0"/>
    <x v="0"/>
    <n v="496460.1"/>
    <x v="0"/>
    <x v="0"/>
  </r>
  <r>
    <x v="6"/>
    <x v="4"/>
    <x v="3"/>
    <x v="0"/>
    <x v="0"/>
    <n v="175995.9"/>
    <x v="0"/>
    <x v="0"/>
  </r>
  <r>
    <x v="6"/>
    <x v="4"/>
    <x v="3"/>
    <x v="0"/>
    <x v="0"/>
    <n v="285857.46"/>
    <x v="0"/>
    <x v="0"/>
  </r>
  <r>
    <x v="6"/>
    <x v="4"/>
    <x v="3"/>
    <x v="0"/>
    <x v="0"/>
    <n v="218080.84"/>
    <x v="0"/>
    <x v="0"/>
  </r>
  <r>
    <x v="6"/>
    <x v="4"/>
    <x v="2"/>
    <x v="0"/>
    <x v="0"/>
    <n v="44833.06"/>
    <x v="0"/>
    <x v="0"/>
  </r>
  <r>
    <x v="6"/>
    <x v="4"/>
    <x v="0"/>
    <x v="0"/>
    <x v="0"/>
    <n v="6288.28"/>
    <x v="0"/>
    <x v="0"/>
  </r>
  <r>
    <x v="6"/>
    <x v="4"/>
    <x v="3"/>
    <x v="0"/>
    <x v="0"/>
    <n v="120155.92"/>
    <x v="0"/>
    <x v="0"/>
  </r>
  <r>
    <x v="6"/>
    <x v="4"/>
    <x v="3"/>
    <x v="0"/>
    <x v="0"/>
    <n v="226240.27"/>
    <x v="0"/>
    <x v="0"/>
  </r>
  <r>
    <x v="6"/>
    <x v="4"/>
    <x v="3"/>
    <x v="0"/>
    <x v="0"/>
    <n v="165562.59"/>
    <x v="0"/>
    <x v="0"/>
  </r>
  <r>
    <x v="6"/>
    <x v="4"/>
    <x v="3"/>
    <x v="0"/>
    <x v="0"/>
    <n v="139446.85"/>
    <x v="0"/>
    <x v="0"/>
  </r>
  <r>
    <x v="6"/>
    <x v="4"/>
    <x v="3"/>
    <x v="0"/>
    <x v="0"/>
    <n v="150031.09"/>
    <x v="0"/>
    <x v="0"/>
  </r>
  <r>
    <x v="6"/>
    <x v="4"/>
    <x v="3"/>
    <x v="0"/>
    <x v="0"/>
    <n v="280873.88"/>
    <x v="0"/>
    <x v="0"/>
  </r>
  <r>
    <x v="6"/>
    <x v="4"/>
    <x v="2"/>
    <x v="0"/>
    <x v="0"/>
    <n v="43850.3"/>
    <x v="0"/>
    <x v="0"/>
  </r>
  <r>
    <x v="6"/>
    <x v="4"/>
    <x v="2"/>
    <x v="0"/>
    <x v="0"/>
    <n v="30075.22"/>
    <x v="0"/>
    <x v="0"/>
  </r>
  <r>
    <x v="6"/>
    <x v="4"/>
    <x v="2"/>
    <x v="0"/>
    <x v="0"/>
    <n v="11609.72"/>
    <x v="0"/>
    <x v="0"/>
  </r>
  <r>
    <x v="6"/>
    <x v="4"/>
    <x v="3"/>
    <x v="0"/>
    <x v="0"/>
    <n v="219836.42"/>
    <x v="0"/>
    <x v="0"/>
  </r>
  <r>
    <x v="6"/>
    <x v="4"/>
    <x v="3"/>
    <x v="0"/>
    <x v="0"/>
    <n v="367463.71"/>
    <x v="0"/>
    <x v="0"/>
  </r>
  <r>
    <x v="6"/>
    <x v="4"/>
    <x v="3"/>
    <x v="0"/>
    <x v="0"/>
    <n v="148725.69"/>
    <x v="0"/>
    <x v="0"/>
  </r>
  <r>
    <x v="6"/>
    <x v="4"/>
    <x v="2"/>
    <x v="0"/>
    <x v="0"/>
    <n v="16529.09"/>
    <x v="0"/>
    <x v="0"/>
  </r>
  <r>
    <x v="6"/>
    <x v="0"/>
    <x v="0"/>
    <x v="0"/>
    <x v="0"/>
    <n v="6387"/>
    <x v="0"/>
    <x v="0"/>
  </r>
  <r>
    <x v="6"/>
    <x v="0"/>
    <x v="2"/>
    <x v="0"/>
    <x v="0"/>
    <n v="12726.04"/>
    <x v="0"/>
    <x v="0"/>
  </r>
  <r>
    <x v="6"/>
    <x v="0"/>
    <x v="2"/>
    <x v="0"/>
    <x v="0"/>
    <n v="11045.61"/>
    <x v="0"/>
    <x v="0"/>
  </r>
  <r>
    <x v="6"/>
    <x v="0"/>
    <x v="0"/>
    <x v="0"/>
    <x v="0"/>
    <n v="4047.79"/>
    <x v="0"/>
    <x v="0"/>
  </r>
  <r>
    <x v="6"/>
    <x v="2"/>
    <x v="2"/>
    <x v="0"/>
    <x v="0"/>
    <n v="98848.63"/>
    <x v="0"/>
    <x v="0"/>
  </r>
  <r>
    <x v="6"/>
    <x v="0"/>
    <x v="0"/>
    <x v="0"/>
    <x v="0"/>
    <n v="1837.39"/>
    <x v="0"/>
    <x v="0"/>
  </r>
  <r>
    <x v="6"/>
    <x v="1"/>
    <x v="3"/>
    <x v="0"/>
    <x v="0"/>
    <n v="528013.15"/>
    <x v="0"/>
    <x v="0"/>
  </r>
  <r>
    <x v="6"/>
    <x v="0"/>
    <x v="0"/>
    <x v="0"/>
    <x v="0"/>
    <n v="1543.46"/>
    <x v="0"/>
    <x v="0"/>
  </r>
  <r>
    <x v="6"/>
    <x v="0"/>
    <x v="0"/>
    <x v="0"/>
    <x v="0"/>
    <n v="4562.64"/>
    <x v="0"/>
    <x v="0"/>
  </r>
  <r>
    <x v="6"/>
    <x v="0"/>
    <x v="0"/>
    <x v="0"/>
    <x v="0"/>
    <n v="1664.51"/>
    <x v="0"/>
    <x v="0"/>
  </r>
  <r>
    <x v="6"/>
    <x v="0"/>
    <x v="2"/>
    <x v="0"/>
    <x v="0"/>
    <n v="21191.67"/>
    <x v="0"/>
    <x v="0"/>
  </r>
  <r>
    <x v="6"/>
    <x v="0"/>
    <x v="2"/>
    <x v="0"/>
    <x v="0"/>
    <n v="23429.64"/>
    <x v="0"/>
    <x v="0"/>
  </r>
  <r>
    <x v="6"/>
    <x v="0"/>
    <x v="2"/>
    <x v="0"/>
    <x v="0"/>
    <n v="19104.84"/>
    <x v="0"/>
    <x v="0"/>
  </r>
  <r>
    <x v="6"/>
    <x v="0"/>
    <x v="2"/>
    <x v="0"/>
    <x v="0"/>
    <n v="24025.52"/>
    <x v="0"/>
    <x v="0"/>
  </r>
  <r>
    <x v="6"/>
    <x v="0"/>
    <x v="2"/>
    <x v="0"/>
    <x v="0"/>
    <n v="51024.98"/>
    <x v="0"/>
    <x v="0"/>
  </r>
  <r>
    <x v="6"/>
    <x v="0"/>
    <x v="0"/>
    <x v="0"/>
    <x v="0"/>
    <n v="8770.72"/>
    <x v="0"/>
    <x v="0"/>
  </r>
  <r>
    <x v="6"/>
    <x v="0"/>
    <x v="0"/>
    <x v="0"/>
    <x v="0"/>
    <n v="8986.8"/>
    <x v="0"/>
    <x v="0"/>
  </r>
  <r>
    <x v="6"/>
    <x v="0"/>
    <x v="0"/>
    <x v="0"/>
    <x v="0"/>
    <n v="7180.93"/>
    <x v="0"/>
    <x v="0"/>
  </r>
  <r>
    <x v="6"/>
    <x v="0"/>
    <x v="2"/>
    <x v="0"/>
    <x v="0"/>
    <n v="12774.51"/>
    <x v="0"/>
    <x v="0"/>
  </r>
  <r>
    <x v="6"/>
    <x v="0"/>
    <x v="2"/>
    <x v="0"/>
    <x v="0"/>
    <n v="30366.4"/>
    <x v="0"/>
    <x v="0"/>
  </r>
  <r>
    <x v="6"/>
    <x v="0"/>
    <x v="2"/>
    <x v="0"/>
    <x v="0"/>
    <n v="11066.92"/>
    <x v="0"/>
    <x v="0"/>
  </r>
  <r>
    <x v="6"/>
    <x v="1"/>
    <x v="3"/>
    <x v="0"/>
    <x v="0"/>
    <n v="228141.3"/>
    <x v="0"/>
    <x v="0"/>
  </r>
  <r>
    <x v="6"/>
    <x v="2"/>
    <x v="2"/>
    <x v="0"/>
    <x v="0"/>
    <n v="11123.69"/>
    <x v="0"/>
    <x v="0"/>
  </r>
  <r>
    <x v="6"/>
    <x v="0"/>
    <x v="2"/>
    <x v="0"/>
    <x v="0"/>
    <n v="15919.89"/>
    <x v="0"/>
    <x v="0"/>
  </r>
  <r>
    <x v="6"/>
    <x v="0"/>
    <x v="2"/>
    <x v="0"/>
    <x v="0"/>
    <n v="11110.2"/>
    <x v="0"/>
    <x v="0"/>
  </r>
  <r>
    <x v="6"/>
    <x v="0"/>
    <x v="0"/>
    <x v="0"/>
    <x v="0"/>
    <n v="1460"/>
    <x v="0"/>
    <x v="0"/>
  </r>
  <r>
    <x v="6"/>
    <x v="0"/>
    <x v="0"/>
    <x v="0"/>
    <x v="0"/>
    <n v="8959.34"/>
    <x v="0"/>
    <x v="0"/>
  </r>
  <r>
    <x v="6"/>
    <x v="0"/>
    <x v="0"/>
    <x v="0"/>
    <x v="0"/>
    <n v="7929.31"/>
    <x v="0"/>
    <x v="0"/>
  </r>
  <r>
    <x v="6"/>
    <x v="1"/>
    <x v="2"/>
    <x v="0"/>
    <x v="0"/>
    <n v="68814.9"/>
    <x v="0"/>
    <x v="0"/>
  </r>
  <r>
    <x v="6"/>
    <x v="3"/>
    <x v="0"/>
    <x v="0"/>
    <x v="0"/>
    <n v="2997.29"/>
    <x v="0"/>
    <x v="0"/>
  </r>
  <r>
    <x v="6"/>
    <x v="0"/>
    <x v="0"/>
    <x v="0"/>
    <x v="0"/>
    <n v="9589"/>
    <x v="0"/>
    <x v="0"/>
  </r>
  <r>
    <x v="6"/>
    <x v="0"/>
    <x v="0"/>
    <x v="0"/>
    <x v="0"/>
    <n v="6285.19"/>
    <x v="0"/>
    <x v="0"/>
  </r>
  <r>
    <x v="6"/>
    <x v="3"/>
    <x v="0"/>
    <x v="0"/>
    <x v="0"/>
    <n v="2225.09"/>
    <x v="0"/>
    <x v="0"/>
  </r>
  <r>
    <x v="6"/>
    <x v="0"/>
    <x v="2"/>
    <x v="0"/>
    <x v="0"/>
    <n v="17899.15"/>
    <x v="0"/>
    <x v="0"/>
  </r>
  <r>
    <x v="6"/>
    <x v="0"/>
    <x v="0"/>
    <x v="0"/>
    <x v="0"/>
    <n v="3343.03"/>
    <x v="0"/>
    <x v="0"/>
  </r>
  <r>
    <x v="6"/>
    <x v="2"/>
    <x v="3"/>
    <x v="0"/>
    <x v="0"/>
    <n v="120142.49"/>
    <x v="0"/>
    <x v="0"/>
  </r>
  <r>
    <x v="6"/>
    <x v="0"/>
    <x v="0"/>
    <x v="0"/>
    <x v="0"/>
    <n v="5804.72"/>
    <x v="0"/>
    <x v="0"/>
  </r>
  <r>
    <x v="6"/>
    <x v="0"/>
    <x v="0"/>
    <x v="0"/>
    <x v="0"/>
    <n v="1787.23"/>
    <x v="0"/>
    <x v="0"/>
  </r>
  <r>
    <x v="6"/>
    <x v="0"/>
    <x v="2"/>
    <x v="0"/>
    <x v="0"/>
    <n v="16487.8"/>
    <x v="0"/>
    <x v="0"/>
  </r>
  <r>
    <x v="6"/>
    <x v="2"/>
    <x v="2"/>
    <x v="0"/>
    <x v="0"/>
    <n v="36600.63"/>
    <x v="0"/>
    <x v="0"/>
  </r>
  <r>
    <x v="6"/>
    <x v="4"/>
    <x v="2"/>
    <x v="0"/>
    <x v="0"/>
    <n v="53695.05"/>
    <x v="0"/>
    <x v="0"/>
  </r>
  <r>
    <x v="6"/>
    <x v="0"/>
    <x v="0"/>
    <x v="0"/>
    <x v="0"/>
    <n v="1058.39"/>
    <x v="0"/>
    <x v="0"/>
  </r>
  <r>
    <x v="6"/>
    <x v="0"/>
    <x v="0"/>
    <x v="0"/>
    <x v="0"/>
    <n v="7827.79"/>
    <x v="0"/>
    <x v="0"/>
  </r>
  <r>
    <x v="6"/>
    <x v="0"/>
    <x v="0"/>
    <x v="0"/>
    <x v="0"/>
    <n v="6863.38"/>
    <x v="0"/>
    <x v="0"/>
  </r>
  <r>
    <x v="6"/>
    <x v="4"/>
    <x v="2"/>
    <x v="0"/>
    <x v="0"/>
    <n v="17655.7"/>
    <x v="0"/>
    <x v="0"/>
  </r>
  <r>
    <x v="6"/>
    <x v="0"/>
    <x v="2"/>
    <x v="0"/>
    <x v="0"/>
    <n v="15578.71"/>
    <x v="0"/>
    <x v="0"/>
  </r>
  <r>
    <x v="6"/>
    <x v="1"/>
    <x v="3"/>
    <x v="0"/>
    <x v="0"/>
    <n v="162038"/>
    <x v="0"/>
    <x v="0"/>
  </r>
  <r>
    <x v="6"/>
    <x v="0"/>
    <x v="0"/>
    <x v="0"/>
    <x v="0"/>
    <n v="6388.86"/>
    <x v="0"/>
    <x v="0"/>
  </r>
  <r>
    <x v="6"/>
    <x v="0"/>
    <x v="0"/>
    <x v="0"/>
    <x v="0"/>
    <n v="3922.01"/>
    <x v="0"/>
    <x v="0"/>
  </r>
  <r>
    <x v="6"/>
    <x v="0"/>
    <x v="2"/>
    <x v="0"/>
    <x v="0"/>
    <n v="11096.2"/>
    <x v="0"/>
    <x v="0"/>
  </r>
  <r>
    <x v="6"/>
    <x v="0"/>
    <x v="0"/>
    <x v="0"/>
    <x v="0"/>
    <n v="5306.87"/>
    <x v="0"/>
    <x v="0"/>
  </r>
  <r>
    <x v="6"/>
    <x v="0"/>
    <x v="0"/>
    <x v="0"/>
    <x v="0"/>
    <n v="8654.44"/>
    <x v="0"/>
    <x v="0"/>
  </r>
  <r>
    <x v="6"/>
    <x v="0"/>
    <x v="0"/>
    <x v="0"/>
    <x v="0"/>
    <n v="7788.88"/>
    <x v="0"/>
    <x v="0"/>
  </r>
  <r>
    <x v="6"/>
    <x v="0"/>
    <x v="0"/>
    <x v="0"/>
    <x v="0"/>
    <n v="7065.2"/>
    <x v="0"/>
    <x v="0"/>
  </r>
  <r>
    <x v="6"/>
    <x v="3"/>
    <x v="1"/>
    <x v="0"/>
    <x v="0"/>
    <n v="532.61"/>
    <x v="0"/>
    <x v="0"/>
  </r>
  <r>
    <x v="6"/>
    <x v="0"/>
    <x v="1"/>
    <x v="0"/>
    <x v="0"/>
    <n v="449.26"/>
    <x v="0"/>
    <x v="0"/>
  </r>
  <r>
    <x v="6"/>
    <x v="2"/>
    <x v="0"/>
    <x v="0"/>
    <x v="0"/>
    <n v="6960.63"/>
    <x v="0"/>
    <x v="0"/>
  </r>
  <r>
    <x v="6"/>
    <x v="0"/>
    <x v="0"/>
    <x v="0"/>
    <x v="0"/>
    <n v="1742.81"/>
    <x v="0"/>
    <x v="0"/>
  </r>
  <r>
    <x v="6"/>
    <x v="0"/>
    <x v="0"/>
    <x v="0"/>
    <x v="0"/>
    <n v="1255.85"/>
    <x v="0"/>
    <x v="0"/>
  </r>
  <r>
    <x v="6"/>
    <x v="0"/>
    <x v="0"/>
    <x v="0"/>
    <x v="0"/>
    <n v="8611.73"/>
    <x v="0"/>
    <x v="0"/>
  </r>
  <r>
    <x v="6"/>
    <x v="0"/>
    <x v="2"/>
    <x v="0"/>
    <x v="0"/>
    <n v="10475.29"/>
    <x v="0"/>
    <x v="0"/>
  </r>
  <r>
    <x v="6"/>
    <x v="2"/>
    <x v="2"/>
    <x v="0"/>
    <x v="0"/>
    <n v="92924.64"/>
    <x v="0"/>
    <x v="0"/>
  </r>
  <r>
    <x v="6"/>
    <x v="0"/>
    <x v="0"/>
    <x v="0"/>
    <x v="0"/>
    <n v="7567.92"/>
    <x v="0"/>
    <x v="0"/>
  </r>
  <r>
    <x v="6"/>
    <x v="0"/>
    <x v="0"/>
    <x v="0"/>
    <x v="0"/>
    <n v="3465.66"/>
    <x v="0"/>
    <x v="0"/>
  </r>
  <r>
    <x v="6"/>
    <x v="0"/>
    <x v="1"/>
    <x v="0"/>
    <x v="0"/>
    <n v="590.23"/>
    <x v="0"/>
    <x v="0"/>
  </r>
  <r>
    <x v="6"/>
    <x v="2"/>
    <x v="3"/>
    <x v="0"/>
    <x v="0"/>
    <n v="107360.06"/>
    <x v="0"/>
    <x v="0"/>
  </r>
  <r>
    <x v="6"/>
    <x v="1"/>
    <x v="2"/>
    <x v="0"/>
    <x v="0"/>
    <n v="49395.17"/>
    <x v="0"/>
    <x v="0"/>
  </r>
  <r>
    <x v="6"/>
    <x v="0"/>
    <x v="0"/>
    <x v="0"/>
    <x v="0"/>
    <n v="8594.62"/>
    <x v="0"/>
    <x v="0"/>
  </r>
  <r>
    <x v="6"/>
    <x v="0"/>
    <x v="0"/>
    <x v="0"/>
    <x v="0"/>
    <n v="2264.93"/>
    <x v="0"/>
    <x v="0"/>
  </r>
  <r>
    <x v="6"/>
    <x v="1"/>
    <x v="3"/>
    <x v="0"/>
    <x v="0"/>
    <n v="636710.53"/>
    <x v="0"/>
    <x v="0"/>
  </r>
  <r>
    <x v="6"/>
    <x v="0"/>
    <x v="0"/>
    <x v="0"/>
    <x v="0"/>
    <n v="1848.19"/>
    <x v="0"/>
    <x v="0"/>
  </r>
  <r>
    <x v="6"/>
    <x v="0"/>
    <x v="2"/>
    <x v="0"/>
    <x v="0"/>
    <n v="10346.92"/>
    <x v="0"/>
    <x v="0"/>
  </r>
  <r>
    <x v="6"/>
    <x v="0"/>
    <x v="2"/>
    <x v="0"/>
    <x v="0"/>
    <n v="12322.3"/>
    <x v="0"/>
    <x v="0"/>
  </r>
  <r>
    <x v="6"/>
    <x v="0"/>
    <x v="2"/>
    <x v="0"/>
    <x v="0"/>
    <n v="13383.94"/>
    <x v="0"/>
    <x v="0"/>
  </r>
  <r>
    <x v="6"/>
    <x v="1"/>
    <x v="2"/>
    <x v="0"/>
    <x v="0"/>
    <n v="45656.63"/>
    <x v="0"/>
    <x v="0"/>
  </r>
  <r>
    <x v="6"/>
    <x v="0"/>
    <x v="0"/>
    <x v="0"/>
    <x v="0"/>
    <n v="1380.11"/>
    <x v="0"/>
    <x v="0"/>
  </r>
  <r>
    <x v="6"/>
    <x v="0"/>
    <x v="0"/>
    <x v="0"/>
    <x v="0"/>
    <n v="3768.03"/>
    <x v="0"/>
    <x v="0"/>
  </r>
  <r>
    <x v="6"/>
    <x v="0"/>
    <x v="1"/>
    <x v="0"/>
    <x v="0"/>
    <n v="703.78"/>
    <x v="0"/>
    <x v="0"/>
  </r>
  <r>
    <x v="6"/>
    <x v="0"/>
    <x v="0"/>
    <x v="0"/>
    <x v="0"/>
    <n v="6689.88"/>
    <x v="0"/>
    <x v="0"/>
  </r>
  <r>
    <x v="6"/>
    <x v="0"/>
    <x v="0"/>
    <x v="0"/>
    <x v="0"/>
    <n v="3347.26"/>
    <x v="0"/>
    <x v="0"/>
  </r>
  <r>
    <x v="6"/>
    <x v="0"/>
    <x v="0"/>
    <x v="0"/>
    <x v="0"/>
    <n v="7180.44"/>
    <x v="0"/>
    <x v="0"/>
  </r>
  <r>
    <x v="6"/>
    <x v="1"/>
    <x v="3"/>
    <x v="0"/>
    <x v="0"/>
    <n v="273930.25"/>
    <x v="0"/>
    <x v="0"/>
  </r>
  <r>
    <x v="6"/>
    <x v="0"/>
    <x v="1"/>
    <x v="0"/>
    <x v="0"/>
    <n v="77.62"/>
    <x v="0"/>
    <x v="0"/>
  </r>
  <r>
    <x v="6"/>
    <x v="0"/>
    <x v="1"/>
    <x v="0"/>
    <x v="0"/>
    <n v="720.37"/>
    <x v="0"/>
    <x v="0"/>
  </r>
  <r>
    <x v="6"/>
    <x v="0"/>
    <x v="2"/>
    <x v="0"/>
    <x v="0"/>
    <n v="11152.32"/>
    <x v="0"/>
    <x v="0"/>
  </r>
  <r>
    <x v="6"/>
    <x v="1"/>
    <x v="3"/>
    <x v="0"/>
    <x v="0"/>
    <n v="702031.37"/>
    <x v="0"/>
    <x v="0"/>
  </r>
  <r>
    <x v="6"/>
    <x v="1"/>
    <x v="3"/>
    <x v="0"/>
    <x v="0"/>
    <n v="618122.62"/>
    <x v="0"/>
    <x v="0"/>
  </r>
  <r>
    <x v="6"/>
    <x v="0"/>
    <x v="0"/>
    <x v="0"/>
    <x v="0"/>
    <n v="1926.14"/>
    <x v="0"/>
    <x v="0"/>
  </r>
  <r>
    <x v="6"/>
    <x v="0"/>
    <x v="0"/>
    <x v="0"/>
    <x v="0"/>
    <n v="4733.37"/>
    <x v="0"/>
    <x v="0"/>
  </r>
  <r>
    <x v="6"/>
    <x v="3"/>
    <x v="0"/>
    <x v="0"/>
    <x v="0"/>
    <n v="1608.89"/>
    <x v="0"/>
    <x v="0"/>
  </r>
  <r>
    <x v="6"/>
    <x v="0"/>
    <x v="1"/>
    <x v="0"/>
    <x v="0"/>
    <n v="769.84"/>
    <x v="0"/>
    <x v="0"/>
  </r>
  <r>
    <x v="6"/>
    <x v="1"/>
    <x v="3"/>
    <x v="0"/>
    <x v="0"/>
    <n v="603999.01"/>
    <x v="0"/>
    <x v="0"/>
  </r>
  <r>
    <x v="6"/>
    <x v="0"/>
    <x v="0"/>
    <x v="0"/>
    <x v="0"/>
    <n v="5972.77"/>
    <x v="0"/>
    <x v="0"/>
  </r>
  <r>
    <x v="6"/>
    <x v="1"/>
    <x v="3"/>
    <x v="0"/>
    <x v="0"/>
    <n v="247066.24"/>
    <x v="0"/>
    <x v="0"/>
  </r>
  <r>
    <x v="6"/>
    <x v="0"/>
    <x v="2"/>
    <x v="0"/>
    <x v="0"/>
    <n v="24070.53"/>
    <x v="0"/>
    <x v="0"/>
  </r>
  <r>
    <x v="6"/>
    <x v="0"/>
    <x v="0"/>
    <x v="0"/>
    <x v="0"/>
    <n v="2475.82"/>
    <x v="0"/>
    <x v="0"/>
  </r>
  <r>
    <x v="6"/>
    <x v="0"/>
    <x v="0"/>
    <x v="0"/>
    <x v="0"/>
    <n v="8015.47"/>
    <x v="0"/>
    <x v="0"/>
  </r>
  <r>
    <x v="6"/>
    <x v="2"/>
    <x v="3"/>
    <x v="0"/>
    <x v="0"/>
    <n v="127433.52"/>
    <x v="0"/>
    <x v="0"/>
  </r>
  <r>
    <x v="6"/>
    <x v="0"/>
    <x v="2"/>
    <x v="0"/>
    <x v="0"/>
    <n v="17189.18"/>
    <x v="0"/>
    <x v="0"/>
  </r>
  <r>
    <x v="6"/>
    <x v="0"/>
    <x v="0"/>
    <x v="0"/>
    <x v="0"/>
    <n v="1419.98"/>
    <x v="0"/>
    <x v="0"/>
  </r>
  <r>
    <x v="6"/>
    <x v="1"/>
    <x v="2"/>
    <x v="0"/>
    <x v="0"/>
    <n v="80218.06"/>
    <x v="0"/>
    <x v="0"/>
  </r>
  <r>
    <x v="6"/>
    <x v="0"/>
    <x v="0"/>
    <x v="0"/>
    <x v="0"/>
    <n v="4322.53"/>
    <x v="0"/>
    <x v="0"/>
  </r>
  <r>
    <x v="6"/>
    <x v="2"/>
    <x v="3"/>
    <x v="0"/>
    <x v="0"/>
    <n v="198823.6"/>
    <x v="0"/>
    <x v="0"/>
  </r>
  <r>
    <x v="6"/>
    <x v="0"/>
    <x v="0"/>
    <x v="0"/>
    <x v="0"/>
    <n v="3539.89"/>
    <x v="0"/>
    <x v="0"/>
  </r>
  <r>
    <x v="6"/>
    <x v="0"/>
    <x v="1"/>
    <x v="0"/>
    <x v="0"/>
    <n v="839.71"/>
    <x v="0"/>
    <x v="0"/>
  </r>
  <r>
    <x v="6"/>
    <x v="0"/>
    <x v="0"/>
    <x v="0"/>
    <x v="0"/>
    <n v="5449.92"/>
    <x v="0"/>
    <x v="0"/>
  </r>
  <r>
    <x v="6"/>
    <x v="0"/>
    <x v="0"/>
    <x v="0"/>
    <x v="0"/>
    <n v="5247.92"/>
    <x v="0"/>
    <x v="0"/>
  </r>
  <r>
    <x v="6"/>
    <x v="1"/>
    <x v="4"/>
    <x v="0"/>
    <x v="0"/>
    <n v="1130828.97"/>
    <x v="0"/>
    <x v="0"/>
  </r>
  <r>
    <x v="6"/>
    <x v="0"/>
    <x v="0"/>
    <x v="0"/>
    <x v="0"/>
    <n v="2675.43"/>
    <x v="0"/>
    <x v="0"/>
  </r>
  <r>
    <x v="6"/>
    <x v="2"/>
    <x v="3"/>
    <x v="0"/>
    <x v="0"/>
    <n v="285656.95"/>
    <x v="0"/>
    <x v="0"/>
  </r>
  <r>
    <x v="6"/>
    <x v="2"/>
    <x v="2"/>
    <x v="0"/>
    <x v="0"/>
    <n v="53459.12"/>
    <x v="0"/>
    <x v="0"/>
  </r>
  <r>
    <x v="6"/>
    <x v="2"/>
    <x v="3"/>
    <x v="0"/>
    <x v="0"/>
    <n v="461511.97"/>
    <x v="0"/>
    <x v="0"/>
  </r>
  <r>
    <x v="6"/>
    <x v="2"/>
    <x v="3"/>
    <x v="0"/>
    <x v="0"/>
    <n v="541556.34"/>
    <x v="0"/>
    <x v="0"/>
  </r>
  <r>
    <x v="6"/>
    <x v="2"/>
    <x v="3"/>
    <x v="0"/>
    <x v="0"/>
    <n v="118750.48"/>
    <x v="0"/>
    <x v="0"/>
  </r>
  <r>
    <x v="6"/>
    <x v="2"/>
    <x v="2"/>
    <x v="0"/>
    <x v="0"/>
    <n v="93943.96"/>
    <x v="0"/>
    <x v="0"/>
  </r>
  <r>
    <x v="6"/>
    <x v="2"/>
    <x v="3"/>
    <x v="0"/>
    <x v="0"/>
    <n v="251863.34"/>
    <x v="0"/>
    <x v="0"/>
  </r>
  <r>
    <x v="6"/>
    <x v="2"/>
    <x v="3"/>
    <x v="0"/>
    <x v="0"/>
    <n v="102211.82"/>
    <x v="0"/>
    <x v="0"/>
  </r>
  <r>
    <x v="6"/>
    <x v="2"/>
    <x v="0"/>
    <x v="0"/>
    <x v="0"/>
    <n v="6448.86"/>
    <x v="0"/>
    <x v="0"/>
  </r>
  <r>
    <x v="6"/>
    <x v="2"/>
    <x v="3"/>
    <x v="0"/>
    <x v="0"/>
    <n v="135720.15"/>
    <x v="0"/>
    <x v="0"/>
  </r>
  <r>
    <x v="6"/>
    <x v="0"/>
    <x v="0"/>
    <x v="0"/>
    <x v="0"/>
    <n v="5105.27"/>
    <x v="0"/>
    <x v="0"/>
  </r>
  <r>
    <x v="6"/>
    <x v="2"/>
    <x v="3"/>
    <x v="0"/>
    <x v="0"/>
    <n v="413692.19"/>
    <x v="0"/>
    <x v="0"/>
  </r>
  <r>
    <x v="6"/>
    <x v="2"/>
    <x v="3"/>
    <x v="0"/>
    <x v="0"/>
    <n v="303693.11"/>
    <x v="0"/>
    <x v="0"/>
  </r>
  <r>
    <x v="6"/>
    <x v="3"/>
    <x v="0"/>
    <x v="0"/>
    <x v="0"/>
    <n v="5596.59"/>
    <x v="0"/>
    <x v="0"/>
  </r>
  <r>
    <x v="6"/>
    <x v="1"/>
    <x v="2"/>
    <x v="0"/>
    <x v="0"/>
    <n v="69635.1"/>
    <x v="0"/>
    <x v="0"/>
  </r>
  <r>
    <x v="6"/>
    <x v="0"/>
    <x v="0"/>
    <x v="0"/>
    <x v="0"/>
    <n v="5471.45"/>
    <x v="0"/>
    <x v="0"/>
  </r>
  <r>
    <x v="6"/>
    <x v="0"/>
    <x v="1"/>
    <x v="0"/>
    <x v="0"/>
    <n v="670.96"/>
    <x v="0"/>
    <x v="0"/>
  </r>
  <r>
    <x v="6"/>
    <x v="0"/>
    <x v="2"/>
    <x v="0"/>
    <x v="0"/>
    <n v="30221.72"/>
    <x v="0"/>
    <x v="0"/>
  </r>
  <r>
    <x v="6"/>
    <x v="0"/>
    <x v="2"/>
    <x v="0"/>
    <x v="0"/>
    <n v="22122.28"/>
    <x v="0"/>
    <x v="0"/>
  </r>
  <r>
    <x v="6"/>
    <x v="0"/>
    <x v="2"/>
    <x v="0"/>
    <x v="0"/>
    <n v="29488.1"/>
    <x v="0"/>
    <x v="0"/>
  </r>
  <r>
    <x v="6"/>
    <x v="0"/>
    <x v="0"/>
    <x v="0"/>
    <x v="0"/>
    <n v="8276.17"/>
    <x v="0"/>
    <x v="0"/>
  </r>
  <r>
    <x v="6"/>
    <x v="0"/>
    <x v="0"/>
    <x v="0"/>
    <x v="0"/>
    <n v="7113.65"/>
    <x v="0"/>
    <x v="0"/>
  </r>
  <r>
    <x v="6"/>
    <x v="0"/>
    <x v="1"/>
    <x v="0"/>
    <x v="0"/>
    <n v="243.96"/>
    <x v="0"/>
    <x v="0"/>
  </r>
  <r>
    <x v="6"/>
    <x v="0"/>
    <x v="2"/>
    <x v="0"/>
    <x v="0"/>
    <n v="10680.86"/>
    <x v="0"/>
    <x v="0"/>
  </r>
  <r>
    <x v="6"/>
    <x v="0"/>
    <x v="0"/>
    <x v="0"/>
    <x v="0"/>
    <n v="5093.86"/>
    <x v="0"/>
    <x v="0"/>
  </r>
  <r>
    <x v="6"/>
    <x v="0"/>
    <x v="2"/>
    <x v="0"/>
    <x v="0"/>
    <n v="13988.94"/>
    <x v="0"/>
    <x v="0"/>
  </r>
  <r>
    <x v="6"/>
    <x v="0"/>
    <x v="0"/>
    <x v="0"/>
    <x v="0"/>
    <n v="6863.99"/>
    <x v="0"/>
    <x v="0"/>
  </r>
  <r>
    <x v="6"/>
    <x v="0"/>
    <x v="2"/>
    <x v="0"/>
    <x v="0"/>
    <n v="10456.77"/>
    <x v="0"/>
    <x v="0"/>
  </r>
  <r>
    <x v="6"/>
    <x v="0"/>
    <x v="2"/>
    <x v="0"/>
    <x v="0"/>
    <n v="11001.9"/>
    <x v="0"/>
    <x v="0"/>
  </r>
  <r>
    <x v="6"/>
    <x v="0"/>
    <x v="0"/>
    <x v="0"/>
    <x v="0"/>
    <n v="5962.29"/>
    <x v="0"/>
    <x v="0"/>
  </r>
  <r>
    <x v="6"/>
    <x v="0"/>
    <x v="0"/>
    <x v="0"/>
    <x v="0"/>
    <n v="7606.59"/>
    <x v="0"/>
    <x v="0"/>
  </r>
  <r>
    <x v="6"/>
    <x v="0"/>
    <x v="2"/>
    <x v="0"/>
    <x v="0"/>
    <n v="14093.9"/>
    <x v="0"/>
    <x v="0"/>
  </r>
  <r>
    <x v="6"/>
    <x v="0"/>
    <x v="0"/>
    <x v="0"/>
    <x v="0"/>
    <n v="5738.02"/>
    <x v="0"/>
    <x v="0"/>
  </r>
  <r>
    <x v="6"/>
    <x v="0"/>
    <x v="0"/>
    <x v="0"/>
    <x v="0"/>
    <n v="3250.37"/>
    <x v="0"/>
    <x v="0"/>
  </r>
  <r>
    <x v="6"/>
    <x v="0"/>
    <x v="0"/>
    <x v="0"/>
    <x v="0"/>
    <n v="2799.85"/>
    <x v="0"/>
    <x v="0"/>
  </r>
  <r>
    <x v="6"/>
    <x v="0"/>
    <x v="0"/>
    <x v="0"/>
    <x v="0"/>
    <n v="2025.97"/>
    <x v="0"/>
    <x v="0"/>
  </r>
  <r>
    <x v="6"/>
    <x v="0"/>
    <x v="0"/>
    <x v="0"/>
    <x v="0"/>
    <n v="9239.74"/>
    <x v="0"/>
    <x v="0"/>
  </r>
  <r>
    <x v="6"/>
    <x v="0"/>
    <x v="0"/>
    <x v="0"/>
    <x v="0"/>
    <n v="2977.78"/>
    <x v="0"/>
    <x v="0"/>
  </r>
  <r>
    <x v="6"/>
    <x v="0"/>
    <x v="0"/>
    <x v="0"/>
    <x v="0"/>
    <n v="3478.79"/>
    <x v="0"/>
    <x v="0"/>
  </r>
  <r>
    <x v="6"/>
    <x v="0"/>
    <x v="0"/>
    <x v="0"/>
    <x v="0"/>
    <n v="1228.91"/>
    <x v="0"/>
    <x v="0"/>
  </r>
  <r>
    <x v="6"/>
    <x v="0"/>
    <x v="0"/>
    <x v="0"/>
    <x v="0"/>
    <n v="9021.68"/>
    <x v="0"/>
    <x v="0"/>
  </r>
  <r>
    <x v="6"/>
    <x v="0"/>
    <x v="0"/>
    <x v="0"/>
    <x v="0"/>
    <n v="6666.61"/>
    <x v="0"/>
    <x v="0"/>
  </r>
  <r>
    <x v="6"/>
    <x v="2"/>
    <x v="2"/>
    <x v="0"/>
    <x v="0"/>
    <n v="69299.64"/>
    <x v="0"/>
    <x v="0"/>
  </r>
  <r>
    <x v="6"/>
    <x v="0"/>
    <x v="0"/>
    <x v="0"/>
    <x v="0"/>
    <n v="8894.27"/>
    <x v="0"/>
    <x v="0"/>
  </r>
  <r>
    <x v="6"/>
    <x v="0"/>
    <x v="0"/>
    <x v="0"/>
    <x v="0"/>
    <n v="6292.71"/>
    <x v="0"/>
    <x v="0"/>
  </r>
  <r>
    <x v="6"/>
    <x v="1"/>
    <x v="3"/>
    <x v="0"/>
    <x v="0"/>
    <n v="514750.17"/>
    <x v="0"/>
    <x v="0"/>
  </r>
  <r>
    <x v="6"/>
    <x v="2"/>
    <x v="3"/>
    <x v="0"/>
    <x v="0"/>
    <n v="290528.69"/>
    <x v="0"/>
    <x v="0"/>
  </r>
  <r>
    <x v="6"/>
    <x v="0"/>
    <x v="0"/>
    <x v="0"/>
    <x v="0"/>
    <n v="6224.41"/>
    <x v="0"/>
    <x v="0"/>
  </r>
  <r>
    <x v="6"/>
    <x v="0"/>
    <x v="0"/>
    <x v="0"/>
    <x v="0"/>
    <n v="2061.86"/>
    <x v="0"/>
    <x v="0"/>
  </r>
  <r>
    <x v="6"/>
    <x v="0"/>
    <x v="1"/>
    <x v="0"/>
    <x v="0"/>
    <n v="346.08"/>
    <x v="0"/>
    <x v="0"/>
  </r>
  <r>
    <x v="6"/>
    <x v="0"/>
    <x v="0"/>
    <x v="0"/>
    <x v="0"/>
    <n v="4160.86"/>
    <x v="0"/>
    <x v="0"/>
  </r>
  <r>
    <x v="6"/>
    <x v="0"/>
    <x v="2"/>
    <x v="0"/>
    <x v="0"/>
    <n v="17686.08"/>
    <x v="0"/>
    <x v="0"/>
  </r>
  <r>
    <x v="6"/>
    <x v="1"/>
    <x v="4"/>
    <x v="0"/>
    <x v="0"/>
    <n v="1039778.19"/>
    <x v="0"/>
    <x v="0"/>
  </r>
  <r>
    <x v="6"/>
    <x v="2"/>
    <x v="3"/>
    <x v="0"/>
    <x v="0"/>
    <n v="114837.89"/>
    <x v="0"/>
    <x v="0"/>
  </r>
  <r>
    <x v="6"/>
    <x v="0"/>
    <x v="2"/>
    <x v="0"/>
    <x v="0"/>
    <n v="10167.71"/>
    <x v="0"/>
    <x v="0"/>
  </r>
  <r>
    <x v="6"/>
    <x v="1"/>
    <x v="3"/>
    <x v="0"/>
    <x v="0"/>
    <n v="398355.54"/>
    <x v="0"/>
    <x v="0"/>
  </r>
  <r>
    <x v="6"/>
    <x v="1"/>
    <x v="3"/>
    <x v="0"/>
    <x v="0"/>
    <n v="840886.94"/>
    <x v="0"/>
    <x v="0"/>
  </r>
  <r>
    <x v="6"/>
    <x v="0"/>
    <x v="0"/>
    <x v="0"/>
    <x v="0"/>
    <n v="3732.36"/>
    <x v="0"/>
    <x v="0"/>
  </r>
  <r>
    <x v="6"/>
    <x v="1"/>
    <x v="3"/>
    <x v="0"/>
    <x v="0"/>
    <n v="765639.59"/>
    <x v="0"/>
    <x v="0"/>
  </r>
  <r>
    <x v="6"/>
    <x v="0"/>
    <x v="0"/>
    <x v="0"/>
    <x v="0"/>
    <n v="9970.16"/>
    <x v="0"/>
    <x v="0"/>
  </r>
  <r>
    <x v="6"/>
    <x v="2"/>
    <x v="3"/>
    <x v="0"/>
    <x v="0"/>
    <n v="118577"/>
    <x v="0"/>
    <x v="0"/>
  </r>
  <r>
    <x v="6"/>
    <x v="0"/>
    <x v="0"/>
    <x v="0"/>
    <x v="0"/>
    <n v="6691.69"/>
    <x v="0"/>
    <x v="0"/>
  </r>
  <r>
    <x v="6"/>
    <x v="0"/>
    <x v="2"/>
    <x v="0"/>
    <x v="0"/>
    <n v="19080.06"/>
    <x v="0"/>
    <x v="0"/>
  </r>
  <r>
    <x v="6"/>
    <x v="0"/>
    <x v="2"/>
    <x v="0"/>
    <x v="0"/>
    <n v="11510.47"/>
    <x v="0"/>
    <x v="0"/>
  </r>
  <r>
    <x v="6"/>
    <x v="1"/>
    <x v="3"/>
    <x v="0"/>
    <x v="0"/>
    <n v="246846.74"/>
    <x v="0"/>
    <x v="0"/>
  </r>
  <r>
    <x v="6"/>
    <x v="1"/>
    <x v="3"/>
    <x v="0"/>
    <x v="0"/>
    <n v="564581.34"/>
    <x v="0"/>
    <x v="0"/>
  </r>
  <r>
    <x v="6"/>
    <x v="0"/>
    <x v="0"/>
    <x v="0"/>
    <x v="0"/>
    <n v="6895.23"/>
    <x v="0"/>
    <x v="0"/>
  </r>
  <r>
    <x v="6"/>
    <x v="0"/>
    <x v="1"/>
    <x v="0"/>
    <x v="0"/>
    <n v="115.38"/>
    <x v="0"/>
    <x v="0"/>
  </r>
  <r>
    <x v="6"/>
    <x v="0"/>
    <x v="1"/>
    <x v="0"/>
    <x v="0"/>
    <n v="466.73"/>
    <x v="0"/>
    <x v="0"/>
  </r>
  <r>
    <x v="6"/>
    <x v="0"/>
    <x v="0"/>
    <x v="0"/>
    <x v="0"/>
    <n v="8239.66"/>
    <x v="0"/>
    <x v="0"/>
  </r>
  <r>
    <x v="6"/>
    <x v="0"/>
    <x v="0"/>
    <x v="0"/>
    <x v="0"/>
    <n v="6063.34"/>
    <x v="0"/>
    <x v="0"/>
  </r>
  <r>
    <x v="6"/>
    <x v="1"/>
    <x v="3"/>
    <x v="0"/>
    <x v="0"/>
    <n v="317806.64"/>
    <x v="0"/>
    <x v="0"/>
  </r>
  <r>
    <x v="6"/>
    <x v="0"/>
    <x v="0"/>
    <x v="0"/>
    <x v="0"/>
    <n v="5096.1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Amount_Segments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showDrill="1">
  <location ref="A6:C13" firstHeaderRow="1" firstDataRow="2" firstDataCol="1"/>
  <pivotFields count="8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4"/>
        <item x="2"/>
        <item x="3"/>
        <item x="0"/>
        <item x="1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2">
        <item x="0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>
      <items count="37">
        <item x="0"/>
        <item x="1"/>
        <item x="2"/>
        <item x="23"/>
        <item x="32"/>
        <item x="14"/>
        <item x="31"/>
        <item x="34"/>
        <item x="19"/>
        <item x="12"/>
        <item x="30"/>
        <item x="29"/>
        <item x="13"/>
        <item x="3"/>
        <item x="15"/>
        <item x="7"/>
        <item x="25"/>
        <item x="26"/>
        <item x="27"/>
        <item x="24"/>
        <item x="6"/>
        <item x="22"/>
        <item x="33"/>
        <item x="20"/>
        <item x="21"/>
        <item x="8"/>
        <item x="18"/>
        <item x="28"/>
        <item x="9"/>
        <item x="35"/>
        <item x="4"/>
        <item x="11"/>
        <item x="10"/>
        <item x="5"/>
        <item x="17"/>
        <item x="16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s" fld="4" baseField="0" baseItem="0" numFmtId="3"/>
    <dataField name="Sum of Fraud Cases" fld="6" baseField="0" baseItem="0" numFmtId="3"/>
  </dataFields>
  <pivotTableStyleInfo name="PivotStyleMedium9" showRowHeaders="1" showColHeaders="1" showRowStripes="1" showLastColumn="1"/>
</pivotTableDefinition>
</file>

<file path=xl/pivotTables/pivotTable2.xml><?xml version="1.0" encoding="utf-8"?>
<pivotTableDefinition xmlns="http://schemas.openxmlformats.org/spreadsheetml/2006/main" name="Pivot_Transaction_Types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showDrill="1">
  <location ref="A6:C13" firstHeaderRow="1" firstDataRow="2" firstDataCol="1"/>
  <pivotFields count="8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2">
        <item x="0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>
      <items count="37">
        <item x="0"/>
        <item x="1"/>
        <item x="2"/>
        <item x="23"/>
        <item x="32"/>
        <item x="14"/>
        <item x="31"/>
        <item x="34"/>
        <item x="19"/>
        <item x="12"/>
        <item x="30"/>
        <item x="29"/>
        <item x="13"/>
        <item x="3"/>
        <item x="15"/>
        <item x="7"/>
        <item x="25"/>
        <item x="26"/>
        <item x="27"/>
        <item x="24"/>
        <item x="6"/>
        <item x="22"/>
        <item x="33"/>
        <item x="20"/>
        <item x="21"/>
        <item x="8"/>
        <item x="18"/>
        <item x="28"/>
        <item x="9"/>
        <item x="35"/>
        <item x="4"/>
        <item x="11"/>
        <item x="10"/>
        <item x="5"/>
        <item x="17"/>
        <item x="16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s" fld="4" baseField="0" baseItem="0" numFmtId="3"/>
    <dataField name="Sum of Fraud Cases" fld="6" baseField="0" baseItem="0" numFmtId="3"/>
  </dataFields>
  <pivotTableStyleInfo name="PivotStyleMedium9" showRowHeaders="1" showColHeaders="1" showRowStripes="1" showLastColumn="1"/>
</pivotTableDefinition>
</file>

<file path=xl/pivotTables/pivotTable3.xml><?xml version="1.0" encoding="utf-8"?>
<pivotTableDefinition xmlns="http://schemas.openxmlformats.org/spreadsheetml/2006/main" name="Pivot_Simulation_Steps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showDrill="1">
  <location ref="A6:C15" firstHeaderRow="1" firstDataRow="2" firstDataCol="1"/>
  <pivotFields count="8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4"/>
        <item x="2"/>
        <item x="3"/>
        <item x="0"/>
        <item x="1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2">
        <item x="0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>
      <items count="37">
        <item x="0"/>
        <item x="1"/>
        <item x="2"/>
        <item x="23"/>
        <item x="32"/>
        <item x="14"/>
        <item x="31"/>
        <item x="34"/>
        <item x="19"/>
        <item x="12"/>
        <item x="30"/>
        <item x="29"/>
        <item x="13"/>
        <item x="3"/>
        <item x="15"/>
        <item x="7"/>
        <item x="25"/>
        <item x="26"/>
        <item x="27"/>
        <item x="24"/>
        <item x="6"/>
        <item x="22"/>
        <item x="33"/>
        <item x="20"/>
        <item x="21"/>
        <item x="8"/>
        <item x="18"/>
        <item x="28"/>
        <item x="9"/>
        <item x="35"/>
        <item x="4"/>
        <item x="11"/>
        <item x="10"/>
        <item x="5"/>
        <item x="17"/>
        <item x="1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s" fld="4" baseField="0" baseItem="0" numFmtId="3"/>
    <dataField name="Sum of Fraud Cases" fld="6" baseField="0" baseItem="0" numFmtId="3"/>
  </dataFields>
  <pivotTableStyleInfo name="PivotStyleMedium9" showRowHeaders="1" showColHeaders="1" showRowStripes="1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ep" sourceName="Step">
  <pivotTables>
    <pivotTable tabId="3" name="Pivot_Transaction_Types"/>
    <pivotTable tabId="2" name="Pivot_Amount_Segments"/>
    <pivotTable tabId="4" name="Pivot_Simulation_Steps"/>
  </pivotTables>
  <data>
    <tabular pivotCacheId="1">
      <items count="7">
        <i x="0" s="1"/>
        <i x="1" s="1"/>
        <i x="2" s="1"/>
        <i x="3" s="1"/>
        <i x="4" s="1"/>
        <i x="5" s="1"/>
        <i x="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mount_Band" sourceName="Amount Band">
  <pivotTables>
    <pivotTable tabId="3" name="Pivot_Transaction_Types"/>
    <pivotTable tabId="2" name="Pivot_Amount_Segments"/>
    <pivotTable tabId="4" name="Pivot_Simulation_Steps"/>
  </pivotTables>
  <data>
    <tabular pivotCacheId="1">
      <items count="5">
        <i x="3" s="1"/>
        <i x="2" s="1"/>
        <i x="0" s="1"/>
        <i x="4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ype" sourceName="Type">
  <pivotTables>
    <pivotTable tabId="3" name="Pivot_Transaction_Types"/>
    <pivotTable tabId="2" name="Pivot_Amount_Segments"/>
    <pivotTable tabId="4" name="Pivot_Simulation_Steps"/>
  </pivotTables>
  <data>
    <tabular pivotCacheId="1">
      <items count="5">
        <i x="4" s="1"/>
        <i x="2" s="1"/>
        <i x="3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ep" cache="Slicer_Step" caption="Step" rowHeight="225425"/>
  <slicer name="Amount Band" cache="Slicer_Amount_Band" caption="Amount Band" rowHeight="225425"/>
  <slicer name="Type" cache="Slicer_Type" caption="Type" rowHeight="225425"/>
</slicers>
</file>

<file path=xl/tables/table1.xml><?xml version="1.0" encoding="utf-8"?>
<table xmlns="http://schemas.openxmlformats.org/spreadsheetml/2006/main" id="1" name="PaySimTransactions" displayName="PaySimTransactions" ref="A5:H10005" totalsRowShown="0">
  <tableColumns count="8">
    <tableColumn id="1" name="Step"/>
    <tableColumn id="2" name="Type"/>
    <tableColumn id="3" name="Amount Band"/>
    <tableColumn id="4" name="Fraud Label"/>
    <tableColumn id="5" name="Transactions"/>
    <tableColumn id="6" name="Total Amount"/>
    <tableColumn id="7" name="Fraud Cases"/>
    <tableColumn id="8" name="Fraud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opLeftCell="A19" workbookViewId="0">
      <selection activeCell="A1" sqref="A1:H2"/>
    </sheetView>
  </sheetViews>
  <sheetFormatPr defaultColWidth="9" defaultRowHeight="13.8" outlineLevelCol="7"/>
  <cols>
    <col min="1" max="1" width="27" customWidth="1"/>
    <col min="2" max="2" width="28" customWidth="1"/>
    <col min="3" max="8" width="19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1"/>
      <c r="B2" s="1"/>
      <c r="C2" s="1"/>
      <c r="D2" s="1"/>
      <c r="E2" s="1"/>
      <c r="F2" s="1"/>
      <c r="G2" s="1"/>
      <c r="H2" s="1"/>
    </row>
    <row r="3" ht="36" customHeight="1" spans="1:8">
      <c r="A3" s="2" t="s">
        <v>1</v>
      </c>
      <c r="B3" s="2"/>
      <c r="C3" s="2"/>
      <c r="D3" s="2"/>
      <c r="E3" s="2"/>
      <c r="F3" s="2"/>
      <c r="G3" s="2"/>
      <c r="H3" s="2"/>
    </row>
    <row r="5" ht="15.6" spans="1:8">
      <c r="A5" s="17" t="s">
        <v>2</v>
      </c>
      <c r="B5" s="17"/>
      <c r="C5" s="17"/>
      <c r="D5" s="17"/>
      <c r="E5" s="17"/>
      <c r="F5" s="17"/>
      <c r="G5" s="17"/>
      <c r="H5" s="17"/>
    </row>
    <row r="6" spans="1:8">
      <c r="A6" s="18" t="s">
        <v>3</v>
      </c>
      <c r="B6" s="18"/>
      <c r="C6" s="18"/>
      <c r="D6" s="18"/>
      <c r="E6" s="18"/>
      <c r="F6" s="18"/>
      <c r="G6" s="18"/>
      <c r="H6" s="18"/>
    </row>
    <row r="7" spans="1:8">
      <c r="A7" s="18"/>
      <c r="B7" s="18"/>
      <c r="C7" s="18"/>
      <c r="D7" s="18"/>
      <c r="E7" s="18"/>
      <c r="F7" s="18"/>
      <c r="G7" s="18"/>
      <c r="H7" s="18"/>
    </row>
    <row r="9" ht="15.6" spans="1:8">
      <c r="A9" s="17" t="s">
        <v>4</v>
      </c>
      <c r="B9" s="17"/>
      <c r="C9" s="17"/>
      <c r="D9" s="17"/>
      <c r="E9" s="17"/>
      <c r="F9" s="17"/>
      <c r="G9" s="17"/>
      <c r="H9" s="17"/>
    </row>
    <row r="11" ht="25" customHeight="1" spans="1:8">
      <c r="A11" t="s">
        <v>5</v>
      </c>
      <c r="B11" s="19">
        <f>SUM('SOURCE TRANSACTIONS'!E6:E10005)</f>
        <v>10000</v>
      </c>
    </row>
    <row r="12" ht="25" customHeight="1" spans="1:8">
      <c r="A12" t="s">
        <v>6</v>
      </c>
      <c r="B12" s="19">
        <f>SUM('SOURCE TRANSACTIONS'!G6:G10005)</f>
        <v>68</v>
      </c>
    </row>
    <row r="13" ht="25" customHeight="1" spans="1:8">
      <c r="A13" t="s">
        <v>7</v>
      </c>
      <c r="B13" s="20">
        <f>IFERROR(B12/B11,0)</f>
        <v>0.0068</v>
      </c>
    </row>
    <row r="14" ht="25" customHeight="1" spans="1:8">
      <c r="A14" t="s">
        <v>8</v>
      </c>
      <c r="B14" s="7">
        <f>SUM('SOURCE TRANSACTIONS'!F6:F10005)</f>
        <v>1035466899.49</v>
      </c>
    </row>
    <row r="15" ht="25" customHeight="1" spans="1:8">
      <c r="A15" t="s">
        <v>9</v>
      </c>
      <c r="B15" s="7">
        <f>SUM('SOURCE TRANSACTIONS'!H6:H10005)</f>
        <v>36275527.43</v>
      </c>
    </row>
    <row r="18" ht="15.6" spans="1:8">
      <c r="A18" s="17" t="s">
        <v>10</v>
      </c>
      <c r="B18" s="17"/>
      <c r="C18" s="17"/>
      <c r="D18" s="17"/>
      <c r="E18" s="17"/>
      <c r="F18" s="17"/>
      <c r="G18" s="17"/>
      <c r="H18" s="17"/>
    </row>
    <row r="19" spans="1:8">
      <c r="A19" s="18" t="s">
        <v>11</v>
      </c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  <row r="21" spans="1:8">
      <c r="A21" s="18" t="s">
        <v>12</v>
      </c>
      <c r="B21" s="18"/>
      <c r="C21" s="18"/>
      <c r="D21" s="18"/>
      <c r="E21" s="18"/>
      <c r="F21" s="18"/>
      <c r="G21" s="18"/>
      <c r="H21" s="18"/>
    </row>
    <row r="22" spans="1:8">
      <c r="A22" s="18"/>
      <c r="B22" s="18"/>
      <c r="C22" s="18"/>
      <c r="D22" s="18"/>
      <c r="E22" s="18"/>
      <c r="F22" s="18"/>
      <c r="G22" s="18"/>
      <c r="H22" s="18"/>
    </row>
    <row r="23" spans="1:8">
      <c r="A23" s="18" t="s">
        <v>13</v>
      </c>
      <c r="B23" s="18"/>
      <c r="C23" s="18"/>
      <c r="D23" s="18"/>
      <c r="E23" s="18"/>
      <c r="F23" s="18"/>
      <c r="G23" s="18"/>
      <c r="H23" s="18"/>
    </row>
    <row r="24" spans="1:8">
      <c r="A24" s="18"/>
      <c r="B24" s="18"/>
      <c r="C24" s="18"/>
      <c r="D24" s="18"/>
      <c r="E24" s="18"/>
      <c r="F24" s="18"/>
      <c r="G24" s="18"/>
      <c r="H24" s="18"/>
    </row>
    <row r="27" ht="15.6" spans="1:8">
      <c r="A27" s="17" t="s">
        <v>14</v>
      </c>
      <c r="B27" s="17"/>
      <c r="C27" s="17"/>
      <c r="D27" s="17"/>
      <c r="E27" s="17"/>
      <c r="F27" s="17"/>
      <c r="G27" s="17"/>
      <c r="H27" s="17"/>
    </row>
    <row r="28" spans="1:8">
      <c r="A28" s="2" t="s">
        <v>15</v>
      </c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 t="s">
        <v>16</v>
      </c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 t="s">
        <v>17</v>
      </c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 t="s">
        <v>18</v>
      </c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8" ht="15.6" spans="1:8">
      <c r="A38" s="17" t="s">
        <v>19</v>
      </c>
      <c r="B38" s="17"/>
      <c r="C38" s="17"/>
      <c r="D38" s="17"/>
      <c r="E38" s="17"/>
      <c r="F38" s="17"/>
      <c r="G38" s="17"/>
      <c r="H38" s="17"/>
    </row>
    <row r="39" spans="1:8">
      <c r="A39" t="s">
        <v>20</v>
      </c>
      <c r="B39" s="21" t="s">
        <v>21</v>
      </c>
      <c r="C39" s="21"/>
      <c r="D39" s="21"/>
      <c r="E39" s="21"/>
      <c r="F39" s="21"/>
      <c r="G39" s="21"/>
      <c r="H39" s="21"/>
    </row>
    <row r="40" spans="1:8">
      <c r="B40" s="21"/>
      <c r="C40" s="21"/>
      <c r="D40" s="21"/>
      <c r="E40" s="21"/>
      <c r="F40" s="21"/>
      <c r="G40" s="21"/>
      <c r="H40" s="21"/>
    </row>
    <row r="42" spans="1:8">
      <c r="A42" t="s">
        <v>22</v>
      </c>
      <c r="B42" s="21" t="s">
        <v>23</v>
      </c>
      <c r="C42" s="21"/>
      <c r="D42" s="21"/>
      <c r="E42" s="21"/>
      <c r="F42" s="21"/>
      <c r="G42" s="21"/>
      <c r="H42" s="21"/>
    </row>
    <row r="43" spans="1:8">
      <c r="B43" s="21"/>
      <c r="C43" s="21"/>
      <c r="D43" s="21"/>
      <c r="E43" s="21"/>
      <c r="F43" s="21"/>
      <c r="G43" s="21"/>
      <c r="H43" s="21"/>
    </row>
    <row r="46" spans="1:8">
      <c r="A46" s="22" t="s">
        <v>24</v>
      </c>
      <c r="B46" s="22"/>
      <c r="C46" s="22"/>
      <c r="D46" s="22"/>
      <c r="E46" s="22"/>
      <c r="F46" s="22"/>
      <c r="G46" s="22"/>
      <c r="H46" s="22"/>
    </row>
    <row r="47" spans="1:8">
      <c r="A47" s="22"/>
      <c r="B47" s="22"/>
      <c r="C47" s="22"/>
      <c r="D47" s="22"/>
      <c r="E47" s="22"/>
      <c r="F47" s="22"/>
      <c r="G47" s="22"/>
      <c r="H47" s="22"/>
    </row>
  </sheetData>
  <mergeCells count="18">
    <mergeCell ref="A3:H3"/>
    <mergeCell ref="A5:H5"/>
    <mergeCell ref="A9:H9"/>
    <mergeCell ref="A18:H18"/>
    <mergeCell ref="A27:H27"/>
    <mergeCell ref="A38:H38"/>
    <mergeCell ref="A1:H2"/>
    <mergeCell ref="A6:H7"/>
    <mergeCell ref="A19:H20"/>
    <mergeCell ref="A21:H22"/>
    <mergeCell ref="A23:H24"/>
    <mergeCell ref="A28:H29"/>
    <mergeCell ref="A30:H31"/>
    <mergeCell ref="A32:H33"/>
    <mergeCell ref="A34:H35"/>
    <mergeCell ref="B39:H40"/>
    <mergeCell ref="B42:H43"/>
    <mergeCell ref="A46:H4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ySplit="6" topLeftCell="A7" activePane="bottomLeft" state="frozen"/>
      <selection/>
      <selection pane="bottomLeft" activeCell="D7" sqref="D7"/>
    </sheetView>
  </sheetViews>
  <sheetFormatPr defaultColWidth="9" defaultRowHeight="13.8" outlineLevelCol="7"/>
  <cols>
    <col min="1" max="1" width="13.9"/>
    <col min="2" max="2" width="20.5"/>
    <col min="3" max="3" width="20.2"/>
    <col min="4" max="4" width="20" customWidth="1"/>
    <col min="5" max="5" width="5" customWidth="1"/>
    <col min="6" max="7" width="18" customWidth="1"/>
    <col min="8" max="8" width="16" customWidth="1"/>
  </cols>
  <sheetData>
    <row r="1" ht="30" customHeight="1" spans="1:8">
      <c r="A1" s="1" t="s">
        <v>25</v>
      </c>
      <c r="B1" s="1"/>
      <c r="C1" s="1"/>
      <c r="D1" s="1"/>
      <c r="E1" s="1"/>
      <c r="F1" s="1"/>
      <c r="G1" s="1"/>
      <c r="H1" s="1"/>
    </row>
    <row r="2" ht="30" customHeight="1" spans="1:8">
      <c r="A2" s="1"/>
      <c r="B2" s="1"/>
      <c r="C2" s="1"/>
      <c r="D2" s="1"/>
      <c r="E2" s="1"/>
      <c r="F2" s="1"/>
      <c r="G2" s="1"/>
      <c r="H2" s="1"/>
    </row>
    <row r="3" ht="36" customHeight="1" spans="1:8">
      <c r="A3" s="2" t="s">
        <v>26</v>
      </c>
      <c r="B3" s="2"/>
      <c r="C3" s="2"/>
      <c r="D3" s="2"/>
      <c r="E3" s="2"/>
      <c r="F3" s="2"/>
      <c r="G3" s="2"/>
      <c r="H3" s="2"/>
    </row>
    <row r="4" spans="1:8">
      <c r="A4" s="10" t="s">
        <v>27</v>
      </c>
      <c r="B4" s="10"/>
      <c r="C4" s="10"/>
      <c r="D4" s="10"/>
      <c r="E4" s="10"/>
      <c r="F4" s="10"/>
      <c r="G4" s="10"/>
      <c r="H4" s="10"/>
    </row>
    <row r="6" ht="28" customHeight="1" spans="1:8">
      <c r="B6" t="s">
        <v>28</v>
      </c>
      <c r="C6"/>
      <c r="D6" s="11" t="s">
        <v>7</v>
      </c>
    </row>
    <row r="7" ht="23" customHeight="1" spans="1:8">
      <c r="A7" t="s">
        <v>29</v>
      </c>
      <c r="B7" t="s">
        <v>30</v>
      </c>
      <c r="C7" t="s">
        <v>31</v>
      </c>
      <c r="D7" s="5"/>
    </row>
    <row r="8" ht="23" customHeight="1" spans="1:8">
      <c r="A8" s="12" t="s">
        <v>32</v>
      </c>
      <c r="B8" s="13">
        <v>606</v>
      </c>
      <c r="C8" s="13">
        <v>2</v>
      </c>
      <c r="D8" s="5">
        <f>IF(OR(A8="",B8=""),"",IFERROR(C8/B8,0))</f>
        <v>0.0033003300330033</v>
      </c>
    </row>
    <row r="9" ht="23" customHeight="1" spans="1:8">
      <c r="A9" s="12" t="s">
        <v>33</v>
      </c>
      <c r="B9" s="13">
        <v>3856</v>
      </c>
      <c r="C9" s="13">
        <v>2</v>
      </c>
      <c r="D9" s="5">
        <f>IF(OR(A9="",B9=""),"",IFERROR(C9/B9,0))</f>
        <v>0.000518672199170124</v>
      </c>
    </row>
    <row r="10" ht="23" customHeight="1" spans="1:8">
      <c r="A10" s="12" t="s">
        <v>34</v>
      </c>
      <c r="B10" s="13">
        <v>2841</v>
      </c>
      <c r="C10" s="13">
        <v>42</v>
      </c>
      <c r="D10" s="5">
        <f>IF(OR(A10="",B10=""),"",IFERROR(C10/B10,0))</f>
        <v>0.0147835269271383</v>
      </c>
    </row>
    <row r="11" ht="23" customHeight="1" spans="1:8">
      <c r="A11" s="12" t="s">
        <v>35</v>
      </c>
      <c r="B11" s="13">
        <v>2574</v>
      </c>
      <c r="C11" s="13">
        <v>14</v>
      </c>
      <c r="D11" s="5">
        <f>IF(OR(A11="",B11=""),"",IFERROR(C11/B11,0))</f>
        <v>0.00543900543900544</v>
      </c>
    </row>
    <row r="12" ht="28" customHeight="1" spans="1:8">
      <c r="A12" s="12" t="s">
        <v>36</v>
      </c>
      <c r="B12" s="13">
        <v>123</v>
      </c>
      <c r="C12" s="13">
        <v>8</v>
      </c>
      <c r="D12" s="14">
        <f>IF(OR(A12="",B12=""),"",IFERROR(C12/B12,0))</f>
        <v>0.0650406504065041</v>
      </c>
    </row>
    <row r="13" spans="1:8">
      <c r="A13" s="12" t="s">
        <v>37</v>
      </c>
      <c r="B13" s="13">
        <v>10000</v>
      </c>
      <c r="C13" s="13">
        <v>68</v>
      </c>
      <c r="D13" s="16">
        <f>IF(OR(A13="",B13=""),"",IFERROR(C13/B13,0))</f>
        <v>0.0068</v>
      </c>
    </row>
    <row r="17" spans="1:8">
      <c r="A17" s="15" t="s">
        <v>38</v>
      </c>
      <c r="B17" s="15"/>
      <c r="C17" s="15"/>
      <c r="D17" s="15"/>
      <c r="E17" s="15"/>
      <c r="F17" s="15"/>
      <c r="G17" s="15"/>
      <c r="H17" s="15"/>
    </row>
    <row r="18" spans="1:8">
      <c r="A18" s="15"/>
      <c r="B18" s="15"/>
      <c r="C18" s="15"/>
      <c r="D18" s="15"/>
      <c r="E18" s="15"/>
      <c r="F18" s="15"/>
      <c r="G18" s="15"/>
      <c r="H18" s="15"/>
    </row>
    <row r="24" spans="1:8">
      <c r="A24" s="10" t="s">
        <v>39</v>
      </c>
      <c r="B24" s="10"/>
      <c r="C24" s="10"/>
      <c r="D24" s="10"/>
      <c r="E24" s="10"/>
      <c r="F24" s="10"/>
      <c r="G24" s="10"/>
      <c r="H24" s="10"/>
    </row>
    <row r="25" spans="1:8">
      <c r="A25" s="10"/>
      <c r="B25" s="10"/>
      <c r="C25" s="10"/>
      <c r="D25" s="10"/>
      <c r="E25" s="10"/>
      <c r="F25" s="10"/>
      <c r="G25" s="10"/>
      <c r="H25" s="10"/>
    </row>
  </sheetData>
  <mergeCells count="5">
    <mergeCell ref="A3:H3"/>
    <mergeCell ref="A4:H4"/>
    <mergeCell ref="A1:H2"/>
    <mergeCell ref="A17:H18"/>
    <mergeCell ref="A24:H25"/>
  </mergeCells>
  <conditionalFormatting sqref="D7:D11">
    <cfRule type="dataBar" priority="1">
      <dataBar>
        <cfvo type="min"/>
        <cfvo type="max"/>
        <color rgb="FF47AAB0"/>
      </dataBar>
      <extLst>
        <ext xmlns:x14="http://schemas.microsoft.com/office/spreadsheetml/2009/9/main" uri="{B025F937-C7B1-47D3-B67F-A62EFF666E3E}">
          <x14:id>{f86cce55-25f6-45d5-ab3a-277704e3033a}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6cce55-25f6-45d5-ab3a-277704e3033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D7:D11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77" zoomScaleNormal="77" workbookViewId="0">
      <pane ySplit="6" topLeftCell="A7" activePane="bottomLeft" state="frozen"/>
      <selection/>
      <selection pane="bottomLeft" activeCell="A8" sqref="A8"/>
    </sheetView>
  </sheetViews>
  <sheetFormatPr defaultColWidth="9" defaultRowHeight="13.8" outlineLevelCol="7"/>
  <cols>
    <col min="1" max="1" width="13.9"/>
    <col min="2" max="2" width="20.5"/>
    <col min="3" max="3" width="20.2"/>
    <col min="4" max="4" width="20" customWidth="1"/>
    <col min="5" max="5" width="5" customWidth="1"/>
    <col min="6" max="7" width="18" customWidth="1"/>
    <col min="8" max="8" width="16" customWidth="1"/>
  </cols>
  <sheetData>
    <row r="1" ht="30" customHeight="1" spans="1:8">
      <c r="A1" s="1" t="s">
        <v>40</v>
      </c>
      <c r="B1" s="1"/>
      <c r="C1" s="1"/>
      <c r="D1" s="1"/>
      <c r="E1" s="1"/>
      <c r="F1" s="1"/>
      <c r="G1" s="1"/>
      <c r="H1" s="1"/>
    </row>
    <row r="2" ht="30" customHeight="1" spans="1:8">
      <c r="A2" s="1"/>
      <c r="B2" s="1"/>
      <c r="C2" s="1"/>
      <c r="D2" s="1"/>
      <c r="E2" s="1"/>
      <c r="F2" s="1"/>
      <c r="G2" s="1"/>
      <c r="H2" s="1"/>
    </row>
    <row r="3" ht="36" customHeight="1" spans="1:8">
      <c r="A3" s="2" t="s">
        <v>41</v>
      </c>
      <c r="B3" s="2"/>
      <c r="C3" s="2"/>
      <c r="D3" s="2"/>
      <c r="E3" s="2"/>
      <c r="F3" s="2"/>
      <c r="G3" s="2"/>
      <c r="H3" s="2"/>
    </row>
    <row r="4" spans="1:8">
      <c r="A4" s="10" t="s">
        <v>27</v>
      </c>
      <c r="B4" s="10"/>
      <c r="C4" s="10"/>
      <c r="D4" s="10"/>
      <c r="E4" s="10"/>
      <c r="F4" s="10"/>
      <c r="G4" s="10"/>
      <c r="H4" s="10"/>
    </row>
    <row r="6" ht="28" customHeight="1" spans="1:8">
      <c r="B6" t="s">
        <v>28</v>
      </c>
      <c r="C6"/>
      <c r="D6" s="11" t="s">
        <v>7</v>
      </c>
    </row>
    <row r="7" ht="23" customHeight="1" spans="1:8">
      <c r="A7" t="s">
        <v>29</v>
      </c>
      <c r="B7" t="s">
        <v>30</v>
      </c>
      <c r="C7" t="s">
        <v>31</v>
      </c>
      <c r="D7" s="5">
        <f t="shared" ref="D7:D12" si="0">IFERROR(C7/B7,0)</f>
        <v>0</v>
      </c>
    </row>
    <row r="8" ht="23" customHeight="1" spans="1:8">
      <c r="A8" s="12" t="s">
        <v>42</v>
      </c>
      <c r="B8" s="13">
        <v>5465</v>
      </c>
      <c r="C8" s="13">
        <v>0</v>
      </c>
      <c r="D8" s="5">
        <f t="shared" si="0"/>
        <v>0</v>
      </c>
    </row>
    <row r="9" ht="23" customHeight="1" spans="1:8">
      <c r="A9" s="12" t="s">
        <v>43</v>
      </c>
      <c r="B9" s="13">
        <v>921</v>
      </c>
      <c r="C9" s="13">
        <v>33</v>
      </c>
      <c r="D9" s="5">
        <f t="shared" si="0"/>
        <v>0.0358306188925081</v>
      </c>
    </row>
    <row r="10" ht="23" customHeight="1" spans="1:8">
      <c r="A10" s="12" t="s">
        <v>44</v>
      </c>
      <c r="B10" s="13">
        <v>1321</v>
      </c>
      <c r="C10" s="13">
        <v>35</v>
      </c>
      <c r="D10" s="5">
        <f t="shared" si="0"/>
        <v>0.0264950794852385</v>
      </c>
    </row>
    <row r="11" ht="23" customHeight="1" spans="1:8">
      <c r="A11" s="12" t="s">
        <v>45</v>
      </c>
      <c r="B11" s="13">
        <v>344</v>
      </c>
      <c r="C11" s="13">
        <v>0</v>
      </c>
      <c r="D11" s="5">
        <f t="shared" si="0"/>
        <v>0</v>
      </c>
    </row>
    <row r="12" ht="28" customHeight="1" spans="1:8">
      <c r="A12" s="12" t="s">
        <v>46</v>
      </c>
      <c r="B12" s="13">
        <v>1949</v>
      </c>
      <c r="C12" s="13">
        <v>0</v>
      </c>
      <c r="D12" s="14">
        <f t="shared" si="0"/>
        <v>0</v>
      </c>
    </row>
    <row r="13" spans="1:8">
      <c r="A13" s="12" t="s">
        <v>37</v>
      </c>
      <c r="B13" s="13">
        <v>10000</v>
      </c>
      <c r="C13" s="13">
        <v>68</v>
      </c>
    </row>
    <row r="16" spans="1:8">
      <c r="A16" s="15" t="s">
        <v>47</v>
      </c>
      <c r="B16" s="15"/>
      <c r="C16" s="15"/>
      <c r="D16" s="15"/>
      <c r="E16" s="15"/>
      <c r="F16" s="15"/>
      <c r="G16" s="15"/>
      <c r="H16" s="15"/>
    </row>
    <row r="17" spans="1:8">
      <c r="A17" s="15"/>
      <c r="B17" s="15"/>
      <c r="C17" s="15"/>
      <c r="D17" s="15"/>
      <c r="E17" s="15"/>
      <c r="F17" s="15"/>
      <c r="G17" s="15"/>
      <c r="H17" s="15"/>
    </row>
    <row r="24" spans="1:8">
      <c r="A24" s="10" t="s">
        <v>39</v>
      </c>
      <c r="B24" s="10"/>
      <c r="C24" s="10"/>
      <c r="D24" s="10"/>
      <c r="E24" s="10"/>
      <c r="F24" s="10"/>
      <c r="G24" s="10"/>
      <c r="H24" s="10"/>
    </row>
    <row r="25" spans="1:8">
      <c r="A25" s="10"/>
      <c r="B25" s="10"/>
      <c r="C25" s="10"/>
      <c r="D25" s="10"/>
      <c r="E25" s="10"/>
      <c r="F25" s="10"/>
      <c r="G25" s="10"/>
      <c r="H25" s="10"/>
    </row>
  </sheetData>
  <mergeCells count="5">
    <mergeCell ref="A3:H3"/>
    <mergeCell ref="A4:H4"/>
    <mergeCell ref="A1:H2"/>
    <mergeCell ref="A16:H17"/>
    <mergeCell ref="A24:H25"/>
  </mergeCells>
  <conditionalFormatting sqref="D7:D11">
    <cfRule type="dataBar" priority="1">
      <dataBar>
        <cfvo type="min"/>
        <cfvo type="max"/>
        <color rgb="FF47AAB0"/>
      </dataBar>
      <extLst>
        <ext xmlns:x14="http://schemas.microsoft.com/office/spreadsheetml/2009/9/main" uri="{B025F937-C7B1-47D3-B67F-A62EFF666E3E}">
          <x14:id>{94b7bede-b623-426e-a681-cca65b74e19f}</x14:id>
        </ext>
      </extLst>
    </cfRule>
  </conditionalFormatting>
  <pageMargins left="0.7" right="0.7" top="0.75" bottom="0.75" header="0.3" footer="0.3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b7bede-b623-426e-a681-cca65b74e19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D7:D11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ySplit="6" topLeftCell="A7" activePane="bottomLeft" state="frozen"/>
      <selection/>
      <selection pane="bottomLeft" activeCell="A1" sqref="A1:H2"/>
    </sheetView>
  </sheetViews>
  <sheetFormatPr defaultColWidth="9" defaultRowHeight="13.8" outlineLevelCol="7"/>
  <cols>
    <col min="1" max="1" width="13.9"/>
    <col min="2" max="2" width="20.5"/>
    <col min="3" max="3" width="20.2"/>
    <col min="4" max="4" width="20" customWidth="1"/>
    <col min="5" max="5" width="5" customWidth="1"/>
    <col min="6" max="7" width="18" customWidth="1"/>
    <col min="8" max="8" width="16" customWidth="1"/>
  </cols>
  <sheetData>
    <row r="1" ht="30" customHeight="1" spans="1:8">
      <c r="A1" s="1" t="s">
        <v>48</v>
      </c>
      <c r="B1" s="1"/>
      <c r="C1" s="1"/>
      <c r="D1" s="1"/>
      <c r="E1" s="1"/>
      <c r="F1" s="1"/>
      <c r="G1" s="1"/>
      <c r="H1" s="1"/>
    </row>
    <row r="2" ht="30" customHeight="1" spans="1:8">
      <c r="A2" s="1"/>
      <c r="B2" s="1"/>
      <c r="C2" s="1"/>
      <c r="D2" s="1"/>
      <c r="E2" s="1"/>
      <c r="F2" s="1"/>
      <c r="G2" s="1"/>
      <c r="H2" s="1"/>
    </row>
    <row r="3" ht="36" customHeight="1" spans="1:8">
      <c r="A3" s="2" t="s">
        <v>49</v>
      </c>
      <c r="B3" s="2"/>
      <c r="C3" s="2"/>
      <c r="D3" s="2"/>
      <c r="E3" s="2"/>
      <c r="F3" s="2"/>
      <c r="G3" s="2"/>
      <c r="H3" s="2"/>
    </row>
    <row r="4" spans="1:8">
      <c r="A4" s="10" t="s">
        <v>27</v>
      </c>
      <c r="B4" s="10"/>
      <c r="C4" s="10"/>
      <c r="D4" s="10"/>
      <c r="E4" s="10"/>
      <c r="F4" s="10"/>
      <c r="G4" s="10"/>
      <c r="H4" s="10"/>
    </row>
    <row r="6" ht="28" customHeight="1" spans="1:8">
      <c r="B6" t="s">
        <v>28</v>
      </c>
      <c r="C6"/>
      <c r="D6" s="11" t="s">
        <v>7</v>
      </c>
    </row>
    <row r="7" ht="23" customHeight="1" spans="1:8">
      <c r="A7" t="s">
        <v>29</v>
      </c>
      <c r="B7" t="s">
        <v>30</v>
      </c>
      <c r="C7" t="s">
        <v>31</v>
      </c>
      <c r="D7" s="5">
        <f t="shared" ref="D7:D14" si="0">IFERROR(C7/B7,0)</f>
        <v>0</v>
      </c>
    </row>
    <row r="8" ht="23" customHeight="1" spans="1:8">
      <c r="A8" s="12">
        <v>1</v>
      </c>
      <c r="B8" s="13">
        <v>2708</v>
      </c>
      <c r="C8" s="13">
        <v>16</v>
      </c>
      <c r="D8" s="5">
        <f t="shared" si="0"/>
        <v>0.00590841949778434</v>
      </c>
    </row>
    <row r="9" ht="23" customHeight="1" spans="1:8">
      <c r="A9" s="12">
        <v>2</v>
      </c>
      <c r="B9" s="13">
        <v>1014</v>
      </c>
      <c r="C9" s="13">
        <v>8</v>
      </c>
      <c r="D9" s="5">
        <f t="shared" si="0"/>
        <v>0.00788954635108481</v>
      </c>
    </row>
    <row r="10" ht="23" customHeight="1" spans="1:8">
      <c r="A10" s="12">
        <v>3</v>
      </c>
      <c r="B10" s="13">
        <v>552</v>
      </c>
      <c r="C10" s="13">
        <v>4</v>
      </c>
      <c r="D10" s="5">
        <f t="shared" si="0"/>
        <v>0.0072463768115942</v>
      </c>
    </row>
    <row r="11" ht="23" customHeight="1" spans="1:8">
      <c r="A11" s="12">
        <v>4</v>
      </c>
      <c r="B11" s="13">
        <v>565</v>
      </c>
      <c r="C11" s="13">
        <v>10</v>
      </c>
      <c r="D11" s="5">
        <f t="shared" si="0"/>
        <v>0.0176991150442478</v>
      </c>
    </row>
    <row r="12" ht="23" customHeight="1" spans="1:8">
      <c r="A12" s="12">
        <v>5</v>
      </c>
      <c r="B12" s="13">
        <v>665</v>
      </c>
      <c r="C12" s="13">
        <v>6</v>
      </c>
      <c r="D12" s="5">
        <f t="shared" si="0"/>
        <v>0.00902255639097744</v>
      </c>
    </row>
    <row r="13" ht="23" customHeight="1" spans="1:8">
      <c r="A13" s="12">
        <v>6</v>
      </c>
      <c r="B13" s="13">
        <v>1660</v>
      </c>
      <c r="C13" s="13">
        <v>22</v>
      </c>
      <c r="D13" s="5">
        <f t="shared" si="0"/>
        <v>0.0132530120481928</v>
      </c>
    </row>
    <row r="14" ht="28" customHeight="1" spans="1:8">
      <c r="A14" s="12">
        <v>7</v>
      </c>
      <c r="B14" s="13">
        <v>2836</v>
      </c>
      <c r="C14" s="13">
        <v>2</v>
      </c>
      <c r="D14" s="14">
        <f t="shared" si="0"/>
        <v>0.000705218617771509</v>
      </c>
    </row>
    <row r="15" spans="1:8">
      <c r="A15" s="12" t="s">
        <v>37</v>
      </c>
      <c r="B15" s="13">
        <v>10000</v>
      </c>
      <c r="C15" s="13">
        <v>68</v>
      </c>
    </row>
    <row r="20" spans="1:8">
      <c r="A20" s="15" t="s">
        <v>50</v>
      </c>
      <c r="B20" s="15"/>
      <c r="C20" s="15"/>
      <c r="D20" s="15"/>
      <c r="E20" s="15"/>
      <c r="F20" s="15"/>
      <c r="G20" s="15"/>
      <c r="H20" s="15"/>
    </row>
    <row r="21" spans="1:8">
      <c r="A21" s="15"/>
      <c r="B21" s="15"/>
      <c r="C21" s="15"/>
      <c r="D21" s="15"/>
      <c r="E21" s="15"/>
      <c r="F21" s="15"/>
      <c r="G21" s="15"/>
      <c r="H21" s="15"/>
    </row>
    <row r="24" spans="1:8">
      <c r="A24" s="10" t="s">
        <v>39</v>
      </c>
      <c r="B24" s="10"/>
      <c r="C24" s="10"/>
      <c r="D24" s="10"/>
      <c r="E24" s="10"/>
      <c r="F24" s="10"/>
      <c r="G24" s="10"/>
      <c r="H24" s="10"/>
    </row>
    <row r="25" spans="1:8">
      <c r="A25" s="10"/>
      <c r="B25" s="10"/>
      <c r="C25" s="10"/>
      <c r="D25" s="10"/>
      <c r="E25" s="10"/>
      <c r="F25" s="10"/>
      <c r="G25" s="10"/>
      <c r="H25" s="10"/>
    </row>
  </sheetData>
  <mergeCells count="5">
    <mergeCell ref="A3:H3"/>
    <mergeCell ref="A4:H4"/>
    <mergeCell ref="A1:H2"/>
    <mergeCell ref="A20:H21"/>
    <mergeCell ref="A24:H25"/>
  </mergeCells>
  <conditionalFormatting sqref="D7:D13">
    <cfRule type="dataBar" priority="1">
      <dataBar>
        <cfvo type="min"/>
        <cfvo type="max"/>
        <color rgb="FF47AAB0"/>
      </dataBar>
      <extLst>
        <ext xmlns:x14="http://schemas.microsoft.com/office/spreadsheetml/2009/9/main" uri="{B025F937-C7B1-47D3-B67F-A62EFF666E3E}">
          <x14:id>{69e14e4a-67f4-455e-92a1-fde7662e0370}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e14e4a-67f4-455e-92a1-fde7662e037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D7:D13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82" zoomScaleNormal="82" workbookViewId="0">
      <selection activeCell="B15" sqref="B15"/>
    </sheetView>
  </sheetViews>
  <sheetFormatPr defaultColWidth="9" defaultRowHeight="13.8" outlineLevelCol="7"/>
  <cols>
    <col min="1" max="1" width="35" customWidth="1"/>
    <col min="2" max="3" width="25" customWidth="1"/>
    <col min="4" max="4" width="29" customWidth="1"/>
    <col min="5" max="5" width="23" customWidth="1"/>
    <col min="6" max="6" width="15" customWidth="1"/>
    <col min="7" max="8" width="12" customWidth="1"/>
  </cols>
  <sheetData>
    <row r="1" ht="30" customHeight="1" spans="1:8">
      <c r="A1" s="1" t="s">
        <v>51</v>
      </c>
      <c r="B1" s="1"/>
      <c r="C1" s="1"/>
      <c r="D1" s="1"/>
      <c r="E1" s="1"/>
      <c r="F1" s="1"/>
      <c r="G1" s="1"/>
      <c r="H1" s="1"/>
    </row>
    <row r="2" ht="30" customHeight="1" spans="1:8">
      <c r="A2" s="1"/>
      <c r="B2" s="1"/>
      <c r="C2" s="1"/>
      <c r="D2" s="1"/>
      <c r="E2" s="1"/>
      <c r="F2" s="1"/>
      <c r="G2" s="1"/>
      <c r="H2" s="1"/>
    </row>
    <row r="3" ht="36" customHeight="1" spans="1:8">
      <c r="A3" s="2" t="s">
        <v>52</v>
      </c>
      <c r="B3" s="2"/>
      <c r="C3" s="2"/>
      <c r="D3" s="2"/>
      <c r="E3" s="2"/>
      <c r="F3" s="2"/>
      <c r="G3" s="2"/>
      <c r="H3" s="2"/>
    </row>
    <row r="5" ht="28" customHeight="1" spans="1:8">
      <c r="A5" s="3" t="s">
        <v>53</v>
      </c>
      <c r="B5" s="3" t="s">
        <v>54</v>
      </c>
      <c r="C5" s="3" t="s">
        <v>55</v>
      </c>
      <c r="D5" s="3" t="s">
        <v>56</v>
      </c>
    </row>
    <row r="6" ht="26" customHeight="1" spans="1:8">
      <c r="A6" t="s">
        <v>57</v>
      </c>
      <c r="B6">
        <v>10000</v>
      </c>
      <c r="C6">
        <f>SUM('SOURCE TRANSACTIONS'!E6:E10005)</f>
        <v>10000</v>
      </c>
      <c r="D6" t="str">
        <f t="shared" ref="D6:D15" si="0">IF(B6=C6,"PASS","CHECK")</f>
        <v>PASS</v>
      </c>
    </row>
    <row r="7" ht="26" customHeight="1" spans="1:8">
      <c r="A7" t="s">
        <v>58</v>
      </c>
      <c r="B7">
        <v>68</v>
      </c>
      <c r="C7">
        <f>SUM('SOURCE TRANSACTIONS'!G6:G10005)</f>
        <v>68</v>
      </c>
      <c r="D7" t="str">
        <f t="shared" si="0"/>
        <v>PASS</v>
      </c>
    </row>
    <row r="8" ht="26" customHeight="1" spans="1:8">
      <c r="A8" t="s">
        <v>59</v>
      </c>
      <c r="B8">
        <v>10000</v>
      </c>
      <c r="C8">
        <f>COUNTA('SOURCE TRANSACTIONS'!A6:A10005)</f>
        <v>10000</v>
      </c>
      <c r="D8" t="str">
        <f t="shared" si="0"/>
        <v>PASS</v>
      </c>
    </row>
    <row r="9" ht="26" customHeight="1" spans="1:8">
      <c r="A9" t="s">
        <v>60</v>
      </c>
      <c r="B9">
        <v>68</v>
      </c>
      <c r="C9">
        <f>SUMIF('SOURCE TRANSACTIONS'!D6:D10005,1,'SOURCE TRANSACTIONS'!E6:E10005)</f>
        <v>68</v>
      </c>
      <c r="D9" t="str">
        <f t="shared" si="0"/>
        <v>PASS</v>
      </c>
    </row>
    <row r="10" ht="26" customHeight="1" spans="1:8">
      <c r="A10" t="s">
        <v>61</v>
      </c>
      <c r="B10">
        <f>C12</f>
        <v>10000</v>
      </c>
      <c r="C10" cm="1">
        <f t="array" ref="C10">INDEX('PIVOT - AMOUNTS'!B:B,MATCH("Grand Total",'PIVOT - AMOUNTS'!A:A,0))</f>
        <v>10000</v>
      </c>
      <c r="D10" t="str">
        <f t="shared" si="0"/>
        <v>PASS</v>
      </c>
    </row>
    <row r="11" ht="26" customHeight="1" spans="1:8">
      <c r="A11" t="s">
        <v>62</v>
      </c>
      <c r="B11">
        <f>C13</f>
        <v>68</v>
      </c>
      <c r="C11" cm="1">
        <f t="array" ref="C11">INDEX('PIVOT - AMOUNTS'!C:C,MATCH("Grand Total",'PIVOT - AMOUNTS'!A:A,0))</f>
        <v>68</v>
      </c>
      <c r="D11" t="str">
        <f t="shared" si="0"/>
        <v>PASS</v>
      </c>
    </row>
    <row r="12" ht="26" customHeight="1" spans="1:8">
      <c r="A12" t="s">
        <v>63</v>
      </c>
      <c r="B12">
        <f>C14</f>
        <v>10000</v>
      </c>
      <c r="C12" cm="1">
        <f t="array" ref="C12">INDEX('PIVOT - TYPES'!B:B,MATCH("Grand Total",'PIVOT - TYPES'!A:A,0))</f>
        <v>10000</v>
      </c>
      <c r="D12" t="str">
        <f t="shared" si="0"/>
        <v>PASS</v>
      </c>
    </row>
    <row r="13" ht="26" customHeight="1" spans="1:8">
      <c r="A13" t="s">
        <v>64</v>
      </c>
      <c r="B13">
        <f>C15</f>
        <v>68</v>
      </c>
      <c r="C13" cm="1">
        <f t="array" ref="C13">INDEX('PIVOT - TYPES'!C:C,MATCH("Grand Total",'PIVOT - TYPES'!A:A,0))</f>
        <v>68</v>
      </c>
      <c r="D13" t="str">
        <f t="shared" si="0"/>
        <v>PASS</v>
      </c>
    </row>
    <row r="14" ht="26" customHeight="1" spans="1:8">
      <c r="A14" t="s">
        <v>65</v>
      </c>
      <c r="B14">
        <f>C10</f>
        <v>10000</v>
      </c>
      <c r="C14" cm="1">
        <f t="array" ref="C14">INDEX('PIVOT - STEPS'!B:B,MATCH("Grand Total",'PIVOT - STEPS'!A:A,0))</f>
        <v>10000</v>
      </c>
      <c r="D14" t="str">
        <f t="shared" si="0"/>
        <v>PASS</v>
      </c>
    </row>
    <row r="15" ht="26" customHeight="1" spans="1:8">
      <c r="A15" t="s">
        <v>66</v>
      </c>
      <c r="B15">
        <f>C11</f>
        <v>68</v>
      </c>
      <c r="C15" cm="1">
        <f t="array" ref="C15">INDEX('PIVOT - STEPS'!C:C,MATCH("Grand Total",'PIVOT - STEPS'!A:A,0))</f>
        <v>68</v>
      </c>
      <c r="D15" t="str">
        <f t="shared" si="0"/>
        <v>PASS</v>
      </c>
    </row>
    <row r="18" spans="1:8">
      <c r="A18" s="8" t="s">
        <v>67</v>
      </c>
      <c r="B18" s="8"/>
      <c r="C18" s="8"/>
      <c r="D18" s="8"/>
      <c r="E18" s="8"/>
      <c r="F18" s="8"/>
      <c r="G18" s="8"/>
      <c r="H18" s="8"/>
    </row>
    <row r="20" spans="1:8">
      <c r="A20" t="s">
        <v>68</v>
      </c>
      <c r="B20">
        <v>0</v>
      </c>
      <c r="C20" s="9">
        <f>COUNTBLANK('SOURCE TRANSACTIONS'!A6:H10005)</f>
        <v>0</v>
      </c>
      <c r="D20" s="9"/>
      <c r="E20" s="9"/>
      <c r="F20" s="9"/>
      <c r="G20" s="9"/>
    </row>
    <row r="21" spans="1:8">
      <c r="A21" t="s">
        <v>69</v>
      </c>
      <c r="B21">
        <v>0</v>
      </c>
      <c r="C21" s="9" t="s">
        <v>70</v>
      </c>
      <c r="D21" s="9"/>
      <c r="E21" s="9"/>
      <c r="F21" s="9"/>
      <c r="G21" s="9"/>
    </row>
    <row r="22" spans="1:8">
      <c r="A22" t="s">
        <v>71</v>
      </c>
      <c r="B22">
        <v>0</v>
      </c>
      <c r="C22" s="9">
        <f>COUNTIF('SOURCE TRANSACTIONS'!F6:F10005,"&lt;=0")</f>
        <v>0</v>
      </c>
      <c r="D22" s="9"/>
      <c r="E22" s="9"/>
      <c r="F22" s="9"/>
      <c r="G22" s="9"/>
    </row>
    <row r="23" spans="1:8">
      <c r="A23" t="s">
        <v>72</v>
      </c>
      <c r="B23" t="s">
        <v>73</v>
      </c>
      <c r="C23" s="9" t="s">
        <v>74</v>
      </c>
      <c r="D23" s="9"/>
      <c r="E23" s="9"/>
      <c r="F23" s="9"/>
      <c r="G23" s="9"/>
    </row>
    <row r="26" spans="1:8">
      <c r="A26" s="2" t="s">
        <v>75</v>
      </c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</sheetData>
  <mergeCells count="8">
    <mergeCell ref="A3:H3"/>
    <mergeCell ref="A18:H18"/>
    <mergeCell ref="C20:G20"/>
    <mergeCell ref="C21:G21"/>
    <mergeCell ref="C22:G22"/>
    <mergeCell ref="C23:G23"/>
    <mergeCell ref="A1:H2"/>
    <mergeCell ref="A26:H28"/>
  </mergeCells>
  <conditionalFormatting sqref="D6:D15">
    <cfRule type="expression" dxfId="0" priority="1">
      <formula>D6="CHECK"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5"/>
  <sheetViews>
    <sheetView workbookViewId="0">
      <pane ySplit="5" topLeftCell="A6" activePane="bottomLeft" state="frozen"/>
      <selection/>
      <selection pane="bottomLeft" activeCell="A1" sqref="A1:H2"/>
    </sheetView>
  </sheetViews>
  <sheetFormatPr defaultColWidth="9" defaultRowHeight="13.8" outlineLevelCol="7"/>
  <cols>
    <col min="1" max="1" width="13" customWidth="1"/>
    <col min="2" max="2" width="20" customWidth="1"/>
    <col min="3" max="3" width="18" customWidth="1"/>
    <col min="4" max="4" width="15" customWidth="1"/>
    <col min="5" max="5" width="18" customWidth="1"/>
    <col min="6" max="6" width="23" customWidth="1"/>
    <col min="7" max="7" width="18" customWidth="1"/>
    <col min="8" max="8" width="22" customWidth="1"/>
  </cols>
  <sheetData>
    <row r="1" ht="30" customHeight="1" spans="1:8">
      <c r="A1" s="1" t="s">
        <v>76</v>
      </c>
      <c r="B1" s="1"/>
      <c r="C1" s="1"/>
      <c r="D1" s="1"/>
      <c r="E1" s="1"/>
      <c r="F1" s="1"/>
      <c r="G1" s="1"/>
      <c r="H1" s="1"/>
    </row>
    <row r="2" ht="30" customHeight="1" spans="1:8">
      <c r="A2" s="1"/>
      <c r="B2" s="1"/>
      <c r="C2" s="1"/>
      <c r="D2" s="1"/>
      <c r="E2" s="1"/>
      <c r="F2" s="1"/>
      <c r="G2" s="1"/>
      <c r="H2" s="1"/>
    </row>
    <row r="3" ht="36" customHeight="1" spans="1:8">
      <c r="A3" s="2" t="s">
        <v>77</v>
      </c>
      <c r="B3" s="2"/>
      <c r="C3" s="2"/>
      <c r="D3" s="2"/>
      <c r="E3" s="2"/>
      <c r="F3" s="2"/>
      <c r="G3" s="2"/>
      <c r="H3" s="2"/>
    </row>
    <row r="4" spans="1:8">
      <c r="A4" s="6" t="s">
        <v>78</v>
      </c>
      <c r="B4" s="6"/>
      <c r="C4" s="6"/>
      <c r="D4" s="6"/>
      <c r="E4" s="6"/>
      <c r="F4" s="6"/>
      <c r="G4" s="6"/>
      <c r="H4" s="6"/>
    </row>
    <row r="5" ht="28" customHeight="1" spans="1:8">
      <c r="A5" s="3" t="s">
        <v>79</v>
      </c>
      <c r="B5" s="3" t="s">
        <v>80</v>
      </c>
      <c r="C5" s="3" t="s">
        <v>81</v>
      </c>
      <c r="D5" s="3" t="s">
        <v>82</v>
      </c>
      <c r="E5" s="3" t="s">
        <v>5</v>
      </c>
      <c r="F5" s="3" t="s">
        <v>83</v>
      </c>
      <c r="G5" s="3" t="s">
        <v>84</v>
      </c>
      <c r="H5" s="3" t="s">
        <v>85</v>
      </c>
    </row>
    <row r="6" spans="1:8">
      <c r="A6">
        <v>1</v>
      </c>
      <c r="B6" t="s">
        <v>42</v>
      </c>
      <c r="C6" t="s">
        <v>33</v>
      </c>
      <c r="D6">
        <v>0</v>
      </c>
      <c r="E6">
        <v>1</v>
      </c>
      <c r="F6" s="7">
        <v>9839.64</v>
      </c>
      <c r="G6">
        <v>0</v>
      </c>
      <c r="H6" s="7">
        <v>0</v>
      </c>
    </row>
    <row r="7" spans="1:8">
      <c r="A7">
        <v>1</v>
      </c>
      <c r="B7" t="s">
        <v>42</v>
      </c>
      <c r="C7" t="s">
        <v>33</v>
      </c>
      <c r="D7">
        <v>0</v>
      </c>
      <c r="E7">
        <v>1</v>
      </c>
      <c r="F7" s="7">
        <v>1864.28</v>
      </c>
      <c r="G7">
        <v>0</v>
      </c>
      <c r="H7" s="7">
        <v>0</v>
      </c>
    </row>
    <row r="8" spans="1:8">
      <c r="A8">
        <v>1</v>
      </c>
      <c r="B8" t="s">
        <v>43</v>
      </c>
      <c r="C8" t="s">
        <v>32</v>
      </c>
      <c r="D8">
        <v>1</v>
      </c>
      <c r="E8">
        <v>1</v>
      </c>
      <c r="F8" s="7">
        <v>181</v>
      </c>
      <c r="G8">
        <v>1</v>
      </c>
      <c r="H8" s="7">
        <v>181</v>
      </c>
    </row>
    <row r="9" spans="1:8">
      <c r="A9">
        <v>1</v>
      </c>
      <c r="B9" t="s">
        <v>44</v>
      </c>
      <c r="C9" t="s">
        <v>32</v>
      </c>
      <c r="D9">
        <v>1</v>
      </c>
      <c r="E9">
        <v>1</v>
      </c>
      <c r="F9" s="7">
        <v>181</v>
      </c>
      <c r="G9">
        <v>1</v>
      </c>
      <c r="H9" s="7">
        <v>181</v>
      </c>
    </row>
    <row r="10" spans="1:8">
      <c r="A10">
        <v>1</v>
      </c>
      <c r="B10" t="s">
        <v>42</v>
      </c>
      <c r="C10" t="s">
        <v>34</v>
      </c>
      <c r="D10">
        <v>0</v>
      </c>
      <c r="E10">
        <v>1</v>
      </c>
      <c r="F10" s="7">
        <v>11668.14</v>
      </c>
      <c r="G10">
        <v>0</v>
      </c>
      <c r="H10" s="7">
        <v>0</v>
      </c>
    </row>
    <row r="11" spans="1:8">
      <c r="A11">
        <v>1</v>
      </c>
      <c r="B11" t="s">
        <v>42</v>
      </c>
      <c r="C11" t="s">
        <v>33</v>
      </c>
      <c r="D11">
        <v>0</v>
      </c>
      <c r="E11">
        <v>1</v>
      </c>
      <c r="F11" s="7">
        <v>7817.71</v>
      </c>
      <c r="G11">
        <v>0</v>
      </c>
      <c r="H11" s="7">
        <v>0</v>
      </c>
    </row>
    <row r="12" spans="1:8">
      <c r="A12">
        <v>1</v>
      </c>
      <c r="B12" t="s">
        <v>42</v>
      </c>
      <c r="C12" t="s">
        <v>33</v>
      </c>
      <c r="D12">
        <v>0</v>
      </c>
      <c r="E12">
        <v>1</v>
      </c>
      <c r="F12" s="7">
        <v>7107.77</v>
      </c>
      <c r="G12">
        <v>0</v>
      </c>
      <c r="H12" s="7">
        <v>0</v>
      </c>
    </row>
    <row r="13" spans="1:8">
      <c r="A13">
        <v>1</v>
      </c>
      <c r="B13" t="s">
        <v>42</v>
      </c>
      <c r="C13" t="s">
        <v>33</v>
      </c>
      <c r="D13">
        <v>0</v>
      </c>
      <c r="E13">
        <v>1</v>
      </c>
      <c r="F13" s="7">
        <v>7861.64</v>
      </c>
      <c r="G13">
        <v>0</v>
      </c>
      <c r="H13" s="7">
        <v>0</v>
      </c>
    </row>
    <row r="14" spans="1:8">
      <c r="A14">
        <v>1</v>
      </c>
      <c r="B14" t="s">
        <v>42</v>
      </c>
      <c r="C14" t="s">
        <v>33</v>
      </c>
      <c r="D14">
        <v>0</v>
      </c>
      <c r="E14">
        <v>1</v>
      </c>
      <c r="F14" s="7">
        <v>4024.36</v>
      </c>
      <c r="G14">
        <v>0</v>
      </c>
      <c r="H14" s="7">
        <v>0</v>
      </c>
    </row>
    <row r="15" spans="1:8">
      <c r="A15">
        <v>1</v>
      </c>
      <c r="B15" t="s">
        <v>45</v>
      </c>
      <c r="C15" t="s">
        <v>33</v>
      </c>
      <c r="D15">
        <v>0</v>
      </c>
      <c r="E15">
        <v>1</v>
      </c>
      <c r="F15" s="7">
        <v>5337.77</v>
      </c>
      <c r="G15">
        <v>0</v>
      </c>
      <c r="H15" s="7">
        <v>0</v>
      </c>
    </row>
    <row r="16" spans="1:8">
      <c r="A16">
        <v>1</v>
      </c>
      <c r="B16" t="s">
        <v>45</v>
      </c>
      <c r="C16" t="s">
        <v>33</v>
      </c>
      <c r="D16">
        <v>0</v>
      </c>
      <c r="E16">
        <v>1</v>
      </c>
      <c r="F16" s="7">
        <v>9644.94</v>
      </c>
      <c r="G16">
        <v>0</v>
      </c>
      <c r="H16" s="7">
        <v>0</v>
      </c>
    </row>
    <row r="17" spans="1:8">
      <c r="A17">
        <v>1</v>
      </c>
      <c r="B17" t="s">
        <v>42</v>
      </c>
      <c r="C17" t="s">
        <v>33</v>
      </c>
      <c r="D17">
        <v>0</v>
      </c>
      <c r="E17">
        <v>1</v>
      </c>
      <c r="F17" s="7">
        <v>3099.97</v>
      </c>
      <c r="G17">
        <v>0</v>
      </c>
      <c r="H17" s="7">
        <v>0</v>
      </c>
    </row>
    <row r="18" spans="1:8">
      <c r="A18">
        <v>1</v>
      </c>
      <c r="B18" t="s">
        <v>42</v>
      </c>
      <c r="C18" t="s">
        <v>33</v>
      </c>
      <c r="D18">
        <v>0</v>
      </c>
      <c r="E18">
        <v>1</v>
      </c>
      <c r="F18" s="7">
        <v>2560.74</v>
      </c>
      <c r="G18">
        <v>0</v>
      </c>
      <c r="H18" s="7">
        <v>0</v>
      </c>
    </row>
    <row r="19" spans="1:8">
      <c r="A19">
        <v>1</v>
      </c>
      <c r="B19" t="s">
        <v>42</v>
      </c>
      <c r="C19" t="s">
        <v>34</v>
      </c>
      <c r="D19">
        <v>0</v>
      </c>
      <c r="E19">
        <v>1</v>
      </c>
      <c r="F19" s="7">
        <v>11633.76</v>
      </c>
      <c r="G19">
        <v>0</v>
      </c>
      <c r="H19" s="7">
        <v>0</v>
      </c>
    </row>
    <row r="20" spans="1:8">
      <c r="A20">
        <v>1</v>
      </c>
      <c r="B20" t="s">
        <v>42</v>
      </c>
      <c r="C20" t="s">
        <v>33</v>
      </c>
      <c r="D20">
        <v>0</v>
      </c>
      <c r="E20">
        <v>1</v>
      </c>
      <c r="F20" s="7">
        <v>4098.78</v>
      </c>
      <c r="G20">
        <v>0</v>
      </c>
      <c r="H20" s="7">
        <v>0</v>
      </c>
    </row>
    <row r="21" spans="1:8">
      <c r="A21">
        <v>1</v>
      </c>
      <c r="B21" t="s">
        <v>44</v>
      </c>
      <c r="C21" t="s">
        <v>35</v>
      </c>
      <c r="D21">
        <v>0</v>
      </c>
      <c r="E21">
        <v>1</v>
      </c>
      <c r="F21" s="7">
        <v>229133.94</v>
      </c>
      <c r="G21">
        <v>0</v>
      </c>
      <c r="H21" s="7">
        <v>0</v>
      </c>
    </row>
    <row r="22" spans="1:8">
      <c r="A22">
        <v>1</v>
      </c>
      <c r="B22" t="s">
        <v>42</v>
      </c>
      <c r="C22" t="s">
        <v>33</v>
      </c>
      <c r="D22">
        <v>0</v>
      </c>
      <c r="E22">
        <v>1</v>
      </c>
      <c r="F22" s="7">
        <v>1563.82</v>
      </c>
      <c r="G22">
        <v>0</v>
      </c>
      <c r="H22" s="7">
        <v>0</v>
      </c>
    </row>
    <row r="23" spans="1:8">
      <c r="A23">
        <v>1</v>
      </c>
      <c r="B23" t="s">
        <v>42</v>
      </c>
      <c r="C23" t="s">
        <v>33</v>
      </c>
      <c r="D23">
        <v>0</v>
      </c>
      <c r="E23">
        <v>1</v>
      </c>
      <c r="F23" s="7">
        <v>1157.86</v>
      </c>
      <c r="G23">
        <v>0</v>
      </c>
      <c r="H23" s="7">
        <v>0</v>
      </c>
    </row>
    <row r="24" spans="1:8">
      <c r="A24">
        <v>1</v>
      </c>
      <c r="B24" t="s">
        <v>42</v>
      </c>
      <c r="C24" t="s">
        <v>32</v>
      </c>
      <c r="D24">
        <v>0</v>
      </c>
      <c r="E24">
        <v>1</v>
      </c>
      <c r="F24" s="7">
        <v>671.64</v>
      </c>
      <c r="G24">
        <v>0</v>
      </c>
      <c r="H24" s="7">
        <v>0</v>
      </c>
    </row>
    <row r="25" spans="1:8">
      <c r="A25">
        <v>1</v>
      </c>
      <c r="B25" t="s">
        <v>43</v>
      </c>
      <c r="C25" t="s">
        <v>35</v>
      </c>
      <c r="D25">
        <v>0</v>
      </c>
      <c r="E25">
        <v>1</v>
      </c>
      <c r="F25" s="7">
        <v>215310.3</v>
      </c>
      <c r="G25">
        <v>0</v>
      </c>
      <c r="H25" s="7">
        <v>0</v>
      </c>
    </row>
    <row r="26" spans="1:8">
      <c r="A26">
        <v>1</v>
      </c>
      <c r="B26" t="s">
        <v>42</v>
      </c>
      <c r="C26" t="s">
        <v>33</v>
      </c>
      <c r="D26">
        <v>0</v>
      </c>
      <c r="E26">
        <v>1</v>
      </c>
      <c r="F26" s="7">
        <v>1373.43</v>
      </c>
      <c r="G26">
        <v>0</v>
      </c>
      <c r="H26" s="7">
        <v>0</v>
      </c>
    </row>
    <row r="27" spans="1:8">
      <c r="A27">
        <v>1</v>
      </c>
      <c r="B27" t="s">
        <v>45</v>
      </c>
      <c r="C27" t="s">
        <v>33</v>
      </c>
      <c r="D27">
        <v>0</v>
      </c>
      <c r="E27">
        <v>1</v>
      </c>
      <c r="F27" s="7">
        <v>9302.79</v>
      </c>
      <c r="G27">
        <v>0</v>
      </c>
      <c r="H27" s="7">
        <v>0</v>
      </c>
    </row>
    <row r="28" spans="1:8">
      <c r="A28">
        <v>1</v>
      </c>
      <c r="B28" t="s">
        <v>45</v>
      </c>
      <c r="C28" t="s">
        <v>33</v>
      </c>
      <c r="D28">
        <v>0</v>
      </c>
      <c r="E28">
        <v>1</v>
      </c>
      <c r="F28" s="7">
        <v>1065.41</v>
      </c>
      <c r="G28">
        <v>0</v>
      </c>
      <c r="H28" s="7">
        <v>0</v>
      </c>
    </row>
    <row r="29" spans="1:8">
      <c r="A29">
        <v>1</v>
      </c>
      <c r="B29" t="s">
        <v>42</v>
      </c>
      <c r="C29" t="s">
        <v>33</v>
      </c>
      <c r="D29">
        <v>0</v>
      </c>
      <c r="E29">
        <v>1</v>
      </c>
      <c r="F29" s="7">
        <v>3876.41</v>
      </c>
      <c r="G29">
        <v>0</v>
      </c>
      <c r="H29" s="7">
        <v>0</v>
      </c>
    </row>
    <row r="30" spans="1:8">
      <c r="A30">
        <v>1</v>
      </c>
      <c r="B30" t="s">
        <v>43</v>
      </c>
      <c r="C30" t="s">
        <v>35</v>
      </c>
      <c r="D30">
        <v>0</v>
      </c>
      <c r="E30">
        <v>1</v>
      </c>
      <c r="F30" s="7">
        <v>311685.89</v>
      </c>
      <c r="G30">
        <v>0</v>
      </c>
      <c r="H30" s="7">
        <v>0</v>
      </c>
    </row>
    <row r="31" spans="1:8">
      <c r="A31">
        <v>1</v>
      </c>
      <c r="B31" t="s">
        <v>42</v>
      </c>
      <c r="C31" t="s">
        <v>33</v>
      </c>
      <c r="D31">
        <v>0</v>
      </c>
      <c r="E31">
        <v>1</v>
      </c>
      <c r="F31" s="7">
        <v>6061.13</v>
      </c>
      <c r="G31">
        <v>0</v>
      </c>
      <c r="H31" s="7">
        <v>0</v>
      </c>
    </row>
    <row r="32" spans="1:8">
      <c r="A32">
        <v>1</v>
      </c>
      <c r="B32" t="s">
        <v>42</v>
      </c>
      <c r="C32" t="s">
        <v>33</v>
      </c>
      <c r="D32">
        <v>0</v>
      </c>
      <c r="E32">
        <v>1</v>
      </c>
      <c r="F32" s="7">
        <v>9478.39</v>
      </c>
      <c r="G32">
        <v>0</v>
      </c>
      <c r="H32" s="7">
        <v>0</v>
      </c>
    </row>
    <row r="33" spans="1:8">
      <c r="A33">
        <v>1</v>
      </c>
      <c r="B33" t="s">
        <v>42</v>
      </c>
      <c r="C33" t="s">
        <v>33</v>
      </c>
      <c r="D33">
        <v>0</v>
      </c>
      <c r="E33">
        <v>1</v>
      </c>
      <c r="F33" s="7">
        <v>8009.09</v>
      </c>
      <c r="G33">
        <v>0</v>
      </c>
      <c r="H33" s="7">
        <v>0</v>
      </c>
    </row>
    <row r="34" spans="1:8">
      <c r="A34">
        <v>1</v>
      </c>
      <c r="B34" t="s">
        <v>42</v>
      </c>
      <c r="C34" t="s">
        <v>33</v>
      </c>
      <c r="D34">
        <v>0</v>
      </c>
      <c r="E34">
        <v>1</v>
      </c>
      <c r="F34" s="7">
        <v>8901.99</v>
      </c>
      <c r="G34">
        <v>0</v>
      </c>
      <c r="H34" s="7">
        <v>0</v>
      </c>
    </row>
    <row r="35" spans="1:8">
      <c r="A35">
        <v>1</v>
      </c>
      <c r="B35" t="s">
        <v>42</v>
      </c>
      <c r="C35" t="s">
        <v>33</v>
      </c>
      <c r="D35">
        <v>0</v>
      </c>
      <c r="E35">
        <v>1</v>
      </c>
      <c r="F35" s="7">
        <v>9920.52</v>
      </c>
      <c r="G35">
        <v>0</v>
      </c>
      <c r="H35" s="7">
        <v>0</v>
      </c>
    </row>
    <row r="36" spans="1:8">
      <c r="A36">
        <v>1</v>
      </c>
      <c r="B36" t="s">
        <v>42</v>
      </c>
      <c r="C36" t="s">
        <v>33</v>
      </c>
      <c r="D36">
        <v>0</v>
      </c>
      <c r="E36">
        <v>1</v>
      </c>
      <c r="F36" s="7">
        <v>3448.92</v>
      </c>
      <c r="G36">
        <v>0</v>
      </c>
      <c r="H36" s="7">
        <v>0</v>
      </c>
    </row>
    <row r="37" spans="1:8">
      <c r="A37">
        <v>1</v>
      </c>
      <c r="B37" t="s">
        <v>42</v>
      </c>
      <c r="C37" t="s">
        <v>33</v>
      </c>
      <c r="D37">
        <v>0</v>
      </c>
      <c r="E37">
        <v>1</v>
      </c>
      <c r="F37" s="7">
        <v>4206.84</v>
      </c>
      <c r="G37">
        <v>0</v>
      </c>
      <c r="H37" s="7">
        <v>0</v>
      </c>
    </row>
    <row r="38" spans="1:8">
      <c r="A38">
        <v>1</v>
      </c>
      <c r="B38" t="s">
        <v>42</v>
      </c>
      <c r="C38" t="s">
        <v>33</v>
      </c>
      <c r="D38">
        <v>0</v>
      </c>
      <c r="E38">
        <v>1</v>
      </c>
      <c r="F38" s="7">
        <v>5885.56</v>
      </c>
      <c r="G38">
        <v>0</v>
      </c>
      <c r="H38" s="7">
        <v>0</v>
      </c>
    </row>
    <row r="39" spans="1:8">
      <c r="A39">
        <v>1</v>
      </c>
      <c r="B39" t="s">
        <v>42</v>
      </c>
      <c r="C39" t="s">
        <v>33</v>
      </c>
      <c r="D39">
        <v>0</v>
      </c>
      <c r="E39">
        <v>1</v>
      </c>
      <c r="F39" s="7">
        <v>5307.88</v>
      </c>
      <c r="G39">
        <v>0</v>
      </c>
      <c r="H39" s="7">
        <v>0</v>
      </c>
    </row>
    <row r="40" spans="1:8">
      <c r="A40">
        <v>1</v>
      </c>
      <c r="B40" t="s">
        <v>42</v>
      </c>
      <c r="C40" t="s">
        <v>33</v>
      </c>
      <c r="D40">
        <v>0</v>
      </c>
      <c r="E40">
        <v>1</v>
      </c>
      <c r="F40" s="7">
        <v>5031.22</v>
      </c>
      <c r="G40">
        <v>0</v>
      </c>
      <c r="H40" s="7">
        <v>0</v>
      </c>
    </row>
    <row r="41" spans="1:8">
      <c r="A41">
        <v>1</v>
      </c>
      <c r="B41" t="s">
        <v>42</v>
      </c>
      <c r="C41" t="s">
        <v>34</v>
      </c>
      <c r="D41">
        <v>0</v>
      </c>
      <c r="E41">
        <v>1</v>
      </c>
      <c r="F41" s="7">
        <v>24213.67</v>
      </c>
      <c r="G41">
        <v>0</v>
      </c>
      <c r="H41" s="7">
        <v>0</v>
      </c>
    </row>
    <row r="42" spans="1:8">
      <c r="A42">
        <v>1</v>
      </c>
      <c r="B42" t="s">
        <v>42</v>
      </c>
      <c r="C42" t="s">
        <v>33</v>
      </c>
      <c r="D42">
        <v>0</v>
      </c>
      <c r="E42">
        <v>1</v>
      </c>
      <c r="F42" s="7">
        <v>8603.42</v>
      </c>
      <c r="G42">
        <v>0</v>
      </c>
      <c r="H42" s="7">
        <v>0</v>
      </c>
    </row>
    <row r="43" spans="1:8">
      <c r="A43">
        <v>1</v>
      </c>
      <c r="B43" t="s">
        <v>42</v>
      </c>
      <c r="C43" t="s">
        <v>33</v>
      </c>
      <c r="D43">
        <v>0</v>
      </c>
      <c r="E43">
        <v>1</v>
      </c>
      <c r="F43" s="7">
        <v>2791.42</v>
      </c>
      <c r="G43">
        <v>0</v>
      </c>
      <c r="H43" s="7">
        <v>0</v>
      </c>
    </row>
    <row r="44" spans="1:8">
      <c r="A44">
        <v>1</v>
      </c>
      <c r="B44" t="s">
        <v>42</v>
      </c>
      <c r="C44" t="s">
        <v>33</v>
      </c>
      <c r="D44">
        <v>0</v>
      </c>
      <c r="E44">
        <v>1</v>
      </c>
      <c r="F44" s="7">
        <v>7413.54</v>
      </c>
      <c r="G44">
        <v>0</v>
      </c>
      <c r="H44" s="7">
        <v>0</v>
      </c>
    </row>
    <row r="45" spans="1:8">
      <c r="A45">
        <v>1</v>
      </c>
      <c r="B45" t="s">
        <v>42</v>
      </c>
      <c r="C45" t="s">
        <v>33</v>
      </c>
      <c r="D45">
        <v>0</v>
      </c>
      <c r="E45">
        <v>1</v>
      </c>
      <c r="F45" s="7">
        <v>3295.19</v>
      </c>
      <c r="G45">
        <v>0</v>
      </c>
      <c r="H45" s="7">
        <v>0</v>
      </c>
    </row>
    <row r="46" spans="1:8">
      <c r="A46">
        <v>1</v>
      </c>
      <c r="B46" t="s">
        <v>42</v>
      </c>
      <c r="C46" t="s">
        <v>33</v>
      </c>
      <c r="D46">
        <v>0</v>
      </c>
      <c r="E46">
        <v>1</v>
      </c>
      <c r="F46" s="7">
        <v>1684.81</v>
      </c>
      <c r="G46">
        <v>0</v>
      </c>
      <c r="H46" s="7">
        <v>0</v>
      </c>
    </row>
    <row r="47" spans="1:8">
      <c r="A47">
        <v>1</v>
      </c>
      <c r="B47" t="s">
        <v>45</v>
      </c>
      <c r="C47" t="s">
        <v>33</v>
      </c>
      <c r="D47">
        <v>0</v>
      </c>
      <c r="E47">
        <v>1</v>
      </c>
      <c r="F47" s="7">
        <v>5758.59</v>
      </c>
      <c r="G47">
        <v>0</v>
      </c>
      <c r="H47" s="7">
        <v>0</v>
      </c>
    </row>
    <row r="48" spans="1:8">
      <c r="A48">
        <v>1</v>
      </c>
      <c r="B48" t="s">
        <v>44</v>
      </c>
      <c r="C48" t="s">
        <v>35</v>
      </c>
      <c r="D48">
        <v>0</v>
      </c>
      <c r="E48">
        <v>1</v>
      </c>
      <c r="F48" s="7">
        <v>110414.71</v>
      </c>
      <c r="G48">
        <v>0</v>
      </c>
      <c r="H48" s="7">
        <v>0</v>
      </c>
    </row>
    <row r="49" spans="1:8">
      <c r="A49">
        <v>1</v>
      </c>
      <c r="B49" t="s">
        <v>42</v>
      </c>
      <c r="C49" t="s">
        <v>33</v>
      </c>
      <c r="D49">
        <v>0</v>
      </c>
      <c r="E49">
        <v>1</v>
      </c>
      <c r="F49" s="7">
        <v>7823.46</v>
      </c>
      <c r="G49">
        <v>0</v>
      </c>
      <c r="H49" s="7">
        <v>0</v>
      </c>
    </row>
    <row r="50" spans="1:8">
      <c r="A50">
        <v>1</v>
      </c>
      <c r="B50" t="s">
        <v>42</v>
      </c>
      <c r="C50" t="s">
        <v>33</v>
      </c>
      <c r="D50">
        <v>0</v>
      </c>
      <c r="E50">
        <v>1</v>
      </c>
      <c r="F50" s="7">
        <v>5086.48</v>
      </c>
      <c r="G50">
        <v>0</v>
      </c>
      <c r="H50" s="7">
        <v>0</v>
      </c>
    </row>
    <row r="51" spans="1:8">
      <c r="A51">
        <v>1</v>
      </c>
      <c r="B51" t="s">
        <v>42</v>
      </c>
      <c r="C51" t="s">
        <v>33</v>
      </c>
      <c r="D51">
        <v>0</v>
      </c>
      <c r="E51">
        <v>1</v>
      </c>
      <c r="F51" s="7">
        <v>5281.48</v>
      </c>
      <c r="G51">
        <v>0</v>
      </c>
      <c r="H51" s="7">
        <v>0</v>
      </c>
    </row>
    <row r="52" spans="1:8">
      <c r="A52">
        <v>1</v>
      </c>
      <c r="B52" t="s">
        <v>42</v>
      </c>
      <c r="C52" t="s">
        <v>34</v>
      </c>
      <c r="D52">
        <v>0</v>
      </c>
      <c r="E52">
        <v>1</v>
      </c>
      <c r="F52" s="7">
        <v>13875.98</v>
      </c>
      <c r="G52">
        <v>0</v>
      </c>
      <c r="H52" s="7">
        <v>0</v>
      </c>
    </row>
    <row r="53" spans="1:8">
      <c r="A53">
        <v>1</v>
      </c>
      <c r="B53" t="s">
        <v>44</v>
      </c>
      <c r="C53" t="s">
        <v>34</v>
      </c>
      <c r="D53">
        <v>0</v>
      </c>
      <c r="E53">
        <v>1</v>
      </c>
      <c r="F53" s="7">
        <v>56953.9</v>
      </c>
      <c r="G53">
        <v>0</v>
      </c>
      <c r="H53" s="7">
        <v>0</v>
      </c>
    </row>
    <row r="54" spans="1:8">
      <c r="A54">
        <v>1</v>
      </c>
      <c r="B54" t="s">
        <v>44</v>
      </c>
      <c r="C54" t="s">
        <v>33</v>
      </c>
      <c r="D54">
        <v>0</v>
      </c>
      <c r="E54">
        <v>1</v>
      </c>
      <c r="F54" s="7">
        <v>5346.89</v>
      </c>
      <c r="G54">
        <v>0</v>
      </c>
      <c r="H54" s="7">
        <v>0</v>
      </c>
    </row>
    <row r="55" spans="1:8">
      <c r="A55">
        <v>1</v>
      </c>
      <c r="B55" t="s">
        <v>42</v>
      </c>
      <c r="C55" t="s">
        <v>33</v>
      </c>
      <c r="D55">
        <v>0</v>
      </c>
      <c r="E55">
        <v>1</v>
      </c>
      <c r="F55" s="7">
        <v>2204.04</v>
      </c>
      <c r="G55">
        <v>0</v>
      </c>
      <c r="H55" s="7">
        <v>0</v>
      </c>
    </row>
    <row r="56" spans="1:8">
      <c r="A56">
        <v>1</v>
      </c>
      <c r="B56" t="s">
        <v>42</v>
      </c>
      <c r="C56" t="s">
        <v>33</v>
      </c>
      <c r="D56">
        <v>0</v>
      </c>
      <c r="E56">
        <v>1</v>
      </c>
      <c r="F56" s="7">
        <v>2641.47</v>
      </c>
      <c r="G56">
        <v>0</v>
      </c>
      <c r="H56" s="7">
        <v>0</v>
      </c>
    </row>
    <row r="57" spans="1:8">
      <c r="A57">
        <v>1</v>
      </c>
      <c r="B57" t="s">
        <v>44</v>
      </c>
      <c r="C57" t="s">
        <v>34</v>
      </c>
      <c r="D57">
        <v>0</v>
      </c>
      <c r="E57">
        <v>1</v>
      </c>
      <c r="F57" s="7">
        <v>23261.3</v>
      </c>
      <c r="G57">
        <v>0</v>
      </c>
      <c r="H57" s="7">
        <v>0</v>
      </c>
    </row>
    <row r="58" spans="1:8">
      <c r="A58">
        <v>1</v>
      </c>
      <c r="B58" t="s">
        <v>42</v>
      </c>
      <c r="C58" t="s">
        <v>33</v>
      </c>
      <c r="D58">
        <v>0</v>
      </c>
      <c r="E58">
        <v>1</v>
      </c>
      <c r="F58" s="7">
        <v>2330.64</v>
      </c>
      <c r="G58">
        <v>0</v>
      </c>
      <c r="H58" s="7">
        <v>0</v>
      </c>
    </row>
    <row r="59" spans="1:8">
      <c r="A59">
        <v>1</v>
      </c>
      <c r="B59" t="s">
        <v>42</v>
      </c>
      <c r="C59" t="s">
        <v>33</v>
      </c>
      <c r="D59">
        <v>0</v>
      </c>
      <c r="E59">
        <v>1</v>
      </c>
      <c r="F59" s="7">
        <v>1614.64</v>
      </c>
      <c r="G59">
        <v>0</v>
      </c>
      <c r="H59" s="7">
        <v>0</v>
      </c>
    </row>
    <row r="60" spans="1:8">
      <c r="A60">
        <v>1</v>
      </c>
      <c r="B60" t="s">
        <v>42</v>
      </c>
      <c r="C60" t="s">
        <v>33</v>
      </c>
      <c r="D60">
        <v>0</v>
      </c>
      <c r="E60">
        <v>1</v>
      </c>
      <c r="F60" s="7">
        <v>9164.71</v>
      </c>
      <c r="G60">
        <v>0</v>
      </c>
      <c r="H60" s="7">
        <v>0</v>
      </c>
    </row>
    <row r="61" spans="1:8">
      <c r="A61">
        <v>1</v>
      </c>
      <c r="B61" t="s">
        <v>42</v>
      </c>
      <c r="C61" t="s">
        <v>33</v>
      </c>
      <c r="D61">
        <v>0</v>
      </c>
      <c r="E61">
        <v>1</v>
      </c>
      <c r="F61" s="7">
        <v>2970.97</v>
      </c>
      <c r="G61">
        <v>0</v>
      </c>
      <c r="H61" s="7">
        <v>0</v>
      </c>
    </row>
    <row r="62" spans="1:8">
      <c r="A62">
        <v>1</v>
      </c>
      <c r="B62" t="s">
        <v>42</v>
      </c>
      <c r="C62" t="s">
        <v>32</v>
      </c>
      <c r="D62">
        <v>0</v>
      </c>
      <c r="E62">
        <v>1</v>
      </c>
      <c r="F62" s="7">
        <v>38.66</v>
      </c>
      <c r="G62">
        <v>0</v>
      </c>
      <c r="H62" s="7">
        <v>0</v>
      </c>
    </row>
    <row r="63" spans="1:8">
      <c r="A63">
        <v>1</v>
      </c>
      <c r="B63" t="s">
        <v>42</v>
      </c>
      <c r="C63" t="s">
        <v>33</v>
      </c>
      <c r="D63">
        <v>0</v>
      </c>
      <c r="E63">
        <v>1</v>
      </c>
      <c r="F63" s="7">
        <v>2252.44</v>
      </c>
      <c r="G63">
        <v>0</v>
      </c>
      <c r="H63" s="7">
        <v>0</v>
      </c>
    </row>
    <row r="64" spans="1:8">
      <c r="A64">
        <v>1</v>
      </c>
      <c r="B64" t="s">
        <v>43</v>
      </c>
      <c r="C64" t="s">
        <v>34</v>
      </c>
      <c r="D64">
        <v>0</v>
      </c>
      <c r="E64">
        <v>1</v>
      </c>
      <c r="F64" s="7">
        <v>62610.8</v>
      </c>
      <c r="G64">
        <v>0</v>
      </c>
      <c r="H64" s="7">
        <v>0</v>
      </c>
    </row>
    <row r="65" spans="1:8">
      <c r="A65">
        <v>1</v>
      </c>
      <c r="B65" t="s">
        <v>45</v>
      </c>
      <c r="C65" t="s">
        <v>33</v>
      </c>
      <c r="D65">
        <v>0</v>
      </c>
      <c r="E65">
        <v>1</v>
      </c>
      <c r="F65" s="7">
        <v>5529.13</v>
      </c>
      <c r="G65">
        <v>0</v>
      </c>
      <c r="H65" s="7">
        <v>0</v>
      </c>
    </row>
    <row r="66" spans="1:8">
      <c r="A66">
        <v>1</v>
      </c>
      <c r="B66" t="s">
        <v>44</v>
      </c>
      <c r="C66" t="s">
        <v>34</v>
      </c>
      <c r="D66">
        <v>0</v>
      </c>
      <c r="E66">
        <v>1</v>
      </c>
      <c r="F66" s="7">
        <v>82940.31</v>
      </c>
      <c r="G66">
        <v>0</v>
      </c>
      <c r="H66" s="7">
        <v>0</v>
      </c>
    </row>
    <row r="67" spans="1:8">
      <c r="A67">
        <v>1</v>
      </c>
      <c r="B67" t="s">
        <v>45</v>
      </c>
      <c r="C67" t="s">
        <v>33</v>
      </c>
      <c r="D67">
        <v>0</v>
      </c>
      <c r="E67">
        <v>1</v>
      </c>
      <c r="F67" s="7">
        <v>4510.22</v>
      </c>
      <c r="G67">
        <v>0</v>
      </c>
      <c r="H67" s="7">
        <v>0</v>
      </c>
    </row>
    <row r="68" spans="1:8">
      <c r="A68">
        <v>1</v>
      </c>
      <c r="B68" t="s">
        <v>45</v>
      </c>
      <c r="C68" t="s">
        <v>33</v>
      </c>
      <c r="D68">
        <v>0</v>
      </c>
      <c r="E68">
        <v>1</v>
      </c>
      <c r="F68" s="7">
        <v>8727.74</v>
      </c>
      <c r="G68">
        <v>0</v>
      </c>
      <c r="H68" s="7">
        <v>0</v>
      </c>
    </row>
    <row r="69" spans="1:8">
      <c r="A69">
        <v>1</v>
      </c>
      <c r="B69" t="s">
        <v>42</v>
      </c>
      <c r="C69" t="s">
        <v>33</v>
      </c>
      <c r="D69">
        <v>0</v>
      </c>
      <c r="E69">
        <v>1</v>
      </c>
      <c r="F69" s="7">
        <v>2599.46</v>
      </c>
      <c r="G69">
        <v>0</v>
      </c>
      <c r="H69" s="7">
        <v>0</v>
      </c>
    </row>
    <row r="70" spans="1:8">
      <c r="A70">
        <v>1</v>
      </c>
      <c r="B70" t="s">
        <v>45</v>
      </c>
      <c r="C70" t="s">
        <v>33</v>
      </c>
      <c r="D70">
        <v>0</v>
      </c>
      <c r="E70">
        <v>1</v>
      </c>
      <c r="F70" s="7">
        <v>4874.49</v>
      </c>
      <c r="G70">
        <v>0</v>
      </c>
      <c r="H70" s="7">
        <v>0</v>
      </c>
    </row>
    <row r="71" spans="1:8">
      <c r="A71">
        <v>1</v>
      </c>
      <c r="B71" t="s">
        <v>42</v>
      </c>
      <c r="C71" t="s">
        <v>33</v>
      </c>
      <c r="D71">
        <v>0</v>
      </c>
      <c r="E71">
        <v>1</v>
      </c>
      <c r="F71" s="7">
        <v>6440.78</v>
      </c>
      <c r="G71">
        <v>0</v>
      </c>
      <c r="H71" s="7">
        <v>0</v>
      </c>
    </row>
    <row r="72" spans="1:8">
      <c r="A72">
        <v>1</v>
      </c>
      <c r="B72" t="s">
        <v>42</v>
      </c>
      <c r="C72" t="s">
        <v>33</v>
      </c>
      <c r="D72">
        <v>0</v>
      </c>
      <c r="E72">
        <v>1</v>
      </c>
      <c r="F72" s="7">
        <v>4910.14</v>
      </c>
      <c r="G72">
        <v>0</v>
      </c>
      <c r="H72" s="7">
        <v>0</v>
      </c>
    </row>
    <row r="73" spans="1:8">
      <c r="A73">
        <v>1</v>
      </c>
      <c r="B73" t="s">
        <v>42</v>
      </c>
      <c r="C73" t="s">
        <v>33</v>
      </c>
      <c r="D73">
        <v>0</v>
      </c>
      <c r="E73">
        <v>1</v>
      </c>
      <c r="F73" s="7">
        <v>6444.64</v>
      </c>
      <c r="G73">
        <v>0</v>
      </c>
      <c r="H73" s="7">
        <v>0</v>
      </c>
    </row>
    <row r="74" spans="1:8">
      <c r="A74">
        <v>1</v>
      </c>
      <c r="B74" t="s">
        <v>45</v>
      </c>
      <c r="C74" t="s">
        <v>33</v>
      </c>
      <c r="D74">
        <v>0</v>
      </c>
      <c r="E74">
        <v>1</v>
      </c>
      <c r="F74" s="7">
        <v>5149.66</v>
      </c>
      <c r="G74">
        <v>0</v>
      </c>
      <c r="H74" s="7">
        <v>0</v>
      </c>
    </row>
    <row r="75" spans="1:8">
      <c r="A75">
        <v>1</v>
      </c>
      <c r="B75" t="s">
        <v>42</v>
      </c>
      <c r="C75" t="s">
        <v>33</v>
      </c>
      <c r="D75">
        <v>0</v>
      </c>
      <c r="E75">
        <v>1</v>
      </c>
      <c r="F75" s="7">
        <v>7292.16</v>
      </c>
      <c r="G75">
        <v>0</v>
      </c>
      <c r="H75" s="7">
        <v>0</v>
      </c>
    </row>
    <row r="76" spans="1:8">
      <c r="A76">
        <v>1</v>
      </c>
      <c r="B76" t="s">
        <v>44</v>
      </c>
      <c r="C76" t="s">
        <v>34</v>
      </c>
      <c r="D76">
        <v>0</v>
      </c>
      <c r="E76">
        <v>1</v>
      </c>
      <c r="F76" s="7">
        <v>47458.86</v>
      </c>
      <c r="G76">
        <v>0</v>
      </c>
      <c r="H76" s="7">
        <v>0</v>
      </c>
    </row>
    <row r="77" spans="1:8">
      <c r="A77">
        <v>1</v>
      </c>
      <c r="B77" t="s">
        <v>44</v>
      </c>
      <c r="C77" t="s">
        <v>35</v>
      </c>
      <c r="D77">
        <v>0</v>
      </c>
      <c r="E77">
        <v>1</v>
      </c>
      <c r="F77" s="7">
        <v>136872.92</v>
      </c>
      <c r="G77">
        <v>0</v>
      </c>
      <c r="H77" s="7">
        <v>0</v>
      </c>
    </row>
    <row r="78" spans="1:8">
      <c r="A78">
        <v>1</v>
      </c>
      <c r="B78" t="s">
        <v>44</v>
      </c>
      <c r="C78" t="s">
        <v>34</v>
      </c>
      <c r="D78">
        <v>0</v>
      </c>
      <c r="E78">
        <v>1</v>
      </c>
      <c r="F78" s="7">
        <v>94253.33</v>
      </c>
      <c r="G78">
        <v>0</v>
      </c>
      <c r="H78" s="7">
        <v>0</v>
      </c>
    </row>
    <row r="79" spans="1:8">
      <c r="A79">
        <v>1</v>
      </c>
      <c r="B79" t="s">
        <v>42</v>
      </c>
      <c r="C79" t="s">
        <v>33</v>
      </c>
      <c r="D79">
        <v>0</v>
      </c>
      <c r="E79">
        <v>1</v>
      </c>
      <c r="F79" s="7">
        <v>2998.04</v>
      </c>
      <c r="G79">
        <v>0</v>
      </c>
      <c r="H79" s="7">
        <v>0</v>
      </c>
    </row>
    <row r="80" spans="1:8">
      <c r="A80">
        <v>1</v>
      </c>
      <c r="B80" t="s">
        <v>42</v>
      </c>
      <c r="C80" t="s">
        <v>33</v>
      </c>
      <c r="D80">
        <v>0</v>
      </c>
      <c r="E80">
        <v>1</v>
      </c>
      <c r="F80" s="7">
        <v>3454.08</v>
      </c>
      <c r="G80">
        <v>0</v>
      </c>
      <c r="H80" s="7">
        <v>0</v>
      </c>
    </row>
    <row r="81" spans="1:8">
      <c r="A81">
        <v>1</v>
      </c>
      <c r="B81" t="s">
        <v>42</v>
      </c>
      <c r="C81" t="s">
        <v>33</v>
      </c>
      <c r="D81">
        <v>0</v>
      </c>
      <c r="E81">
        <v>1</v>
      </c>
      <c r="F81" s="7">
        <v>4316.2</v>
      </c>
      <c r="G81">
        <v>0</v>
      </c>
      <c r="H81" s="7">
        <v>0</v>
      </c>
    </row>
    <row r="82" spans="1:8">
      <c r="A82">
        <v>1</v>
      </c>
      <c r="B82" t="s">
        <v>42</v>
      </c>
      <c r="C82" t="s">
        <v>33</v>
      </c>
      <c r="D82">
        <v>0</v>
      </c>
      <c r="E82">
        <v>1</v>
      </c>
      <c r="F82" s="7">
        <v>2131.84</v>
      </c>
      <c r="G82">
        <v>0</v>
      </c>
      <c r="H82" s="7">
        <v>0</v>
      </c>
    </row>
    <row r="83" spans="1:8">
      <c r="A83">
        <v>1</v>
      </c>
      <c r="B83" t="s">
        <v>42</v>
      </c>
      <c r="C83" t="s">
        <v>34</v>
      </c>
      <c r="D83">
        <v>0</v>
      </c>
      <c r="E83">
        <v>1</v>
      </c>
      <c r="F83" s="7">
        <v>12986.61</v>
      </c>
      <c r="G83">
        <v>0</v>
      </c>
      <c r="H83" s="7">
        <v>0</v>
      </c>
    </row>
    <row r="84" spans="1:8">
      <c r="A84">
        <v>1</v>
      </c>
      <c r="B84" t="s">
        <v>43</v>
      </c>
      <c r="C84" t="s">
        <v>34</v>
      </c>
      <c r="D84">
        <v>0</v>
      </c>
      <c r="E84">
        <v>1</v>
      </c>
      <c r="F84" s="7">
        <v>42712.39</v>
      </c>
      <c r="G84">
        <v>0</v>
      </c>
      <c r="H84" s="7">
        <v>0</v>
      </c>
    </row>
    <row r="85" spans="1:8">
      <c r="A85">
        <v>1</v>
      </c>
      <c r="B85" t="s">
        <v>43</v>
      </c>
      <c r="C85" t="s">
        <v>34</v>
      </c>
      <c r="D85">
        <v>0</v>
      </c>
      <c r="E85">
        <v>1</v>
      </c>
      <c r="F85" s="7">
        <v>77957.68</v>
      </c>
      <c r="G85">
        <v>0</v>
      </c>
      <c r="H85" s="7">
        <v>0</v>
      </c>
    </row>
    <row r="86" spans="1:8">
      <c r="A86">
        <v>1</v>
      </c>
      <c r="B86" t="s">
        <v>43</v>
      </c>
      <c r="C86" t="s">
        <v>34</v>
      </c>
      <c r="D86">
        <v>0</v>
      </c>
      <c r="E86">
        <v>1</v>
      </c>
      <c r="F86" s="7">
        <v>17231.46</v>
      </c>
      <c r="G86">
        <v>0</v>
      </c>
      <c r="H86" s="7">
        <v>0</v>
      </c>
    </row>
    <row r="87" spans="1:8">
      <c r="A87">
        <v>1</v>
      </c>
      <c r="B87" t="s">
        <v>43</v>
      </c>
      <c r="C87" t="s">
        <v>34</v>
      </c>
      <c r="D87">
        <v>0</v>
      </c>
      <c r="E87">
        <v>1</v>
      </c>
      <c r="F87" s="7">
        <v>78766.03</v>
      </c>
      <c r="G87">
        <v>0</v>
      </c>
      <c r="H87" s="7">
        <v>0</v>
      </c>
    </row>
    <row r="88" spans="1:8">
      <c r="A88">
        <v>1</v>
      </c>
      <c r="B88" t="s">
        <v>43</v>
      </c>
      <c r="C88" t="s">
        <v>35</v>
      </c>
      <c r="D88">
        <v>0</v>
      </c>
      <c r="E88">
        <v>1</v>
      </c>
      <c r="F88" s="7">
        <v>224606.64</v>
      </c>
      <c r="G88">
        <v>0</v>
      </c>
      <c r="H88" s="7">
        <v>0</v>
      </c>
    </row>
    <row r="89" spans="1:8">
      <c r="A89">
        <v>1</v>
      </c>
      <c r="B89" t="s">
        <v>43</v>
      </c>
      <c r="C89" t="s">
        <v>35</v>
      </c>
      <c r="D89">
        <v>0</v>
      </c>
      <c r="E89">
        <v>1</v>
      </c>
      <c r="F89" s="7">
        <v>125872.53</v>
      </c>
      <c r="G89">
        <v>0</v>
      </c>
      <c r="H89" s="7">
        <v>0</v>
      </c>
    </row>
    <row r="90" spans="1:8">
      <c r="A90">
        <v>1</v>
      </c>
      <c r="B90" t="s">
        <v>43</v>
      </c>
      <c r="C90" t="s">
        <v>35</v>
      </c>
      <c r="D90">
        <v>0</v>
      </c>
      <c r="E90">
        <v>1</v>
      </c>
      <c r="F90" s="7">
        <v>379856.23</v>
      </c>
      <c r="G90">
        <v>0</v>
      </c>
      <c r="H90" s="7">
        <v>0</v>
      </c>
    </row>
    <row r="91" spans="1:8">
      <c r="A91">
        <v>1</v>
      </c>
      <c r="B91" t="s">
        <v>43</v>
      </c>
      <c r="C91" t="s">
        <v>36</v>
      </c>
      <c r="D91">
        <v>0</v>
      </c>
      <c r="E91">
        <v>1</v>
      </c>
      <c r="F91" s="7">
        <v>1505626.01</v>
      </c>
      <c r="G91">
        <v>0</v>
      </c>
      <c r="H91" s="7">
        <v>0</v>
      </c>
    </row>
    <row r="92" spans="1:8">
      <c r="A92">
        <v>1</v>
      </c>
      <c r="B92" t="s">
        <v>43</v>
      </c>
      <c r="C92" t="s">
        <v>35</v>
      </c>
      <c r="D92">
        <v>0</v>
      </c>
      <c r="E92">
        <v>1</v>
      </c>
      <c r="F92" s="7">
        <v>554026.99</v>
      </c>
      <c r="G92">
        <v>0</v>
      </c>
      <c r="H92" s="7">
        <v>0</v>
      </c>
    </row>
    <row r="93" spans="1:8">
      <c r="A93">
        <v>1</v>
      </c>
      <c r="B93" t="s">
        <v>43</v>
      </c>
      <c r="C93" t="s">
        <v>35</v>
      </c>
      <c r="D93">
        <v>0</v>
      </c>
      <c r="E93">
        <v>1</v>
      </c>
      <c r="F93" s="7">
        <v>147543.1</v>
      </c>
      <c r="G93">
        <v>0</v>
      </c>
      <c r="H93" s="7">
        <v>0</v>
      </c>
    </row>
    <row r="94" spans="1:8">
      <c r="A94">
        <v>1</v>
      </c>
      <c r="B94" t="s">
        <v>43</v>
      </c>
      <c r="C94" t="s">
        <v>35</v>
      </c>
      <c r="D94">
        <v>0</v>
      </c>
      <c r="E94">
        <v>1</v>
      </c>
      <c r="F94" s="7">
        <v>761507.39</v>
      </c>
      <c r="G94">
        <v>0</v>
      </c>
      <c r="H94" s="7">
        <v>0</v>
      </c>
    </row>
    <row r="95" spans="1:8">
      <c r="A95">
        <v>1</v>
      </c>
      <c r="B95" t="s">
        <v>43</v>
      </c>
      <c r="C95" t="s">
        <v>36</v>
      </c>
      <c r="D95">
        <v>0</v>
      </c>
      <c r="E95">
        <v>1</v>
      </c>
      <c r="F95" s="7">
        <v>1429051.47</v>
      </c>
      <c r="G95">
        <v>0</v>
      </c>
      <c r="H95" s="7">
        <v>0</v>
      </c>
    </row>
    <row r="96" spans="1:8">
      <c r="A96">
        <v>1</v>
      </c>
      <c r="B96" t="s">
        <v>43</v>
      </c>
      <c r="C96" t="s">
        <v>35</v>
      </c>
      <c r="D96">
        <v>0</v>
      </c>
      <c r="E96">
        <v>1</v>
      </c>
      <c r="F96" s="7">
        <v>358831.92</v>
      </c>
      <c r="G96">
        <v>0</v>
      </c>
      <c r="H96" s="7">
        <v>0</v>
      </c>
    </row>
    <row r="97" spans="1:8">
      <c r="A97">
        <v>1</v>
      </c>
      <c r="B97" t="s">
        <v>43</v>
      </c>
      <c r="C97" t="s">
        <v>35</v>
      </c>
      <c r="D97">
        <v>0</v>
      </c>
      <c r="E97">
        <v>1</v>
      </c>
      <c r="F97" s="7">
        <v>367768.4</v>
      </c>
      <c r="G97">
        <v>0</v>
      </c>
      <c r="H97" s="7">
        <v>0</v>
      </c>
    </row>
    <row r="98" spans="1:8">
      <c r="A98">
        <v>1</v>
      </c>
      <c r="B98" t="s">
        <v>43</v>
      </c>
      <c r="C98" t="s">
        <v>35</v>
      </c>
      <c r="D98">
        <v>0</v>
      </c>
      <c r="E98">
        <v>1</v>
      </c>
      <c r="F98" s="7">
        <v>209711.11</v>
      </c>
      <c r="G98">
        <v>0</v>
      </c>
      <c r="H98" s="7">
        <v>0</v>
      </c>
    </row>
    <row r="99" spans="1:8">
      <c r="A99">
        <v>1</v>
      </c>
      <c r="B99" t="s">
        <v>43</v>
      </c>
      <c r="C99" t="s">
        <v>35</v>
      </c>
      <c r="D99">
        <v>0</v>
      </c>
      <c r="E99">
        <v>1</v>
      </c>
      <c r="F99" s="7">
        <v>583848.46</v>
      </c>
      <c r="G99">
        <v>0</v>
      </c>
      <c r="H99" s="7">
        <v>0</v>
      </c>
    </row>
    <row r="100" spans="1:8">
      <c r="A100">
        <v>1</v>
      </c>
      <c r="B100" t="s">
        <v>43</v>
      </c>
      <c r="C100" t="s">
        <v>36</v>
      </c>
      <c r="D100">
        <v>0</v>
      </c>
      <c r="E100">
        <v>1</v>
      </c>
      <c r="F100" s="7">
        <v>1724887.05</v>
      </c>
      <c r="G100">
        <v>0</v>
      </c>
      <c r="H100" s="7">
        <v>0</v>
      </c>
    </row>
    <row r="101" spans="1:8">
      <c r="A101">
        <v>1</v>
      </c>
      <c r="B101" t="s">
        <v>43</v>
      </c>
      <c r="C101" t="s">
        <v>35</v>
      </c>
      <c r="D101">
        <v>0</v>
      </c>
      <c r="E101">
        <v>1</v>
      </c>
      <c r="F101" s="7">
        <v>710544.77</v>
      </c>
      <c r="G101">
        <v>0</v>
      </c>
      <c r="H101" s="7">
        <v>0</v>
      </c>
    </row>
    <row r="102" spans="1:8">
      <c r="A102">
        <v>1</v>
      </c>
      <c r="B102" t="s">
        <v>43</v>
      </c>
      <c r="C102" t="s">
        <v>35</v>
      </c>
      <c r="D102">
        <v>0</v>
      </c>
      <c r="E102">
        <v>1</v>
      </c>
      <c r="F102" s="7">
        <v>581294.26</v>
      </c>
      <c r="G102">
        <v>0</v>
      </c>
      <c r="H102" s="7">
        <v>0</v>
      </c>
    </row>
    <row r="103" spans="1:8">
      <c r="A103">
        <v>1</v>
      </c>
      <c r="B103" t="s">
        <v>43</v>
      </c>
      <c r="C103" t="s">
        <v>34</v>
      </c>
      <c r="D103">
        <v>0</v>
      </c>
      <c r="E103">
        <v>1</v>
      </c>
      <c r="F103" s="7">
        <v>11996.58</v>
      </c>
      <c r="G103">
        <v>0</v>
      </c>
      <c r="H103" s="7">
        <v>0</v>
      </c>
    </row>
    <row r="104" spans="1:8">
      <c r="A104">
        <v>1</v>
      </c>
      <c r="B104" t="s">
        <v>42</v>
      </c>
      <c r="C104" t="s">
        <v>33</v>
      </c>
      <c r="D104">
        <v>0</v>
      </c>
      <c r="E104">
        <v>1</v>
      </c>
      <c r="F104" s="7">
        <v>2875.1</v>
      </c>
      <c r="G104">
        <v>0</v>
      </c>
      <c r="H104" s="7">
        <v>0</v>
      </c>
    </row>
    <row r="105" spans="1:8">
      <c r="A105">
        <v>1</v>
      </c>
      <c r="B105" t="s">
        <v>42</v>
      </c>
      <c r="C105" t="s">
        <v>33</v>
      </c>
      <c r="D105">
        <v>0</v>
      </c>
      <c r="E105">
        <v>1</v>
      </c>
      <c r="F105" s="7">
        <v>8586.98</v>
      </c>
      <c r="G105">
        <v>0</v>
      </c>
      <c r="H105" s="7">
        <v>0</v>
      </c>
    </row>
    <row r="106" spans="1:8">
      <c r="A106">
        <v>1</v>
      </c>
      <c r="B106" t="s">
        <v>42</v>
      </c>
      <c r="C106" t="s">
        <v>32</v>
      </c>
      <c r="D106">
        <v>0</v>
      </c>
      <c r="E106">
        <v>1</v>
      </c>
      <c r="F106" s="7">
        <v>871.75</v>
      </c>
      <c r="G106">
        <v>0</v>
      </c>
      <c r="H106" s="7">
        <v>0</v>
      </c>
    </row>
    <row r="107" spans="1:8">
      <c r="A107">
        <v>1</v>
      </c>
      <c r="B107" t="s">
        <v>42</v>
      </c>
      <c r="C107" t="s">
        <v>33</v>
      </c>
      <c r="D107">
        <v>0</v>
      </c>
      <c r="E107">
        <v>1</v>
      </c>
      <c r="F107" s="7">
        <v>1035.36</v>
      </c>
      <c r="G107">
        <v>0</v>
      </c>
      <c r="H107" s="7">
        <v>0</v>
      </c>
    </row>
    <row r="108" spans="1:8">
      <c r="A108">
        <v>1</v>
      </c>
      <c r="B108" t="s">
        <v>42</v>
      </c>
      <c r="C108" t="s">
        <v>33</v>
      </c>
      <c r="D108">
        <v>0</v>
      </c>
      <c r="E108">
        <v>1</v>
      </c>
      <c r="F108" s="7">
        <v>1063.53</v>
      </c>
      <c r="G108">
        <v>0</v>
      </c>
      <c r="H108" s="7">
        <v>0</v>
      </c>
    </row>
    <row r="109" spans="1:8">
      <c r="A109">
        <v>1</v>
      </c>
      <c r="B109" t="s">
        <v>42</v>
      </c>
      <c r="C109" t="s">
        <v>33</v>
      </c>
      <c r="D109">
        <v>0</v>
      </c>
      <c r="E109">
        <v>1</v>
      </c>
      <c r="F109" s="7">
        <v>1019.9</v>
      </c>
      <c r="G109">
        <v>0</v>
      </c>
      <c r="H109" s="7">
        <v>0</v>
      </c>
    </row>
    <row r="110" spans="1:8">
      <c r="A110">
        <v>1</v>
      </c>
      <c r="B110" t="s">
        <v>42</v>
      </c>
      <c r="C110" t="s">
        <v>33</v>
      </c>
      <c r="D110">
        <v>0</v>
      </c>
      <c r="E110">
        <v>1</v>
      </c>
      <c r="F110" s="7">
        <v>4059.38</v>
      </c>
      <c r="G110">
        <v>0</v>
      </c>
      <c r="H110" s="7">
        <v>0</v>
      </c>
    </row>
    <row r="111" spans="1:8">
      <c r="A111">
        <v>1</v>
      </c>
      <c r="B111" t="s">
        <v>42</v>
      </c>
      <c r="C111" t="s">
        <v>33</v>
      </c>
      <c r="D111">
        <v>0</v>
      </c>
      <c r="E111">
        <v>1</v>
      </c>
      <c r="F111" s="7">
        <v>1876.44</v>
      </c>
      <c r="G111">
        <v>0</v>
      </c>
      <c r="H111" s="7">
        <v>0</v>
      </c>
    </row>
    <row r="112" spans="1:8">
      <c r="A112">
        <v>1</v>
      </c>
      <c r="B112" t="s">
        <v>44</v>
      </c>
      <c r="C112" t="s">
        <v>34</v>
      </c>
      <c r="D112">
        <v>0</v>
      </c>
      <c r="E112">
        <v>1</v>
      </c>
      <c r="F112" s="7">
        <v>28404.6</v>
      </c>
      <c r="G112">
        <v>0</v>
      </c>
      <c r="H112" s="7">
        <v>0</v>
      </c>
    </row>
    <row r="113" spans="1:8">
      <c r="A113">
        <v>1</v>
      </c>
      <c r="B113" t="s">
        <v>44</v>
      </c>
      <c r="C113" t="s">
        <v>34</v>
      </c>
      <c r="D113">
        <v>0</v>
      </c>
      <c r="E113">
        <v>1</v>
      </c>
      <c r="F113" s="7">
        <v>75405.1</v>
      </c>
      <c r="G113">
        <v>0</v>
      </c>
      <c r="H113" s="7">
        <v>0</v>
      </c>
    </row>
    <row r="114" spans="1:8">
      <c r="A114">
        <v>1</v>
      </c>
      <c r="B114" t="s">
        <v>44</v>
      </c>
      <c r="C114" t="s">
        <v>34</v>
      </c>
      <c r="D114">
        <v>0</v>
      </c>
      <c r="E114">
        <v>1</v>
      </c>
      <c r="F114" s="7">
        <v>50101.88</v>
      </c>
      <c r="G114">
        <v>0</v>
      </c>
      <c r="H114" s="7">
        <v>0</v>
      </c>
    </row>
    <row r="115" spans="1:8">
      <c r="A115">
        <v>1</v>
      </c>
      <c r="B115" t="s">
        <v>44</v>
      </c>
      <c r="C115" t="s">
        <v>34</v>
      </c>
      <c r="D115">
        <v>0</v>
      </c>
      <c r="E115">
        <v>1</v>
      </c>
      <c r="F115" s="7">
        <v>14121.82</v>
      </c>
      <c r="G115">
        <v>0</v>
      </c>
      <c r="H115" s="7">
        <v>0</v>
      </c>
    </row>
    <row r="116" spans="1:8">
      <c r="A116">
        <v>1</v>
      </c>
      <c r="B116" t="s">
        <v>44</v>
      </c>
      <c r="C116" t="s">
        <v>34</v>
      </c>
      <c r="D116">
        <v>0</v>
      </c>
      <c r="E116">
        <v>1</v>
      </c>
      <c r="F116" s="7">
        <v>78292.91</v>
      </c>
      <c r="G116">
        <v>0</v>
      </c>
      <c r="H116" s="7">
        <v>0</v>
      </c>
    </row>
    <row r="117" spans="1:8">
      <c r="A117">
        <v>1</v>
      </c>
      <c r="B117" t="s">
        <v>44</v>
      </c>
      <c r="C117" t="s">
        <v>35</v>
      </c>
      <c r="D117">
        <v>0</v>
      </c>
      <c r="E117">
        <v>1</v>
      </c>
      <c r="F117" s="7">
        <v>176149.9</v>
      </c>
      <c r="G117">
        <v>0</v>
      </c>
      <c r="H117" s="7">
        <v>0</v>
      </c>
    </row>
    <row r="118" spans="1:8">
      <c r="A118">
        <v>1</v>
      </c>
      <c r="B118" t="s">
        <v>44</v>
      </c>
      <c r="C118" t="s">
        <v>35</v>
      </c>
      <c r="D118">
        <v>0</v>
      </c>
      <c r="E118">
        <v>1</v>
      </c>
      <c r="F118" s="7">
        <v>212228.35</v>
      </c>
      <c r="G118">
        <v>0</v>
      </c>
      <c r="H118" s="7">
        <v>0</v>
      </c>
    </row>
    <row r="119" spans="1:8">
      <c r="A119">
        <v>1</v>
      </c>
      <c r="B119" t="s">
        <v>44</v>
      </c>
      <c r="C119" t="s">
        <v>34</v>
      </c>
      <c r="D119">
        <v>0</v>
      </c>
      <c r="E119">
        <v>1</v>
      </c>
      <c r="F119" s="7">
        <v>85423.63</v>
      </c>
      <c r="G119">
        <v>0</v>
      </c>
      <c r="H119" s="7">
        <v>0</v>
      </c>
    </row>
    <row r="120" spans="1:8">
      <c r="A120">
        <v>1</v>
      </c>
      <c r="B120" t="s">
        <v>44</v>
      </c>
      <c r="C120" t="s">
        <v>34</v>
      </c>
      <c r="D120">
        <v>0</v>
      </c>
      <c r="E120">
        <v>1</v>
      </c>
      <c r="F120" s="7">
        <v>11648.5</v>
      </c>
      <c r="G120">
        <v>0</v>
      </c>
      <c r="H120" s="7">
        <v>0</v>
      </c>
    </row>
    <row r="121" spans="1:8">
      <c r="A121">
        <v>1</v>
      </c>
      <c r="B121" t="s">
        <v>42</v>
      </c>
      <c r="C121" t="s">
        <v>33</v>
      </c>
      <c r="D121">
        <v>0</v>
      </c>
      <c r="E121">
        <v>1</v>
      </c>
      <c r="F121" s="7">
        <v>6165.58</v>
      </c>
      <c r="G121">
        <v>0</v>
      </c>
      <c r="H121" s="7">
        <v>0</v>
      </c>
    </row>
    <row r="122" spans="1:8">
      <c r="A122">
        <v>1</v>
      </c>
      <c r="B122" t="s">
        <v>42</v>
      </c>
      <c r="C122" t="s">
        <v>33</v>
      </c>
      <c r="D122">
        <v>0</v>
      </c>
      <c r="E122">
        <v>1</v>
      </c>
      <c r="F122" s="7">
        <v>3705.83</v>
      </c>
      <c r="G122">
        <v>0</v>
      </c>
      <c r="H122" s="7">
        <v>0</v>
      </c>
    </row>
    <row r="123" spans="1:8">
      <c r="A123">
        <v>1</v>
      </c>
      <c r="B123" t="s">
        <v>44</v>
      </c>
      <c r="C123" t="s">
        <v>35</v>
      </c>
      <c r="D123">
        <v>0</v>
      </c>
      <c r="E123">
        <v>1</v>
      </c>
      <c r="F123" s="7">
        <v>419801.4</v>
      </c>
      <c r="G123">
        <v>0</v>
      </c>
      <c r="H123" s="7">
        <v>0</v>
      </c>
    </row>
    <row r="124" spans="1:8">
      <c r="A124">
        <v>1</v>
      </c>
      <c r="B124" t="s">
        <v>44</v>
      </c>
      <c r="C124" t="s">
        <v>35</v>
      </c>
      <c r="D124">
        <v>0</v>
      </c>
      <c r="E124">
        <v>1</v>
      </c>
      <c r="F124" s="7">
        <v>335416.51</v>
      </c>
      <c r="G124">
        <v>0</v>
      </c>
      <c r="H124" s="7">
        <v>0</v>
      </c>
    </row>
    <row r="125" spans="1:8">
      <c r="A125">
        <v>1</v>
      </c>
      <c r="B125" t="s">
        <v>42</v>
      </c>
      <c r="C125" t="s">
        <v>33</v>
      </c>
      <c r="D125">
        <v>0</v>
      </c>
      <c r="E125">
        <v>1</v>
      </c>
      <c r="F125" s="7">
        <v>3372.29</v>
      </c>
      <c r="G125">
        <v>0</v>
      </c>
      <c r="H125" s="7">
        <v>0</v>
      </c>
    </row>
    <row r="126" spans="1:8">
      <c r="A126">
        <v>1</v>
      </c>
      <c r="B126" t="s">
        <v>42</v>
      </c>
      <c r="C126" t="s">
        <v>32</v>
      </c>
      <c r="D126">
        <v>0</v>
      </c>
      <c r="E126">
        <v>1</v>
      </c>
      <c r="F126" s="7">
        <v>661.43</v>
      </c>
      <c r="G126">
        <v>0</v>
      </c>
      <c r="H126" s="7">
        <v>0</v>
      </c>
    </row>
    <row r="127" spans="1:8">
      <c r="A127">
        <v>1</v>
      </c>
      <c r="B127" t="s">
        <v>45</v>
      </c>
      <c r="C127" t="s">
        <v>32</v>
      </c>
      <c r="D127">
        <v>0</v>
      </c>
      <c r="E127">
        <v>1</v>
      </c>
      <c r="F127" s="7">
        <v>864.68</v>
      </c>
      <c r="G127">
        <v>0</v>
      </c>
      <c r="H127" s="7">
        <v>0</v>
      </c>
    </row>
    <row r="128" spans="1:8">
      <c r="A128">
        <v>1</v>
      </c>
      <c r="B128" t="s">
        <v>42</v>
      </c>
      <c r="C128" t="s">
        <v>33</v>
      </c>
      <c r="D128">
        <v>0</v>
      </c>
      <c r="E128">
        <v>1</v>
      </c>
      <c r="F128" s="7">
        <v>1203.44</v>
      </c>
      <c r="G128">
        <v>0</v>
      </c>
      <c r="H128" s="7">
        <v>0</v>
      </c>
    </row>
    <row r="129" spans="1:8">
      <c r="A129">
        <v>1</v>
      </c>
      <c r="B129" t="s">
        <v>43</v>
      </c>
      <c r="C129" t="s">
        <v>35</v>
      </c>
      <c r="D129">
        <v>0</v>
      </c>
      <c r="E129">
        <v>1</v>
      </c>
      <c r="F129" s="7">
        <v>330757.04</v>
      </c>
      <c r="G129">
        <v>0</v>
      </c>
      <c r="H129" s="7">
        <v>0</v>
      </c>
    </row>
    <row r="130" spans="1:8">
      <c r="A130">
        <v>1</v>
      </c>
      <c r="B130" t="s">
        <v>42</v>
      </c>
      <c r="C130" t="s">
        <v>33</v>
      </c>
      <c r="D130">
        <v>0</v>
      </c>
      <c r="E130">
        <v>1</v>
      </c>
      <c r="F130" s="7">
        <v>1915.43</v>
      </c>
      <c r="G130">
        <v>0</v>
      </c>
      <c r="H130" s="7">
        <v>0</v>
      </c>
    </row>
    <row r="131" spans="1:8">
      <c r="A131">
        <v>1</v>
      </c>
      <c r="B131" t="s">
        <v>42</v>
      </c>
      <c r="C131" t="s">
        <v>32</v>
      </c>
      <c r="D131">
        <v>0</v>
      </c>
      <c r="E131">
        <v>1</v>
      </c>
      <c r="F131" s="7">
        <v>8.73</v>
      </c>
      <c r="G131">
        <v>0</v>
      </c>
      <c r="H131" s="7">
        <v>0</v>
      </c>
    </row>
    <row r="132" spans="1:8">
      <c r="A132">
        <v>1</v>
      </c>
      <c r="B132" t="s">
        <v>45</v>
      </c>
      <c r="C132" t="s">
        <v>33</v>
      </c>
      <c r="D132">
        <v>0</v>
      </c>
      <c r="E132">
        <v>1</v>
      </c>
      <c r="F132" s="7">
        <v>3058.8</v>
      </c>
      <c r="G132">
        <v>0</v>
      </c>
      <c r="H132" s="7">
        <v>0</v>
      </c>
    </row>
    <row r="133" spans="1:8">
      <c r="A133">
        <v>1</v>
      </c>
      <c r="B133" t="s">
        <v>42</v>
      </c>
      <c r="C133" t="s">
        <v>33</v>
      </c>
      <c r="D133">
        <v>0</v>
      </c>
      <c r="E133">
        <v>1</v>
      </c>
      <c r="F133" s="7">
        <v>5154.97</v>
      </c>
      <c r="G133">
        <v>0</v>
      </c>
      <c r="H133" s="7">
        <v>0</v>
      </c>
    </row>
    <row r="134" spans="1:8">
      <c r="A134">
        <v>1</v>
      </c>
      <c r="B134" t="s">
        <v>42</v>
      </c>
      <c r="C134" t="s">
        <v>33</v>
      </c>
      <c r="D134">
        <v>0</v>
      </c>
      <c r="E134">
        <v>1</v>
      </c>
      <c r="F134" s="7">
        <v>5213.25</v>
      </c>
      <c r="G134">
        <v>0</v>
      </c>
      <c r="H134" s="7">
        <v>0</v>
      </c>
    </row>
    <row r="135" spans="1:8">
      <c r="A135">
        <v>1</v>
      </c>
      <c r="B135" t="s">
        <v>42</v>
      </c>
      <c r="C135" t="s">
        <v>33</v>
      </c>
      <c r="D135">
        <v>0</v>
      </c>
      <c r="E135">
        <v>1</v>
      </c>
      <c r="F135" s="7">
        <v>5392.75</v>
      </c>
      <c r="G135">
        <v>0</v>
      </c>
      <c r="H135" s="7">
        <v>0</v>
      </c>
    </row>
    <row r="136" spans="1:8">
      <c r="A136">
        <v>1</v>
      </c>
      <c r="B136" t="s">
        <v>42</v>
      </c>
      <c r="C136" t="s">
        <v>32</v>
      </c>
      <c r="D136">
        <v>0</v>
      </c>
      <c r="E136">
        <v>1</v>
      </c>
      <c r="F136" s="7">
        <v>25.12</v>
      </c>
      <c r="G136">
        <v>0</v>
      </c>
      <c r="H136" s="7">
        <v>0</v>
      </c>
    </row>
    <row r="137" spans="1:8">
      <c r="A137">
        <v>1</v>
      </c>
      <c r="B137" t="s">
        <v>42</v>
      </c>
      <c r="C137" t="s">
        <v>34</v>
      </c>
      <c r="D137">
        <v>0</v>
      </c>
      <c r="E137">
        <v>1</v>
      </c>
      <c r="F137" s="7">
        <v>17150.89</v>
      </c>
      <c r="G137">
        <v>0</v>
      </c>
      <c r="H137" s="7">
        <v>0</v>
      </c>
    </row>
    <row r="138" spans="1:8">
      <c r="A138">
        <v>1</v>
      </c>
      <c r="B138" t="s">
        <v>43</v>
      </c>
      <c r="C138" t="s">
        <v>35</v>
      </c>
      <c r="D138">
        <v>0</v>
      </c>
      <c r="E138">
        <v>1</v>
      </c>
      <c r="F138" s="7">
        <v>679502.24</v>
      </c>
      <c r="G138">
        <v>0</v>
      </c>
      <c r="H138" s="7">
        <v>0</v>
      </c>
    </row>
    <row r="139" spans="1:8">
      <c r="A139">
        <v>1</v>
      </c>
      <c r="B139" t="s">
        <v>43</v>
      </c>
      <c r="C139" t="s">
        <v>35</v>
      </c>
      <c r="D139">
        <v>0</v>
      </c>
      <c r="E139">
        <v>1</v>
      </c>
      <c r="F139" s="7">
        <v>177652.91</v>
      </c>
      <c r="G139">
        <v>0</v>
      </c>
      <c r="H139" s="7">
        <v>0</v>
      </c>
    </row>
    <row r="140" spans="1:8">
      <c r="A140">
        <v>1</v>
      </c>
      <c r="B140" t="s">
        <v>42</v>
      </c>
      <c r="C140" t="s">
        <v>33</v>
      </c>
      <c r="D140">
        <v>0</v>
      </c>
      <c r="E140">
        <v>1</v>
      </c>
      <c r="F140" s="7">
        <v>5443.26</v>
      </c>
      <c r="G140">
        <v>0</v>
      </c>
      <c r="H140" s="7">
        <v>0</v>
      </c>
    </row>
    <row r="141" spans="1:8">
      <c r="A141">
        <v>1</v>
      </c>
      <c r="B141" t="s">
        <v>42</v>
      </c>
      <c r="C141" t="s">
        <v>32</v>
      </c>
      <c r="D141">
        <v>0</v>
      </c>
      <c r="E141">
        <v>1</v>
      </c>
      <c r="F141" s="7">
        <v>244.87</v>
      </c>
      <c r="G141">
        <v>0</v>
      </c>
      <c r="H141" s="7">
        <v>0</v>
      </c>
    </row>
    <row r="142" spans="1:8">
      <c r="A142">
        <v>1</v>
      </c>
      <c r="B142" t="s">
        <v>42</v>
      </c>
      <c r="C142" t="s">
        <v>33</v>
      </c>
      <c r="D142">
        <v>0</v>
      </c>
      <c r="E142">
        <v>1</v>
      </c>
      <c r="F142" s="7">
        <v>8281.57</v>
      </c>
      <c r="G142">
        <v>0</v>
      </c>
      <c r="H142" s="7">
        <v>0</v>
      </c>
    </row>
    <row r="143" spans="1:8">
      <c r="A143">
        <v>1</v>
      </c>
      <c r="B143" t="s">
        <v>42</v>
      </c>
      <c r="C143" t="s">
        <v>33</v>
      </c>
      <c r="D143">
        <v>0</v>
      </c>
      <c r="E143">
        <v>1</v>
      </c>
      <c r="F143" s="7">
        <v>1175.59</v>
      </c>
      <c r="G143">
        <v>0</v>
      </c>
      <c r="H143" s="7">
        <v>0</v>
      </c>
    </row>
    <row r="144" spans="1:8">
      <c r="A144">
        <v>1</v>
      </c>
      <c r="B144" t="s">
        <v>42</v>
      </c>
      <c r="C144" t="s">
        <v>33</v>
      </c>
      <c r="D144">
        <v>0</v>
      </c>
      <c r="E144">
        <v>1</v>
      </c>
      <c r="F144" s="7">
        <v>1097.74</v>
      </c>
      <c r="G144">
        <v>0</v>
      </c>
      <c r="H144" s="7">
        <v>0</v>
      </c>
    </row>
    <row r="145" spans="1:8">
      <c r="A145">
        <v>1</v>
      </c>
      <c r="B145" t="s">
        <v>43</v>
      </c>
      <c r="C145" t="s">
        <v>35</v>
      </c>
      <c r="D145">
        <v>0</v>
      </c>
      <c r="E145">
        <v>1</v>
      </c>
      <c r="F145" s="7">
        <v>184986.8</v>
      </c>
      <c r="G145">
        <v>0</v>
      </c>
      <c r="H145" s="7">
        <v>0</v>
      </c>
    </row>
    <row r="146" spans="1:8">
      <c r="A146">
        <v>1</v>
      </c>
      <c r="B146" t="s">
        <v>42</v>
      </c>
      <c r="C146" t="s">
        <v>33</v>
      </c>
      <c r="D146">
        <v>0</v>
      </c>
      <c r="E146">
        <v>1</v>
      </c>
      <c r="F146" s="7">
        <v>1718.29</v>
      </c>
      <c r="G146">
        <v>0</v>
      </c>
      <c r="H146" s="7">
        <v>0</v>
      </c>
    </row>
    <row r="147" spans="1:8">
      <c r="A147">
        <v>1</v>
      </c>
      <c r="B147" t="s">
        <v>42</v>
      </c>
      <c r="C147" t="s">
        <v>33</v>
      </c>
      <c r="D147">
        <v>0</v>
      </c>
      <c r="E147">
        <v>1</v>
      </c>
      <c r="F147" s="7">
        <v>3671.32</v>
      </c>
      <c r="G147">
        <v>0</v>
      </c>
      <c r="H147" s="7">
        <v>0</v>
      </c>
    </row>
    <row r="148" spans="1:8">
      <c r="A148">
        <v>1</v>
      </c>
      <c r="B148" t="s">
        <v>45</v>
      </c>
      <c r="C148" t="s">
        <v>33</v>
      </c>
      <c r="D148">
        <v>0</v>
      </c>
      <c r="E148">
        <v>1</v>
      </c>
      <c r="F148" s="7">
        <v>3580.26</v>
      </c>
      <c r="G148">
        <v>0</v>
      </c>
      <c r="H148" s="7">
        <v>0</v>
      </c>
    </row>
    <row r="149" spans="1:8">
      <c r="A149">
        <v>1</v>
      </c>
      <c r="B149" t="s">
        <v>42</v>
      </c>
      <c r="C149" t="s">
        <v>33</v>
      </c>
      <c r="D149">
        <v>0</v>
      </c>
      <c r="E149">
        <v>1</v>
      </c>
      <c r="F149" s="7">
        <v>8550.9</v>
      </c>
      <c r="G149">
        <v>0</v>
      </c>
      <c r="H149" s="7">
        <v>0</v>
      </c>
    </row>
    <row r="150" spans="1:8">
      <c r="A150">
        <v>1</v>
      </c>
      <c r="B150" t="s">
        <v>42</v>
      </c>
      <c r="C150" t="s">
        <v>33</v>
      </c>
      <c r="D150">
        <v>0</v>
      </c>
      <c r="E150">
        <v>1</v>
      </c>
      <c r="F150" s="7">
        <v>9753.55</v>
      </c>
      <c r="G150">
        <v>0</v>
      </c>
      <c r="H150" s="7">
        <v>0</v>
      </c>
    </row>
    <row r="151" spans="1:8">
      <c r="A151">
        <v>1</v>
      </c>
      <c r="B151" t="s">
        <v>42</v>
      </c>
      <c r="C151" t="s">
        <v>33</v>
      </c>
      <c r="D151">
        <v>0</v>
      </c>
      <c r="E151">
        <v>1</v>
      </c>
      <c r="F151" s="7">
        <v>3026.98</v>
      </c>
      <c r="G151">
        <v>0</v>
      </c>
      <c r="H151" s="7">
        <v>0</v>
      </c>
    </row>
    <row r="152" spans="1:8">
      <c r="A152">
        <v>1</v>
      </c>
      <c r="B152" t="s">
        <v>44</v>
      </c>
      <c r="C152" t="s">
        <v>35</v>
      </c>
      <c r="D152">
        <v>0</v>
      </c>
      <c r="E152">
        <v>1</v>
      </c>
      <c r="F152" s="7">
        <v>467177.03</v>
      </c>
      <c r="G152">
        <v>0</v>
      </c>
      <c r="H152" s="7">
        <v>0</v>
      </c>
    </row>
    <row r="153" spans="1:8">
      <c r="A153">
        <v>1</v>
      </c>
      <c r="B153" t="s">
        <v>45</v>
      </c>
      <c r="C153" t="s">
        <v>33</v>
      </c>
      <c r="D153">
        <v>0</v>
      </c>
      <c r="E153">
        <v>1</v>
      </c>
      <c r="F153" s="7">
        <v>3875.99</v>
      </c>
      <c r="G153">
        <v>0</v>
      </c>
      <c r="H153" s="7">
        <v>0</v>
      </c>
    </row>
    <row r="154" spans="1:8">
      <c r="A154">
        <v>1</v>
      </c>
      <c r="B154" t="s">
        <v>42</v>
      </c>
      <c r="C154" t="s">
        <v>33</v>
      </c>
      <c r="D154">
        <v>0</v>
      </c>
      <c r="E154">
        <v>1</v>
      </c>
      <c r="F154" s="7">
        <v>2148.89</v>
      </c>
      <c r="G154">
        <v>0</v>
      </c>
      <c r="H154" s="7">
        <v>0</v>
      </c>
    </row>
    <row r="155" spans="1:8">
      <c r="A155">
        <v>1</v>
      </c>
      <c r="B155" t="s">
        <v>42</v>
      </c>
      <c r="C155" t="s">
        <v>32</v>
      </c>
      <c r="D155">
        <v>0</v>
      </c>
      <c r="E155">
        <v>1</v>
      </c>
      <c r="F155" s="7">
        <v>466.97</v>
      </c>
      <c r="G155">
        <v>0</v>
      </c>
      <c r="H155" s="7">
        <v>0</v>
      </c>
    </row>
    <row r="156" spans="1:8">
      <c r="A156">
        <v>1</v>
      </c>
      <c r="B156" t="s">
        <v>44</v>
      </c>
      <c r="C156" t="s">
        <v>35</v>
      </c>
      <c r="D156">
        <v>0</v>
      </c>
      <c r="E156">
        <v>1</v>
      </c>
      <c r="F156" s="7">
        <v>154139.72</v>
      </c>
      <c r="G156">
        <v>0</v>
      </c>
      <c r="H156" s="7">
        <v>0</v>
      </c>
    </row>
    <row r="157" spans="1:8">
      <c r="A157">
        <v>1</v>
      </c>
      <c r="B157" t="s">
        <v>44</v>
      </c>
      <c r="C157" t="s">
        <v>34</v>
      </c>
      <c r="D157">
        <v>0</v>
      </c>
      <c r="E157">
        <v>1</v>
      </c>
      <c r="F157" s="7">
        <v>82685.93</v>
      </c>
      <c r="G157">
        <v>0</v>
      </c>
      <c r="H157" s="7">
        <v>0</v>
      </c>
    </row>
    <row r="158" spans="1:8">
      <c r="A158">
        <v>1</v>
      </c>
      <c r="B158" t="s">
        <v>44</v>
      </c>
      <c r="C158" t="s">
        <v>34</v>
      </c>
      <c r="D158">
        <v>0</v>
      </c>
      <c r="E158">
        <v>1</v>
      </c>
      <c r="F158" s="7">
        <v>83857.23</v>
      </c>
      <c r="G158">
        <v>0</v>
      </c>
      <c r="H158" s="7">
        <v>0</v>
      </c>
    </row>
    <row r="159" spans="1:8">
      <c r="A159">
        <v>1</v>
      </c>
      <c r="B159" t="s">
        <v>44</v>
      </c>
      <c r="C159" t="s">
        <v>34</v>
      </c>
      <c r="D159">
        <v>0</v>
      </c>
      <c r="E159">
        <v>1</v>
      </c>
      <c r="F159" s="7">
        <v>99109.77</v>
      </c>
      <c r="G159">
        <v>0</v>
      </c>
      <c r="H159" s="7">
        <v>0</v>
      </c>
    </row>
    <row r="160" spans="1:8">
      <c r="A160">
        <v>1</v>
      </c>
      <c r="B160" t="s">
        <v>44</v>
      </c>
      <c r="C160" t="s">
        <v>35</v>
      </c>
      <c r="D160">
        <v>0</v>
      </c>
      <c r="E160">
        <v>1</v>
      </c>
      <c r="F160" s="7">
        <v>187726.67</v>
      </c>
      <c r="G160">
        <v>0</v>
      </c>
      <c r="H160" s="7">
        <v>0</v>
      </c>
    </row>
    <row r="161" spans="1:8">
      <c r="A161">
        <v>1</v>
      </c>
      <c r="B161" t="s">
        <v>44</v>
      </c>
      <c r="C161" t="s">
        <v>35</v>
      </c>
      <c r="D161">
        <v>0</v>
      </c>
      <c r="E161">
        <v>1</v>
      </c>
      <c r="F161" s="7">
        <v>281339.92</v>
      </c>
      <c r="G161">
        <v>0</v>
      </c>
      <c r="H161" s="7">
        <v>0</v>
      </c>
    </row>
    <row r="162" spans="1:8">
      <c r="A162">
        <v>1</v>
      </c>
      <c r="B162" t="s">
        <v>44</v>
      </c>
      <c r="C162" t="s">
        <v>35</v>
      </c>
      <c r="D162">
        <v>0</v>
      </c>
      <c r="E162">
        <v>1</v>
      </c>
      <c r="F162" s="7">
        <v>186447.51</v>
      </c>
      <c r="G162">
        <v>0</v>
      </c>
      <c r="H162" s="7">
        <v>0</v>
      </c>
    </row>
    <row r="163" spans="1:8">
      <c r="A163">
        <v>1</v>
      </c>
      <c r="B163" t="s">
        <v>44</v>
      </c>
      <c r="C163" t="s">
        <v>34</v>
      </c>
      <c r="D163">
        <v>0</v>
      </c>
      <c r="E163">
        <v>1</v>
      </c>
      <c r="F163" s="7">
        <v>81029.86</v>
      </c>
      <c r="G163">
        <v>0</v>
      </c>
      <c r="H163" s="7">
        <v>0</v>
      </c>
    </row>
    <row r="164" spans="1:8">
      <c r="A164">
        <v>1</v>
      </c>
      <c r="B164" t="s">
        <v>44</v>
      </c>
      <c r="C164" t="s">
        <v>35</v>
      </c>
      <c r="D164">
        <v>0</v>
      </c>
      <c r="E164">
        <v>1</v>
      </c>
      <c r="F164" s="7">
        <v>139054.95</v>
      </c>
      <c r="G164">
        <v>0</v>
      </c>
      <c r="H164" s="7">
        <v>0</v>
      </c>
    </row>
    <row r="165" spans="1:8">
      <c r="A165">
        <v>1</v>
      </c>
      <c r="B165" t="s">
        <v>44</v>
      </c>
      <c r="C165" t="s">
        <v>35</v>
      </c>
      <c r="D165">
        <v>0</v>
      </c>
      <c r="E165">
        <v>1</v>
      </c>
      <c r="F165" s="7">
        <v>154716.2</v>
      </c>
      <c r="G165">
        <v>0</v>
      </c>
      <c r="H165" s="7">
        <v>0</v>
      </c>
    </row>
    <row r="166" spans="1:8">
      <c r="A166">
        <v>1</v>
      </c>
      <c r="B166" t="s">
        <v>44</v>
      </c>
      <c r="C166" t="s">
        <v>34</v>
      </c>
      <c r="D166">
        <v>0</v>
      </c>
      <c r="E166">
        <v>1</v>
      </c>
      <c r="F166" s="7">
        <v>53631.83</v>
      </c>
      <c r="G166">
        <v>0</v>
      </c>
      <c r="H166" s="7">
        <v>0</v>
      </c>
    </row>
    <row r="167" spans="1:8">
      <c r="A167">
        <v>1</v>
      </c>
      <c r="B167" t="s">
        <v>44</v>
      </c>
      <c r="C167" t="s">
        <v>35</v>
      </c>
      <c r="D167">
        <v>0</v>
      </c>
      <c r="E167">
        <v>1</v>
      </c>
      <c r="F167" s="7">
        <v>289645.52</v>
      </c>
      <c r="G167">
        <v>0</v>
      </c>
      <c r="H167" s="7">
        <v>0</v>
      </c>
    </row>
    <row r="168" spans="1:8">
      <c r="A168">
        <v>1</v>
      </c>
      <c r="B168" t="s">
        <v>44</v>
      </c>
      <c r="C168" t="s">
        <v>35</v>
      </c>
      <c r="D168">
        <v>0</v>
      </c>
      <c r="E168">
        <v>1</v>
      </c>
      <c r="F168" s="7">
        <v>267148.82</v>
      </c>
      <c r="G168">
        <v>0</v>
      </c>
      <c r="H168" s="7">
        <v>0</v>
      </c>
    </row>
    <row r="169" spans="1:8">
      <c r="A169">
        <v>1</v>
      </c>
      <c r="B169" t="s">
        <v>44</v>
      </c>
      <c r="C169" t="s">
        <v>34</v>
      </c>
      <c r="D169">
        <v>0</v>
      </c>
      <c r="E169">
        <v>1</v>
      </c>
      <c r="F169" s="7">
        <v>47913.58</v>
      </c>
      <c r="G169">
        <v>0</v>
      </c>
      <c r="H169" s="7">
        <v>0</v>
      </c>
    </row>
    <row r="170" spans="1:8">
      <c r="A170">
        <v>1</v>
      </c>
      <c r="B170" t="s">
        <v>44</v>
      </c>
      <c r="C170" t="s">
        <v>35</v>
      </c>
      <c r="D170">
        <v>0</v>
      </c>
      <c r="E170">
        <v>1</v>
      </c>
      <c r="F170" s="7">
        <v>193605.38</v>
      </c>
      <c r="G170">
        <v>0</v>
      </c>
      <c r="H170" s="7">
        <v>0</v>
      </c>
    </row>
    <row r="171" spans="1:8">
      <c r="A171">
        <v>1</v>
      </c>
      <c r="B171" t="s">
        <v>44</v>
      </c>
      <c r="C171" t="s">
        <v>35</v>
      </c>
      <c r="D171">
        <v>0</v>
      </c>
      <c r="E171">
        <v>1</v>
      </c>
      <c r="F171" s="7">
        <v>344464.4</v>
      </c>
      <c r="G171">
        <v>0</v>
      </c>
      <c r="H171" s="7">
        <v>0</v>
      </c>
    </row>
    <row r="172" spans="1:8">
      <c r="A172">
        <v>1</v>
      </c>
      <c r="B172" t="s">
        <v>44</v>
      </c>
      <c r="C172" t="s">
        <v>35</v>
      </c>
      <c r="D172">
        <v>0</v>
      </c>
      <c r="E172">
        <v>1</v>
      </c>
      <c r="F172" s="7">
        <v>169409.87</v>
      </c>
      <c r="G172">
        <v>0</v>
      </c>
      <c r="H172" s="7">
        <v>0</v>
      </c>
    </row>
    <row r="173" spans="1:8">
      <c r="A173">
        <v>1</v>
      </c>
      <c r="B173" t="s">
        <v>44</v>
      </c>
      <c r="C173" t="s">
        <v>34</v>
      </c>
      <c r="D173">
        <v>0</v>
      </c>
      <c r="E173">
        <v>1</v>
      </c>
      <c r="F173" s="7">
        <v>25793.74</v>
      </c>
      <c r="G173">
        <v>0</v>
      </c>
      <c r="H173" s="7">
        <v>0</v>
      </c>
    </row>
    <row r="174" spans="1:8">
      <c r="A174">
        <v>1</v>
      </c>
      <c r="B174" t="s">
        <v>44</v>
      </c>
      <c r="C174" t="s">
        <v>35</v>
      </c>
      <c r="D174">
        <v>0</v>
      </c>
      <c r="E174">
        <v>1</v>
      </c>
      <c r="F174" s="7">
        <v>114712.48</v>
      </c>
      <c r="G174">
        <v>0</v>
      </c>
      <c r="H174" s="7">
        <v>0</v>
      </c>
    </row>
    <row r="175" spans="1:8">
      <c r="A175">
        <v>1</v>
      </c>
      <c r="B175" t="s">
        <v>44</v>
      </c>
      <c r="C175" t="s">
        <v>34</v>
      </c>
      <c r="D175">
        <v>0</v>
      </c>
      <c r="E175">
        <v>1</v>
      </c>
      <c r="F175" s="7">
        <v>89038.75</v>
      </c>
      <c r="G175">
        <v>0</v>
      </c>
      <c r="H175" s="7">
        <v>0</v>
      </c>
    </row>
    <row r="176" spans="1:8">
      <c r="A176">
        <v>1</v>
      </c>
      <c r="B176" t="s">
        <v>44</v>
      </c>
      <c r="C176" t="s">
        <v>33</v>
      </c>
      <c r="D176">
        <v>0</v>
      </c>
      <c r="E176">
        <v>1</v>
      </c>
      <c r="F176" s="7">
        <v>1341.58</v>
      </c>
      <c r="G176">
        <v>0</v>
      </c>
      <c r="H176" s="7">
        <v>0</v>
      </c>
    </row>
    <row r="177" spans="1:8">
      <c r="A177">
        <v>1</v>
      </c>
      <c r="B177" t="s">
        <v>44</v>
      </c>
      <c r="C177" t="s">
        <v>34</v>
      </c>
      <c r="D177">
        <v>0</v>
      </c>
      <c r="E177">
        <v>1</v>
      </c>
      <c r="F177" s="7">
        <v>44443.08</v>
      </c>
      <c r="G177">
        <v>0</v>
      </c>
      <c r="H177" s="7">
        <v>0</v>
      </c>
    </row>
    <row r="178" spans="1:8">
      <c r="A178">
        <v>1</v>
      </c>
      <c r="B178" t="s">
        <v>44</v>
      </c>
      <c r="C178" t="s">
        <v>34</v>
      </c>
      <c r="D178">
        <v>0</v>
      </c>
      <c r="E178">
        <v>1</v>
      </c>
      <c r="F178" s="7">
        <v>34729.64</v>
      </c>
      <c r="G178">
        <v>0</v>
      </c>
      <c r="H178" s="7">
        <v>0</v>
      </c>
    </row>
    <row r="179" spans="1:8">
      <c r="A179">
        <v>1</v>
      </c>
      <c r="B179" t="s">
        <v>44</v>
      </c>
      <c r="C179" t="s">
        <v>35</v>
      </c>
      <c r="D179">
        <v>0</v>
      </c>
      <c r="E179">
        <v>1</v>
      </c>
      <c r="F179" s="7">
        <v>105979.34</v>
      </c>
      <c r="G179">
        <v>0</v>
      </c>
      <c r="H179" s="7">
        <v>0</v>
      </c>
    </row>
    <row r="180" spans="1:8">
      <c r="A180">
        <v>1</v>
      </c>
      <c r="B180" t="s">
        <v>44</v>
      </c>
      <c r="C180" t="s">
        <v>34</v>
      </c>
      <c r="D180">
        <v>0</v>
      </c>
      <c r="E180">
        <v>1</v>
      </c>
      <c r="F180" s="7">
        <v>57794.61</v>
      </c>
      <c r="G180">
        <v>0</v>
      </c>
      <c r="H180" s="7">
        <v>0</v>
      </c>
    </row>
    <row r="181" spans="1:8">
      <c r="A181">
        <v>1</v>
      </c>
      <c r="B181" t="s">
        <v>44</v>
      </c>
      <c r="C181" t="s">
        <v>34</v>
      </c>
      <c r="D181">
        <v>0</v>
      </c>
      <c r="E181">
        <v>1</v>
      </c>
      <c r="F181" s="7">
        <v>15918.79</v>
      </c>
      <c r="G181">
        <v>0</v>
      </c>
      <c r="H181" s="7">
        <v>0</v>
      </c>
    </row>
    <row r="182" spans="1:8">
      <c r="A182">
        <v>1</v>
      </c>
      <c r="B182" t="s">
        <v>44</v>
      </c>
      <c r="C182" t="s">
        <v>34</v>
      </c>
      <c r="D182">
        <v>0</v>
      </c>
      <c r="E182">
        <v>1</v>
      </c>
      <c r="F182" s="7">
        <v>19162.08</v>
      </c>
      <c r="G182">
        <v>0</v>
      </c>
      <c r="H182" s="7">
        <v>0</v>
      </c>
    </row>
    <row r="183" spans="1:8">
      <c r="A183">
        <v>1</v>
      </c>
      <c r="B183" t="s">
        <v>44</v>
      </c>
      <c r="C183" t="s">
        <v>35</v>
      </c>
      <c r="D183">
        <v>0</v>
      </c>
      <c r="E183">
        <v>1</v>
      </c>
      <c r="F183" s="7">
        <v>220691.42</v>
      </c>
      <c r="G183">
        <v>0</v>
      </c>
      <c r="H183" s="7">
        <v>0</v>
      </c>
    </row>
    <row r="184" spans="1:8">
      <c r="A184">
        <v>1</v>
      </c>
      <c r="B184" t="s">
        <v>44</v>
      </c>
      <c r="C184" t="s">
        <v>33</v>
      </c>
      <c r="D184">
        <v>0</v>
      </c>
      <c r="E184">
        <v>1</v>
      </c>
      <c r="F184" s="7">
        <v>9536.54</v>
      </c>
      <c r="G184">
        <v>0</v>
      </c>
      <c r="H184" s="7">
        <v>0</v>
      </c>
    </row>
    <row r="185" spans="1:8">
      <c r="A185">
        <v>1</v>
      </c>
      <c r="B185" t="s">
        <v>44</v>
      </c>
      <c r="C185" t="s">
        <v>34</v>
      </c>
      <c r="D185">
        <v>0</v>
      </c>
      <c r="E185">
        <v>1</v>
      </c>
      <c r="F185" s="7">
        <v>29784.06</v>
      </c>
      <c r="G185">
        <v>0</v>
      </c>
      <c r="H185" s="7">
        <v>0</v>
      </c>
    </row>
    <row r="186" spans="1:8">
      <c r="A186">
        <v>1</v>
      </c>
      <c r="B186" t="s">
        <v>44</v>
      </c>
      <c r="C186" t="s">
        <v>35</v>
      </c>
      <c r="D186">
        <v>0</v>
      </c>
      <c r="E186">
        <v>1</v>
      </c>
      <c r="F186" s="7">
        <v>190445.51</v>
      </c>
      <c r="G186">
        <v>0</v>
      </c>
      <c r="H186" s="7">
        <v>0</v>
      </c>
    </row>
    <row r="187" spans="1:8">
      <c r="A187">
        <v>1</v>
      </c>
      <c r="B187" t="s">
        <v>44</v>
      </c>
      <c r="C187" t="s">
        <v>34</v>
      </c>
      <c r="D187">
        <v>0</v>
      </c>
      <c r="E187">
        <v>1</v>
      </c>
      <c r="F187" s="7">
        <v>57279.11</v>
      </c>
      <c r="G187">
        <v>0</v>
      </c>
      <c r="H187" s="7">
        <v>0</v>
      </c>
    </row>
    <row r="188" spans="1:8">
      <c r="A188">
        <v>1</v>
      </c>
      <c r="B188" t="s">
        <v>44</v>
      </c>
      <c r="C188" t="s">
        <v>35</v>
      </c>
      <c r="D188">
        <v>0</v>
      </c>
      <c r="E188">
        <v>1</v>
      </c>
      <c r="F188" s="7">
        <v>112086.81</v>
      </c>
      <c r="G188">
        <v>0</v>
      </c>
      <c r="H188" s="7">
        <v>0</v>
      </c>
    </row>
    <row r="189" spans="1:8">
      <c r="A189">
        <v>1</v>
      </c>
      <c r="B189" t="s">
        <v>44</v>
      </c>
      <c r="C189" t="s">
        <v>34</v>
      </c>
      <c r="D189">
        <v>0</v>
      </c>
      <c r="E189">
        <v>1</v>
      </c>
      <c r="F189" s="7">
        <v>80311.89</v>
      </c>
      <c r="G189">
        <v>0</v>
      </c>
      <c r="H189" s="7">
        <v>0</v>
      </c>
    </row>
    <row r="190" spans="1:8">
      <c r="A190">
        <v>1</v>
      </c>
      <c r="B190" t="s">
        <v>44</v>
      </c>
      <c r="C190" t="s">
        <v>35</v>
      </c>
      <c r="D190">
        <v>0</v>
      </c>
      <c r="E190">
        <v>1</v>
      </c>
      <c r="F190" s="7">
        <v>151829.91</v>
      </c>
      <c r="G190">
        <v>0</v>
      </c>
      <c r="H190" s="7">
        <v>0</v>
      </c>
    </row>
    <row r="191" spans="1:8">
      <c r="A191">
        <v>1</v>
      </c>
      <c r="B191" t="s">
        <v>44</v>
      </c>
      <c r="C191" t="s">
        <v>34</v>
      </c>
      <c r="D191">
        <v>0</v>
      </c>
      <c r="E191">
        <v>1</v>
      </c>
      <c r="F191" s="7">
        <v>26004.52</v>
      </c>
      <c r="G191">
        <v>0</v>
      </c>
      <c r="H191" s="7">
        <v>0</v>
      </c>
    </row>
    <row r="192" spans="1:8">
      <c r="A192">
        <v>1</v>
      </c>
      <c r="B192" t="s">
        <v>44</v>
      </c>
      <c r="C192" t="s">
        <v>33</v>
      </c>
      <c r="D192">
        <v>0</v>
      </c>
      <c r="E192">
        <v>1</v>
      </c>
      <c r="F192" s="7">
        <v>3146.16</v>
      </c>
      <c r="G192">
        <v>0</v>
      </c>
      <c r="H192" s="7">
        <v>0</v>
      </c>
    </row>
    <row r="193" spans="1:8">
      <c r="A193">
        <v>1</v>
      </c>
      <c r="B193" t="s">
        <v>44</v>
      </c>
      <c r="C193" t="s">
        <v>35</v>
      </c>
      <c r="D193">
        <v>0</v>
      </c>
      <c r="E193">
        <v>1</v>
      </c>
      <c r="F193" s="7">
        <v>296752.75</v>
      </c>
      <c r="G193">
        <v>0</v>
      </c>
      <c r="H193" s="7">
        <v>0</v>
      </c>
    </row>
    <row r="194" spans="1:8">
      <c r="A194">
        <v>1</v>
      </c>
      <c r="B194" t="s">
        <v>44</v>
      </c>
      <c r="C194" t="s">
        <v>35</v>
      </c>
      <c r="D194">
        <v>0</v>
      </c>
      <c r="E194">
        <v>1</v>
      </c>
      <c r="F194" s="7">
        <v>191702.06</v>
      </c>
      <c r="G194">
        <v>0</v>
      </c>
      <c r="H194" s="7">
        <v>0</v>
      </c>
    </row>
    <row r="195" spans="1:8">
      <c r="A195">
        <v>1</v>
      </c>
      <c r="B195" t="s">
        <v>44</v>
      </c>
      <c r="C195" t="s">
        <v>35</v>
      </c>
      <c r="D195">
        <v>0</v>
      </c>
      <c r="E195">
        <v>1</v>
      </c>
      <c r="F195" s="7">
        <v>365510.05</v>
      </c>
      <c r="G195">
        <v>0</v>
      </c>
      <c r="H195" s="7">
        <v>0</v>
      </c>
    </row>
    <row r="196" spans="1:8">
      <c r="A196">
        <v>1</v>
      </c>
      <c r="B196" t="s">
        <v>44</v>
      </c>
      <c r="C196" t="s">
        <v>35</v>
      </c>
      <c r="D196">
        <v>0</v>
      </c>
      <c r="E196">
        <v>1</v>
      </c>
      <c r="F196" s="7">
        <v>202332.08</v>
      </c>
      <c r="G196">
        <v>0</v>
      </c>
      <c r="H196" s="7">
        <v>0</v>
      </c>
    </row>
    <row r="197" spans="1:8">
      <c r="A197">
        <v>1</v>
      </c>
      <c r="B197" t="s">
        <v>44</v>
      </c>
      <c r="C197" t="s">
        <v>34</v>
      </c>
      <c r="D197">
        <v>0</v>
      </c>
      <c r="E197">
        <v>1</v>
      </c>
      <c r="F197" s="7">
        <v>55105.9</v>
      </c>
      <c r="G197">
        <v>0</v>
      </c>
      <c r="H197" s="7">
        <v>0</v>
      </c>
    </row>
    <row r="198" spans="1:8">
      <c r="A198">
        <v>1</v>
      </c>
      <c r="B198" t="s">
        <v>44</v>
      </c>
      <c r="C198" t="s">
        <v>35</v>
      </c>
      <c r="D198">
        <v>0</v>
      </c>
      <c r="E198">
        <v>1</v>
      </c>
      <c r="F198" s="7">
        <v>171508.59</v>
      </c>
      <c r="G198">
        <v>0</v>
      </c>
      <c r="H198" s="7">
        <v>0</v>
      </c>
    </row>
    <row r="199" spans="1:8">
      <c r="A199">
        <v>1</v>
      </c>
      <c r="B199" t="s">
        <v>44</v>
      </c>
      <c r="C199" t="s">
        <v>35</v>
      </c>
      <c r="D199">
        <v>0</v>
      </c>
      <c r="E199">
        <v>1</v>
      </c>
      <c r="F199" s="7">
        <v>178439.26</v>
      </c>
      <c r="G199">
        <v>0</v>
      </c>
      <c r="H199" s="7">
        <v>0</v>
      </c>
    </row>
    <row r="200" spans="1:8">
      <c r="A200">
        <v>1</v>
      </c>
      <c r="B200" t="s">
        <v>44</v>
      </c>
      <c r="C200" t="s">
        <v>34</v>
      </c>
      <c r="D200">
        <v>0</v>
      </c>
      <c r="E200">
        <v>1</v>
      </c>
      <c r="F200" s="7">
        <v>88834.86</v>
      </c>
      <c r="G200">
        <v>0</v>
      </c>
      <c r="H200" s="7">
        <v>0</v>
      </c>
    </row>
    <row r="201" spans="1:8">
      <c r="A201">
        <v>1</v>
      </c>
      <c r="B201" t="s">
        <v>44</v>
      </c>
      <c r="C201" t="s">
        <v>35</v>
      </c>
      <c r="D201">
        <v>0</v>
      </c>
      <c r="E201">
        <v>1</v>
      </c>
      <c r="F201" s="7">
        <v>210370.09</v>
      </c>
      <c r="G201">
        <v>0</v>
      </c>
      <c r="H201" s="7">
        <v>0</v>
      </c>
    </row>
    <row r="202" spans="1:8">
      <c r="A202">
        <v>1</v>
      </c>
      <c r="B202" t="s">
        <v>44</v>
      </c>
      <c r="C202" t="s">
        <v>34</v>
      </c>
      <c r="D202">
        <v>0</v>
      </c>
      <c r="E202">
        <v>1</v>
      </c>
      <c r="F202" s="7">
        <v>36437.06</v>
      </c>
      <c r="G202">
        <v>0</v>
      </c>
      <c r="H202" s="7">
        <v>0</v>
      </c>
    </row>
    <row r="203" spans="1:8">
      <c r="A203">
        <v>1</v>
      </c>
      <c r="B203" t="s">
        <v>44</v>
      </c>
      <c r="C203" t="s">
        <v>34</v>
      </c>
      <c r="D203">
        <v>0</v>
      </c>
      <c r="E203">
        <v>1</v>
      </c>
      <c r="F203" s="7">
        <v>82691.56</v>
      </c>
      <c r="G203">
        <v>0</v>
      </c>
      <c r="H203" s="7">
        <v>0</v>
      </c>
    </row>
    <row r="204" spans="1:8">
      <c r="A204">
        <v>1</v>
      </c>
      <c r="B204" t="s">
        <v>44</v>
      </c>
      <c r="C204" t="s">
        <v>35</v>
      </c>
      <c r="D204">
        <v>0</v>
      </c>
      <c r="E204">
        <v>1</v>
      </c>
      <c r="F204" s="7">
        <v>338767.1</v>
      </c>
      <c r="G204">
        <v>0</v>
      </c>
      <c r="H204" s="7">
        <v>0</v>
      </c>
    </row>
    <row r="205" spans="1:8">
      <c r="A205">
        <v>1</v>
      </c>
      <c r="B205" t="s">
        <v>44</v>
      </c>
      <c r="C205" t="s">
        <v>35</v>
      </c>
      <c r="D205">
        <v>0</v>
      </c>
      <c r="E205">
        <v>1</v>
      </c>
      <c r="F205" s="7">
        <v>187728.59</v>
      </c>
      <c r="G205">
        <v>0</v>
      </c>
      <c r="H205" s="7">
        <v>0</v>
      </c>
    </row>
    <row r="206" spans="1:8">
      <c r="A206">
        <v>1</v>
      </c>
      <c r="B206" t="s">
        <v>44</v>
      </c>
      <c r="C206" t="s">
        <v>35</v>
      </c>
      <c r="D206">
        <v>0</v>
      </c>
      <c r="E206">
        <v>1</v>
      </c>
      <c r="F206" s="7">
        <v>271002.7</v>
      </c>
      <c r="G206">
        <v>0</v>
      </c>
      <c r="H206" s="7">
        <v>0</v>
      </c>
    </row>
    <row r="207" spans="1:8">
      <c r="A207">
        <v>1</v>
      </c>
      <c r="B207" t="s">
        <v>44</v>
      </c>
      <c r="C207" t="s">
        <v>35</v>
      </c>
      <c r="D207">
        <v>0</v>
      </c>
      <c r="E207">
        <v>1</v>
      </c>
      <c r="F207" s="7">
        <v>323105.08</v>
      </c>
      <c r="G207">
        <v>0</v>
      </c>
      <c r="H207" s="7">
        <v>0</v>
      </c>
    </row>
    <row r="208" spans="1:8">
      <c r="A208">
        <v>1</v>
      </c>
      <c r="B208" t="s">
        <v>44</v>
      </c>
      <c r="C208" t="s">
        <v>34</v>
      </c>
      <c r="D208">
        <v>0</v>
      </c>
      <c r="E208">
        <v>1</v>
      </c>
      <c r="F208" s="7">
        <v>10782.94</v>
      </c>
      <c r="G208">
        <v>0</v>
      </c>
      <c r="H208" s="7">
        <v>0</v>
      </c>
    </row>
    <row r="209" spans="1:8">
      <c r="A209">
        <v>1</v>
      </c>
      <c r="B209" t="s">
        <v>44</v>
      </c>
      <c r="C209" t="s">
        <v>34</v>
      </c>
      <c r="D209">
        <v>0</v>
      </c>
      <c r="E209">
        <v>1</v>
      </c>
      <c r="F209" s="7">
        <v>89962.11</v>
      </c>
      <c r="G209">
        <v>0</v>
      </c>
      <c r="H209" s="7">
        <v>0</v>
      </c>
    </row>
    <row r="210" spans="1:8">
      <c r="A210">
        <v>1</v>
      </c>
      <c r="B210" t="s">
        <v>44</v>
      </c>
      <c r="C210" t="s">
        <v>35</v>
      </c>
      <c r="D210">
        <v>0</v>
      </c>
      <c r="E210">
        <v>1</v>
      </c>
      <c r="F210" s="7">
        <v>101940.14</v>
      </c>
      <c r="G210">
        <v>0</v>
      </c>
      <c r="H210" s="7">
        <v>0</v>
      </c>
    </row>
    <row r="211" spans="1:8">
      <c r="A211">
        <v>1</v>
      </c>
      <c r="B211" t="s">
        <v>44</v>
      </c>
      <c r="C211" t="s">
        <v>35</v>
      </c>
      <c r="D211">
        <v>0</v>
      </c>
      <c r="E211">
        <v>1</v>
      </c>
      <c r="F211" s="7">
        <v>163100.34</v>
      </c>
      <c r="G211">
        <v>0</v>
      </c>
      <c r="H211" s="7">
        <v>0</v>
      </c>
    </row>
    <row r="212" spans="1:8">
      <c r="A212">
        <v>1</v>
      </c>
      <c r="B212" t="s">
        <v>44</v>
      </c>
      <c r="C212" t="s">
        <v>35</v>
      </c>
      <c r="D212">
        <v>0</v>
      </c>
      <c r="E212">
        <v>1</v>
      </c>
      <c r="F212" s="7">
        <v>136030.66</v>
      </c>
      <c r="G212">
        <v>0</v>
      </c>
      <c r="H212" s="7">
        <v>0</v>
      </c>
    </row>
    <row r="213" spans="1:8">
      <c r="A213">
        <v>1</v>
      </c>
      <c r="B213" t="s">
        <v>44</v>
      </c>
      <c r="C213" t="s">
        <v>34</v>
      </c>
      <c r="D213">
        <v>0</v>
      </c>
      <c r="E213">
        <v>1</v>
      </c>
      <c r="F213" s="7">
        <v>68912.23</v>
      </c>
      <c r="G213">
        <v>0</v>
      </c>
      <c r="H213" s="7">
        <v>0</v>
      </c>
    </row>
    <row r="214" spans="1:8">
      <c r="A214">
        <v>1</v>
      </c>
      <c r="B214" t="s">
        <v>44</v>
      </c>
      <c r="C214" t="s">
        <v>34</v>
      </c>
      <c r="D214">
        <v>0</v>
      </c>
      <c r="E214">
        <v>1</v>
      </c>
      <c r="F214" s="7">
        <v>73464.06</v>
      </c>
      <c r="G214">
        <v>0</v>
      </c>
      <c r="H214" s="7">
        <v>0</v>
      </c>
    </row>
    <row r="215" spans="1:8">
      <c r="A215">
        <v>1</v>
      </c>
      <c r="B215" t="s">
        <v>44</v>
      </c>
      <c r="C215" t="s">
        <v>35</v>
      </c>
      <c r="D215">
        <v>0</v>
      </c>
      <c r="E215">
        <v>1</v>
      </c>
      <c r="F215" s="7">
        <v>106117.28</v>
      </c>
      <c r="G215">
        <v>0</v>
      </c>
      <c r="H215" s="7">
        <v>0</v>
      </c>
    </row>
    <row r="216" spans="1:8">
      <c r="A216">
        <v>1</v>
      </c>
      <c r="B216" t="s">
        <v>44</v>
      </c>
      <c r="C216" t="s">
        <v>35</v>
      </c>
      <c r="D216">
        <v>0</v>
      </c>
      <c r="E216">
        <v>1</v>
      </c>
      <c r="F216" s="7">
        <v>503333.79</v>
      </c>
      <c r="G216">
        <v>0</v>
      </c>
      <c r="H216" s="7">
        <v>0</v>
      </c>
    </row>
    <row r="217" spans="1:8">
      <c r="A217">
        <v>1</v>
      </c>
      <c r="B217" t="s">
        <v>44</v>
      </c>
      <c r="C217" t="s">
        <v>34</v>
      </c>
      <c r="D217">
        <v>0</v>
      </c>
      <c r="E217">
        <v>1</v>
      </c>
      <c r="F217" s="7">
        <v>71991.42</v>
      </c>
      <c r="G217">
        <v>0</v>
      </c>
      <c r="H217" s="7">
        <v>0</v>
      </c>
    </row>
    <row r="218" spans="1:8">
      <c r="A218">
        <v>1</v>
      </c>
      <c r="B218" t="s">
        <v>44</v>
      </c>
      <c r="C218" t="s">
        <v>34</v>
      </c>
      <c r="D218">
        <v>0</v>
      </c>
      <c r="E218">
        <v>1</v>
      </c>
      <c r="F218" s="7">
        <v>91379.93</v>
      </c>
      <c r="G218">
        <v>0</v>
      </c>
      <c r="H218" s="7">
        <v>0</v>
      </c>
    </row>
    <row r="219" spans="1:8">
      <c r="A219">
        <v>1</v>
      </c>
      <c r="B219" t="s">
        <v>44</v>
      </c>
      <c r="C219" t="s">
        <v>34</v>
      </c>
      <c r="D219">
        <v>0</v>
      </c>
      <c r="E219">
        <v>1</v>
      </c>
      <c r="F219" s="7">
        <v>26759.05</v>
      </c>
      <c r="G219">
        <v>0</v>
      </c>
      <c r="H219" s="7">
        <v>0</v>
      </c>
    </row>
    <row r="220" spans="1:8">
      <c r="A220">
        <v>1</v>
      </c>
      <c r="B220" t="s">
        <v>44</v>
      </c>
      <c r="C220" t="s">
        <v>35</v>
      </c>
      <c r="D220">
        <v>0</v>
      </c>
      <c r="E220">
        <v>1</v>
      </c>
      <c r="F220" s="7">
        <v>128487.35</v>
      </c>
      <c r="G220">
        <v>0</v>
      </c>
      <c r="H220" s="7">
        <v>0</v>
      </c>
    </row>
    <row r="221" spans="1:8">
      <c r="A221">
        <v>1</v>
      </c>
      <c r="B221" t="s">
        <v>44</v>
      </c>
      <c r="C221" t="s">
        <v>35</v>
      </c>
      <c r="D221">
        <v>0</v>
      </c>
      <c r="E221">
        <v>1</v>
      </c>
      <c r="F221" s="7">
        <v>252908.87</v>
      </c>
      <c r="G221">
        <v>0</v>
      </c>
      <c r="H221" s="7">
        <v>0</v>
      </c>
    </row>
    <row r="222" spans="1:8">
      <c r="A222">
        <v>1</v>
      </c>
      <c r="B222" t="s">
        <v>44</v>
      </c>
      <c r="C222" t="s">
        <v>34</v>
      </c>
      <c r="D222">
        <v>0</v>
      </c>
      <c r="E222">
        <v>1</v>
      </c>
      <c r="F222" s="7">
        <v>64489.64</v>
      </c>
      <c r="G222">
        <v>0</v>
      </c>
      <c r="H222" s="7">
        <v>0</v>
      </c>
    </row>
    <row r="223" spans="1:8">
      <c r="A223">
        <v>1</v>
      </c>
      <c r="B223" t="s">
        <v>44</v>
      </c>
      <c r="C223" t="s">
        <v>35</v>
      </c>
      <c r="D223">
        <v>0</v>
      </c>
      <c r="E223">
        <v>1</v>
      </c>
      <c r="F223" s="7">
        <v>171369.73</v>
      </c>
      <c r="G223">
        <v>0</v>
      </c>
      <c r="H223" s="7">
        <v>0</v>
      </c>
    </row>
    <row r="224" spans="1:8">
      <c r="A224">
        <v>1</v>
      </c>
      <c r="B224" t="s">
        <v>42</v>
      </c>
      <c r="C224" t="s">
        <v>33</v>
      </c>
      <c r="D224">
        <v>0</v>
      </c>
      <c r="E224">
        <v>1</v>
      </c>
      <c r="F224" s="7">
        <v>4493.29</v>
      </c>
      <c r="G224">
        <v>0</v>
      </c>
      <c r="H224" s="7">
        <v>0</v>
      </c>
    </row>
    <row r="225" spans="1:8">
      <c r="A225">
        <v>1</v>
      </c>
      <c r="B225" t="s">
        <v>42</v>
      </c>
      <c r="C225" t="s">
        <v>34</v>
      </c>
      <c r="D225">
        <v>0</v>
      </c>
      <c r="E225">
        <v>1</v>
      </c>
      <c r="F225" s="7">
        <v>12121.5</v>
      </c>
      <c r="G225">
        <v>0</v>
      </c>
      <c r="H225" s="7">
        <v>0</v>
      </c>
    </row>
    <row r="226" spans="1:8">
      <c r="A226">
        <v>1</v>
      </c>
      <c r="B226" t="s">
        <v>42</v>
      </c>
      <c r="C226" t="s">
        <v>33</v>
      </c>
      <c r="D226">
        <v>0</v>
      </c>
      <c r="E226">
        <v>1</v>
      </c>
      <c r="F226" s="7">
        <v>2278.19</v>
      </c>
      <c r="G226">
        <v>0</v>
      </c>
      <c r="H226" s="7">
        <v>0</v>
      </c>
    </row>
    <row r="227" spans="1:8">
      <c r="A227">
        <v>1</v>
      </c>
      <c r="B227" t="s">
        <v>42</v>
      </c>
      <c r="C227" t="s">
        <v>33</v>
      </c>
      <c r="D227">
        <v>0</v>
      </c>
      <c r="E227">
        <v>1</v>
      </c>
      <c r="F227" s="7">
        <v>7707.44</v>
      </c>
      <c r="G227">
        <v>0</v>
      </c>
      <c r="H227" s="7">
        <v>0</v>
      </c>
    </row>
    <row r="228" spans="1:8">
      <c r="A228">
        <v>1</v>
      </c>
      <c r="B228" t="s">
        <v>42</v>
      </c>
      <c r="C228" t="s">
        <v>33</v>
      </c>
      <c r="D228">
        <v>0</v>
      </c>
      <c r="E228">
        <v>1</v>
      </c>
      <c r="F228" s="7">
        <v>4013.02</v>
      </c>
      <c r="G228">
        <v>0</v>
      </c>
      <c r="H228" s="7">
        <v>0</v>
      </c>
    </row>
    <row r="229" spans="1:8">
      <c r="A229">
        <v>1</v>
      </c>
      <c r="B229" t="s">
        <v>42</v>
      </c>
      <c r="C229" t="s">
        <v>33</v>
      </c>
      <c r="D229">
        <v>0</v>
      </c>
      <c r="E229">
        <v>1</v>
      </c>
      <c r="F229" s="7">
        <v>5775.15</v>
      </c>
      <c r="G229">
        <v>0</v>
      </c>
      <c r="H229" s="7">
        <v>0</v>
      </c>
    </row>
    <row r="230" spans="1:8">
      <c r="A230">
        <v>1</v>
      </c>
      <c r="B230" t="s">
        <v>42</v>
      </c>
      <c r="C230" t="s">
        <v>33</v>
      </c>
      <c r="D230">
        <v>0</v>
      </c>
      <c r="E230">
        <v>1</v>
      </c>
      <c r="F230" s="7">
        <v>4843.93</v>
      </c>
      <c r="G230">
        <v>0</v>
      </c>
      <c r="H230" s="7">
        <v>0</v>
      </c>
    </row>
    <row r="231" spans="1:8">
      <c r="A231">
        <v>1</v>
      </c>
      <c r="B231" t="s">
        <v>42</v>
      </c>
      <c r="C231" t="s">
        <v>33</v>
      </c>
      <c r="D231">
        <v>0</v>
      </c>
      <c r="E231">
        <v>1</v>
      </c>
      <c r="F231" s="7">
        <v>2397.82</v>
      </c>
      <c r="G231">
        <v>0</v>
      </c>
      <c r="H231" s="7">
        <v>0</v>
      </c>
    </row>
    <row r="232" spans="1:8">
      <c r="A232">
        <v>1</v>
      </c>
      <c r="B232" t="s">
        <v>42</v>
      </c>
      <c r="C232" t="s">
        <v>33</v>
      </c>
      <c r="D232">
        <v>0</v>
      </c>
      <c r="E232">
        <v>1</v>
      </c>
      <c r="F232" s="7">
        <v>4391.44</v>
      </c>
      <c r="G232">
        <v>0</v>
      </c>
      <c r="H232" s="7">
        <v>0</v>
      </c>
    </row>
    <row r="233" spans="1:8">
      <c r="A233">
        <v>1</v>
      </c>
      <c r="B233" t="s">
        <v>45</v>
      </c>
      <c r="C233" t="s">
        <v>33</v>
      </c>
      <c r="D233">
        <v>0</v>
      </c>
      <c r="E233">
        <v>1</v>
      </c>
      <c r="F233" s="7">
        <v>4497.87</v>
      </c>
      <c r="G233">
        <v>0</v>
      </c>
      <c r="H233" s="7">
        <v>0</v>
      </c>
    </row>
    <row r="234" spans="1:8">
      <c r="A234">
        <v>1</v>
      </c>
      <c r="B234" t="s">
        <v>42</v>
      </c>
      <c r="C234" t="s">
        <v>33</v>
      </c>
      <c r="D234">
        <v>0</v>
      </c>
      <c r="E234">
        <v>1</v>
      </c>
      <c r="F234" s="7">
        <v>7452.89</v>
      </c>
      <c r="G234">
        <v>0</v>
      </c>
      <c r="H234" s="7">
        <v>0</v>
      </c>
    </row>
    <row r="235" spans="1:8">
      <c r="A235">
        <v>1</v>
      </c>
      <c r="B235" t="s">
        <v>42</v>
      </c>
      <c r="C235" t="s">
        <v>33</v>
      </c>
      <c r="D235">
        <v>0</v>
      </c>
      <c r="E235">
        <v>1</v>
      </c>
      <c r="F235" s="7">
        <v>3930.81</v>
      </c>
      <c r="G235">
        <v>0</v>
      </c>
      <c r="H235" s="7">
        <v>0</v>
      </c>
    </row>
    <row r="236" spans="1:8">
      <c r="A236">
        <v>1</v>
      </c>
      <c r="B236" t="s">
        <v>44</v>
      </c>
      <c r="C236" t="s">
        <v>34</v>
      </c>
      <c r="D236">
        <v>0</v>
      </c>
      <c r="E236">
        <v>1</v>
      </c>
      <c r="F236" s="7">
        <v>71532.24</v>
      </c>
      <c r="G236">
        <v>0</v>
      </c>
      <c r="H236" s="7">
        <v>0</v>
      </c>
    </row>
    <row r="237" spans="1:8">
      <c r="A237">
        <v>1</v>
      </c>
      <c r="B237" t="s">
        <v>44</v>
      </c>
      <c r="C237" t="s">
        <v>34</v>
      </c>
      <c r="D237">
        <v>0</v>
      </c>
      <c r="E237">
        <v>1</v>
      </c>
      <c r="F237" s="7">
        <v>61159.51</v>
      </c>
      <c r="G237">
        <v>0</v>
      </c>
      <c r="H237" s="7">
        <v>0</v>
      </c>
    </row>
    <row r="238" spans="1:8">
      <c r="A238">
        <v>1</v>
      </c>
      <c r="B238" t="s">
        <v>44</v>
      </c>
      <c r="C238" t="s">
        <v>34</v>
      </c>
      <c r="D238">
        <v>0</v>
      </c>
      <c r="E238">
        <v>1</v>
      </c>
      <c r="F238" s="7">
        <v>12401.9</v>
      </c>
      <c r="G238">
        <v>0</v>
      </c>
      <c r="H238" s="7">
        <v>0</v>
      </c>
    </row>
    <row r="239" spans="1:8">
      <c r="A239">
        <v>1</v>
      </c>
      <c r="B239" t="s">
        <v>44</v>
      </c>
      <c r="C239" t="s">
        <v>34</v>
      </c>
      <c r="D239">
        <v>0</v>
      </c>
      <c r="E239">
        <v>1</v>
      </c>
      <c r="F239" s="7">
        <v>32702.61</v>
      </c>
      <c r="G239">
        <v>0</v>
      </c>
      <c r="H239" s="7">
        <v>0</v>
      </c>
    </row>
    <row r="240" spans="1:8">
      <c r="A240">
        <v>1</v>
      </c>
      <c r="B240" t="s">
        <v>42</v>
      </c>
      <c r="C240" t="s">
        <v>33</v>
      </c>
      <c r="D240">
        <v>0</v>
      </c>
      <c r="E240">
        <v>1</v>
      </c>
      <c r="F240" s="7">
        <v>6926.67</v>
      </c>
      <c r="G240">
        <v>0</v>
      </c>
      <c r="H240" s="7">
        <v>0</v>
      </c>
    </row>
    <row r="241" spans="1:8">
      <c r="A241">
        <v>1</v>
      </c>
      <c r="B241" t="s">
        <v>42</v>
      </c>
      <c r="C241" t="s">
        <v>32</v>
      </c>
      <c r="D241">
        <v>0</v>
      </c>
      <c r="E241">
        <v>1</v>
      </c>
      <c r="F241" s="7">
        <v>893.57</v>
      </c>
      <c r="G241">
        <v>0</v>
      </c>
      <c r="H241" s="7">
        <v>0</v>
      </c>
    </row>
    <row r="242" spans="1:8">
      <c r="A242">
        <v>1</v>
      </c>
      <c r="B242" t="s">
        <v>43</v>
      </c>
      <c r="C242" t="s">
        <v>35</v>
      </c>
      <c r="D242">
        <v>0</v>
      </c>
      <c r="E242">
        <v>1</v>
      </c>
      <c r="F242" s="7">
        <v>480222.51</v>
      </c>
      <c r="G242">
        <v>0</v>
      </c>
      <c r="H242" s="7">
        <v>0</v>
      </c>
    </row>
    <row r="243" spans="1:8">
      <c r="A243">
        <v>1</v>
      </c>
      <c r="B243" t="s">
        <v>42</v>
      </c>
      <c r="C243" t="s">
        <v>33</v>
      </c>
      <c r="D243">
        <v>0</v>
      </c>
      <c r="E243">
        <v>1</v>
      </c>
      <c r="F243" s="7">
        <v>3608.41</v>
      </c>
      <c r="G243">
        <v>0</v>
      </c>
      <c r="H243" s="7">
        <v>0</v>
      </c>
    </row>
    <row r="244" spans="1:8">
      <c r="A244">
        <v>1</v>
      </c>
      <c r="B244" t="s">
        <v>42</v>
      </c>
      <c r="C244" t="s">
        <v>33</v>
      </c>
      <c r="D244">
        <v>0</v>
      </c>
      <c r="E244">
        <v>1</v>
      </c>
      <c r="F244" s="7">
        <v>5946.79</v>
      </c>
      <c r="G244">
        <v>0</v>
      </c>
      <c r="H244" s="7">
        <v>0</v>
      </c>
    </row>
    <row r="245" spans="1:8">
      <c r="A245">
        <v>1</v>
      </c>
      <c r="B245" t="s">
        <v>42</v>
      </c>
      <c r="C245" t="s">
        <v>33</v>
      </c>
      <c r="D245">
        <v>0</v>
      </c>
      <c r="E245">
        <v>1</v>
      </c>
      <c r="F245" s="7">
        <v>6099.96</v>
      </c>
      <c r="G245">
        <v>0</v>
      </c>
      <c r="H245" s="7">
        <v>0</v>
      </c>
    </row>
    <row r="246" spans="1:8">
      <c r="A246">
        <v>1</v>
      </c>
      <c r="B246" t="s">
        <v>42</v>
      </c>
      <c r="C246" t="s">
        <v>32</v>
      </c>
      <c r="D246">
        <v>0</v>
      </c>
      <c r="E246">
        <v>1</v>
      </c>
      <c r="F246" s="7">
        <v>372.34</v>
      </c>
      <c r="G246">
        <v>0</v>
      </c>
      <c r="H246" s="7">
        <v>0</v>
      </c>
    </row>
    <row r="247" spans="1:8">
      <c r="A247">
        <v>1</v>
      </c>
      <c r="B247" t="s">
        <v>42</v>
      </c>
      <c r="C247" t="s">
        <v>33</v>
      </c>
      <c r="D247">
        <v>0</v>
      </c>
      <c r="E247">
        <v>1</v>
      </c>
      <c r="F247" s="7">
        <v>4635.18</v>
      </c>
      <c r="G247">
        <v>0</v>
      </c>
      <c r="H247" s="7">
        <v>0</v>
      </c>
    </row>
    <row r="248" spans="1:8">
      <c r="A248">
        <v>1</v>
      </c>
      <c r="B248" t="s">
        <v>42</v>
      </c>
      <c r="C248" t="s">
        <v>33</v>
      </c>
      <c r="D248">
        <v>0</v>
      </c>
      <c r="E248">
        <v>1</v>
      </c>
      <c r="F248" s="7">
        <v>1267.97</v>
      </c>
      <c r="G248">
        <v>0</v>
      </c>
      <c r="H248" s="7">
        <v>0</v>
      </c>
    </row>
    <row r="249" spans="1:8">
      <c r="A249">
        <v>1</v>
      </c>
      <c r="B249" t="s">
        <v>42</v>
      </c>
      <c r="C249" t="s">
        <v>33</v>
      </c>
      <c r="D249">
        <v>0</v>
      </c>
      <c r="E249">
        <v>1</v>
      </c>
      <c r="F249" s="7">
        <v>6911.99</v>
      </c>
      <c r="G249">
        <v>0</v>
      </c>
      <c r="H249" s="7">
        <v>0</v>
      </c>
    </row>
    <row r="250" spans="1:8">
      <c r="A250">
        <v>1</v>
      </c>
      <c r="B250" t="s">
        <v>42</v>
      </c>
      <c r="C250" t="s">
        <v>33</v>
      </c>
      <c r="D250">
        <v>0</v>
      </c>
      <c r="E250">
        <v>1</v>
      </c>
      <c r="F250" s="7">
        <v>1795.67</v>
      </c>
      <c r="G250">
        <v>0</v>
      </c>
      <c r="H250" s="7">
        <v>0</v>
      </c>
    </row>
    <row r="251" spans="1:8">
      <c r="A251">
        <v>1</v>
      </c>
      <c r="B251" t="s">
        <v>42</v>
      </c>
      <c r="C251" t="s">
        <v>33</v>
      </c>
      <c r="D251">
        <v>0</v>
      </c>
      <c r="E251">
        <v>1</v>
      </c>
      <c r="F251" s="7">
        <v>3199.06</v>
      </c>
      <c r="G251">
        <v>0</v>
      </c>
      <c r="H251" s="7">
        <v>0</v>
      </c>
    </row>
    <row r="252" spans="1:8">
      <c r="A252">
        <v>1</v>
      </c>
      <c r="B252" t="s">
        <v>42</v>
      </c>
      <c r="C252" t="s">
        <v>34</v>
      </c>
      <c r="D252">
        <v>0</v>
      </c>
      <c r="E252">
        <v>1</v>
      </c>
      <c r="F252" s="7">
        <v>10265.17</v>
      </c>
      <c r="G252">
        <v>0</v>
      </c>
      <c r="H252" s="7">
        <v>0</v>
      </c>
    </row>
    <row r="253" spans="1:8">
      <c r="A253">
        <v>1</v>
      </c>
      <c r="B253" t="s">
        <v>42</v>
      </c>
      <c r="C253" t="s">
        <v>33</v>
      </c>
      <c r="D253">
        <v>0</v>
      </c>
      <c r="E253">
        <v>1</v>
      </c>
      <c r="F253" s="7">
        <v>9029.12</v>
      </c>
      <c r="G253">
        <v>0</v>
      </c>
      <c r="H253" s="7">
        <v>0</v>
      </c>
    </row>
    <row r="254" spans="1:8">
      <c r="A254">
        <v>1</v>
      </c>
      <c r="B254" t="s">
        <v>42</v>
      </c>
      <c r="C254" t="s">
        <v>33</v>
      </c>
      <c r="D254">
        <v>0</v>
      </c>
      <c r="E254">
        <v>1</v>
      </c>
      <c r="F254" s="7">
        <v>7600.57</v>
      </c>
      <c r="G254">
        <v>0</v>
      </c>
      <c r="H254" s="7">
        <v>0</v>
      </c>
    </row>
    <row r="255" spans="1:8">
      <c r="A255">
        <v>1</v>
      </c>
      <c r="B255" t="s">
        <v>42</v>
      </c>
      <c r="C255" t="s">
        <v>33</v>
      </c>
      <c r="D255">
        <v>0</v>
      </c>
      <c r="E255">
        <v>1</v>
      </c>
      <c r="F255" s="7">
        <v>2057.71</v>
      </c>
      <c r="G255">
        <v>0</v>
      </c>
      <c r="H255" s="7">
        <v>0</v>
      </c>
    </row>
    <row r="256" spans="1:8">
      <c r="A256">
        <v>1</v>
      </c>
      <c r="B256" t="s">
        <v>42</v>
      </c>
      <c r="C256" t="s">
        <v>33</v>
      </c>
      <c r="D256">
        <v>0</v>
      </c>
      <c r="E256">
        <v>1</v>
      </c>
      <c r="F256" s="7">
        <v>3823.08</v>
      </c>
      <c r="G256">
        <v>0</v>
      </c>
      <c r="H256" s="7">
        <v>0</v>
      </c>
    </row>
    <row r="257" spans="1:8">
      <c r="A257">
        <v>1</v>
      </c>
      <c r="B257" t="s">
        <v>43</v>
      </c>
      <c r="C257" t="s">
        <v>33</v>
      </c>
      <c r="D257">
        <v>1</v>
      </c>
      <c r="E257">
        <v>1</v>
      </c>
      <c r="F257" s="7">
        <v>2806</v>
      </c>
      <c r="G257">
        <v>1</v>
      </c>
      <c r="H257" s="7">
        <v>2806</v>
      </c>
    </row>
    <row r="258" spans="1:8">
      <c r="A258">
        <v>1</v>
      </c>
      <c r="B258" t="s">
        <v>44</v>
      </c>
      <c r="C258" t="s">
        <v>33</v>
      </c>
      <c r="D258">
        <v>1</v>
      </c>
      <c r="E258">
        <v>1</v>
      </c>
      <c r="F258" s="7">
        <v>2806</v>
      </c>
      <c r="G258">
        <v>1</v>
      </c>
      <c r="H258" s="7">
        <v>2806</v>
      </c>
    </row>
    <row r="259" spans="1:8">
      <c r="A259">
        <v>1</v>
      </c>
      <c r="B259" t="s">
        <v>42</v>
      </c>
      <c r="C259" t="s">
        <v>33</v>
      </c>
      <c r="D259">
        <v>0</v>
      </c>
      <c r="E259">
        <v>1</v>
      </c>
      <c r="F259" s="7">
        <v>6737.2</v>
      </c>
      <c r="G259">
        <v>0</v>
      </c>
      <c r="H259" s="7">
        <v>0</v>
      </c>
    </row>
    <row r="260" spans="1:8">
      <c r="A260">
        <v>1</v>
      </c>
      <c r="B260" t="s">
        <v>42</v>
      </c>
      <c r="C260" t="s">
        <v>33</v>
      </c>
      <c r="D260">
        <v>0</v>
      </c>
      <c r="E260">
        <v>1</v>
      </c>
      <c r="F260" s="7">
        <v>9161.98</v>
      </c>
      <c r="G260">
        <v>0</v>
      </c>
      <c r="H260" s="7">
        <v>0</v>
      </c>
    </row>
    <row r="261" spans="1:8">
      <c r="A261">
        <v>1</v>
      </c>
      <c r="B261" t="s">
        <v>42</v>
      </c>
      <c r="C261" t="s">
        <v>33</v>
      </c>
      <c r="D261">
        <v>0</v>
      </c>
      <c r="E261">
        <v>1</v>
      </c>
      <c r="F261" s="7">
        <v>1239.06</v>
      </c>
      <c r="G261">
        <v>0</v>
      </c>
      <c r="H261" s="7">
        <v>0</v>
      </c>
    </row>
    <row r="262" spans="1:8">
      <c r="A262">
        <v>1</v>
      </c>
      <c r="B262" t="s">
        <v>42</v>
      </c>
      <c r="C262" t="s">
        <v>32</v>
      </c>
      <c r="D262">
        <v>0</v>
      </c>
      <c r="E262">
        <v>1</v>
      </c>
      <c r="F262" s="7">
        <v>365</v>
      </c>
      <c r="G262">
        <v>0</v>
      </c>
      <c r="H262" s="7">
        <v>0</v>
      </c>
    </row>
    <row r="263" spans="1:8">
      <c r="A263">
        <v>1</v>
      </c>
      <c r="B263" t="s">
        <v>42</v>
      </c>
      <c r="C263" t="s">
        <v>33</v>
      </c>
      <c r="D263">
        <v>0</v>
      </c>
      <c r="E263">
        <v>1</v>
      </c>
      <c r="F263" s="7">
        <v>5237.54</v>
      </c>
      <c r="G263">
        <v>0</v>
      </c>
      <c r="H263" s="7">
        <v>0</v>
      </c>
    </row>
    <row r="264" spans="1:8">
      <c r="A264">
        <v>1</v>
      </c>
      <c r="B264" t="s">
        <v>42</v>
      </c>
      <c r="C264" t="s">
        <v>33</v>
      </c>
      <c r="D264">
        <v>0</v>
      </c>
      <c r="E264">
        <v>1</v>
      </c>
      <c r="F264" s="7">
        <v>2618.76</v>
      </c>
      <c r="G264">
        <v>0</v>
      </c>
      <c r="H264" s="7">
        <v>0</v>
      </c>
    </row>
    <row r="265" spans="1:8">
      <c r="A265">
        <v>1</v>
      </c>
      <c r="B265" t="s">
        <v>42</v>
      </c>
      <c r="C265" t="s">
        <v>32</v>
      </c>
      <c r="D265">
        <v>0</v>
      </c>
      <c r="E265">
        <v>1</v>
      </c>
      <c r="F265" s="7">
        <v>339.82</v>
      </c>
      <c r="G265">
        <v>0</v>
      </c>
      <c r="H265" s="7">
        <v>0</v>
      </c>
    </row>
    <row r="266" spans="1:8">
      <c r="A266">
        <v>1</v>
      </c>
      <c r="B266" t="s">
        <v>45</v>
      </c>
      <c r="C266" t="s">
        <v>33</v>
      </c>
      <c r="D266">
        <v>0</v>
      </c>
      <c r="E266">
        <v>1</v>
      </c>
      <c r="F266" s="7">
        <v>1393.46</v>
      </c>
      <c r="G266">
        <v>0</v>
      </c>
      <c r="H266" s="7">
        <v>0</v>
      </c>
    </row>
    <row r="267" spans="1:8">
      <c r="A267">
        <v>1</v>
      </c>
      <c r="B267" t="s">
        <v>42</v>
      </c>
      <c r="C267" t="s">
        <v>33</v>
      </c>
      <c r="D267">
        <v>0</v>
      </c>
      <c r="E267">
        <v>1</v>
      </c>
      <c r="F267" s="7">
        <v>2731.37</v>
      </c>
      <c r="G267">
        <v>0</v>
      </c>
      <c r="H267" s="7">
        <v>0</v>
      </c>
    </row>
    <row r="268" spans="1:8">
      <c r="A268">
        <v>1</v>
      </c>
      <c r="B268" t="s">
        <v>42</v>
      </c>
      <c r="C268" t="s">
        <v>33</v>
      </c>
      <c r="D268">
        <v>0</v>
      </c>
      <c r="E268">
        <v>1</v>
      </c>
      <c r="F268" s="7">
        <v>8364.73</v>
      </c>
      <c r="G268">
        <v>0</v>
      </c>
      <c r="H268" s="7">
        <v>0</v>
      </c>
    </row>
    <row r="269" spans="1:8">
      <c r="A269">
        <v>1</v>
      </c>
      <c r="B269" t="s">
        <v>42</v>
      </c>
      <c r="C269" t="s">
        <v>33</v>
      </c>
      <c r="D269">
        <v>0</v>
      </c>
      <c r="E269">
        <v>1</v>
      </c>
      <c r="F269" s="7">
        <v>6598.71</v>
      </c>
      <c r="G269">
        <v>0</v>
      </c>
      <c r="H269" s="7">
        <v>0</v>
      </c>
    </row>
    <row r="270" spans="1:8">
      <c r="A270">
        <v>1</v>
      </c>
      <c r="B270" t="s">
        <v>42</v>
      </c>
      <c r="C270" t="s">
        <v>33</v>
      </c>
      <c r="D270">
        <v>0</v>
      </c>
      <c r="E270">
        <v>1</v>
      </c>
      <c r="F270" s="7">
        <v>4304.58</v>
      </c>
      <c r="G270">
        <v>0</v>
      </c>
      <c r="H270" s="7">
        <v>0</v>
      </c>
    </row>
    <row r="271" spans="1:8">
      <c r="A271">
        <v>1</v>
      </c>
      <c r="B271" t="s">
        <v>42</v>
      </c>
      <c r="C271" t="s">
        <v>33</v>
      </c>
      <c r="D271">
        <v>0</v>
      </c>
      <c r="E271">
        <v>1</v>
      </c>
      <c r="F271" s="7">
        <v>2867.14</v>
      </c>
      <c r="G271">
        <v>0</v>
      </c>
      <c r="H271" s="7">
        <v>0</v>
      </c>
    </row>
    <row r="272" spans="1:8">
      <c r="A272">
        <v>1</v>
      </c>
      <c r="B272" t="s">
        <v>42</v>
      </c>
      <c r="C272" t="s">
        <v>33</v>
      </c>
      <c r="D272">
        <v>0</v>
      </c>
      <c r="E272">
        <v>1</v>
      </c>
      <c r="F272" s="7">
        <v>2946.38</v>
      </c>
      <c r="G272">
        <v>0</v>
      </c>
      <c r="H272" s="7">
        <v>0</v>
      </c>
    </row>
    <row r="273" spans="1:8">
      <c r="A273">
        <v>1</v>
      </c>
      <c r="B273" t="s">
        <v>42</v>
      </c>
      <c r="C273" t="s">
        <v>32</v>
      </c>
      <c r="D273">
        <v>0</v>
      </c>
      <c r="E273">
        <v>1</v>
      </c>
      <c r="F273" s="7">
        <v>507.12</v>
      </c>
      <c r="G273">
        <v>0</v>
      </c>
      <c r="H273" s="7">
        <v>0</v>
      </c>
    </row>
    <row r="274" spans="1:8">
      <c r="A274">
        <v>1</v>
      </c>
      <c r="B274" t="s">
        <v>42</v>
      </c>
      <c r="C274" t="s">
        <v>33</v>
      </c>
      <c r="D274">
        <v>0</v>
      </c>
      <c r="E274">
        <v>1</v>
      </c>
      <c r="F274" s="7">
        <v>3020.86</v>
      </c>
      <c r="G274">
        <v>0</v>
      </c>
      <c r="H274" s="7">
        <v>0</v>
      </c>
    </row>
    <row r="275" spans="1:8">
      <c r="A275">
        <v>1</v>
      </c>
      <c r="B275" t="s">
        <v>42</v>
      </c>
      <c r="C275" t="s">
        <v>33</v>
      </c>
      <c r="D275">
        <v>0</v>
      </c>
      <c r="E275">
        <v>1</v>
      </c>
      <c r="F275" s="7">
        <v>8948.03</v>
      </c>
      <c r="G275">
        <v>0</v>
      </c>
      <c r="H275" s="7">
        <v>0</v>
      </c>
    </row>
    <row r="276" spans="1:8">
      <c r="A276">
        <v>1</v>
      </c>
      <c r="B276" t="s">
        <v>44</v>
      </c>
      <c r="C276" t="s">
        <v>35</v>
      </c>
      <c r="D276">
        <v>0</v>
      </c>
      <c r="E276">
        <v>1</v>
      </c>
      <c r="F276" s="7">
        <v>280877.92</v>
      </c>
      <c r="G276">
        <v>0</v>
      </c>
      <c r="H276" s="7">
        <v>0</v>
      </c>
    </row>
    <row r="277" spans="1:8">
      <c r="A277">
        <v>1</v>
      </c>
      <c r="B277" t="s">
        <v>42</v>
      </c>
      <c r="C277" t="s">
        <v>33</v>
      </c>
      <c r="D277">
        <v>0</v>
      </c>
      <c r="E277">
        <v>1</v>
      </c>
      <c r="F277" s="7">
        <v>1084.9</v>
      </c>
      <c r="G277">
        <v>0</v>
      </c>
      <c r="H277" s="7">
        <v>0</v>
      </c>
    </row>
    <row r="278" spans="1:8">
      <c r="A278">
        <v>1</v>
      </c>
      <c r="B278" t="s">
        <v>42</v>
      </c>
      <c r="C278" t="s">
        <v>33</v>
      </c>
      <c r="D278">
        <v>0</v>
      </c>
      <c r="E278">
        <v>1</v>
      </c>
      <c r="F278" s="7">
        <v>9456.69</v>
      </c>
      <c r="G278">
        <v>0</v>
      </c>
      <c r="H278" s="7">
        <v>0</v>
      </c>
    </row>
    <row r="279" spans="1:8">
      <c r="A279">
        <v>1</v>
      </c>
      <c r="B279" t="s">
        <v>42</v>
      </c>
      <c r="C279" t="s">
        <v>33</v>
      </c>
      <c r="D279">
        <v>0</v>
      </c>
      <c r="E279">
        <v>1</v>
      </c>
      <c r="F279" s="7">
        <v>5812.36</v>
      </c>
      <c r="G279">
        <v>0</v>
      </c>
      <c r="H279" s="7">
        <v>0</v>
      </c>
    </row>
    <row r="280" spans="1:8">
      <c r="A280">
        <v>1</v>
      </c>
      <c r="B280" t="s">
        <v>43</v>
      </c>
      <c r="C280" t="s">
        <v>35</v>
      </c>
      <c r="D280">
        <v>0</v>
      </c>
      <c r="E280">
        <v>1</v>
      </c>
      <c r="F280" s="7">
        <v>157883.07</v>
      </c>
      <c r="G280">
        <v>0</v>
      </c>
      <c r="H280" s="7">
        <v>0</v>
      </c>
    </row>
    <row r="281" spans="1:8">
      <c r="A281">
        <v>1</v>
      </c>
      <c r="B281" t="s">
        <v>42</v>
      </c>
      <c r="C281" t="s">
        <v>33</v>
      </c>
      <c r="D281">
        <v>0</v>
      </c>
      <c r="E281">
        <v>1</v>
      </c>
      <c r="F281" s="7">
        <v>2734.77</v>
      </c>
      <c r="G281">
        <v>0</v>
      </c>
      <c r="H281" s="7">
        <v>0</v>
      </c>
    </row>
    <row r="282" spans="1:8">
      <c r="A282">
        <v>1</v>
      </c>
      <c r="B282" t="s">
        <v>44</v>
      </c>
      <c r="C282" t="s">
        <v>35</v>
      </c>
      <c r="D282">
        <v>0</v>
      </c>
      <c r="E282">
        <v>1</v>
      </c>
      <c r="F282" s="7">
        <v>102153.86</v>
      </c>
      <c r="G282">
        <v>0</v>
      </c>
      <c r="H282" s="7">
        <v>0</v>
      </c>
    </row>
    <row r="283" spans="1:8">
      <c r="A283">
        <v>1</v>
      </c>
      <c r="B283" t="s">
        <v>42</v>
      </c>
      <c r="C283" t="s">
        <v>32</v>
      </c>
      <c r="D283">
        <v>0</v>
      </c>
      <c r="E283">
        <v>1</v>
      </c>
      <c r="F283" s="7">
        <v>584.52</v>
      </c>
      <c r="G283">
        <v>0</v>
      </c>
      <c r="H283" s="7">
        <v>0</v>
      </c>
    </row>
    <row r="284" spans="1:8">
      <c r="A284">
        <v>1</v>
      </c>
      <c r="B284" t="s">
        <v>42</v>
      </c>
      <c r="C284" t="s">
        <v>33</v>
      </c>
      <c r="D284">
        <v>0</v>
      </c>
      <c r="E284">
        <v>1</v>
      </c>
      <c r="F284" s="7">
        <v>6113.14</v>
      </c>
      <c r="G284">
        <v>0</v>
      </c>
      <c r="H284" s="7">
        <v>0</v>
      </c>
    </row>
    <row r="285" spans="1:8">
      <c r="A285">
        <v>1</v>
      </c>
      <c r="B285" t="s">
        <v>44</v>
      </c>
      <c r="C285" t="s">
        <v>35</v>
      </c>
      <c r="D285">
        <v>0</v>
      </c>
      <c r="E285">
        <v>1</v>
      </c>
      <c r="F285" s="7">
        <v>369989.2</v>
      </c>
      <c r="G285">
        <v>0</v>
      </c>
      <c r="H285" s="7">
        <v>0</v>
      </c>
    </row>
    <row r="286" spans="1:8">
      <c r="A286">
        <v>1</v>
      </c>
      <c r="B286" t="s">
        <v>44</v>
      </c>
      <c r="C286" t="s">
        <v>35</v>
      </c>
      <c r="D286">
        <v>0</v>
      </c>
      <c r="E286">
        <v>1</v>
      </c>
      <c r="F286" s="7">
        <v>215338.28</v>
      </c>
      <c r="G286">
        <v>0</v>
      </c>
      <c r="H286" s="7">
        <v>0</v>
      </c>
    </row>
    <row r="287" spans="1:8">
      <c r="A287">
        <v>1</v>
      </c>
      <c r="B287" t="s">
        <v>44</v>
      </c>
      <c r="C287" t="s">
        <v>34</v>
      </c>
      <c r="D287">
        <v>0</v>
      </c>
      <c r="E287">
        <v>1</v>
      </c>
      <c r="F287" s="7">
        <v>65521.42</v>
      </c>
      <c r="G287">
        <v>0</v>
      </c>
      <c r="H287" s="7">
        <v>0</v>
      </c>
    </row>
    <row r="288" spans="1:8">
      <c r="A288">
        <v>1</v>
      </c>
      <c r="B288" t="s">
        <v>44</v>
      </c>
      <c r="C288" t="s">
        <v>35</v>
      </c>
      <c r="D288">
        <v>0</v>
      </c>
      <c r="E288">
        <v>1</v>
      </c>
      <c r="F288" s="7">
        <v>116977.58</v>
      </c>
      <c r="G288">
        <v>0</v>
      </c>
      <c r="H288" s="7">
        <v>0</v>
      </c>
    </row>
    <row r="289" spans="1:8">
      <c r="A289">
        <v>1</v>
      </c>
      <c r="B289" t="s">
        <v>44</v>
      </c>
      <c r="C289" t="s">
        <v>35</v>
      </c>
      <c r="D289">
        <v>0</v>
      </c>
      <c r="E289">
        <v>1</v>
      </c>
      <c r="F289" s="7">
        <v>262392.36</v>
      </c>
      <c r="G289">
        <v>0</v>
      </c>
      <c r="H289" s="7">
        <v>0</v>
      </c>
    </row>
    <row r="290" spans="1:8">
      <c r="A290">
        <v>1</v>
      </c>
      <c r="B290" t="s">
        <v>44</v>
      </c>
      <c r="C290" t="s">
        <v>34</v>
      </c>
      <c r="D290">
        <v>0</v>
      </c>
      <c r="E290">
        <v>1</v>
      </c>
      <c r="F290" s="7">
        <v>51121.05</v>
      </c>
      <c r="G290">
        <v>0</v>
      </c>
      <c r="H290" s="7">
        <v>0</v>
      </c>
    </row>
    <row r="291" spans="1:8">
      <c r="A291">
        <v>1</v>
      </c>
      <c r="B291" t="s">
        <v>44</v>
      </c>
      <c r="C291" t="s">
        <v>35</v>
      </c>
      <c r="D291">
        <v>0</v>
      </c>
      <c r="E291">
        <v>1</v>
      </c>
      <c r="F291" s="7">
        <v>202624.59</v>
      </c>
      <c r="G291">
        <v>0</v>
      </c>
      <c r="H291" s="7">
        <v>0</v>
      </c>
    </row>
    <row r="292" spans="1:8">
      <c r="A292">
        <v>1</v>
      </c>
      <c r="B292" t="s">
        <v>44</v>
      </c>
      <c r="C292" t="s">
        <v>35</v>
      </c>
      <c r="D292">
        <v>0</v>
      </c>
      <c r="E292">
        <v>1</v>
      </c>
      <c r="F292" s="7">
        <v>118235.16</v>
      </c>
      <c r="G292">
        <v>0</v>
      </c>
      <c r="H292" s="7">
        <v>0</v>
      </c>
    </row>
    <row r="293" spans="1:8">
      <c r="A293">
        <v>1</v>
      </c>
      <c r="B293" t="s">
        <v>44</v>
      </c>
      <c r="C293" t="s">
        <v>35</v>
      </c>
      <c r="D293">
        <v>0</v>
      </c>
      <c r="E293">
        <v>1</v>
      </c>
      <c r="F293" s="7">
        <v>118056.71</v>
      </c>
      <c r="G293">
        <v>0</v>
      </c>
      <c r="H293" s="7">
        <v>0</v>
      </c>
    </row>
    <row r="294" spans="1:8">
      <c r="A294">
        <v>1</v>
      </c>
      <c r="B294" t="s">
        <v>44</v>
      </c>
      <c r="C294" t="s">
        <v>35</v>
      </c>
      <c r="D294">
        <v>0</v>
      </c>
      <c r="E294">
        <v>1</v>
      </c>
      <c r="F294" s="7">
        <v>498960.91</v>
      </c>
      <c r="G294">
        <v>0</v>
      </c>
      <c r="H294" s="7">
        <v>0</v>
      </c>
    </row>
    <row r="295" spans="1:8">
      <c r="A295">
        <v>1</v>
      </c>
      <c r="B295" t="s">
        <v>44</v>
      </c>
      <c r="C295" t="s">
        <v>35</v>
      </c>
      <c r="D295">
        <v>0</v>
      </c>
      <c r="E295">
        <v>1</v>
      </c>
      <c r="F295" s="7">
        <v>691738.36</v>
      </c>
      <c r="G295">
        <v>0</v>
      </c>
      <c r="H295" s="7">
        <v>0</v>
      </c>
    </row>
    <row r="296" spans="1:8">
      <c r="A296">
        <v>1</v>
      </c>
      <c r="B296" t="s">
        <v>44</v>
      </c>
      <c r="C296" t="s">
        <v>34</v>
      </c>
      <c r="D296">
        <v>0</v>
      </c>
      <c r="E296">
        <v>1</v>
      </c>
      <c r="F296" s="7">
        <v>58820.08</v>
      </c>
      <c r="G296">
        <v>0</v>
      </c>
      <c r="H296" s="7">
        <v>0</v>
      </c>
    </row>
    <row r="297" spans="1:8">
      <c r="A297">
        <v>1</v>
      </c>
      <c r="B297" t="s">
        <v>42</v>
      </c>
      <c r="C297" t="s">
        <v>33</v>
      </c>
      <c r="D297">
        <v>0</v>
      </c>
      <c r="E297">
        <v>1</v>
      </c>
      <c r="F297" s="7">
        <v>4419.04</v>
      </c>
      <c r="G297">
        <v>0</v>
      </c>
      <c r="H297" s="7">
        <v>0</v>
      </c>
    </row>
    <row r="298" spans="1:8">
      <c r="A298">
        <v>1</v>
      </c>
      <c r="B298" t="s">
        <v>42</v>
      </c>
      <c r="C298" t="s">
        <v>33</v>
      </c>
      <c r="D298">
        <v>0</v>
      </c>
      <c r="E298">
        <v>1</v>
      </c>
      <c r="F298" s="7">
        <v>4270.02</v>
      </c>
      <c r="G298">
        <v>0</v>
      </c>
      <c r="H298" s="7">
        <v>0</v>
      </c>
    </row>
    <row r="299" spans="1:8">
      <c r="A299">
        <v>1</v>
      </c>
      <c r="B299" t="s">
        <v>42</v>
      </c>
      <c r="C299" t="s">
        <v>33</v>
      </c>
      <c r="D299">
        <v>0</v>
      </c>
      <c r="E299">
        <v>1</v>
      </c>
      <c r="F299" s="7">
        <v>3007.83</v>
      </c>
      <c r="G299">
        <v>0</v>
      </c>
      <c r="H299" s="7">
        <v>0</v>
      </c>
    </row>
    <row r="300" spans="1:8">
      <c r="A300">
        <v>1</v>
      </c>
      <c r="B300" t="s">
        <v>42</v>
      </c>
      <c r="C300" t="s">
        <v>33</v>
      </c>
      <c r="D300">
        <v>0</v>
      </c>
      <c r="E300">
        <v>1</v>
      </c>
      <c r="F300" s="7">
        <v>1824.59</v>
      </c>
      <c r="G300">
        <v>0</v>
      </c>
      <c r="H300" s="7">
        <v>0</v>
      </c>
    </row>
    <row r="301" spans="1:8">
      <c r="A301">
        <v>1</v>
      </c>
      <c r="B301" t="s">
        <v>42</v>
      </c>
      <c r="C301" t="s">
        <v>32</v>
      </c>
      <c r="D301">
        <v>0</v>
      </c>
      <c r="E301">
        <v>1</v>
      </c>
      <c r="F301" s="7">
        <v>993.46</v>
      </c>
      <c r="G301">
        <v>0</v>
      </c>
      <c r="H301" s="7">
        <v>0</v>
      </c>
    </row>
    <row r="302" spans="1:8">
      <c r="A302">
        <v>1</v>
      </c>
      <c r="B302" t="s">
        <v>44</v>
      </c>
      <c r="C302" t="s">
        <v>35</v>
      </c>
      <c r="D302">
        <v>0</v>
      </c>
      <c r="E302">
        <v>1</v>
      </c>
      <c r="F302" s="7">
        <v>302693.14</v>
      </c>
      <c r="G302">
        <v>0</v>
      </c>
      <c r="H302" s="7">
        <v>0</v>
      </c>
    </row>
    <row r="303" spans="1:8">
      <c r="A303">
        <v>1</v>
      </c>
      <c r="B303" t="s">
        <v>42</v>
      </c>
      <c r="C303" t="s">
        <v>33</v>
      </c>
      <c r="D303">
        <v>0</v>
      </c>
      <c r="E303">
        <v>1</v>
      </c>
      <c r="F303" s="7">
        <v>1445.06</v>
      </c>
      <c r="G303">
        <v>0</v>
      </c>
      <c r="H303" s="7">
        <v>0</v>
      </c>
    </row>
    <row r="304" spans="1:8">
      <c r="A304">
        <v>1</v>
      </c>
      <c r="B304" t="s">
        <v>42</v>
      </c>
      <c r="C304" t="s">
        <v>33</v>
      </c>
      <c r="D304">
        <v>0</v>
      </c>
      <c r="E304">
        <v>1</v>
      </c>
      <c r="F304" s="7">
        <v>4059.25</v>
      </c>
      <c r="G304">
        <v>0</v>
      </c>
      <c r="H304" s="7">
        <v>0</v>
      </c>
    </row>
    <row r="305" spans="1:8">
      <c r="A305">
        <v>1</v>
      </c>
      <c r="B305" t="s">
        <v>42</v>
      </c>
      <c r="C305" t="s">
        <v>33</v>
      </c>
      <c r="D305">
        <v>0</v>
      </c>
      <c r="E305">
        <v>1</v>
      </c>
      <c r="F305" s="7">
        <v>3417.18</v>
      </c>
      <c r="G305">
        <v>0</v>
      </c>
      <c r="H305" s="7">
        <v>0</v>
      </c>
    </row>
    <row r="306" spans="1:8">
      <c r="A306">
        <v>1</v>
      </c>
      <c r="B306" t="s">
        <v>45</v>
      </c>
      <c r="C306" t="s">
        <v>33</v>
      </c>
      <c r="D306">
        <v>0</v>
      </c>
      <c r="E306">
        <v>1</v>
      </c>
      <c r="F306" s="7">
        <v>3428.95</v>
      </c>
      <c r="G306">
        <v>0</v>
      </c>
      <c r="H306" s="7">
        <v>0</v>
      </c>
    </row>
    <row r="307" spans="1:8">
      <c r="A307">
        <v>1</v>
      </c>
      <c r="B307" t="s">
        <v>42</v>
      </c>
      <c r="C307" t="s">
        <v>33</v>
      </c>
      <c r="D307">
        <v>0</v>
      </c>
      <c r="E307">
        <v>1</v>
      </c>
      <c r="F307" s="7">
        <v>5580.98</v>
      </c>
      <c r="G307">
        <v>0</v>
      </c>
      <c r="H307" s="7">
        <v>0</v>
      </c>
    </row>
    <row r="308" spans="1:8">
      <c r="A308">
        <v>1</v>
      </c>
      <c r="B308" t="s">
        <v>45</v>
      </c>
      <c r="C308" t="s">
        <v>33</v>
      </c>
      <c r="D308">
        <v>0</v>
      </c>
      <c r="E308">
        <v>1</v>
      </c>
      <c r="F308" s="7">
        <v>3455.85</v>
      </c>
      <c r="G308">
        <v>0</v>
      </c>
      <c r="H308" s="7">
        <v>0</v>
      </c>
    </row>
    <row r="309" spans="1:8">
      <c r="A309">
        <v>1</v>
      </c>
      <c r="B309" t="s">
        <v>42</v>
      </c>
      <c r="C309" t="s">
        <v>33</v>
      </c>
      <c r="D309">
        <v>0</v>
      </c>
      <c r="E309">
        <v>1</v>
      </c>
      <c r="F309" s="7">
        <v>7265.63</v>
      </c>
      <c r="G309">
        <v>0</v>
      </c>
      <c r="H309" s="7">
        <v>0</v>
      </c>
    </row>
    <row r="310" spans="1:8">
      <c r="A310">
        <v>1</v>
      </c>
      <c r="B310" t="s">
        <v>42</v>
      </c>
      <c r="C310" t="s">
        <v>33</v>
      </c>
      <c r="D310">
        <v>0</v>
      </c>
      <c r="E310">
        <v>1</v>
      </c>
      <c r="F310" s="7">
        <v>3852.64</v>
      </c>
      <c r="G310">
        <v>0</v>
      </c>
      <c r="H310" s="7">
        <v>0</v>
      </c>
    </row>
    <row r="311" spans="1:8">
      <c r="A311">
        <v>1</v>
      </c>
      <c r="B311" t="s">
        <v>42</v>
      </c>
      <c r="C311" t="s">
        <v>33</v>
      </c>
      <c r="D311">
        <v>0</v>
      </c>
      <c r="E311">
        <v>1</v>
      </c>
      <c r="F311" s="7">
        <v>7870.29</v>
      </c>
      <c r="G311">
        <v>0</v>
      </c>
      <c r="H311" s="7">
        <v>0</v>
      </c>
    </row>
    <row r="312" spans="1:8">
      <c r="A312">
        <v>1</v>
      </c>
      <c r="B312" t="s">
        <v>45</v>
      </c>
      <c r="C312" t="s">
        <v>34</v>
      </c>
      <c r="D312">
        <v>0</v>
      </c>
      <c r="E312">
        <v>1</v>
      </c>
      <c r="F312" s="7">
        <v>12872.92</v>
      </c>
      <c r="G312">
        <v>0</v>
      </c>
      <c r="H312" s="7">
        <v>0</v>
      </c>
    </row>
    <row r="313" spans="1:8">
      <c r="A313">
        <v>1</v>
      </c>
      <c r="B313" t="s">
        <v>42</v>
      </c>
      <c r="C313" t="s">
        <v>33</v>
      </c>
      <c r="D313">
        <v>0</v>
      </c>
      <c r="E313">
        <v>1</v>
      </c>
      <c r="F313" s="7">
        <v>6675.34</v>
      </c>
      <c r="G313">
        <v>0</v>
      </c>
      <c r="H313" s="7">
        <v>0</v>
      </c>
    </row>
    <row r="314" spans="1:8">
      <c r="A314">
        <v>1</v>
      </c>
      <c r="B314" t="s">
        <v>44</v>
      </c>
      <c r="C314" t="s">
        <v>35</v>
      </c>
      <c r="D314">
        <v>0</v>
      </c>
      <c r="E314">
        <v>1</v>
      </c>
      <c r="F314" s="7">
        <v>410201.89</v>
      </c>
      <c r="G314">
        <v>0</v>
      </c>
      <c r="H314" s="7">
        <v>0</v>
      </c>
    </row>
    <row r="315" spans="1:8">
      <c r="A315">
        <v>1</v>
      </c>
      <c r="B315" t="s">
        <v>42</v>
      </c>
      <c r="C315" t="s">
        <v>34</v>
      </c>
      <c r="D315">
        <v>0</v>
      </c>
      <c r="E315">
        <v>1</v>
      </c>
      <c r="F315" s="7">
        <v>13310.78</v>
      </c>
      <c r="G315">
        <v>0</v>
      </c>
      <c r="H315" s="7">
        <v>0</v>
      </c>
    </row>
    <row r="316" spans="1:8">
      <c r="A316">
        <v>1</v>
      </c>
      <c r="B316" t="s">
        <v>42</v>
      </c>
      <c r="C316" t="s">
        <v>32</v>
      </c>
      <c r="D316">
        <v>0</v>
      </c>
      <c r="E316">
        <v>1</v>
      </c>
      <c r="F316" s="7">
        <v>664.35</v>
      </c>
      <c r="G316">
        <v>0</v>
      </c>
      <c r="H316" s="7">
        <v>0</v>
      </c>
    </row>
    <row r="317" spans="1:8">
      <c r="A317">
        <v>1</v>
      </c>
      <c r="B317" t="s">
        <v>42</v>
      </c>
      <c r="C317" t="s">
        <v>33</v>
      </c>
      <c r="D317">
        <v>0</v>
      </c>
      <c r="E317">
        <v>1</v>
      </c>
      <c r="F317" s="7">
        <v>2130.3</v>
      </c>
      <c r="G317">
        <v>0</v>
      </c>
      <c r="H317" s="7">
        <v>0</v>
      </c>
    </row>
    <row r="318" spans="1:8">
      <c r="A318">
        <v>1</v>
      </c>
      <c r="B318" t="s">
        <v>42</v>
      </c>
      <c r="C318" t="s">
        <v>33</v>
      </c>
      <c r="D318">
        <v>0</v>
      </c>
      <c r="E318">
        <v>1</v>
      </c>
      <c r="F318" s="7">
        <v>7771.4</v>
      </c>
      <c r="G318">
        <v>0</v>
      </c>
      <c r="H318" s="7">
        <v>0</v>
      </c>
    </row>
    <row r="319" spans="1:8">
      <c r="A319">
        <v>1</v>
      </c>
      <c r="B319" t="s">
        <v>42</v>
      </c>
      <c r="C319" t="s">
        <v>34</v>
      </c>
      <c r="D319">
        <v>0</v>
      </c>
      <c r="E319">
        <v>1</v>
      </c>
      <c r="F319" s="7">
        <v>36349.35</v>
      </c>
      <c r="G319">
        <v>0</v>
      </c>
      <c r="H319" s="7">
        <v>0</v>
      </c>
    </row>
    <row r="320" spans="1:8">
      <c r="A320">
        <v>1</v>
      </c>
      <c r="B320" t="s">
        <v>42</v>
      </c>
      <c r="C320" t="s">
        <v>32</v>
      </c>
      <c r="D320">
        <v>0</v>
      </c>
      <c r="E320">
        <v>1</v>
      </c>
      <c r="F320" s="7">
        <v>749.34</v>
      </c>
      <c r="G320">
        <v>0</v>
      </c>
      <c r="H320" s="7">
        <v>0</v>
      </c>
    </row>
    <row r="321" spans="1:8">
      <c r="A321">
        <v>1</v>
      </c>
      <c r="B321" t="s">
        <v>42</v>
      </c>
      <c r="C321" t="s">
        <v>33</v>
      </c>
      <c r="D321">
        <v>0</v>
      </c>
      <c r="E321">
        <v>1</v>
      </c>
      <c r="F321" s="7">
        <v>2340.34</v>
      </c>
      <c r="G321">
        <v>0</v>
      </c>
      <c r="H321" s="7">
        <v>0</v>
      </c>
    </row>
    <row r="322" spans="1:8">
      <c r="A322">
        <v>1</v>
      </c>
      <c r="B322" t="s">
        <v>42</v>
      </c>
      <c r="C322" t="s">
        <v>33</v>
      </c>
      <c r="D322">
        <v>0</v>
      </c>
      <c r="E322">
        <v>1</v>
      </c>
      <c r="F322" s="7">
        <v>9686.85</v>
      </c>
      <c r="G322">
        <v>0</v>
      </c>
      <c r="H322" s="7">
        <v>0</v>
      </c>
    </row>
    <row r="323" spans="1:8">
      <c r="A323">
        <v>1</v>
      </c>
      <c r="B323" t="s">
        <v>42</v>
      </c>
      <c r="C323" t="s">
        <v>34</v>
      </c>
      <c r="D323">
        <v>0</v>
      </c>
      <c r="E323">
        <v>1</v>
      </c>
      <c r="F323" s="7">
        <v>15785.85</v>
      </c>
      <c r="G323">
        <v>0</v>
      </c>
      <c r="H323" s="7">
        <v>0</v>
      </c>
    </row>
    <row r="324" spans="1:8">
      <c r="A324">
        <v>1</v>
      </c>
      <c r="B324" t="s">
        <v>42</v>
      </c>
      <c r="C324" t="s">
        <v>33</v>
      </c>
      <c r="D324">
        <v>0</v>
      </c>
      <c r="E324">
        <v>1</v>
      </c>
      <c r="F324" s="7">
        <v>9006.78</v>
      </c>
      <c r="G324">
        <v>0</v>
      </c>
      <c r="H324" s="7">
        <v>0</v>
      </c>
    </row>
    <row r="325" spans="1:8">
      <c r="A325">
        <v>1</v>
      </c>
      <c r="B325" t="s">
        <v>42</v>
      </c>
      <c r="C325" t="s">
        <v>33</v>
      </c>
      <c r="D325">
        <v>0</v>
      </c>
      <c r="E325">
        <v>1</v>
      </c>
      <c r="F325" s="7">
        <v>9014.95</v>
      </c>
      <c r="G325">
        <v>0</v>
      </c>
      <c r="H325" s="7">
        <v>0</v>
      </c>
    </row>
    <row r="326" spans="1:8">
      <c r="A326">
        <v>1</v>
      </c>
      <c r="B326" t="s">
        <v>42</v>
      </c>
      <c r="C326" t="s">
        <v>34</v>
      </c>
      <c r="D326">
        <v>0</v>
      </c>
      <c r="E326">
        <v>1</v>
      </c>
      <c r="F326" s="7">
        <v>14420.66</v>
      </c>
      <c r="G326">
        <v>0</v>
      </c>
      <c r="H326" s="7">
        <v>0</v>
      </c>
    </row>
    <row r="327" spans="1:8">
      <c r="A327">
        <v>1</v>
      </c>
      <c r="B327" t="s">
        <v>42</v>
      </c>
      <c r="C327" t="s">
        <v>33</v>
      </c>
      <c r="D327">
        <v>0</v>
      </c>
      <c r="E327">
        <v>1</v>
      </c>
      <c r="F327" s="7">
        <v>4802.31</v>
      </c>
      <c r="G327">
        <v>0</v>
      </c>
      <c r="H327" s="7">
        <v>0</v>
      </c>
    </row>
    <row r="328" spans="1:8">
      <c r="A328">
        <v>1</v>
      </c>
      <c r="B328" t="s">
        <v>42</v>
      </c>
      <c r="C328" t="s">
        <v>34</v>
      </c>
      <c r="D328">
        <v>0</v>
      </c>
      <c r="E328">
        <v>1</v>
      </c>
      <c r="F328" s="7">
        <v>28527.44</v>
      </c>
      <c r="G328">
        <v>0</v>
      </c>
      <c r="H328" s="7">
        <v>0</v>
      </c>
    </row>
    <row r="329" spans="1:8">
      <c r="A329">
        <v>1</v>
      </c>
      <c r="B329" t="s">
        <v>42</v>
      </c>
      <c r="C329" t="s">
        <v>33</v>
      </c>
      <c r="D329">
        <v>0</v>
      </c>
      <c r="E329">
        <v>1</v>
      </c>
      <c r="F329" s="7">
        <v>4182.93</v>
      </c>
      <c r="G329">
        <v>0</v>
      </c>
      <c r="H329" s="7">
        <v>0</v>
      </c>
    </row>
    <row r="330" spans="1:8">
      <c r="A330">
        <v>1</v>
      </c>
      <c r="B330" t="s">
        <v>42</v>
      </c>
      <c r="C330" t="s">
        <v>33</v>
      </c>
      <c r="D330">
        <v>0</v>
      </c>
      <c r="E330">
        <v>1</v>
      </c>
      <c r="F330" s="7">
        <v>4088.21</v>
      </c>
      <c r="G330">
        <v>0</v>
      </c>
      <c r="H330" s="7">
        <v>0</v>
      </c>
    </row>
    <row r="331" spans="1:8">
      <c r="A331">
        <v>1</v>
      </c>
      <c r="B331" t="s">
        <v>42</v>
      </c>
      <c r="C331" t="s">
        <v>33</v>
      </c>
      <c r="D331">
        <v>0</v>
      </c>
      <c r="E331">
        <v>1</v>
      </c>
      <c r="F331" s="7">
        <v>8491.9</v>
      </c>
      <c r="G331">
        <v>0</v>
      </c>
      <c r="H331" s="7">
        <v>0</v>
      </c>
    </row>
    <row r="332" spans="1:8">
      <c r="A332">
        <v>1</v>
      </c>
      <c r="B332" t="s">
        <v>45</v>
      </c>
      <c r="C332" t="s">
        <v>33</v>
      </c>
      <c r="D332">
        <v>0</v>
      </c>
      <c r="E332">
        <v>1</v>
      </c>
      <c r="F332" s="7">
        <v>6666.78</v>
      </c>
      <c r="G332">
        <v>0</v>
      </c>
      <c r="H332" s="7">
        <v>0</v>
      </c>
    </row>
    <row r="333" spans="1:8">
      <c r="A333">
        <v>1</v>
      </c>
      <c r="B333" t="s">
        <v>42</v>
      </c>
      <c r="C333" t="s">
        <v>33</v>
      </c>
      <c r="D333">
        <v>0</v>
      </c>
      <c r="E333">
        <v>1</v>
      </c>
      <c r="F333" s="7">
        <v>6536.86</v>
      </c>
      <c r="G333">
        <v>0</v>
      </c>
      <c r="H333" s="7">
        <v>0</v>
      </c>
    </row>
    <row r="334" spans="1:8">
      <c r="A334">
        <v>1</v>
      </c>
      <c r="B334" t="s">
        <v>44</v>
      </c>
      <c r="C334" t="s">
        <v>34</v>
      </c>
      <c r="D334">
        <v>0</v>
      </c>
      <c r="E334">
        <v>1</v>
      </c>
      <c r="F334" s="7">
        <v>40684.97</v>
      </c>
      <c r="G334">
        <v>0</v>
      </c>
      <c r="H334" s="7">
        <v>0</v>
      </c>
    </row>
    <row r="335" spans="1:8">
      <c r="A335">
        <v>1</v>
      </c>
      <c r="B335" t="s">
        <v>42</v>
      </c>
      <c r="C335" t="s">
        <v>33</v>
      </c>
      <c r="D335">
        <v>0</v>
      </c>
      <c r="E335">
        <v>1</v>
      </c>
      <c r="F335" s="7">
        <v>1553.21</v>
      </c>
      <c r="G335">
        <v>0</v>
      </c>
      <c r="H335" s="7">
        <v>0</v>
      </c>
    </row>
    <row r="336" spans="1:8">
      <c r="A336">
        <v>1</v>
      </c>
      <c r="B336" t="s">
        <v>45</v>
      </c>
      <c r="C336" t="s">
        <v>33</v>
      </c>
      <c r="D336">
        <v>0</v>
      </c>
      <c r="E336">
        <v>1</v>
      </c>
      <c r="F336" s="7">
        <v>7344.92</v>
      </c>
      <c r="G336">
        <v>0</v>
      </c>
      <c r="H336" s="7">
        <v>0</v>
      </c>
    </row>
    <row r="337" spans="1:8">
      <c r="A337">
        <v>1</v>
      </c>
      <c r="B337" t="s">
        <v>44</v>
      </c>
      <c r="C337" t="s">
        <v>35</v>
      </c>
      <c r="D337">
        <v>0</v>
      </c>
      <c r="E337">
        <v>1</v>
      </c>
      <c r="F337" s="7">
        <v>106267.21</v>
      </c>
      <c r="G337">
        <v>0</v>
      </c>
      <c r="H337" s="7">
        <v>0</v>
      </c>
    </row>
    <row r="338" spans="1:8">
      <c r="A338">
        <v>1</v>
      </c>
      <c r="B338" t="s">
        <v>42</v>
      </c>
      <c r="C338" t="s">
        <v>33</v>
      </c>
      <c r="D338">
        <v>0</v>
      </c>
      <c r="E338">
        <v>1</v>
      </c>
      <c r="F338" s="7">
        <v>5491.5</v>
      </c>
      <c r="G338">
        <v>0</v>
      </c>
      <c r="H338" s="7">
        <v>0</v>
      </c>
    </row>
    <row r="339" spans="1:8">
      <c r="A339">
        <v>1</v>
      </c>
      <c r="B339" t="s">
        <v>42</v>
      </c>
      <c r="C339" t="s">
        <v>33</v>
      </c>
      <c r="D339">
        <v>0</v>
      </c>
      <c r="E339">
        <v>1</v>
      </c>
      <c r="F339" s="7">
        <v>3666.42</v>
      </c>
      <c r="G339">
        <v>0</v>
      </c>
      <c r="H339" s="7">
        <v>0</v>
      </c>
    </row>
    <row r="340" spans="1:8">
      <c r="A340">
        <v>1</v>
      </c>
      <c r="B340" t="s">
        <v>42</v>
      </c>
      <c r="C340" t="s">
        <v>33</v>
      </c>
      <c r="D340">
        <v>0</v>
      </c>
      <c r="E340">
        <v>1</v>
      </c>
      <c r="F340" s="7">
        <v>5507.18</v>
      </c>
      <c r="G340">
        <v>0</v>
      </c>
      <c r="H340" s="7">
        <v>0</v>
      </c>
    </row>
    <row r="341" spans="1:8">
      <c r="A341">
        <v>1</v>
      </c>
      <c r="B341" t="s">
        <v>45</v>
      </c>
      <c r="C341" t="s">
        <v>33</v>
      </c>
      <c r="D341">
        <v>0</v>
      </c>
      <c r="E341">
        <v>1</v>
      </c>
      <c r="F341" s="7">
        <v>4565.14</v>
      </c>
      <c r="G341">
        <v>0</v>
      </c>
      <c r="H341" s="7">
        <v>0</v>
      </c>
    </row>
    <row r="342" spans="1:8">
      <c r="A342">
        <v>1</v>
      </c>
      <c r="B342" t="s">
        <v>42</v>
      </c>
      <c r="C342" t="s">
        <v>34</v>
      </c>
      <c r="D342">
        <v>0</v>
      </c>
      <c r="E342">
        <v>1</v>
      </c>
      <c r="F342" s="7">
        <v>11348.71</v>
      </c>
      <c r="G342">
        <v>0</v>
      </c>
      <c r="H342" s="7">
        <v>0</v>
      </c>
    </row>
    <row r="343" spans="1:8">
      <c r="A343">
        <v>1</v>
      </c>
      <c r="B343" t="s">
        <v>43</v>
      </c>
      <c r="C343" t="s">
        <v>35</v>
      </c>
      <c r="D343">
        <v>0</v>
      </c>
      <c r="E343">
        <v>1</v>
      </c>
      <c r="F343" s="7">
        <v>123179.97</v>
      </c>
      <c r="G343">
        <v>0</v>
      </c>
      <c r="H343" s="7">
        <v>0</v>
      </c>
    </row>
    <row r="344" spans="1:8">
      <c r="A344">
        <v>1</v>
      </c>
      <c r="B344" t="s">
        <v>42</v>
      </c>
      <c r="C344" t="s">
        <v>33</v>
      </c>
      <c r="D344">
        <v>0</v>
      </c>
      <c r="E344">
        <v>1</v>
      </c>
      <c r="F344" s="7">
        <v>7073.6</v>
      </c>
      <c r="G344">
        <v>0</v>
      </c>
      <c r="H344" s="7">
        <v>0</v>
      </c>
    </row>
    <row r="345" spans="1:8">
      <c r="A345">
        <v>1</v>
      </c>
      <c r="B345" t="s">
        <v>42</v>
      </c>
      <c r="C345" t="s">
        <v>33</v>
      </c>
      <c r="D345">
        <v>0</v>
      </c>
      <c r="E345">
        <v>1</v>
      </c>
      <c r="F345" s="7">
        <v>2803.83</v>
      </c>
      <c r="G345">
        <v>0</v>
      </c>
      <c r="H345" s="7">
        <v>0</v>
      </c>
    </row>
    <row r="346" spans="1:8">
      <c r="A346">
        <v>1</v>
      </c>
      <c r="B346" t="s">
        <v>42</v>
      </c>
      <c r="C346" t="s">
        <v>32</v>
      </c>
      <c r="D346">
        <v>0</v>
      </c>
      <c r="E346">
        <v>1</v>
      </c>
      <c r="F346" s="7">
        <v>106.81</v>
      </c>
      <c r="G346">
        <v>0</v>
      </c>
      <c r="H346" s="7">
        <v>0</v>
      </c>
    </row>
    <row r="347" spans="1:8">
      <c r="A347">
        <v>1</v>
      </c>
      <c r="B347" t="s">
        <v>42</v>
      </c>
      <c r="C347" t="s">
        <v>33</v>
      </c>
      <c r="D347">
        <v>0</v>
      </c>
      <c r="E347">
        <v>1</v>
      </c>
      <c r="F347" s="7">
        <v>6297.71</v>
      </c>
      <c r="G347">
        <v>0</v>
      </c>
      <c r="H347" s="7">
        <v>0</v>
      </c>
    </row>
    <row r="348" spans="1:8">
      <c r="A348">
        <v>1</v>
      </c>
      <c r="B348" t="s">
        <v>42</v>
      </c>
      <c r="C348" t="s">
        <v>33</v>
      </c>
      <c r="D348">
        <v>0</v>
      </c>
      <c r="E348">
        <v>1</v>
      </c>
      <c r="F348" s="7">
        <v>2610.01</v>
      </c>
      <c r="G348">
        <v>0</v>
      </c>
      <c r="H348" s="7">
        <v>0</v>
      </c>
    </row>
    <row r="349" spans="1:8">
      <c r="A349">
        <v>1</v>
      </c>
      <c r="B349" t="s">
        <v>42</v>
      </c>
      <c r="C349" t="s">
        <v>33</v>
      </c>
      <c r="D349">
        <v>0</v>
      </c>
      <c r="E349">
        <v>1</v>
      </c>
      <c r="F349" s="7">
        <v>5320.1</v>
      </c>
      <c r="G349">
        <v>0</v>
      </c>
      <c r="H349" s="7">
        <v>0</v>
      </c>
    </row>
    <row r="350" spans="1:8">
      <c r="A350">
        <v>1</v>
      </c>
      <c r="B350" t="s">
        <v>42</v>
      </c>
      <c r="C350" t="s">
        <v>33</v>
      </c>
      <c r="D350">
        <v>0</v>
      </c>
      <c r="E350">
        <v>1</v>
      </c>
      <c r="F350" s="7">
        <v>1460.63</v>
      </c>
      <c r="G350">
        <v>0</v>
      </c>
      <c r="H350" s="7">
        <v>0</v>
      </c>
    </row>
    <row r="351" spans="1:8">
      <c r="A351">
        <v>1</v>
      </c>
      <c r="B351" t="s">
        <v>43</v>
      </c>
      <c r="C351" t="s">
        <v>35</v>
      </c>
      <c r="D351">
        <v>0</v>
      </c>
      <c r="E351">
        <v>1</v>
      </c>
      <c r="F351" s="7">
        <v>522264.81</v>
      </c>
      <c r="G351">
        <v>0</v>
      </c>
      <c r="H351" s="7">
        <v>0</v>
      </c>
    </row>
    <row r="352" spans="1:8">
      <c r="A352">
        <v>1</v>
      </c>
      <c r="B352" t="s">
        <v>45</v>
      </c>
      <c r="C352" t="s">
        <v>33</v>
      </c>
      <c r="D352">
        <v>0</v>
      </c>
      <c r="E352">
        <v>1</v>
      </c>
      <c r="F352" s="7">
        <v>3584.21</v>
      </c>
      <c r="G352">
        <v>0</v>
      </c>
      <c r="H352" s="7">
        <v>0</v>
      </c>
    </row>
    <row r="353" spans="1:8">
      <c r="A353">
        <v>1</v>
      </c>
      <c r="B353" t="s">
        <v>42</v>
      </c>
      <c r="C353" t="s">
        <v>33</v>
      </c>
      <c r="D353">
        <v>0</v>
      </c>
      <c r="E353">
        <v>1</v>
      </c>
      <c r="F353" s="7">
        <v>3704.97</v>
      </c>
      <c r="G353">
        <v>0</v>
      </c>
      <c r="H353" s="7">
        <v>0</v>
      </c>
    </row>
    <row r="354" spans="1:8">
      <c r="A354">
        <v>1</v>
      </c>
      <c r="B354" t="s">
        <v>42</v>
      </c>
      <c r="C354" t="s">
        <v>33</v>
      </c>
      <c r="D354">
        <v>0</v>
      </c>
      <c r="E354">
        <v>1</v>
      </c>
      <c r="F354" s="7">
        <v>2773.61</v>
      </c>
      <c r="G354">
        <v>0</v>
      </c>
      <c r="H354" s="7">
        <v>0</v>
      </c>
    </row>
    <row r="355" spans="1:8">
      <c r="A355">
        <v>1</v>
      </c>
      <c r="B355" t="s">
        <v>42</v>
      </c>
      <c r="C355" t="s">
        <v>33</v>
      </c>
      <c r="D355">
        <v>0</v>
      </c>
      <c r="E355">
        <v>1</v>
      </c>
      <c r="F355" s="7">
        <v>3896.42</v>
      </c>
      <c r="G355">
        <v>0</v>
      </c>
      <c r="H355" s="7">
        <v>0</v>
      </c>
    </row>
    <row r="356" spans="1:8">
      <c r="A356">
        <v>1</v>
      </c>
      <c r="B356" t="s">
        <v>42</v>
      </c>
      <c r="C356" t="s">
        <v>34</v>
      </c>
      <c r="D356">
        <v>0</v>
      </c>
      <c r="E356">
        <v>1</v>
      </c>
      <c r="F356" s="7">
        <v>18781.84</v>
      </c>
      <c r="G356">
        <v>0</v>
      </c>
      <c r="H356" s="7">
        <v>0</v>
      </c>
    </row>
    <row r="357" spans="1:8">
      <c r="A357">
        <v>1</v>
      </c>
      <c r="B357" t="s">
        <v>42</v>
      </c>
      <c r="C357" t="s">
        <v>33</v>
      </c>
      <c r="D357">
        <v>0</v>
      </c>
      <c r="E357">
        <v>1</v>
      </c>
      <c r="F357" s="7">
        <v>6660.33</v>
      </c>
      <c r="G357">
        <v>0</v>
      </c>
      <c r="H357" s="7">
        <v>0</v>
      </c>
    </row>
    <row r="358" spans="1:8">
      <c r="A358">
        <v>1</v>
      </c>
      <c r="B358" t="s">
        <v>43</v>
      </c>
      <c r="C358" t="s">
        <v>34</v>
      </c>
      <c r="D358">
        <v>0</v>
      </c>
      <c r="E358">
        <v>1</v>
      </c>
      <c r="F358" s="7">
        <v>26923.42</v>
      </c>
      <c r="G358">
        <v>0</v>
      </c>
      <c r="H358" s="7">
        <v>0</v>
      </c>
    </row>
    <row r="359" spans="1:8">
      <c r="A359">
        <v>1</v>
      </c>
      <c r="B359" t="s">
        <v>43</v>
      </c>
      <c r="C359" t="s">
        <v>34</v>
      </c>
      <c r="D359">
        <v>0</v>
      </c>
      <c r="E359">
        <v>1</v>
      </c>
      <c r="F359" s="7">
        <v>53783.57</v>
      </c>
      <c r="G359">
        <v>0</v>
      </c>
      <c r="H359" s="7">
        <v>0</v>
      </c>
    </row>
    <row r="360" spans="1:8">
      <c r="A360">
        <v>1</v>
      </c>
      <c r="B360" t="s">
        <v>43</v>
      </c>
      <c r="C360" t="s">
        <v>34</v>
      </c>
      <c r="D360">
        <v>0</v>
      </c>
      <c r="E360">
        <v>1</v>
      </c>
      <c r="F360" s="7">
        <v>80333.28</v>
      </c>
      <c r="G360">
        <v>0</v>
      </c>
      <c r="H360" s="7">
        <v>0</v>
      </c>
    </row>
    <row r="361" spans="1:8">
      <c r="A361">
        <v>1</v>
      </c>
      <c r="B361" t="s">
        <v>43</v>
      </c>
      <c r="C361" t="s">
        <v>35</v>
      </c>
      <c r="D361">
        <v>0</v>
      </c>
      <c r="E361">
        <v>1</v>
      </c>
      <c r="F361" s="7">
        <v>211075.91</v>
      </c>
      <c r="G361">
        <v>0</v>
      </c>
      <c r="H361" s="7">
        <v>0</v>
      </c>
    </row>
    <row r="362" spans="1:8">
      <c r="A362">
        <v>1</v>
      </c>
      <c r="B362" t="s">
        <v>43</v>
      </c>
      <c r="C362" t="s">
        <v>35</v>
      </c>
      <c r="D362">
        <v>0</v>
      </c>
      <c r="E362">
        <v>1</v>
      </c>
      <c r="F362" s="7">
        <v>100677.86</v>
      </c>
      <c r="G362">
        <v>0</v>
      </c>
      <c r="H362" s="7">
        <v>0</v>
      </c>
    </row>
    <row r="363" spans="1:8">
      <c r="A363">
        <v>1</v>
      </c>
      <c r="B363" t="s">
        <v>43</v>
      </c>
      <c r="C363" t="s">
        <v>35</v>
      </c>
      <c r="D363">
        <v>0</v>
      </c>
      <c r="E363">
        <v>1</v>
      </c>
      <c r="F363" s="7">
        <v>473499.51</v>
      </c>
      <c r="G363">
        <v>0</v>
      </c>
      <c r="H363" s="7">
        <v>0</v>
      </c>
    </row>
    <row r="364" spans="1:8">
      <c r="A364">
        <v>1</v>
      </c>
      <c r="B364" t="s">
        <v>43</v>
      </c>
      <c r="C364" t="s">
        <v>36</v>
      </c>
      <c r="D364">
        <v>0</v>
      </c>
      <c r="E364">
        <v>1</v>
      </c>
      <c r="F364" s="7">
        <v>1538200.39</v>
      </c>
      <c r="G364">
        <v>0</v>
      </c>
      <c r="H364" s="7">
        <v>0</v>
      </c>
    </row>
    <row r="365" spans="1:8">
      <c r="A365">
        <v>1</v>
      </c>
      <c r="B365" t="s">
        <v>43</v>
      </c>
      <c r="C365" t="s">
        <v>36</v>
      </c>
      <c r="D365">
        <v>0</v>
      </c>
      <c r="E365">
        <v>1</v>
      </c>
      <c r="F365" s="7">
        <v>2421578.09</v>
      </c>
      <c r="G365">
        <v>0</v>
      </c>
      <c r="H365" s="7">
        <v>0</v>
      </c>
    </row>
    <row r="366" spans="1:8">
      <c r="A366">
        <v>1</v>
      </c>
      <c r="B366" t="s">
        <v>43</v>
      </c>
      <c r="C366" t="s">
        <v>36</v>
      </c>
      <c r="D366">
        <v>0</v>
      </c>
      <c r="E366">
        <v>1</v>
      </c>
      <c r="F366" s="7">
        <v>1349670.68</v>
      </c>
      <c r="G366">
        <v>0</v>
      </c>
      <c r="H366" s="7">
        <v>0</v>
      </c>
    </row>
    <row r="367" spans="1:8">
      <c r="A367">
        <v>1</v>
      </c>
      <c r="B367" t="s">
        <v>43</v>
      </c>
      <c r="C367" t="s">
        <v>35</v>
      </c>
      <c r="D367">
        <v>0</v>
      </c>
      <c r="E367">
        <v>1</v>
      </c>
      <c r="F367" s="7">
        <v>314403.14</v>
      </c>
      <c r="G367">
        <v>0</v>
      </c>
      <c r="H367" s="7">
        <v>0</v>
      </c>
    </row>
    <row r="368" spans="1:8">
      <c r="A368">
        <v>1</v>
      </c>
      <c r="B368" t="s">
        <v>43</v>
      </c>
      <c r="C368" t="s">
        <v>36</v>
      </c>
      <c r="D368">
        <v>0</v>
      </c>
      <c r="E368">
        <v>1</v>
      </c>
      <c r="F368" s="7">
        <v>1457213.54</v>
      </c>
      <c r="G368">
        <v>0</v>
      </c>
      <c r="H368" s="7">
        <v>0</v>
      </c>
    </row>
    <row r="369" spans="1:8">
      <c r="A369">
        <v>1</v>
      </c>
      <c r="B369" t="s">
        <v>43</v>
      </c>
      <c r="C369" t="s">
        <v>35</v>
      </c>
      <c r="D369">
        <v>0</v>
      </c>
      <c r="E369">
        <v>1</v>
      </c>
      <c r="F369" s="7">
        <v>180368.84</v>
      </c>
      <c r="G369">
        <v>0</v>
      </c>
      <c r="H369" s="7">
        <v>0</v>
      </c>
    </row>
    <row r="370" spans="1:8">
      <c r="A370">
        <v>1</v>
      </c>
      <c r="B370" t="s">
        <v>43</v>
      </c>
      <c r="C370" t="s">
        <v>35</v>
      </c>
      <c r="D370">
        <v>0</v>
      </c>
      <c r="E370">
        <v>1</v>
      </c>
      <c r="F370" s="7">
        <v>445038.71</v>
      </c>
      <c r="G370">
        <v>0</v>
      </c>
      <c r="H370" s="7">
        <v>0</v>
      </c>
    </row>
    <row r="371" spans="1:8">
      <c r="A371">
        <v>1</v>
      </c>
      <c r="B371" t="s">
        <v>43</v>
      </c>
      <c r="C371" t="s">
        <v>36</v>
      </c>
      <c r="D371">
        <v>0</v>
      </c>
      <c r="E371">
        <v>1</v>
      </c>
      <c r="F371" s="7">
        <v>1123206.66</v>
      </c>
      <c r="G371">
        <v>0</v>
      </c>
      <c r="H371" s="7">
        <v>0</v>
      </c>
    </row>
    <row r="372" spans="1:8">
      <c r="A372">
        <v>1</v>
      </c>
      <c r="B372" t="s">
        <v>45</v>
      </c>
      <c r="C372" t="s">
        <v>32</v>
      </c>
      <c r="D372">
        <v>0</v>
      </c>
      <c r="E372">
        <v>1</v>
      </c>
      <c r="F372" s="7">
        <v>996</v>
      </c>
      <c r="G372">
        <v>0</v>
      </c>
      <c r="H372" s="7">
        <v>0</v>
      </c>
    </row>
    <row r="373" spans="1:8">
      <c r="A373">
        <v>1</v>
      </c>
      <c r="B373" t="s">
        <v>43</v>
      </c>
      <c r="C373" t="s">
        <v>35</v>
      </c>
      <c r="D373">
        <v>0</v>
      </c>
      <c r="E373">
        <v>1</v>
      </c>
      <c r="F373" s="7">
        <v>176334.26</v>
      </c>
      <c r="G373">
        <v>0</v>
      </c>
      <c r="H373" s="7">
        <v>0</v>
      </c>
    </row>
    <row r="374" spans="1:8">
      <c r="A374">
        <v>1</v>
      </c>
      <c r="B374" t="s">
        <v>43</v>
      </c>
      <c r="C374" t="s">
        <v>35</v>
      </c>
      <c r="D374">
        <v>0</v>
      </c>
      <c r="E374">
        <v>1</v>
      </c>
      <c r="F374" s="7">
        <v>161217.61</v>
      </c>
      <c r="G374">
        <v>0</v>
      </c>
      <c r="H374" s="7">
        <v>0</v>
      </c>
    </row>
    <row r="375" spans="1:8">
      <c r="A375">
        <v>1</v>
      </c>
      <c r="B375" t="s">
        <v>43</v>
      </c>
      <c r="C375" t="s">
        <v>35</v>
      </c>
      <c r="D375">
        <v>0</v>
      </c>
      <c r="E375">
        <v>1</v>
      </c>
      <c r="F375" s="7">
        <v>108443.61</v>
      </c>
      <c r="G375">
        <v>0</v>
      </c>
      <c r="H375" s="7">
        <v>0</v>
      </c>
    </row>
    <row r="376" spans="1:8">
      <c r="A376">
        <v>1</v>
      </c>
      <c r="B376" t="s">
        <v>43</v>
      </c>
      <c r="C376" t="s">
        <v>34</v>
      </c>
      <c r="D376">
        <v>0</v>
      </c>
      <c r="E376">
        <v>1</v>
      </c>
      <c r="F376" s="7">
        <v>75442.68</v>
      </c>
      <c r="G376">
        <v>0</v>
      </c>
      <c r="H376" s="7">
        <v>0</v>
      </c>
    </row>
    <row r="377" spans="1:8">
      <c r="A377">
        <v>1</v>
      </c>
      <c r="B377" t="s">
        <v>43</v>
      </c>
      <c r="C377" t="s">
        <v>34</v>
      </c>
      <c r="D377">
        <v>0</v>
      </c>
      <c r="E377">
        <v>1</v>
      </c>
      <c r="F377" s="7">
        <v>55536.86</v>
      </c>
      <c r="G377">
        <v>0</v>
      </c>
      <c r="H377" s="7">
        <v>0</v>
      </c>
    </row>
    <row r="378" spans="1:8">
      <c r="A378">
        <v>1</v>
      </c>
      <c r="B378" t="s">
        <v>43</v>
      </c>
      <c r="C378" t="s">
        <v>35</v>
      </c>
      <c r="D378">
        <v>0</v>
      </c>
      <c r="E378">
        <v>1</v>
      </c>
      <c r="F378" s="7">
        <v>438437.09</v>
      </c>
      <c r="G378">
        <v>0</v>
      </c>
      <c r="H378" s="7">
        <v>0</v>
      </c>
    </row>
    <row r="379" spans="1:8">
      <c r="A379">
        <v>1</v>
      </c>
      <c r="B379" t="s">
        <v>43</v>
      </c>
      <c r="C379" t="s">
        <v>35</v>
      </c>
      <c r="D379">
        <v>0</v>
      </c>
      <c r="E379">
        <v>1</v>
      </c>
      <c r="F379" s="7">
        <v>928722.69</v>
      </c>
      <c r="G379">
        <v>0</v>
      </c>
      <c r="H379" s="7">
        <v>0</v>
      </c>
    </row>
    <row r="380" spans="1:8">
      <c r="A380">
        <v>1</v>
      </c>
      <c r="B380" t="s">
        <v>43</v>
      </c>
      <c r="C380" t="s">
        <v>36</v>
      </c>
      <c r="D380">
        <v>0</v>
      </c>
      <c r="E380">
        <v>1</v>
      </c>
      <c r="F380" s="7">
        <v>1478772.04</v>
      </c>
      <c r="G380">
        <v>0</v>
      </c>
      <c r="H380" s="7">
        <v>0</v>
      </c>
    </row>
    <row r="381" spans="1:8">
      <c r="A381">
        <v>1</v>
      </c>
      <c r="B381" t="s">
        <v>43</v>
      </c>
      <c r="C381" t="s">
        <v>36</v>
      </c>
      <c r="D381">
        <v>0</v>
      </c>
      <c r="E381">
        <v>1</v>
      </c>
      <c r="F381" s="7">
        <v>2545478.01</v>
      </c>
      <c r="G381">
        <v>0</v>
      </c>
      <c r="H381" s="7">
        <v>0</v>
      </c>
    </row>
    <row r="382" spans="1:8">
      <c r="A382">
        <v>1</v>
      </c>
      <c r="B382" t="s">
        <v>43</v>
      </c>
      <c r="C382" t="s">
        <v>36</v>
      </c>
      <c r="D382">
        <v>0</v>
      </c>
      <c r="E382">
        <v>1</v>
      </c>
      <c r="F382" s="7">
        <v>2061082.82</v>
      </c>
      <c r="G382">
        <v>0</v>
      </c>
      <c r="H382" s="7">
        <v>0</v>
      </c>
    </row>
    <row r="383" spans="1:8">
      <c r="A383">
        <v>1</v>
      </c>
      <c r="B383" t="s">
        <v>43</v>
      </c>
      <c r="C383" t="s">
        <v>35</v>
      </c>
      <c r="D383">
        <v>0</v>
      </c>
      <c r="E383">
        <v>1</v>
      </c>
      <c r="F383" s="7">
        <v>983479.66</v>
      </c>
      <c r="G383">
        <v>0</v>
      </c>
      <c r="H383" s="7">
        <v>0</v>
      </c>
    </row>
    <row r="384" spans="1:8">
      <c r="A384">
        <v>1</v>
      </c>
      <c r="B384" t="s">
        <v>43</v>
      </c>
      <c r="C384" t="s">
        <v>35</v>
      </c>
      <c r="D384">
        <v>0</v>
      </c>
      <c r="E384">
        <v>1</v>
      </c>
      <c r="F384" s="7">
        <v>635507.97</v>
      </c>
      <c r="G384">
        <v>0</v>
      </c>
      <c r="H384" s="7">
        <v>0</v>
      </c>
    </row>
    <row r="385" spans="1:8">
      <c r="A385">
        <v>1</v>
      </c>
      <c r="B385" t="s">
        <v>43</v>
      </c>
      <c r="C385" t="s">
        <v>35</v>
      </c>
      <c r="D385">
        <v>0</v>
      </c>
      <c r="E385">
        <v>1</v>
      </c>
      <c r="F385" s="7">
        <v>848231.57</v>
      </c>
      <c r="G385">
        <v>0</v>
      </c>
      <c r="H385" s="7">
        <v>0</v>
      </c>
    </row>
    <row r="386" spans="1:8">
      <c r="A386">
        <v>1</v>
      </c>
      <c r="B386" t="s">
        <v>43</v>
      </c>
      <c r="C386" t="s">
        <v>35</v>
      </c>
      <c r="D386">
        <v>0</v>
      </c>
      <c r="E386">
        <v>1</v>
      </c>
      <c r="F386" s="7">
        <v>739112.93</v>
      </c>
      <c r="G386">
        <v>0</v>
      </c>
      <c r="H386" s="7">
        <v>0</v>
      </c>
    </row>
    <row r="387" spans="1:8">
      <c r="A387">
        <v>1</v>
      </c>
      <c r="B387" t="s">
        <v>43</v>
      </c>
      <c r="C387" t="s">
        <v>35</v>
      </c>
      <c r="D387">
        <v>0</v>
      </c>
      <c r="E387">
        <v>1</v>
      </c>
      <c r="F387" s="7">
        <v>324397.94</v>
      </c>
      <c r="G387">
        <v>0</v>
      </c>
      <c r="H387" s="7">
        <v>0</v>
      </c>
    </row>
    <row r="388" spans="1:8">
      <c r="A388">
        <v>1</v>
      </c>
      <c r="B388" t="s">
        <v>43</v>
      </c>
      <c r="C388" t="s">
        <v>35</v>
      </c>
      <c r="D388">
        <v>0</v>
      </c>
      <c r="E388">
        <v>1</v>
      </c>
      <c r="F388" s="7">
        <v>982862.81</v>
      </c>
      <c r="G388">
        <v>0</v>
      </c>
      <c r="H388" s="7">
        <v>0</v>
      </c>
    </row>
    <row r="389" spans="1:8">
      <c r="A389">
        <v>1</v>
      </c>
      <c r="B389" t="s">
        <v>43</v>
      </c>
      <c r="C389" t="s">
        <v>35</v>
      </c>
      <c r="D389">
        <v>0</v>
      </c>
      <c r="E389">
        <v>1</v>
      </c>
      <c r="F389" s="7">
        <v>955855</v>
      </c>
      <c r="G389">
        <v>0</v>
      </c>
      <c r="H389" s="7">
        <v>0</v>
      </c>
    </row>
    <row r="390" spans="1:8">
      <c r="A390">
        <v>1</v>
      </c>
      <c r="B390" t="s">
        <v>43</v>
      </c>
      <c r="C390" t="s">
        <v>35</v>
      </c>
      <c r="D390">
        <v>0</v>
      </c>
      <c r="E390">
        <v>1</v>
      </c>
      <c r="F390" s="7">
        <v>179253.24</v>
      </c>
      <c r="G390">
        <v>0</v>
      </c>
      <c r="H390" s="7">
        <v>0</v>
      </c>
    </row>
    <row r="391" spans="1:8">
      <c r="A391">
        <v>1</v>
      </c>
      <c r="B391" t="s">
        <v>42</v>
      </c>
      <c r="C391" t="s">
        <v>33</v>
      </c>
      <c r="D391">
        <v>0</v>
      </c>
      <c r="E391">
        <v>1</v>
      </c>
      <c r="F391" s="7">
        <v>5446.88</v>
      </c>
      <c r="G391">
        <v>0</v>
      </c>
      <c r="H391" s="7">
        <v>0</v>
      </c>
    </row>
    <row r="392" spans="1:8">
      <c r="A392">
        <v>1</v>
      </c>
      <c r="B392" t="s">
        <v>42</v>
      </c>
      <c r="C392" t="s">
        <v>32</v>
      </c>
      <c r="D392">
        <v>0</v>
      </c>
      <c r="E392">
        <v>1</v>
      </c>
      <c r="F392" s="7">
        <v>648.64</v>
      </c>
      <c r="G392">
        <v>0</v>
      </c>
      <c r="H392" s="7">
        <v>0</v>
      </c>
    </row>
    <row r="393" spans="1:8">
      <c r="A393">
        <v>1</v>
      </c>
      <c r="B393" t="s">
        <v>42</v>
      </c>
      <c r="C393" t="s">
        <v>33</v>
      </c>
      <c r="D393">
        <v>0</v>
      </c>
      <c r="E393">
        <v>1</v>
      </c>
      <c r="F393" s="7">
        <v>8494.71</v>
      </c>
      <c r="G393">
        <v>0</v>
      </c>
      <c r="H393" s="7">
        <v>0</v>
      </c>
    </row>
    <row r="394" spans="1:8">
      <c r="A394">
        <v>1</v>
      </c>
      <c r="B394" t="s">
        <v>44</v>
      </c>
      <c r="C394" t="s">
        <v>35</v>
      </c>
      <c r="D394">
        <v>0</v>
      </c>
      <c r="E394">
        <v>1</v>
      </c>
      <c r="F394" s="7">
        <v>373068.26</v>
      </c>
      <c r="G394">
        <v>0</v>
      </c>
      <c r="H394" s="7">
        <v>0</v>
      </c>
    </row>
    <row r="395" spans="1:8">
      <c r="A395">
        <v>1</v>
      </c>
      <c r="B395" t="s">
        <v>46</v>
      </c>
      <c r="C395" t="s">
        <v>35</v>
      </c>
      <c r="D395">
        <v>0</v>
      </c>
      <c r="E395">
        <v>1</v>
      </c>
      <c r="F395" s="7">
        <v>143236.26</v>
      </c>
      <c r="G395">
        <v>0</v>
      </c>
      <c r="H395" s="7">
        <v>0</v>
      </c>
    </row>
    <row r="396" spans="1:8">
      <c r="A396">
        <v>1</v>
      </c>
      <c r="B396" t="s">
        <v>46</v>
      </c>
      <c r="C396" t="s">
        <v>35</v>
      </c>
      <c r="D396">
        <v>0</v>
      </c>
      <c r="E396">
        <v>1</v>
      </c>
      <c r="F396" s="7">
        <v>228451.89</v>
      </c>
      <c r="G396">
        <v>0</v>
      </c>
      <c r="H396" s="7">
        <v>0</v>
      </c>
    </row>
    <row r="397" spans="1:8">
      <c r="A397">
        <v>1</v>
      </c>
      <c r="B397" t="s">
        <v>46</v>
      </c>
      <c r="C397" t="s">
        <v>34</v>
      </c>
      <c r="D397">
        <v>0</v>
      </c>
      <c r="E397">
        <v>1</v>
      </c>
      <c r="F397" s="7">
        <v>35902.49</v>
      </c>
      <c r="G397">
        <v>0</v>
      </c>
      <c r="H397" s="7">
        <v>0</v>
      </c>
    </row>
    <row r="398" spans="1:8">
      <c r="A398">
        <v>1</v>
      </c>
      <c r="B398" t="s">
        <v>46</v>
      </c>
      <c r="C398" t="s">
        <v>35</v>
      </c>
      <c r="D398">
        <v>0</v>
      </c>
      <c r="E398">
        <v>1</v>
      </c>
      <c r="F398" s="7">
        <v>232953.64</v>
      </c>
      <c r="G398">
        <v>0</v>
      </c>
      <c r="H398" s="7">
        <v>0</v>
      </c>
    </row>
    <row r="399" spans="1:8">
      <c r="A399">
        <v>1</v>
      </c>
      <c r="B399" t="s">
        <v>46</v>
      </c>
      <c r="C399" t="s">
        <v>34</v>
      </c>
      <c r="D399">
        <v>0</v>
      </c>
      <c r="E399">
        <v>1</v>
      </c>
      <c r="F399" s="7">
        <v>65912.95</v>
      </c>
      <c r="G399">
        <v>0</v>
      </c>
      <c r="H399" s="7">
        <v>0</v>
      </c>
    </row>
    <row r="400" spans="1:8">
      <c r="A400">
        <v>1</v>
      </c>
      <c r="B400" t="s">
        <v>46</v>
      </c>
      <c r="C400" t="s">
        <v>35</v>
      </c>
      <c r="D400">
        <v>0</v>
      </c>
      <c r="E400">
        <v>1</v>
      </c>
      <c r="F400" s="7">
        <v>193492.68</v>
      </c>
      <c r="G400">
        <v>0</v>
      </c>
      <c r="H400" s="7">
        <v>0</v>
      </c>
    </row>
    <row r="401" spans="1:8">
      <c r="A401">
        <v>1</v>
      </c>
      <c r="B401" t="s">
        <v>46</v>
      </c>
      <c r="C401" t="s">
        <v>34</v>
      </c>
      <c r="D401">
        <v>0</v>
      </c>
      <c r="E401">
        <v>1</v>
      </c>
      <c r="F401" s="7">
        <v>60836.64</v>
      </c>
      <c r="G401">
        <v>0</v>
      </c>
      <c r="H401" s="7">
        <v>0</v>
      </c>
    </row>
    <row r="402" spans="1:8">
      <c r="A402">
        <v>1</v>
      </c>
      <c r="B402" t="s">
        <v>46</v>
      </c>
      <c r="C402" t="s">
        <v>34</v>
      </c>
      <c r="D402">
        <v>0</v>
      </c>
      <c r="E402">
        <v>1</v>
      </c>
      <c r="F402" s="7">
        <v>62325.15</v>
      </c>
      <c r="G402">
        <v>0</v>
      </c>
      <c r="H402" s="7">
        <v>0</v>
      </c>
    </row>
    <row r="403" spans="1:8">
      <c r="A403">
        <v>1</v>
      </c>
      <c r="B403" t="s">
        <v>46</v>
      </c>
      <c r="C403" t="s">
        <v>35</v>
      </c>
      <c r="D403">
        <v>0</v>
      </c>
      <c r="E403">
        <v>1</v>
      </c>
      <c r="F403" s="7">
        <v>349640.51</v>
      </c>
      <c r="G403">
        <v>0</v>
      </c>
      <c r="H403" s="7">
        <v>0</v>
      </c>
    </row>
    <row r="404" spans="1:8">
      <c r="A404">
        <v>1</v>
      </c>
      <c r="B404" t="s">
        <v>46</v>
      </c>
      <c r="C404" t="s">
        <v>35</v>
      </c>
      <c r="D404">
        <v>0</v>
      </c>
      <c r="E404">
        <v>1</v>
      </c>
      <c r="F404" s="7">
        <v>135324.19</v>
      </c>
      <c r="G404">
        <v>0</v>
      </c>
      <c r="H404" s="7">
        <v>0</v>
      </c>
    </row>
    <row r="405" spans="1:8">
      <c r="A405">
        <v>1</v>
      </c>
      <c r="B405" t="s">
        <v>46</v>
      </c>
      <c r="C405" t="s">
        <v>35</v>
      </c>
      <c r="D405">
        <v>0</v>
      </c>
      <c r="E405">
        <v>1</v>
      </c>
      <c r="F405" s="7">
        <v>380015.14</v>
      </c>
      <c r="G405">
        <v>0</v>
      </c>
      <c r="H405" s="7">
        <v>0</v>
      </c>
    </row>
    <row r="406" spans="1:8">
      <c r="A406">
        <v>1</v>
      </c>
      <c r="B406" t="s">
        <v>46</v>
      </c>
      <c r="C406" t="s">
        <v>35</v>
      </c>
      <c r="D406">
        <v>0</v>
      </c>
      <c r="E406">
        <v>1</v>
      </c>
      <c r="F406" s="7">
        <v>418688.27</v>
      </c>
      <c r="G406">
        <v>0</v>
      </c>
      <c r="H406" s="7">
        <v>0</v>
      </c>
    </row>
    <row r="407" spans="1:8">
      <c r="A407">
        <v>1</v>
      </c>
      <c r="B407" t="s">
        <v>46</v>
      </c>
      <c r="C407" t="s">
        <v>35</v>
      </c>
      <c r="D407">
        <v>0</v>
      </c>
      <c r="E407">
        <v>1</v>
      </c>
      <c r="F407" s="7">
        <v>311023.52</v>
      </c>
      <c r="G407">
        <v>0</v>
      </c>
      <c r="H407" s="7">
        <v>0</v>
      </c>
    </row>
    <row r="408" spans="1:8">
      <c r="A408">
        <v>1</v>
      </c>
      <c r="B408" t="s">
        <v>46</v>
      </c>
      <c r="C408" t="s">
        <v>35</v>
      </c>
      <c r="D408">
        <v>0</v>
      </c>
      <c r="E408">
        <v>1</v>
      </c>
      <c r="F408" s="7">
        <v>151862.38</v>
      </c>
      <c r="G408">
        <v>0</v>
      </c>
      <c r="H408" s="7">
        <v>0</v>
      </c>
    </row>
    <row r="409" spans="1:8">
      <c r="A409">
        <v>1</v>
      </c>
      <c r="B409" t="s">
        <v>46</v>
      </c>
      <c r="C409" t="s">
        <v>35</v>
      </c>
      <c r="D409">
        <v>0</v>
      </c>
      <c r="E409">
        <v>1</v>
      </c>
      <c r="F409" s="7">
        <v>228710.05</v>
      </c>
      <c r="G409">
        <v>0</v>
      </c>
      <c r="H409" s="7">
        <v>0</v>
      </c>
    </row>
    <row r="410" spans="1:8">
      <c r="A410">
        <v>1</v>
      </c>
      <c r="B410" t="s">
        <v>46</v>
      </c>
      <c r="C410" t="s">
        <v>35</v>
      </c>
      <c r="D410">
        <v>0</v>
      </c>
      <c r="E410">
        <v>1</v>
      </c>
      <c r="F410" s="7">
        <v>220431.09</v>
      </c>
      <c r="G410">
        <v>0</v>
      </c>
      <c r="H410" s="7">
        <v>0</v>
      </c>
    </row>
    <row r="411" spans="1:8">
      <c r="A411">
        <v>1</v>
      </c>
      <c r="B411" t="s">
        <v>46</v>
      </c>
      <c r="C411" t="s">
        <v>35</v>
      </c>
      <c r="D411">
        <v>0</v>
      </c>
      <c r="E411">
        <v>1</v>
      </c>
      <c r="F411" s="7">
        <v>182861.45</v>
      </c>
      <c r="G411">
        <v>0</v>
      </c>
      <c r="H411" s="7">
        <v>0</v>
      </c>
    </row>
    <row r="412" spans="1:8">
      <c r="A412">
        <v>1</v>
      </c>
      <c r="B412" t="s">
        <v>46</v>
      </c>
      <c r="C412" t="s">
        <v>35</v>
      </c>
      <c r="D412">
        <v>0</v>
      </c>
      <c r="E412">
        <v>1</v>
      </c>
      <c r="F412" s="7">
        <v>231881.5</v>
      </c>
      <c r="G412">
        <v>0</v>
      </c>
      <c r="H412" s="7">
        <v>0</v>
      </c>
    </row>
    <row r="413" spans="1:8">
      <c r="A413">
        <v>1</v>
      </c>
      <c r="B413" t="s">
        <v>46</v>
      </c>
      <c r="C413" t="s">
        <v>34</v>
      </c>
      <c r="D413">
        <v>0</v>
      </c>
      <c r="E413">
        <v>1</v>
      </c>
      <c r="F413" s="7">
        <v>38071.17</v>
      </c>
      <c r="G413">
        <v>0</v>
      </c>
      <c r="H413" s="7">
        <v>0</v>
      </c>
    </row>
    <row r="414" spans="1:8">
      <c r="A414">
        <v>1</v>
      </c>
      <c r="B414" t="s">
        <v>46</v>
      </c>
      <c r="C414" t="s">
        <v>34</v>
      </c>
      <c r="D414">
        <v>0</v>
      </c>
      <c r="E414">
        <v>1</v>
      </c>
      <c r="F414" s="7">
        <v>87117.29</v>
      </c>
      <c r="G414">
        <v>0</v>
      </c>
      <c r="H414" s="7">
        <v>0</v>
      </c>
    </row>
    <row r="415" spans="1:8">
      <c r="A415">
        <v>1</v>
      </c>
      <c r="B415" t="s">
        <v>46</v>
      </c>
      <c r="C415" t="s">
        <v>35</v>
      </c>
      <c r="D415">
        <v>0</v>
      </c>
      <c r="E415">
        <v>1</v>
      </c>
      <c r="F415" s="7">
        <v>114271.72</v>
      </c>
      <c r="G415">
        <v>0</v>
      </c>
      <c r="H415" s="7">
        <v>0</v>
      </c>
    </row>
    <row r="416" spans="1:8">
      <c r="A416">
        <v>1</v>
      </c>
      <c r="B416" t="s">
        <v>46</v>
      </c>
      <c r="C416" t="s">
        <v>34</v>
      </c>
      <c r="D416">
        <v>0</v>
      </c>
      <c r="E416">
        <v>1</v>
      </c>
      <c r="F416" s="7">
        <v>73199.1</v>
      </c>
      <c r="G416">
        <v>0</v>
      </c>
      <c r="H416" s="7">
        <v>0</v>
      </c>
    </row>
    <row r="417" spans="1:8">
      <c r="A417">
        <v>1</v>
      </c>
      <c r="B417" t="s">
        <v>46</v>
      </c>
      <c r="C417" t="s">
        <v>35</v>
      </c>
      <c r="D417">
        <v>0</v>
      </c>
      <c r="E417">
        <v>1</v>
      </c>
      <c r="F417" s="7">
        <v>764772.98</v>
      </c>
      <c r="G417">
        <v>0</v>
      </c>
      <c r="H417" s="7">
        <v>0</v>
      </c>
    </row>
    <row r="418" spans="1:8">
      <c r="A418">
        <v>1</v>
      </c>
      <c r="B418" t="s">
        <v>46</v>
      </c>
      <c r="C418" t="s">
        <v>35</v>
      </c>
      <c r="D418">
        <v>0</v>
      </c>
      <c r="E418">
        <v>1</v>
      </c>
      <c r="F418" s="7">
        <v>106847.36</v>
      </c>
      <c r="G418">
        <v>0</v>
      </c>
      <c r="H418" s="7">
        <v>0</v>
      </c>
    </row>
    <row r="419" spans="1:8">
      <c r="A419">
        <v>1</v>
      </c>
      <c r="B419" t="s">
        <v>46</v>
      </c>
      <c r="C419" t="s">
        <v>33</v>
      </c>
      <c r="D419">
        <v>0</v>
      </c>
      <c r="E419">
        <v>1</v>
      </c>
      <c r="F419" s="7">
        <v>6287.28</v>
      </c>
      <c r="G419">
        <v>0</v>
      </c>
      <c r="H419" s="7">
        <v>0</v>
      </c>
    </row>
    <row r="420" spans="1:8">
      <c r="A420">
        <v>1</v>
      </c>
      <c r="B420" t="s">
        <v>46</v>
      </c>
      <c r="C420" t="s">
        <v>34</v>
      </c>
      <c r="D420">
        <v>0</v>
      </c>
      <c r="E420">
        <v>1</v>
      </c>
      <c r="F420" s="7">
        <v>24936.34</v>
      </c>
      <c r="G420">
        <v>0</v>
      </c>
      <c r="H420" s="7">
        <v>0</v>
      </c>
    </row>
    <row r="421" spans="1:8">
      <c r="A421">
        <v>1</v>
      </c>
      <c r="B421" t="s">
        <v>46</v>
      </c>
      <c r="C421" t="s">
        <v>34</v>
      </c>
      <c r="D421">
        <v>0</v>
      </c>
      <c r="E421">
        <v>1</v>
      </c>
      <c r="F421" s="7">
        <v>55837.16</v>
      </c>
      <c r="G421">
        <v>0</v>
      </c>
      <c r="H421" s="7">
        <v>0</v>
      </c>
    </row>
    <row r="422" spans="1:8">
      <c r="A422">
        <v>1</v>
      </c>
      <c r="B422" t="s">
        <v>46</v>
      </c>
      <c r="C422" t="s">
        <v>34</v>
      </c>
      <c r="D422">
        <v>0</v>
      </c>
      <c r="E422">
        <v>1</v>
      </c>
      <c r="F422" s="7">
        <v>63255.29</v>
      </c>
      <c r="G422">
        <v>0</v>
      </c>
      <c r="H422" s="7">
        <v>0</v>
      </c>
    </row>
    <row r="423" spans="1:8">
      <c r="A423">
        <v>1</v>
      </c>
      <c r="B423" t="s">
        <v>46</v>
      </c>
      <c r="C423" t="s">
        <v>35</v>
      </c>
      <c r="D423">
        <v>0</v>
      </c>
      <c r="E423">
        <v>1</v>
      </c>
      <c r="F423" s="7">
        <v>104605.78</v>
      </c>
      <c r="G423">
        <v>0</v>
      </c>
      <c r="H423" s="7">
        <v>0</v>
      </c>
    </row>
    <row r="424" spans="1:8">
      <c r="A424">
        <v>1</v>
      </c>
      <c r="B424" t="s">
        <v>46</v>
      </c>
      <c r="C424" t="s">
        <v>35</v>
      </c>
      <c r="D424">
        <v>0</v>
      </c>
      <c r="E424">
        <v>1</v>
      </c>
      <c r="F424" s="7">
        <v>154160.82</v>
      </c>
      <c r="G424">
        <v>0</v>
      </c>
      <c r="H424" s="7">
        <v>0</v>
      </c>
    </row>
    <row r="425" spans="1:8">
      <c r="A425">
        <v>1</v>
      </c>
      <c r="B425" t="s">
        <v>46</v>
      </c>
      <c r="C425" t="s">
        <v>35</v>
      </c>
      <c r="D425">
        <v>0</v>
      </c>
      <c r="E425">
        <v>1</v>
      </c>
      <c r="F425" s="7">
        <v>257348.03</v>
      </c>
      <c r="G425">
        <v>0</v>
      </c>
      <c r="H425" s="7">
        <v>0</v>
      </c>
    </row>
    <row r="426" spans="1:8">
      <c r="A426">
        <v>1</v>
      </c>
      <c r="B426" t="s">
        <v>46</v>
      </c>
      <c r="C426" t="s">
        <v>35</v>
      </c>
      <c r="D426">
        <v>0</v>
      </c>
      <c r="E426">
        <v>1</v>
      </c>
      <c r="F426" s="7">
        <v>201073.81</v>
      </c>
      <c r="G426">
        <v>0</v>
      </c>
      <c r="H426" s="7">
        <v>0</v>
      </c>
    </row>
    <row r="427" spans="1:8">
      <c r="A427">
        <v>1</v>
      </c>
      <c r="B427" t="s">
        <v>46</v>
      </c>
      <c r="C427" t="s">
        <v>34</v>
      </c>
      <c r="D427">
        <v>0</v>
      </c>
      <c r="E427">
        <v>1</v>
      </c>
      <c r="F427" s="7">
        <v>53560.68</v>
      </c>
      <c r="G427">
        <v>0</v>
      </c>
      <c r="H427" s="7">
        <v>0</v>
      </c>
    </row>
    <row r="428" spans="1:8">
      <c r="A428">
        <v>1</v>
      </c>
      <c r="B428" t="s">
        <v>46</v>
      </c>
      <c r="C428" t="s">
        <v>35</v>
      </c>
      <c r="D428">
        <v>0</v>
      </c>
      <c r="E428">
        <v>1</v>
      </c>
      <c r="F428" s="7">
        <v>334234.39</v>
      </c>
      <c r="G428">
        <v>0</v>
      </c>
      <c r="H428" s="7">
        <v>0</v>
      </c>
    </row>
    <row r="429" spans="1:8">
      <c r="A429">
        <v>1</v>
      </c>
      <c r="B429" t="s">
        <v>46</v>
      </c>
      <c r="C429" t="s">
        <v>35</v>
      </c>
      <c r="D429">
        <v>0</v>
      </c>
      <c r="E429">
        <v>1</v>
      </c>
      <c r="F429" s="7">
        <v>227335.16</v>
      </c>
      <c r="G429">
        <v>0</v>
      </c>
      <c r="H429" s="7">
        <v>0</v>
      </c>
    </row>
    <row r="430" spans="1:8">
      <c r="A430">
        <v>1</v>
      </c>
      <c r="B430" t="s">
        <v>46</v>
      </c>
      <c r="C430" t="s">
        <v>35</v>
      </c>
      <c r="D430">
        <v>0</v>
      </c>
      <c r="E430">
        <v>1</v>
      </c>
      <c r="F430" s="7">
        <v>134426.08</v>
      </c>
      <c r="G430">
        <v>0</v>
      </c>
      <c r="H430" s="7">
        <v>0</v>
      </c>
    </row>
    <row r="431" spans="1:8">
      <c r="A431">
        <v>1</v>
      </c>
      <c r="B431" t="s">
        <v>46</v>
      </c>
      <c r="C431" t="s">
        <v>33</v>
      </c>
      <c r="D431">
        <v>0</v>
      </c>
      <c r="E431">
        <v>1</v>
      </c>
      <c r="F431" s="7">
        <v>2643.45</v>
      </c>
      <c r="G431">
        <v>0</v>
      </c>
      <c r="H431" s="7">
        <v>0</v>
      </c>
    </row>
    <row r="432" spans="1:8">
      <c r="A432">
        <v>1</v>
      </c>
      <c r="B432" t="s">
        <v>46</v>
      </c>
      <c r="C432" t="s">
        <v>35</v>
      </c>
      <c r="D432">
        <v>0</v>
      </c>
      <c r="E432">
        <v>1</v>
      </c>
      <c r="F432" s="7">
        <v>134977.11</v>
      </c>
      <c r="G432">
        <v>0</v>
      </c>
      <c r="H432" s="7">
        <v>0</v>
      </c>
    </row>
    <row r="433" spans="1:8">
      <c r="A433">
        <v>1</v>
      </c>
      <c r="B433" t="s">
        <v>46</v>
      </c>
      <c r="C433" t="s">
        <v>34</v>
      </c>
      <c r="D433">
        <v>0</v>
      </c>
      <c r="E433">
        <v>1</v>
      </c>
      <c r="F433" s="7">
        <v>25090.03</v>
      </c>
      <c r="G433">
        <v>0</v>
      </c>
      <c r="H433" s="7">
        <v>0</v>
      </c>
    </row>
    <row r="434" spans="1:8">
      <c r="A434">
        <v>1</v>
      </c>
      <c r="B434" t="s">
        <v>46</v>
      </c>
      <c r="C434" t="s">
        <v>35</v>
      </c>
      <c r="D434">
        <v>0</v>
      </c>
      <c r="E434">
        <v>1</v>
      </c>
      <c r="F434" s="7">
        <v>147388.67</v>
      </c>
      <c r="G434">
        <v>0</v>
      </c>
      <c r="H434" s="7">
        <v>0</v>
      </c>
    </row>
    <row r="435" spans="1:8">
      <c r="A435">
        <v>1</v>
      </c>
      <c r="B435" t="s">
        <v>46</v>
      </c>
      <c r="C435" t="s">
        <v>35</v>
      </c>
      <c r="D435">
        <v>0</v>
      </c>
      <c r="E435">
        <v>1</v>
      </c>
      <c r="F435" s="7">
        <v>217615.09</v>
      </c>
      <c r="G435">
        <v>0</v>
      </c>
      <c r="H435" s="7">
        <v>0</v>
      </c>
    </row>
    <row r="436" spans="1:8">
      <c r="A436">
        <v>1</v>
      </c>
      <c r="B436" t="s">
        <v>46</v>
      </c>
      <c r="C436" t="s">
        <v>35</v>
      </c>
      <c r="D436">
        <v>0</v>
      </c>
      <c r="E436">
        <v>1</v>
      </c>
      <c r="F436" s="7">
        <v>355294.5</v>
      </c>
      <c r="G436">
        <v>0</v>
      </c>
      <c r="H436" s="7">
        <v>0</v>
      </c>
    </row>
    <row r="437" spans="1:8">
      <c r="A437">
        <v>1</v>
      </c>
      <c r="B437" t="s">
        <v>46</v>
      </c>
      <c r="C437" t="s">
        <v>34</v>
      </c>
      <c r="D437">
        <v>0</v>
      </c>
      <c r="E437">
        <v>1</v>
      </c>
      <c r="F437" s="7">
        <v>12336.48</v>
      </c>
      <c r="G437">
        <v>0</v>
      </c>
      <c r="H437" s="7">
        <v>0</v>
      </c>
    </row>
    <row r="438" spans="1:8">
      <c r="A438">
        <v>1</v>
      </c>
      <c r="B438" t="s">
        <v>46</v>
      </c>
      <c r="C438" t="s">
        <v>35</v>
      </c>
      <c r="D438">
        <v>0</v>
      </c>
      <c r="E438">
        <v>1</v>
      </c>
      <c r="F438" s="7">
        <v>349505.89</v>
      </c>
      <c r="G438">
        <v>0</v>
      </c>
      <c r="H438" s="7">
        <v>0</v>
      </c>
    </row>
    <row r="439" spans="1:8">
      <c r="A439">
        <v>1</v>
      </c>
      <c r="B439" t="s">
        <v>46</v>
      </c>
      <c r="C439" t="s">
        <v>35</v>
      </c>
      <c r="D439">
        <v>0</v>
      </c>
      <c r="E439">
        <v>1</v>
      </c>
      <c r="F439" s="7">
        <v>285185.34</v>
      </c>
      <c r="G439">
        <v>0</v>
      </c>
      <c r="H439" s="7">
        <v>0</v>
      </c>
    </row>
    <row r="440" spans="1:8">
      <c r="A440">
        <v>1</v>
      </c>
      <c r="B440" t="s">
        <v>46</v>
      </c>
      <c r="C440" t="s">
        <v>35</v>
      </c>
      <c r="D440">
        <v>0</v>
      </c>
      <c r="E440">
        <v>1</v>
      </c>
      <c r="F440" s="7">
        <v>132953.45</v>
      </c>
      <c r="G440">
        <v>0</v>
      </c>
      <c r="H440" s="7">
        <v>0</v>
      </c>
    </row>
    <row r="441" spans="1:8">
      <c r="A441">
        <v>1</v>
      </c>
      <c r="B441" t="s">
        <v>46</v>
      </c>
      <c r="C441" t="s">
        <v>35</v>
      </c>
      <c r="D441">
        <v>0</v>
      </c>
      <c r="E441">
        <v>1</v>
      </c>
      <c r="F441" s="7">
        <v>214851.41</v>
      </c>
      <c r="G441">
        <v>0</v>
      </c>
      <c r="H441" s="7">
        <v>0</v>
      </c>
    </row>
    <row r="442" spans="1:8">
      <c r="A442">
        <v>1</v>
      </c>
      <c r="B442" t="s">
        <v>46</v>
      </c>
      <c r="C442" t="s">
        <v>34</v>
      </c>
      <c r="D442">
        <v>0</v>
      </c>
      <c r="E442">
        <v>1</v>
      </c>
      <c r="F442" s="7">
        <v>54988.56</v>
      </c>
      <c r="G442">
        <v>0</v>
      </c>
      <c r="H442" s="7">
        <v>0</v>
      </c>
    </row>
    <row r="443" spans="1:8">
      <c r="A443">
        <v>1</v>
      </c>
      <c r="B443" t="s">
        <v>46</v>
      </c>
      <c r="C443" t="s">
        <v>34</v>
      </c>
      <c r="D443">
        <v>0</v>
      </c>
      <c r="E443">
        <v>1</v>
      </c>
      <c r="F443" s="7">
        <v>62871.06</v>
      </c>
      <c r="G443">
        <v>0</v>
      </c>
      <c r="H443" s="7">
        <v>0</v>
      </c>
    </row>
    <row r="444" spans="1:8">
      <c r="A444">
        <v>1</v>
      </c>
      <c r="B444" t="s">
        <v>46</v>
      </c>
      <c r="C444" t="s">
        <v>34</v>
      </c>
      <c r="D444">
        <v>0</v>
      </c>
      <c r="E444">
        <v>1</v>
      </c>
      <c r="F444" s="7">
        <v>61150.85</v>
      </c>
      <c r="G444">
        <v>0</v>
      </c>
      <c r="H444" s="7">
        <v>0</v>
      </c>
    </row>
    <row r="445" spans="1:8">
      <c r="A445">
        <v>1</v>
      </c>
      <c r="B445" t="s">
        <v>46</v>
      </c>
      <c r="C445" t="s">
        <v>35</v>
      </c>
      <c r="D445">
        <v>0</v>
      </c>
      <c r="E445">
        <v>1</v>
      </c>
      <c r="F445" s="7">
        <v>131409.27</v>
      </c>
      <c r="G445">
        <v>0</v>
      </c>
      <c r="H445" s="7">
        <v>0</v>
      </c>
    </row>
    <row r="446" spans="1:8">
      <c r="A446">
        <v>1</v>
      </c>
      <c r="B446" t="s">
        <v>46</v>
      </c>
      <c r="C446" t="s">
        <v>34</v>
      </c>
      <c r="D446">
        <v>0</v>
      </c>
      <c r="E446">
        <v>1</v>
      </c>
      <c r="F446" s="7">
        <v>10844.33</v>
      </c>
      <c r="G446">
        <v>0</v>
      </c>
      <c r="H446" s="7">
        <v>0</v>
      </c>
    </row>
    <row r="447" spans="1:8">
      <c r="A447">
        <v>1</v>
      </c>
      <c r="B447" t="s">
        <v>42</v>
      </c>
      <c r="C447" t="s">
        <v>33</v>
      </c>
      <c r="D447">
        <v>0</v>
      </c>
      <c r="E447">
        <v>1</v>
      </c>
      <c r="F447" s="7">
        <v>2054.84</v>
      </c>
      <c r="G447">
        <v>0</v>
      </c>
      <c r="H447" s="7">
        <v>0</v>
      </c>
    </row>
    <row r="448" spans="1:8">
      <c r="A448">
        <v>1</v>
      </c>
      <c r="B448" t="s">
        <v>46</v>
      </c>
      <c r="C448" t="s">
        <v>35</v>
      </c>
      <c r="D448">
        <v>0</v>
      </c>
      <c r="E448">
        <v>1</v>
      </c>
      <c r="F448" s="7">
        <v>313373.56</v>
      </c>
      <c r="G448">
        <v>0</v>
      </c>
      <c r="H448" s="7">
        <v>0</v>
      </c>
    </row>
    <row r="449" spans="1:8">
      <c r="A449">
        <v>1</v>
      </c>
      <c r="B449" t="s">
        <v>46</v>
      </c>
      <c r="C449" t="s">
        <v>34</v>
      </c>
      <c r="D449">
        <v>0</v>
      </c>
      <c r="E449">
        <v>1</v>
      </c>
      <c r="F449" s="7">
        <v>13289.87</v>
      </c>
      <c r="G449">
        <v>0</v>
      </c>
      <c r="H449" s="7">
        <v>0</v>
      </c>
    </row>
    <row r="450" spans="1:8">
      <c r="A450">
        <v>1</v>
      </c>
      <c r="B450" t="s">
        <v>46</v>
      </c>
      <c r="C450" t="s">
        <v>34</v>
      </c>
      <c r="D450">
        <v>0</v>
      </c>
      <c r="E450">
        <v>1</v>
      </c>
      <c r="F450" s="7">
        <v>27070.11</v>
      </c>
      <c r="G450">
        <v>0</v>
      </c>
      <c r="H450" s="7">
        <v>0</v>
      </c>
    </row>
    <row r="451" spans="1:8">
      <c r="A451">
        <v>1</v>
      </c>
      <c r="B451" t="s">
        <v>46</v>
      </c>
      <c r="C451" t="s">
        <v>35</v>
      </c>
      <c r="D451">
        <v>0</v>
      </c>
      <c r="E451">
        <v>1</v>
      </c>
      <c r="F451" s="7">
        <v>127954.7</v>
      </c>
      <c r="G451">
        <v>0</v>
      </c>
      <c r="H451" s="7">
        <v>0</v>
      </c>
    </row>
    <row r="452" spans="1:8">
      <c r="A452">
        <v>1</v>
      </c>
      <c r="B452" t="s">
        <v>46</v>
      </c>
      <c r="C452" t="s">
        <v>35</v>
      </c>
      <c r="D452">
        <v>0</v>
      </c>
      <c r="E452">
        <v>1</v>
      </c>
      <c r="F452" s="7">
        <v>197031.04</v>
      </c>
      <c r="G452">
        <v>0</v>
      </c>
      <c r="H452" s="7">
        <v>0</v>
      </c>
    </row>
    <row r="453" spans="1:8">
      <c r="A453">
        <v>1</v>
      </c>
      <c r="B453" t="s">
        <v>46</v>
      </c>
      <c r="C453" t="s">
        <v>35</v>
      </c>
      <c r="D453">
        <v>0</v>
      </c>
      <c r="E453">
        <v>1</v>
      </c>
      <c r="F453" s="7">
        <v>144366.64</v>
      </c>
      <c r="G453">
        <v>0</v>
      </c>
      <c r="H453" s="7">
        <v>0</v>
      </c>
    </row>
    <row r="454" spans="1:8">
      <c r="A454">
        <v>1</v>
      </c>
      <c r="B454" t="s">
        <v>46</v>
      </c>
      <c r="C454" t="s">
        <v>33</v>
      </c>
      <c r="D454">
        <v>0</v>
      </c>
      <c r="E454">
        <v>1</v>
      </c>
      <c r="F454" s="7">
        <v>7965.49</v>
      </c>
      <c r="G454">
        <v>0</v>
      </c>
      <c r="H454" s="7">
        <v>0</v>
      </c>
    </row>
    <row r="455" spans="1:8">
      <c r="A455">
        <v>1</v>
      </c>
      <c r="B455" t="s">
        <v>46</v>
      </c>
      <c r="C455" t="s">
        <v>35</v>
      </c>
      <c r="D455">
        <v>0</v>
      </c>
      <c r="E455">
        <v>1</v>
      </c>
      <c r="F455" s="7">
        <v>123103.74</v>
      </c>
      <c r="G455">
        <v>0</v>
      </c>
      <c r="H455" s="7">
        <v>0</v>
      </c>
    </row>
    <row r="456" spans="1:8">
      <c r="A456">
        <v>1</v>
      </c>
      <c r="B456" t="s">
        <v>46</v>
      </c>
      <c r="C456" t="s">
        <v>35</v>
      </c>
      <c r="D456">
        <v>0</v>
      </c>
      <c r="E456">
        <v>1</v>
      </c>
      <c r="F456" s="7">
        <v>106634.77</v>
      </c>
      <c r="G456">
        <v>0</v>
      </c>
      <c r="H456" s="7">
        <v>0</v>
      </c>
    </row>
    <row r="457" spans="1:8">
      <c r="A457">
        <v>1</v>
      </c>
      <c r="B457" t="s">
        <v>46</v>
      </c>
      <c r="C457" t="s">
        <v>34</v>
      </c>
      <c r="D457">
        <v>0</v>
      </c>
      <c r="E457">
        <v>1</v>
      </c>
      <c r="F457" s="7">
        <v>74933.22</v>
      </c>
      <c r="G457">
        <v>0</v>
      </c>
      <c r="H457" s="7">
        <v>0</v>
      </c>
    </row>
    <row r="458" spans="1:8">
      <c r="A458">
        <v>1</v>
      </c>
      <c r="B458" t="s">
        <v>46</v>
      </c>
      <c r="C458" t="s">
        <v>35</v>
      </c>
      <c r="D458">
        <v>0</v>
      </c>
      <c r="E458">
        <v>1</v>
      </c>
      <c r="F458" s="7">
        <v>120234.99</v>
      </c>
      <c r="G458">
        <v>0</v>
      </c>
      <c r="H458" s="7">
        <v>0</v>
      </c>
    </row>
    <row r="459" spans="1:8">
      <c r="A459">
        <v>1</v>
      </c>
      <c r="B459" t="s">
        <v>46</v>
      </c>
      <c r="C459" t="s">
        <v>33</v>
      </c>
      <c r="D459">
        <v>0</v>
      </c>
      <c r="E459">
        <v>1</v>
      </c>
      <c r="F459" s="7">
        <v>5763.99</v>
      </c>
      <c r="G459">
        <v>0</v>
      </c>
      <c r="H459" s="7">
        <v>0</v>
      </c>
    </row>
    <row r="460" spans="1:8">
      <c r="A460">
        <v>1</v>
      </c>
      <c r="B460" t="s">
        <v>46</v>
      </c>
      <c r="C460" t="s">
        <v>35</v>
      </c>
      <c r="D460">
        <v>0</v>
      </c>
      <c r="E460">
        <v>1</v>
      </c>
      <c r="F460" s="7">
        <v>156922.36</v>
      </c>
      <c r="G460">
        <v>0</v>
      </c>
      <c r="H460" s="7">
        <v>0</v>
      </c>
    </row>
    <row r="461" spans="1:8">
      <c r="A461">
        <v>1</v>
      </c>
      <c r="B461" t="s">
        <v>46</v>
      </c>
      <c r="C461" t="s">
        <v>35</v>
      </c>
      <c r="D461">
        <v>0</v>
      </c>
      <c r="E461">
        <v>1</v>
      </c>
      <c r="F461" s="7">
        <v>162665.98</v>
      </c>
      <c r="G461">
        <v>0</v>
      </c>
      <c r="H461" s="7">
        <v>0</v>
      </c>
    </row>
    <row r="462" spans="1:8">
      <c r="A462">
        <v>1</v>
      </c>
      <c r="B462" t="s">
        <v>46</v>
      </c>
      <c r="C462" t="s">
        <v>35</v>
      </c>
      <c r="D462">
        <v>0</v>
      </c>
      <c r="E462">
        <v>1</v>
      </c>
      <c r="F462" s="7">
        <v>110226.34</v>
      </c>
      <c r="G462">
        <v>0</v>
      </c>
      <c r="H462" s="7">
        <v>0</v>
      </c>
    </row>
    <row r="463" spans="1:8">
      <c r="A463">
        <v>1</v>
      </c>
      <c r="B463" t="s">
        <v>46</v>
      </c>
      <c r="C463" t="s">
        <v>35</v>
      </c>
      <c r="D463">
        <v>0</v>
      </c>
      <c r="E463">
        <v>1</v>
      </c>
      <c r="F463" s="7">
        <v>142577.44</v>
      </c>
      <c r="G463">
        <v>0</v>
      </c>
      <c r="H463" s="7">
        <v>0</v>
      </c>
    </row>
    <row r="464" spans="1:8">
      <c r="A464">
        <v>1</v>
      </c>
      <c r="B464" t="s">
        <v>46</v>
      </c>
      <c r="C464" t="s">
        <v>33</v>
      </c>
      <c r="D464">
        <v>0</v>
      </c>
      <c r="E464">
        <v>1</v>
      </c>
      <c r="F464" s="7">
        <v>6915.38</v>
      </c>
      <c r="G464">
        <v>0</v>
      </c>
      <c r="H464" s="7">
        <v>0</v>
      </c>
    </row>
    <row r="465" spans="1:8">
      <c r="A465">
        <v>1</v>
      </c>
      <c r="B465" t="s">
        <v>46</v>
      </c>
      <c r="C465" t="s">
        <v>35</v>
      </c>
      <c r="D465">
        <v>0</v>
      </c>
      <c r="E465">
        <v>1</v>
      </c>
      <c r="F465" s="7">
        <v>157108.01</v>
      </c>
      <c r="G465">
        <v>0</v>
      </c>
      <c r="H465" s="7">
        <v>0</v>
      </c>
    </row>
    <row r="466" spans="1:8">
      <c r="A466">
        <v>1</v>
      </c>
      <c r="B466" t="s">
        <v>46</v>
      </c>
      <c r="C466" t="s">
        <v>35</v>
      </c>
      <c r="D466">
        <v>0</v>
      </c>
      <c r="E466">
        <v>1</v>
      </c>
      <c r="F466" s="7">
        <v>223555.14</v>
      </c>
      <c r="G466">
        <v>0</v>
      </c>
      <c r="H466" s="7">
        <v>0</v>
      </c>
    </row>
    <row r="467" spans="1:8">
      <c r="A467">
        <v>1</v>
      </c>
      <c r="B467" t="s">
        <v>46</v>
      </c>
      <c r="C467" t="s">
        <v>35</v>
      </c>
      <c r="D467">
        <v>0</v>
      </c>
      <c r="E467">
        <v>1</v>
      </c>
      <c r="F467" s="7">
        <v>146331.12</v>
      </c>
      <c r="G467">
        <v>0</v>
      </c>
      <c r="H467" s="7">
        <v>0</v>
      </c>
    </row>
    <row r="468" spans="1:8">
      <c r="A468">
        <v>1</v>
      </c>
      <c r="B468" t="s">
        <v>46</v>
      </c>
      <c r="C468" t="s">
        <v>35</v>
      </c>
      <c r="D468">
        <v>0</v>
      </c>
      <c r="E468">
        <v>1</v>
      </c>
      <c r="F468" s="7">
        <v>141131.23</v>
      </c>
      <c r="G468">
        <v>0</v>
      </c>
      <c r="H468" s="7">
        <v>0</v>
      </c>
    </row>
    <row r="469" spans="1:8">
      <c r="A469">
        <v>1</v>
      </c>
      <c r="B469" t="s">
        <v>46</v>
      </c>
      <c r="C469" t="s">
        <v>35</v>
      </c>
      <c r="D469">
        <v>0</v>
      </c>
      <c r="E469">
        <v>1</v>
      </c>
      <c r="F469" s="7">
        <v>222711.47</v>
      </c>
      <c r="G469">
        <v>0</v>
      </c>
      <c r="H469" s="7">
        <v>0</v>
      </c>
    </row>
    <row r="470" spans="1:8">
      <c r="A470">
        <v>1</v>
      </c>
      <c r="B470" t="s">
        <v>46</v>
      </c>
      <c r="C470" t="s">
        <v>34</v>
      </c>
      <c r="D470">
        <v>0</v>
      </c>
      <c r="E470">
        <v>1</v>
      </c>
      <c r="F470" s="7">
        <v>84980.31</v>
      </c>
      <c r="G470">
        <v>0</v>
      </c>
      <c r="H470" s="7">
        <v>0</v>
      </c>
    </row>
    <row r="471" spans="1:8">
      <c r="A471">
        <v>1</v>
      </c>
      <c r="B471" t="s">
        <v>46</v>
      </c>
      <c r="C471" t="s">
        <v>35</v>
      </c>
      <c r="D471">
        <v>0</v>
      </c>
      <c r="E471">
        <v>1</v>
      </c>
      <c r="F471" s="7">
        <v>628719.07</v>
      </c>
      <c r="G471">
        <v>0</v>
      </c>
      <c r="H471" s="7">
        <v>0</v>
      </c>
    </row>
    <row r="472" spans="1:8">
      <c r="A472">
        <v>1</v>
      </c>
      <c r="B472" t="s">
        <v>46</v>
      </c>
      <c r="C472" t="s">
        <v>34</v>
      </c>
      <c r="D472">
        <v>0</v>
      </c>
      <c r="E472">
        <v>1</v>
      </c>
      <c r="F472" s="7">
        <v>79285.8</v>
      </c>
      <c r="G472">
        <v>0</v>
      </c>
      <c r="H472" s="7">
        <v>0</v>
      </c>
    </row>
    <row r="473" spans="1:8">
      <c r="A473">
        <v>1</v>
      </c>
      <c r="B473" t="s">
        <v>46</v>
      </c>
      <c r="C473" t="s">
        <v>34</v>
      </c>
      <c r="D473">
        <v>0</v>
      </c>
      <c r="E473">
        <v>1</v>
      </c>
      <c r="F473" s="7">
        <v>57809.81</v>
      </c>
      <c r="G473">
        <v>0</v>
      </c>
      <c r="H473" s="7">
        <v>0</v>
      </c>
    </row>
    <row r="474" spans="1:8">
      <c r="A474">
        <v>1</v>
      </c>
      <c r="B474" t="s">
        <v>46</v>
      </c>
      <c r="C474" t="s">
        <v>34</v>
      </c>
      <c r="D474">
        <v>0</v>
      </c>
      <c r="E474">
        <v>1</v>
      </c>
      <c r="F474" s="7">
        <v>75043.17</v>
      </c>
      <c r="G474">
        <v>0</v>
      </c>
      <c r="H474" s="7">
        <v>0</v>
      </c>
    </row>
    <row r="475" spans="1:8">
      <c r="A475">
        <v>1</v>
      </c>
      <c r="B475" t="s">
        <v>46</v>
      </c>
      <c r="C475" t="s">
        <v>35</v>
      </c>
      <c r="D475">
        <v>0</v>
      </c>
      <c r="E475">
        <v>1</v>
      </c>
      <c r="F475" s="7">
        <v>248196.92</v>
      </c>
      <c r="G475">
        <v>0</v>
      </c>
      <c r="H475" s="7">
        <v>0</v>
      </c>
    </row>
    <row r="476" spans="1:8">
      <c r="A476">
        <v>1</v>
      </c>
      <c r="B476" t="s">
        <v>46</v>
      </c>
      <c r="C476" t="s">
        <v>34</v>
      </c>
      <c r="D476">
        <v>0</v>
      </c>
      <c r="E476">
        <v>1</v>
      </c>
      <c r="F476" s="7">
        <v>18851.44</v>
      </c>
      <c r="G476">
        <v>0</v>
      </c>
      <c r="H476" s="7">
        <v>0</v>
      </c>
    </row>
    <row r="477" spans="1:8">
      <c r="A477">
        <v>1</v>
      </c>
      <c r="B477" t="s">
        <v>46</v>
      </c>
      <c r="C477" t="s">
        <v>35</v>
      </c>
      <c r="D477">
        <v>0</v>
      </c>
      <c r="E477">
        <v>1</v>
      </c>
      <c r="F477" s="7">
        <v>403418.39</v>
      </c>
      <c r="G477">
        <v>0</v>
      </c>
      <c r="H477" s="7">
        <v>0</v>
      </c>
    </row>
    <row r="478" spans="1:8">
      <c r="A478">
        <v>1</v>
      </c>
      <c r="B478" t="s">
        <v>46</v>
      </c>
      <c r="C478" t="s">
        <v>35</v>
      </c>
      <c r="D478">
        <v>0</v>
      </c>
      <c r="E478">
        <v>1</v>
      </c>
      <c r="F478" s="7">
        <v>235564.81</v>
      </c>
      <c r="G478">
        <v>0</v>
      </c>
      <c r="H478" s="7">
        <v>0</v>
      </c>
    </row>
    <row r="479" spans="1:8">
      <c r="A479">
        <v>1</v>
      </c>
      <c r="B479" t="s">
        <v>46</v>
      </c>
      <c r="C479" t="s">
        <v>34</v>
      </c>
      <c r="D479">
        <v>0</v>
      </c>
      <c r="E479">
        <v>1</v>
      </c>
      <c r="F479" s="7">
        <v>32325.24</v>
      </c>
      <c r="G479">
        <v>0</v>
      </c>
      <c r="H479" s="7">
        <v>0</v>
      </c>
    </row>
    <row r="480" spans="1:8">
      <c r="A480">
        <v>1</v>
      </c>
      <c r="B480" t="s">
        <v>46</v>
      </c>
      <c r="C480" t="s">
        <v>35</v>
      </c>
      <c r="D480">
        <v>0</v>
      </c>
      <c r="E480">
        <v>1</v>
      </c>
      <c r="F480" s="7">
        <v>345347.7</v>
      </c>
      <c r="G480">
        <v>0</v>
      </c>
      <c r="H480" s="7">
        <v>0</v>
      </c>
    </row>
    <row r="481" spans="1:8">
      <c r="A481">
        <v>1</v>
      </c>
      <c r="B481" t="s">
        <v>46</v>
      </c>
      <c r="C481" t="s">
        <v>35</v>
      </c>
      <c r="D481">
        <v>0</v>
      </c>
      <c r="E481">
        <v>1</v>
      </c>
      <c r="F481" s="7">
        <v>355500.25</v>
      </c>
      <c r="G481">
        <v>0</v>
      </c>
      <c r="H481" s="7">
        <v>0</v>
      </c>
    </row>
    <row r="482" spans="1:8">
      <c r="A482">
        <v>1</v>
      </c>
      <c r="B482" t="s">
        <v>46</v>
      </c>
      <c r="C482" t="s">
        <v>35</v>
      </c>
      <c r="D482">
        <v>0</v>
      </c>
      <c r="E482">
        <v>1</v>
      </c>
      <c r="F482" s="7">
        <v>103005.78</v>
      </c>
      <c r="G482">
        <v>0</v>
      </c>
      <c r="H482" s="7">
        <v>0</v>
      </c>
    </row>
    <row r="483" spans="1:8">
      <c r="A483">
        <v>1</v>
      </c>
      <c r="B483" t="s">
        <v>46</v>
      </c>
      <c r="C483" t="s">
        <v>35</v>
      </c>
      <c r="D483">
        <v>0</v>
      </c>
      <c r="E483">
        <v>1</v>
      </c>
      <c r="F483" s="7">
        <v>108803.98</v>
      </c>
      <c r="G483">
        <v>0</v>
      </c>
      <c r="H483" s="7">
        <v>0</v>
      </c>
    </row>
    <row r="484" spans="1:8">
      <c r="A484">
        <v>1</v>
      </c>
      <c r="B484" t="s">
        <v>46</v>
      </c>
      <c r="C484" t="s">
        <v>35</v>
      </c>
      <c r="D484">
        <v>0</v>
      </c>
      <c r="E484">
        <v>1</v>
      </c>
      <c r="F484" s="7">
        <v>259753.27</v>
      </c>
      <c r="G484">
        <v>0</v>
      </c>
      <c r="H484" s="7">
        <v>0</v>
      </c>
    </row>
    <row r="485" spans="1:8">
      <c r="A485">
        <v>1</v>
      </c>
      <c r="B485" t="s">
        <v>46</v>
      </c>
      <c r="C485" t="s">
        <v>35</v>
      </c>
      <c r="D485">
        <v>0</v>
      </c>
      <c r="E485">
        <v>1</v>
      </c>
      <c r="F485" s="7">
        <v>234094.24</v>
      </c>
      <c r="G485">
        <v>0</v>
      </c>
      <c r="H485" s="7">
        <v>0</v>
      </c>
    </row>
    <row r="486" spans="1:8">
      <c r="A486">
        <v>1</v>
      </c>
      <c r="B486" t="s">
        <v>46</v>
      </c>
      <c r="C486" t="s">
        <v>35</v>
      </c>
      <c r="D486">
        <v>0</v>
      </c>
      <c r="E486">
        <v>1</v>
      </c>
      <c r="F486" s="7">
        <v>273305.73</v>
      </c>
      <c r="G486">
        <v>0</v>
      </c>
      <c r="H486" s="7">
        <v>0</v>
      </c>
    </row>
    <row r="487" spans="1:8">
      <c r="A487">
        <v>1</v>
      </c>
      <c r="B487" t="s">
        <v>46</v>
      </c>
      <c r="C487" t="s">
        <v>35</v>
      </c>
      <c r="D487">
        <v>0</v>
      </c>
      <c r="E487">
        <v>1</v>
      </c>
      <c r="F487" s="7">
        <v>186838.95</v>
      </c>
      <c r="G487">
        <v>0</v>
      </c>
      <c r="H487" s="7">
        <v>0</v>
      </c>
    </row>
    <row r="488" spans="1:8">
      <c r="A488">
        <v>1</v>
      </c>
      <c r="B488" t="s">
        <v>46</v>
      </c>
      <c r="C488" t="s">
        <v>35</v>
      </c>
      <c r="D488">
        <v>0</v>
      </c>
      <c r="E488">
        <v>1</v>
      </c>
      <c r="F488" s="7">
        <v>193161.04</v>
      </c>
      <c r="G488">
        <v>0</v>
      </c>
      <c r="H488" s="7">
        <v>0</v>
      </c>
    </row>
    <row r="489" spans="1:8">
      <c r="A489">
        <v>1</v>
      </c>
      <c r="B489" t="s">
        <v>46</v>
      </c>
      <c r="C489" t="s">
        <v>35</v>
      </c>
      <c r="D489">
        <v>0</v>
      </c>
      <c r="E489">
        <v>1</v>
      </c>
      <c r="F489" s="7">
        <v>152823.85</v>
      </c>
      <c r="G489">
        <v>0</v>
      </c>
      <c r="H489" s="7">
        <v>0</v>
      </c>
    </row>
    <row r="490" spans="1:8">
      <c r="A490">
        <v>1</v>
      </c>
      <c r="B490" t="s">
        <v>46</v>
      </c>
      <c r="C490" t="s">
        <v>34</v>
      </c>
      <c r="D490">
        <v>0</v>
      </c>
      <c r="E490">
        <v>1</v>
      </c>
      <c r="F490" s="7">
        <v>91457.82</v>
      </c>
      <c r="G490">
        <v>0</v>
      </c>
      <c r="H490" s="7">
        <v>0</v>
      </c>
    </row>
    <row r="491" spans="1:8">
      <c r="A491">
        <v>1</v>
      </c>
      <c r="B491" t="s">
        <v>46</v>
      </c>
      <c r="C491" t="s">
        <v>35</v>
      </c>
      <c r="D491">
        <v>0</v>
      </c>
      <c r="E491">
        <v>1</v>
      </c>
      <c r="F491" s="7">
        <v>277807.48</v>
      </c>
      <c r="G491">
        <v>0</v>
      </c>
      <c r="H491" s="7">
        <v>0</v>
      </c>
    </row>
    <row r="492" spans="1:8">
      <c r="A492">
        <v>1</v>
      </c>
      <c r="B492" t="s">
        <v>46</v>
      </c>
      <c r="C492" t="s">
        <v>33</v>
      </c>
      <c r="D492">
        <v>0</v>
      </c>
      <c r="E492">
        <v>1</v>
      </c>
      <c r="F492" s="7">
        <v>8679.13</v>
      </c>
      <c r="G492">
        <v>0</v>
      </c>
      <c r="H492" s="7">
        <v>0</v>
      </c>
    </row>
    <row r="493" spans="1:8">
      <c r="A493">
        <v>1</v>
      </c>
      <c r="B493" t="s">
        <v>46</v>
      </c>
      <c r="C493" t="s">
        <v>33</v>
      </c>
      <c r="D493">
        <v>0</v>
      </c>
      <c r="E493">
        <v>1</v>
      </c>
      <c r="F493" s="7">
        <v>2099.59</v>
      </c>
      <c r="G493">
        <v>0</v>
      </c>
      <c r="H493" s="7">
        <v>0</v>
      </c>
    </row>
    <row r="494" spans="1:8">
      <c r="A494">
        <v>1</v>
      </c>
      <c r="B494" t="s">
        <v>46</v>
      </c>
      <c r="C494" t="s">
        <v>35</v>
      </c>
      <c r="D494">
        <v>0</v>
      </c>
      <c r="E494">
        <v>1</v>
      </c>
      <c r="F494" s="7">
        <v>221693.08</v>
      </c>
      <c r="G494">
        <v>0</v>
      </c>
      <c r="H494" s="7">
        <v>0</v>
      </c>
    </row>
    <row r="495" spans="1:8">
      <c r="A495">
        <v>1</v>
      </c>
      <c r="B495" t="s">
        <v>46</v>
      </c>
      <c r="C495" t="s">
        <v>35</v>
      </c>
      <c r="D495">
        <v>0</v>
      </c>
      <c r="E495">
        <v>1</v>
      </c>
      <c r="F495" s="7">
        <v>206097.65</v>
      </c>
      <c r="G495">
        <v>0</v>
      </c>
      <c r="H495" s="7">
        <v>0</v>
      </c>
    </row>
    <row r="496" spans="1:8">
      <c r="A496">
        <v>1</v>
      </c>
      <c r="B496" t="s">
        <v>46</v>
      </c>
      <c r="C496" t="s">
        <v>34</v>
      </c>
      <c r="D496">
        <v>0</v>
      </c>
      <c r="E496">
        <v>1</v>
      </c>
      <c r="F496" s="7">
        <v>22384.21</v>
      </c>
      <c r="G496">
        <v>0</v>
      </c>
      <c r="H496" s="7">
        <v>0</v>
      </c>
    </row>
    <row r="497" spans="1:8">
      <c r="A497">
        <v>1</v>
      </c>
      <c r="B497" t="s">
        <v>46</v>
      </c>
      <c r="C497" t="s">
        <v>34</v>
      </c>
      <c r="D497">
        <v>0</v>
      </c>
      <c r="E497">
        <v>1</v>
      </c>
      <c r="F497" s="7">
        <v>73210.99</v>
      </c>
      <c r="G497">
        <v>0</v>
      </c>
      <c r="H497" s="7">
        <v>0</v>
      </c>
    </row>
    <row r="498" spans="1:8">
      <c r="A498">
        <v>1</v>
      </c>
      <c r="B498" t="s">
        <v>46</v>
      </c>
      <c r="C498" t="s">
        <v>35</v>
      </c>
      <c r="D498">
        <v>0</v>
      </c>
      <c r="E498">
        <v>1</v>
      </c>
      <c r="F498" s="7">
        <v>236747.6</v>
      </c>
      <c r="G498">
        <v>0</v>
      </c>
      <c r="H498" s="7">
        <v>0</v>
      </c>
    </row>
    <row r="499" spans="1:8">
      <c r="A499">
        <v>1</v>
      </c>
      <c r="B499" t="s">
        <v>46</v>
      </c>
      <c r="C499" t="s">
        <v>33</v>
      </c>
      <c r="D499">
        <v>0</v>
      </c>
      <c r="E499">
        <v>1</v>
      </c>
      <c r="F499" s="7">
        <v>6284.18</v>
      </c>
      <c r="G499">
        <v>0</v>
      </c>
      <c r="H499" s="7">
        <v>0</v>
      </c>
    </row>
    <row r="500" spans="1:8">
      <c r="A500">
        <v>1</v>
      </c>
      <c r="B500" t="s">
        <v>46</v>
      </c>
      <c r="C500" t="s">
        <v>35</v>
      </c>
      <c r="D500">
        <v>0</v>
      </c>
      <c r="E500">
        <v>1</v>
      </c>
      <c r="F500" s="7">
        <v>100198.77</v>
      </c>
      <c r="G500">
        <v>0</v>
      </c>
      <c r="H500" s="7">
        <v>0</v>
      </c>
    </row>
    <row r="501" spans="1:8">
      <c r="A501">
        <v>1</v>
      </c>
      <c r="B501" t="s">
        <v>46</v>
      </c>
      <c r="C501" t="s">
        <v>35</v>
      </c>
      <c r="D501">
        <v>0</v>
      </c>
      <c r="E501">
        <v>1</v>
      </c>
      <c r="F501" s="7">
        <v>160347.32</v>
      </c>
      <c r="G501">
        <v>0</v>
      </c>
      <c r="H501" s="7">
        <v>0</v>
      </c>
    </row>
    <row r="502" spans="1:8">
      <c r="A502">
        <v>1</v>
      </c>
      <c r="B502" t="s">
        <v>46</v>
      </c>
      <c r="C502" t="s">
        <v>35</v>
      </c>
      <c r="D502">
        <v>0</v>
      </c>
      <c r="E502">
        <v>1</v>
      </c>
      <c r="F502" s="7">
        <v>289272.75</v>
      </c>
      <c r="G502">
        <v>0</v>
      </c>
      <c r="H502" s="7">
        <v>0</v>
      </c>
    </row>
    <row r="503" spans="1:8">
      <c r="A503">
        <v>1</v>
      </c>
      <c r="B503" t="s">
        <v>46</v>
      </c>
      <c r="C503" t="s">
        <v>34</v>
      </c>
      <c r="D503">
        <v>0</v>
      </c>
      <c r="E503">
        <v>1</v>
      </c>
      <c r="F503" s="7">
        <v>63189.26</v>
      </c>
      <c r="G503">
        <v>0</v>
      </c>
      <c r="H503" s="7">
        <v>0</v>
      </c>
    </row>
    <row r="504" spans="1:8">
      <c r="A504">
        <v>1</v>
      </c>
      <c r="B504" t="s">
        <v>46</v>
      </c>
      <c r="C504" t="s">
        <v>35</v>
      </c>
      <c r="D504">
        <v>0</v>
      </c>
      <c r="E504">
        <v>1</v>
      </c>
      <c r="F504" s="7">
        <v>196725.32</v>
      </c>
      <c r="G504">
        <v>0</v>
      </c>
      <c r="H504" s="7">
        <v>0</v>
      </c>
    </row>
    <row r="505" spans="1:8">
      <c r="A505">
        <v>1</v>
      </c>
      <c r="B505" t="s">
        <v>42</v>
      </c>
      <c r="C505" t="s">
        <v>33</v>
      </c>
      <c r="D505">
        <v>0</v>
      </c>
      <c r="E505">
        <v>1</v>
      </c>
      <c r="F505" s="7">
        <v>5882.32</v>
      </c>
      <c r="G505">
        <v>0</v>
      </c>
      <c r="H505" s="7">
        <v>0</v>
      </c>
    </row>
    <row r="506" spans="1:8">
      <c r="A506">
        <v>1</v>
      </c>
      <c r="B506" t="s">
        <v>45</v>
      </c>
      <c r="C506" t="s">
        <v>32</v>
      </c>
      <c r="D506">
        <v>0</v>
      </c>
      <c r="E506">
        <v>1</v>
      </c>
      <c r="F506" s="7">
        <v>625.92</v>
      </c>
      <c r="G506">
        <v>0</v>
      </c>
      <c r="H506" s="7">
        <v>0</v>
      </c>
    </row>
    <row r="507" spans="1:8">
      <c r="A507">
        <v>1</v>
      </c>
      <c r="B507" t="s">
        <v>42</v>
      </c>
      <c r="C507" t="s">
        <v>33</v>
      </c>
      <c r="D507">
        <v>0</v>
      </c>
      <c r="E507">
        <v>1</v>
      </c>
      <c r="F507" s="7">
        <v>5937.72</v>
      </c>
      <c r="G507">
        <v>0</v>
      </c>
      <c r="H507" s="7">
        <v>0</v>
      </c>
    </row>
    <row r="508" spans="1:8">
      <c r="A508">
        <v>1</v>
      </c>
      <c r="B508" t="s">
        <v>42</v>
      </c>
      <c r="C508" t="s">
        <v>33</v>
      </c>
      <c r="D508">
        <v>0</v>
      </c>
      <c r="E508">
        <v>1</v>
      </c>
      <c r="F508" s="7">
        <v>9796.29</v>
      </c>
      <c r="G508">
        <v>0</v>
      </c>
      <c r="H508" s="7">
        <v>0</v>
      </c>
    </row>
    <row r="509" spans="1:8">
      <c r="A509">
        <v>1</v>
      </c>
      <c r="B509" t="s">
        <v>42</v>
      </c>
      <c r="C509" t="s">
        <v>34</v>
      </c>
      <c r="D509">
        <v>0</v>
      </c>
      <c r="E509">
        <v>1</v>
      </c>
      <c r="F509" s="7">
        <v>13449.95</v>
      </c>
      <c r="G509">
        <v>0</v>
      </c>
      <c r="H509" s="7">
        <v>0</v>
      </c>
    </row>
    <row r="510" spans="1:8">
      <c r="A510">
        <v>1</v>
      </c>
      <c r="B510" t="s">
        <v>42</v>
      </c>
      <c r="C510" t="s">
        <v>33</v>
      </c>
      <c r="D510">
        <v>0</v>
      </c>
      <c r="E510">
        <v>1</v>
      </c>
      <c r="F510" s="7">
        <v>4749.6</v>
      </c>
      <c r="G510">
        <v>0</v>
      </c>
      <c r="H510" s="7">
        <v>0</v>
      </c>
    </row>
    <row r="511" spans="1:8">
      <c r="A511">
        <v>1</v>
      </c>
      <c r="B511" t="s">
        <v>42</v>
      </c>
      <c r="C511" t="s">
        <v>33</v>
      </c>
      <c r="D511">
        <v>0</v>
      </c>
      <c r="E511">
        <v>1</v>
      </c>
      <c r="F511" s="7">
        <v>6460.86</v>
      </c>
      <c r="G511">
        <v>0</v>
      </c>
      <c r="H511" s="7">
        <v>0</v>
      </c>
    </row>
    <row r="512" spans="1:8">
      <c r="A512">
        <v>1</v>
      </c>
      <c r="B512" t="s">
        <v>42</v>
      </c>
      <c r="C512" t="s">
        <v>33</v>
      </c>
      <c r="D512">
        <v>0</v>
      </c>
      <c r="E512">
        <v>1</v>
      </c>
      <c r="F512" s="7">
        <v>3605.26</v>
      </c>
      <c r="G512">
        <v>0</v>
      </c>
      <c r="H512" s="7">
        <v>0</v>
      </c>
    </row>
    <row r="513" spans="1:8">
      <c r="A513">
        <v>1</v>
      </c>
      <c r="B513" t="s">
        <v>42</v>
      </c>
      <c r="C513" t="s">
        <v>32</v>
      </c>
      <c r="D513">
        <v>0</v>
      </c>
      <c r="E513">
        <v>1</v>
      </c>
      <c r="F513" s="7">
        <v>624.61</v>
      </c>
      <c r="G513">
        <v>0</v>
      </c>
      <c r="H513" s="7">
        <v>0</v>
      </c>
    </row>
    <row r="514" spans="1:8">
      <c r="A514">
        <v>1</v>
      </c>
      <c r="B514" t="s">
        <v>42</v>
      </c>
      <c r="C514" t="s">
        <v>33</v>
      </c>
      <c r="D514">
        <v>0</v>
      </c>
      <c r="E514">
        <v>1</v>
      </c>
      <c r="F514" s="7">
        <v>3854.92</v>
      </c>
      <c r="G514">
        <v>0</v>
      </c>
      <c r="H514" s="7">
        <v>0</v>
      </c>
    </row>
    <row r="515" spans="1:8">
      <c r="A515">
        <v>1</v>
      </c>
      <c r="B515" t="s">
        <v>43</v>
      </c>
      <c r="C515" t="s">
        <v>35</v>
      </c>
      <c r="D515">
        <v>0</v>
      </c>
      <c r="E515">
        <v>1</v>
      </c>
      <c r="F515" s="7">
        <v>420532.33</v>
      </c>
      <c r="G515">
        <v>0</v>
      </c>
      <c r="H515" s="7">
        <v>0</v>
      </c>
    </row>
    <row r="516" spans="1:8">
      <c r="A516">
        <v>1</v>
      </c>
      <c r="B516" t="s">
        <v>42</v>
      </c>
      <c r="C516" t="s">
        <v>33</v>
      </c>
      <c r="D516">
        <v>0</v>
      </c>
      <c r="E516">
        <v>1</v>
      </c>
      <c r="F516" s="7">
        <v>4402.86</v>
      </c>
      <c r="G516">
        <v>0</v>
      </c>
      <c r="H516" s="7">
        <v>0</v>
      </c>
    </row>
    <row r="517" spans="1:8">
      <c r="A517">
        <v>1</v>
      </c>
      <c r="B517" t="s">
        <v>44</v>
      </c>
      <c r="C517" t="s">
        <v>35</v>
      </c>
      <c r="D517">
        <v>0</v>
      </c>
      <c r="E517">
        <v>1</v>
      </c>
      <c r="F517" s="7">
        <v>147804.02</v>
      </c>
      <c r="G517">
        <v>0</v>
      </c>
      <c r="H517" s="7">
        <v>0</v>
      </c>
    </row>
    <row r="518" spans="1:8">
      <c r="A518">
        <v>1</v>
      </c>
      <c r="B518" t="s">
        <v>42</v>
      </c>
      <c r="C518" t="s">
        <v>32</v>
      </c>
      <c r="D518">
        <v>0</v>
      </c>
      <c r="E518">
        <v>1</v>
      </c>
      <c r="F518" s="7">
        <v>151.2</v>
      </c>
      <c r="G518">
        <v>0</v>
      </c>
      <c r="H518" s="7">
        <v>0</v>
      </c>
    </row>
    <row r="519" spans="1:8">
      <c r="A519">
        <v>1</v>
      </c>
      <c r="B519" t="s">
        <v>42</v>
      </c>
      <c r="C519" t="s">
        <v>32</v>
      </c>
      <c r="D519">
        <v>0</v>
      </c>
      <c r="E519">
        <v>1</v>
      </c>
      <c r="F519" s="7">
        <v>58.21</v>
      </c>
      <c r="G519">
        <v>0</v>
      </c>
      <c r="H519" s="7">
        <v>0</v>
      </c>
    </row>
    <row r="520" spans="1:8">
      <c r="A520">
        <v>1</v>
      </c>
      <c r="B520" t="s">
        <v>42</v>
      </c>
      <c r="C520" t="s">
        <v>33</v>
      </c>
      <c r="D520">
        <v>0</v>
      </c>
      <c r="E520">
        <v>1</v>
      </c>
      <c r="F520" s="7">
        <v>5936.82</v>
      </c>
      <c r="G520">
        <v>0</v>
      </c>
      <c r="H520" s="7">
        <v>0</v>
      </c>
    </row>
    <row r="521" spans="1:8">
      <c r="A521">
        <v>1</v>
      </c>
      <c r="B521" t="s">
        <v>44</v>
      </c>
      <c r="C521" t="s">
        <v>35</v>
      </c>
      <c r="D521">
        <v>0</v>
      </c>
      <c r="E521">
        <v>1</v>
      </c>
      <c r="F521" s="7">
        <v>145944.67</v>
      </c>
      <c r="G521">
        <v>0</v>
      </c>
      <c r="H521" s="7">
        <v>0</v>
      </c>
    </row>
    <row r="522" spans="1:8">
      <c r="A522">
        <v>1</v>
      </c>
      <c r="B522" t="s">
        <v>43</v>
      </c>
      <c r="C522" t="s">
        <v>33</v>
      </c>
      <c r="D522">
        <v>0</v>
      </c>
      <c r="E522">
        <v>1</v>
      </c>
      <c r="F522" s="7">
        <v>7206.33</v>
      </c>
      <c r="G522">
        <v>0</v>
      </c>
      <c r="H522" s="7">
        <v>0</v>
      </c>
    </row>
    <row r="523" spans="1:8">
      <c r="A523">
        <v>1</v>
      </c>
      <c r="B523" t="s">
        <v>45</v>
      </c>
      <c r="C523" t="s">
        <v>33</v>
      </c>
      <c r="D523">
        <v>0</v>
      </c>
      <c r="E523">
        <v>1</v>
      </c>
      <c r="F523" s="7">
        <v>5581.55</v>
      </c>
      <c r="G523">
        <v>0</v>
      </c>
      <c r="H523" s="7">
        <v>0</v>
      </c>
    </row>
    <row r="524" spans="1:8">
      <c r="A524">
        <v>1</v>
      </c>
      <c r="B524" t="s">
        <v>45</v>
      </c>
      <c r="C524" t="s">
        <v>33</v>
      </c>
      <c r="D524">
        <v>0</v>
      </c>
      <c r="E524">
        <v>1</v>
      </c>
      <c r="F524" s="7">
        <v>5853.21</v>
      </c>
      <c r="G524">
        <v>0</v>
      </c>
      <c r="H524" s="7">
        <v>0</v>
      </c>
    </row>
    <row r="525" spans="1:8">
      <c r="A525">
        <v>1</v>
      </c>
      <c r="B525" t="s">
        <v>42</v>
      </c>
      <c r="C525" t="s">
        <v>33</v>
      </c>
      <c r="D525">
        <v>0</v>
      </c>
      <c r="E525">
        <v>1</v>
      </c>
      <c r="F525" s="7">
        <v>2528.1</v>
      </c>
      <c r="G525">
        <v>0</v>
      </c>
      <c r="H525" s="7">
        <v>0</v>
      </c>
    </row>
    <row r="526" spans="1:8">
      <c r="A526">
        <v>1</v>
      </c>
      <c r="B526" t="s">
        <v>42</v>
      </c>
      <c r="C526" t="s">
        <v>33</v>
      </c>
      <c r="D526">
        <v>0</v>
      </c>
      <c r="E526">
        <v>1</v>
      </c>
      <c r="F526" s="7">
        <v>5655.17</v>
      </c>
      <c r="G526">
        <v>0</v>
      </c>
      <c r="H526" s="7">
        <v>0</v>
      </c>
    </row>
    <row r="527" spans="1:8">
      <c r="A527">
        <v>1</v>
      </c>
      <c r="B527" t="s">
        <v>42</v>
      </c>
      <c r="C527" t="s">
        <v>33</v>
      </c>
      <c r="D527">
        <v>0</v>
      </c>
      <c r="E527">
        <v>1</v>
      </c>
      <c r="F527" s="7">
        <v>1456.09</v>
      </c>
      <c r="G527">
        <v>0</v>
      </c>
      <c r="H527" s="7">
        <v>0</v>
      </c>
    </row>
    <row r="528" spans="1:8">
      <c r="A528">
        <v>1</v>
      </c>
      <c r="B528" t="s">
        <v>42</v>
      </c>
      <c r="C528" t="s">
        <v>33</v>
      </c>
      <c r="D528">
        <v>0</v>
      </c>
      <c r="E528">
        <v>1</v>
      </c>
      <c r="F528" s="7">
        <v>4252.82</v>
      </c>
      <c r="G528">
        <v>0</v>
      </c>
      <c r="H528" s="7">
        <v>0</v>
      </c>
    </row>
    <row r="529" spans="1:8">
      <c r="A529">
        <v>1</v>
      </c>
      <c r="B529" t="s">
        <v>43</v>
      </c>
      <c r="C529" t="s">
        <v>35</v>
      </c>
      <c r="D529">
        <v>0</v>
      </c>
      <c r="E529">
        <v>1</v>
      </c>
      <c r="F529" s="7">
        <v>276460.62</v>
      </c>
      <c r="G529">
        <v>0</v>
      </c>
      <c r="H529" s="7">
        <v>0</v>
      </c>
    </row>
    <row r="530" spans="1:8">
      <c r="A530">
        <v>1</v>
      </c>
      <c r="B530" t="s">
        <v>42</v>
      </c>
      <c r="C530" t="s">
        <v>33</v>
      </c>
      <c r="D530">
        <v>0</v>
      </c>
      <c r="E530">
        <v>1</v>
      </c>
      <c r="F530" s="7">
        <v>8811.67</v>
      </c>
      <c r="G530">
        <v>0</v>
      </c>
      <c r="H530" s="7">
        <v>0</v>
      </c>
    </row>
    <row r="531" spans="1:8">
      <c r="A531">
        <v>1</v>
      </c>
      <c r="B531" t="s">
        <v>42</v>
      </c>
      <c r="C531" t="s">
        <v>34</v>
      </c>
      <c r="D531">
        <v>0</v>
      </c>
      <c r="E531">
        <v>1</v>
      </c>
      <c r="F531" s="7">
        <v>12666.68</v>
      </c>
      <c r="G531">
        <v>0</v>
      </c>
      <c r="H531" s="7">
        <v>0</v>
      </c>
    </row>
    <row r="532" spans="1:8">
      <c r="A532">
        <v>1</v>
      </c>
      <c r="B532" t="s">
        <v>44</v>
      </c>
      <c r="C532" t="s">
        <v>34</v>
      </c>
      <c r="D532">
        <v>0</v>
      </c>
      <c r="E532">
        <v>1</v>
      </c>
      <c r="F532" s="7">
        <v>95636.49</v>
      </c>
      <c r="G532">
        <v>0</v>
      </c>
      <c r="H532" s="7">
        <v>0</v>
      </c>
    </row>
    <row r="533" spans="1:8">
      <c r="A533">
        <v>1</v>
      </c>
      <c r="B533" t="s">
        <v>44</v>
      </c>
      <c r="C533" t="s">
        <v>35</v>
      </c>
      <c r="D533">
        <v>0</v>
      </c>
      <c r="E533">
        <v>1</v>
      </c>
      <c r="F533" s="7">
        <v>195314.34</v>
      </c>
      <c r="G533">
        <v>0</v>
      </c>
      <c r="H533" s="7">
        <v>0</v>
      </c>
    </row>
    <row r="534" spans="1:8">
      <c r="A534">
        <v>1</v>
      </c>
      <c r="B534" t="s">
        <v>42</v>
      </c>
      <c r="C534" t="s">
        <v>33</v>
      </c>
      <c r="D534">
        <v>0</v>
      </c>
      <c r="E534">
        <v>1</v>
      </c>
      <c r="F534" s="7">
        <v>6049.09</v>
      </c>
      <c r="G534">
        <v>0</v>
      </c>
      <c r="H534" s="7">
        <v>0</v>
      </c>
    </row>
    <row r="535" spans="1:8">
      <c r="A535">
        <v>1</v>
      </c>
      <c r="B535" t="s">
        <v>42</v>
      </c>
      <c r="C535" t="s">
        <v>34</v>
      </c>
      <c r="D535">
        <v>0</v>
      </c>
      <c r="E535">
        <v>1</v>
      </c>
      <c r="F535" s="7">
        <v>14306.8</v>
      </c>
      <c r="G535">
        <v>0</v>
      </c>
      <c r="H535" s="7">
        <v>0</v>
      </c>
    </row>
    <row r="536" spans="1:8">
      <c r="A536">
        <v>1</v>
      </c>
      <c r="B536" t="s">
        <v>42</v>
      </c>
      <c r="C536" t="s">
        <v>33</v>
      </c>
      <c r="D536">
        <v>0</v>
      </c>
      <c r="E536">
        <v>1</v>
      </c>
      <c r="F536" s="7">
        <v>1117.34</v>
      </c>
      <c r="G536">
        <v>0</v>
      </c>
      <c r="H536" s="7">
        <v>0</v>
      </c>
    </row>
    <row r="537" spans="1:8">
      <c r="A537">
        <v>1</v>
      </c>
      <c r="B537" t="s">
        <v>45</v>
      </c>
      <c r="C537" t="s">
        <v>33</v>
      </c>
      <c r="D537">
        <v>0</v>
      </c>
      <c r="E537">
        <v>1</v>
      </c>
      <c r="F537" s="7">
        <v>3179.7</v>
      </c>
      <c r="G537">
        <v>0</v>
      </c>
      <c r="H537" s="7">
        <v>0</v>
      </c>
    </row>
    <row r="538" spans="1:8">
      <c r="A538">
        <v>1</v>
      </c>
      <c r="B538" t="s">
        <v>42</v>
      </c>
      <c r="C538" t="s">
        <v>33</v>
      </c>
      <c r="D538">
        <v>0</v>
      </c>
      <c r="E538">
        <v>1</v>
      </c>
      <c r="F538" s="7">
        <v>2880.68</v>
      </c>
      <c r="G538">
        <v>0</v>
      </c>
      <c r="H538" s="7">
        <v>0</v>
      </c>
    </row>
    <row r="539" spans="1:8">
      <c r="A539">
        <v>1</v>
      </c>
      <c r="B539" t="s">
        <v>42</v>
      </c>
      <c r="C539" t="s">
        <v>33</v>
      </c>
      <c r="D539">
        <v>0</v>
      </c>
      <c r="E539">
        <v>1</v>
      </c>
      <c r="F539" s="7">
        <v>3060.54</v>
      </c>
      <c r="G539">
        <v>0</v>
      </c>
      <c r="H539" s="7">
        <v>0</v>
      </c>
    </row>
    <row r="540" spans="1:8">
      <c r="A540">
        <v>1</v>
      </c>
      <c r="B540" t="s">
        <v>42</v>
      </c>
      <c r="C540" t="s">
        <v>32</v>
      </c>
      <c r="D540">
        <v>0</v>
      </c>
      <c r="E540">
        <v>1</v>
      </c>
      <c r="F540" s="7">
        <v>879.42</v>
      </c>
      <c r="G540">
        <v>0</v>
      </c>
      <c r="H540" s="7">
        <v>0</v>
      </c>
    </row>
    <row r="541" spans="1:8">
      <c r="A541">
        <v>1</v>
      </c>
      <c r="B541" t="s">
        <v>42</v>
      </c>
      <c r="C541" t="s">
        <v>33</v>
      </c>
      <c r="D541">
        <v>0</v>
      </c>
      <c r="E541">
        <v>1</v>
      </c>
      <c r="F541" s="7">
        <v>3486.78</v>
      </c>
      <c r="G541">
        <v>0</v>
      </c>
      <c r="H541" s="7">
        <v>0</v>
      </c>
    </row>
    <row r="542" spans="1:8">
      <c r="A542">
        <v>1</v>
      </c>
      <c r="B542" t="s">
        <v>42</v>
      </c>
      <c r="C542" t="s">
        <v>34</v>
      </c>
      <c r="D542">
        <v>0</v>
      </c>
      <c r="E542">
        <v>1</v>
      </c>
      <c r="F542" s="7">
        <v>21530.96</v>
      </c>
      <c r="G542">
        <v>0</v>
      </c>
      <c r="H542" s="7">
        <v>0</v>
      </c>
    </row>
    <row r="543" spans="1:8">
      <c r="A543">
        <v>1</v>
      </c>
      <c r="B543" t="s">
        <v>42</v>
      </c>
      <c r="C543" t="s">
        <v>33</v>
      </c>
      <c r="D543">
        <v>0</v>
      </c>
      <c r="E543">
        <v>1</v>
      </c>
      <c r="F543" s="7">
        <v>2426.31</v>
      </c>
      <c r="G543">
        <v>0</v>
      </c>
      <c r="H543" s="7">
        <v>0</v>
      </c>
    </row>
    <row r="544" spans="1:8">
      <c r="A544">
        <v>1</v>
      </c>
      <c r="B544" t="s">
        <v>42</v>
      </c>
      <c r="C544" t="s">
        <v>33</v>
      </c>
      <c r="D544">
        <v>0</v>
      </c>
      <c r="E544">
        <v>1</v>
      </c>
      <c r="F544" s="7">
        <v>5110.1</v>
      </c>
      <c r="G544">
        <v>0</v>
      </c>
      <c r="H544" s="7">
        <v>0</v>
      </c>
    </row>
    <row r="545" spans="1:8">
      <c r="A545">
        <v>1</v>
      </c>
      <c r="B545" t="s">
        <v>42</v>
      </c>
      <c r="C545" t="s">
        <v>32</v>
      </c>
      <c r="D545">
        <v>0</v>
      </c>
      <c r="E545">
        <v>1</v>
      </c>
      <c r="F545" s="7">
        <v>207.75</v>
      </c>
      <c r="G545">
        <v>0</v>
      </c>
      <c r="H545" s="7">
        <v>0</v>
      </c>
    </row>
    <row r="546" spans="1:8">
      <c r="A546">
        <v>1</v>
      </c>
      <c r="B546" t="s">
        <v>42</v>
      </c>
      <c r="C546" t="s">
        <v>34</v>
      </c>
      <c r="D546">
        <v>0</v>
      </c>
      <c r="E546">
        <v>1</v>
      </c>
      <c r="F546" s="7">
        <v>18437.04</v>
      </c>
      <c r="G546">
        <v>0</v>
      </c>
      <c r="H546" s="7">
        <v>0</v>
      </c>
    </row>
    <row r="547" spans="1:8">
      <c r="A547">
        <v>1</v>
      </c>
      <c r="B547" t="s">
        <v>42</v>
      </c>
      <c r="C547" t="s">
        <v>33</v>
      </c>
      <c r="D547">
        <v>0</v>
      </c>
      <c r="E547">
        <v>1</v>
      </c>
      <c r="F547" s="7">
        <v>8690.69</v>
      </c>
      <c r="G547">
        <v>0</v>
      </c>
      <c r="H547" s="7">
        <v>0</v>
      </c>
    </row>
    <row r="548" spans="1:8">
      <c r="A548">
        <v>1</v>
      </c>
      <c r="B548" t="s">
        <v>42</v>
      </c>
      <c r="C548" t="s">
        <v>33</v>
      </c>
      <c r="D548">
        <v>0</v>
      </c>
      <c r="E548">
        <v>1</v>
      </c>
      <c r="F548" s="7">
        <v>4946.03</v>
      </c>
      <c r="G548">
        <v>0</v>
      </c>
      <c r="H548" s="7">
        <v>0</v>
      </c>
    </row>
    <row r="549" spans="1:8">
      <c r="A549">
        <v>1</v>
      </c>
      <c r="B549" t="s">
        <v>42</v>
      </c>
      <c r="C549" t="s">
        <v>33</v>
      </c>
      <c r="D549">
        <v>0</v>
      </c>
      <c r="E549">
        <v>1</v>
      </c>
      <c r="F549" s="7">
        <v>5432.09</v>
      </c>
      <c r="G549">
        <v>0</v>
      </c>
      <c r="H549" s="7">
        <v>0</v>
      </c>
    </row>
    <row r="550" spans="1:8">
      <c r="A550">
        <v>1</v>
      </c>
      <c r="B550" t="s">
        <v>42</v>
      </c>
      <c r="C550" t="s">
        <v>33</v>
      </c>
      <c r="D550">
        <v>0</v>
      </c>
      <c r="E550">
        <v>1</v>
      </c>
      <c r="F550" s="7">
        <v>7649.41</v>
      </c>
      <c r="G550">
        <v>0</v>
      </c>
      <c r="H550" s="7">
        <v>0</v>
      </c>
    </row>
    <row r="551" spans="1:8">
      <c r="A551">
        <v>1</v>
      </c>
      <c r="B551" t="s">
        <v>42</v>
      </c>
      <c r="C551" t="s">
        <v>33</v>
      </c>
      <c r="D551">
        <v>0</v>
      </c>
      <c r="E551">
        <v>1</v>
      </c>
      <c r="F551" s="7">
        <v>3943.17</v>
      </c>
      <c r="G551">
        <v>0</v>
      </c>
      <c r="H551" s="7">
        <v>0</v>
      </c>
    </row>
    <row r="552" spans="1:8">
      <c r="A552">
        <v>1</v>
      </c>
      <c r="B552" t="s">
        <v>42</v>
      </c>
      <c r="C552" t="s">
        <v>33</v>
      </c>
      <c r="D552">
        <v>0</v>
      </c>
      <c r="E552">
        <v>1</v>
      </c>
      <c r="F552" s="7">
        <v>3101.33</v>
      </c>
      <c r="G552">
        <v>0</v>
      </c>
      <c r="H552" s="7">
        <v>0</v>
      </c>
    </row>
    <row r="553" spans="1:8">
      <c r="A553">
        <v>1</v>
      </c>
      <c r="B553" t="s">
        <v>43</v>
      </c>
      <c r="C553" t="s">
        <v>34</v>
      </c>
      <c r="D553">
        <v>0</v>
      </c>
      <c r="E553">
        <v>1</v>
      </c>
      <c r="F553" s="7">
        <v>51719.13</v>
      </c>
      <c r="G553">
        <v>0</v>
      </c>
      <c r="H553" s="7">
        <v>0</v>
      </c>
    </row>
    <row r="554" spans="1:8">
      <c r="A554">
        <v>1</v>
      </c>
      <c r="B554" t="s">
        <v>42</v>
      </c>
      <c r="C554" t="s">
        <v>34</v>
      </c>
      <c r="D554">
        <v>0</v>
      </c>
      <c r="E554">
        <v>1</v>
      </c>
      <c r="F554" s="7">
        <v>13465.91</v>
      </c>
      <c r="G554">
        <v>0</v>
      </c>
      <c r="H554" s="7">
        <v>0</v>
      </c>
    </row>
    <row r="555" spans="1:8">
      <c r="A555">
        <v>1</v>
      </c>
      <c r="B555" t="s">
        <v>42</v>
      </c>
      <c r="C555" t="s">
        <v>34</v>
      </c>
      <c r="D555">
        <v>0</v>
      </c>
      <c r="E555">
        <v>1</v>
      </c>
      <c r="F555" s="7">
        <v>19561.05</v>
      </c>
      <c r="G555">
        <v>0</v>
      </c>
      <c r="H555" s="7">
        <v>0</v>
      </c>
    </row>
    <row r="556" spans="1:8">
      <c r="A556">
        <v>1</v>
      </c>
      <c r="B556" t="s">
        <v>42</v>
      </c>
      <c r="C556" t="s">
        <v>33</v>
      </c>
      <c r="D556">
        <v>0</v>
      </c>
      <c r="E556">
        <v>1</v>
      </c>
      <c r="F556" s="7">
        <v>9762.28</v>
      </c>
      <c r="G556">
        <v>0</v>
      </c>
      <c r="H556" s="7">
        <v>0</v>
      </c>
    </row>
    <row r="557" spans="1:8">
      <c r="A557">
        <v>1</v>
      </c>
      <c r="B557" t="s">
        <v>42</v>
      </c>
      <c r="C557" t="s">
        <v>33</v>
      </c>
      <c r="D557">
        <v>0</v>
      </c>
      <c r="E557">
        <v>1</v>
      </c>
      <c r="F557" s="7">
        <v>9778.81</v>
      </c>
      <c r="G557">
        <v>0</v>
      </c>
      <c r="H557" s="7">
        <v>0</v>
      </c>
    </row>
    <row r="558" spans="1:8">
      <c r="A558">
        <v>1</v>
      </c>
      <c r="B558" t="s">
        <v>44</v>
      </c>
      <c r="C558" t="s">
        <v>35</v>
      </c>
      <c r="D558">
        <v>0</v>
      </c>
      <c r="E558">
        <v>1</v>
      </c>
      <c r="F558" s="7">
        <v>562903.81</v>
      </c>
      <c r="G558">
        <v>0</v>
      </c>
      <c r="H558" s="7">
        <v>0</v>
      </c>
    </row>
    <row r="559" spans="1:8">
      <c r="A559">
        <v>1</v>
      </c>
      <c r="B559" t="s">
        <v>42</v>
      </c>
      <c r="C559" t="s">
        <v>33</v>
      </c>
      <c r="D559">
        <v>0</v>
      </c>
      <c r="E559">
        <v>1</v>
      </c>
      <c r="F559" s="7">
        <v>5055.94</v>
      </c>
      <c r="G559">
        <v>0</v>
      </c>
      <c r="H559" s="7">
        <v>0</v>
      </c>
    </row>
    <row r="560" spans="1:8">
      <c r="A560">
        <v>1</v>
      </c>
      <c r="B560" t="s">
        <v>42</v>
      </c>
      <c r="C560" t="s">
        <v>33</v>
      </c>
      <c r="D560">
        <v>0</v>
      </c>
      <c r="E560">
        <v>1</v>
      </c>
      <c r="F560" s="7">
        <v>2858.89</v>
      </c>
      <c r="G560">
        <v>0</v>
      </c>
      <c r="H560" s="7">
        <v>0</v>
      </c>
    </row>
    <row r="561" spans="1:8">
      <c r="A561">
        <v>1</v>
      </c>
      <c r="B561" t="s">
        <v>42</v>
      </c>
      <c r="C561" t="s">
        <v>33</v>
      </c>
      <c r="D561">
        <v>0</v>
      </c>
      <c r="E561">
        <v>1</v>
      </c>
      <c r="F561" s="7">
        <v>8531.42</v>
      </c>
      <c r="G561">
        <v>0</v>
      </c>
      <c r="H561" s="7">
        <v>0</v>
      </c>
    </row>
    <row r="562" spans="1:8">
      <c r="A562">
        <v>1</v>
      </c>
      <c r="B562" t="s">
        <v>42</v>
      </c>
      <c r="C562" t="s">
        <v>32</v>
      </c>
      <c r="D562">
        <v>0</v>
      </c>
      <c r="E562">
        <v>1</v>
      </c>
      <c r="F562" s="7">
        <v>84.22</v>
      </c>
      <c r="G562">
        <v>0</v>
      </c>
      <c r="H562" s="7">
        <v>0</v>
      </c>
    </row>
    <row r="563" spans="1:8">
      <c r="A563">
        <v>1</v>
      </c>
      <c r="B563" t="s">
        <v>44</v>
      </c>
      <c r="C563" t="s">
        <v>35</v>
      </c>
      <c r="D563">
        <v>0</v>
      </c>
      <c r="E563">
        <v>1</v>
      </c>
      <c r="F563" s="7">
        <v>227478.01</v>
      </c>
      <c r="G563">
        <v>0</v>
      </c>
      <c r="H563" s="7">
        <v>0</v>
      </c>
    </row>
    <row r="564" spans="1:8">
      <c r="A564">
        <v>1</v>
      </c>
      <c r="B564" t="s">
        <v>42</v>
      </c>
      <c r="C564" t="s">
        <v>33</v>
      </c>
      <c r="D564">
        <v>0</v>
      </c>
      <c r="E564">
        <v>1</v>
      </c>
      <c r="F564" s="7">
        <v>5033.02</v>
      </c>
      <c r="G564">
        <v>0</v>
      </c>
      <c r="H564" s="7">
        <v>0</v>
      </c>
    </row>
    <row r="565" spans="1:8">
      <c r="A565">
        <v>1</v>
      </c>
      <c r="B565" t="s">
        <v>43</v>
      </c>
      <c r="C565" t="s">
        <v>35</v>
      </c>
      <c r="D565">
        <v>0</v>
      </c>
      <c r="E565">
        <v>1</v>
      </c>
      <c r="F565" s="7">
        <v>100588.8</v>
      </c>
      <c r="G565">
        <v>0</v>
      </c>
      <c r="H565" s="7">
        <v>0</v>
      </c>
    </row>
    <row r="566" spans="1:8">
      <c r="A566">
        <v>1</v>
      </c>
      <c r="B566" t="s">
        <v>42</v>
      </c>
      <c r="C566" t="s">
        <v>33</v>
      </c>
      <c r="D566">
        <v>0</v>
      </c>
      <c r="E566">
        <v>1</v>
      </c>
      <c r="F566" s="7">
        <v>9374.72</v>
      </c>
      <c r="G566">
        <v>0</v>
      </c>
      <c r="H566" s="7">
        <v>0</v>
      </c>
    </row>
    <row r="567" spans="1:8">
      <c r="A567">
        <v>1</v>
      </c>
      <c r="B567" t="s">
        <v>42</v>
      </c>
      <c r="C567" t="s">
        <v>32</v>
      </c>
      <c r="D567">
        <v>0</v>
      </c>
      <c r="E567">
        <v>1</v>
      </c>
      <c r="F567" s="7">
        <v>598.24</v>
      </c>
      <c r="G567">
        <v>0</v>
      </c>
      <c r="H567" s="7">
        <v>0</v>
      </c>
    </row>
    <row r="568" spans="1:8">
      <c r="A568">
        <v>1</v>
      </c>
      <c r="B568" t="s">
        <v>42</v>
      </c>
      <c r="C568" t="s">
        <v>33</v>
      </c>
      <c r="D568">
        <v>0</v>
      </c>
      <c r="E568">
        <v>1</v>
      </c>
      <c r="F568" s="7">
        <v>4531.55</v>
      </c>
      <c r="G568">
        <v>0</v>
      </c>
      <c r="H568" s="7">
        <v>0</v>
      </c>
    </row>
    <row r="569" spans="1:8">
      <c r="A569">
        <v>1</v>
      </c>
      <c r="B569" t="s">
        <v>42</v>
      </c>
      <c r="C569" t="s">
        <v>33</v>
      </c>
      <c r="D569">
        <v>0</v>
      </c>
      <c r="E569">
        <v>1</v>
      </c>
      <c r="F569" s="7">
        <v>2998.2</v>
      </c>
      <c r="G569">
        <v>0</v>
      </c>
      <c r="H569" s="7">
        <v>0</v>
      </c>
    </row>
    <row r="570" spans="1:8">
      <c r="A570">
        <v>1</v>
      </c>
      <c r="B570" t="s">
        <v>42</v>
      </c>
      <c r="C570" t="s">
        <v>33</v>
      </c>
      <c r="D570">
        <v>0</v>
      </c>
      <c r="E570">
        <v>1</v>
      </c>
      <c r="F570" s="7">
        <v>9269.99</v>
      </c>
      <c r="G570">
        <v>0</v>
      </c>
      <c r="H570" s="7">
        <v>0</v>
      </c>
    </row>
    <row r="571" spans="1:8">
      <c r="A571">
        <v>1</v>
      </c>
      <c r="B571" t="s">
        <v>42</v>
      </c>
      <c r="C571" t="s">
        <v>33</v>
      </c>
      <c r="D571">
        <v>0</v>
      </c>
      <c r="E571">
        <v>1</v>
      </c>
      <c r="F571" s="7">
        <v>1209.64</v>
      </c>
      <c r="G571">
        <v>0</v>
      </c>
      <c r="H571" s="7">
        <v>0</v>
      </c>
    </row>
    <row r="572" spans="1:8">
      <c r="A572">
        <v>1</v>
      </c>
      <c r="B572" t="s">
        <v>42</v>
      </c>
      <c r="C572" t="s">
        <v>33</v>
      </c>
      <c r="D572">
        <v>0</v>
      </c>
      <c r="E572">
        <v>1</v>
      </c>
      <c r="F572" s="7">
        <v>1298.7</v>
      </c>
      <c r="G572">
        <v>0</v>
      </c>
      <c r="H572" s="7">
        <v>0</v>
      </c>
    </row>
    <row r="573" spans="1:8">
      <c r="A573">
        <v>1</v>
      </c>
      <c r="B573" t="s">
        <v>42</v>
      </c>
      <c r="C573" t="s">
        <v>33</v>
      </c>
      <c r="D573">
        <v>0</v>
      </c>
      <c r="E573">
        <v>1</v>
      </c>
      <c r="F573" s="7">
        <v>7797</v>
      </c>
      <c r="G573">
        <v>0</v>
      </c>
      <c r="H573" s="7">
        <v>0</v>
      </c>
    </row>
    <row r="574" spans="1:8">
      <c r="A574">
        <v>1</v>
      </c>
      <c r="B574" t="s">
        <v>42</v>
      </c>
      <c r="C574" t="s">
        <v>33</v>
      </c>
      <c r="D574">
        <v>0</v>
      </c>
      <c r="E574">
        <v>1</v>
      </c>
      <c r="F574" s="7">
        <v>5831.03</v>
      </c>
      <c r="G574">
        <v>0</v>
      </c>
      <c r="H574" s="7">
        <v>0</v>
      </c>
    </row>
    <row r="575" spans="1:8">
      <c r="A575">
        <v>1</v>
      </c>
      <c r="B575" t="s">
        <v>42</v>
      </c>
      <c r="C575" t="s">
        <v>33</v>
      </c>
      <c r="D575">
        <v>0</v>
      </c>
      <c r="E575">
        <v>1</v>
      </c>
      <c r="F575" s="7">
        <v>7067.9</v>
      </c>
      <c r="G575">
        <v>0</v>
      </c>
      <c r="H575" s="7">
        <v>0</v>
      </c>
    </row>
    <row r="576" spans="1:8">
      <c r="A576">
        <v>1</v>
      </c>
      <c r="B576" t="s">
        <v>42</v>
      </c>
      <c r="C576" t="s">
        <v>34</v>
      </c>
      <c r="D576">
        <v>0</v>
      </c>
      <c r="E576">
        <v>1</v>
      </c>
      <c r="F576" s="7">
        <v>14895.51</v>
      </c>
      <c r="G576">
        <v>0</v>
      </c>
      <c r="H576" s="7">
        <v>0</v>
      </c>
    </row>
    <row r="577" spans="1:8">
      <c r="A577">
        <v>1</v>
      </c>
      <c r="B577" t="s">
        <v>42</v>
      </c>
      <c r="C577" t="s">
        <v>33</v>
      </c>
      <c r="D577">
        <v>0</v>
      </c>
      <c r="E577">
        <v>1</v>
      </c>
      <c r="F577" s="7">
        <v>3316.21</v>
      </c>
      <c r="G577">
        <v>0</v>
      </c>
      <c r="H577" s="7">
        <v>0</v>
      </c>
    </row>
    <row r="578" spans="1:8">
      <c r="A578">
        <v>1</v>
      </c>
      <c r="B578" t="s">
        <v>42</v>
      </c>
      <c r="C578" t="s">
        <v>34</v>
      </c>
      <c r="D578">
        <v>0</v>
      </c>
      <c r="E578">
        <v>1</v>
      </c>
      <c r="F578" s="7">
        <v>22276</v>
      </c>
      <c r="G578">
        <v>0</v>
      </c>
      <c r="H578" s="7">
        <v>0</v>
      </c>
    </row>
    <row r="579" spans="1:8">
      <c r="A579">
        <v>1</v>
      </c>
      <c r="B579" t="s">
        <v>42</v>
      </c>
      <c r="C579" t="s">
        <v>34</v>
      </c>
      <c r="D579">
        <v>0</v>
      </c>
      <c r="E579">
        <v>1</v>
      </c>
      <c r="F579" s="7">
        <v>16505.51</v>
      </c>
      <c r="G579">
        <v>0</v>
      </c>
      <c r="H579" s="7">
        <v>0</v>
      </c>
    </row>
    <row r="580" spans="1:8">
      <c r="A580">
        <v>1</v>
      </c>
      <c r="B580" t="s">
        <v>42</v>
      </c>
      <c r="C580" t="s">
        <v>32</v>
      </c>
      <c r="D580">
        <v>0</v>
      </c>
      <c r="E580">
        <v>1</v>
      </c>
      <c r="F580" s="7">
        <v>636.95</v>
      </c>
      <c r="G580">
        <v>0</v>
      </c>
      <c r="H580" s="7">
        <v>0</v>
      </c>
    </row>
    <row r="581" spans="1:8">
      <c r="A581">
        <v>1</v>
      </c>
      <c r="B581" t="s">
        <v>42</v>
      </c>
      <c r="C581" t="s">
        <v>33</v>
      </c>
      <c r="D581">
        <v>0</v>
      </c>
      <c r="E581">
        <v>1</v>
      </c>
      <c r="F581" s="7">
        <v>2056.59</v>
      </c>
      <c r="G581">
        <v>0</v>
      </c>
      <c r="H581" s="7">
        <v>0</v>
      </c>
    </row>
    <row r="582" spans="1:8">
      <c r="A582">
        <v>1</v>
      </c>
      <c r="B582" t="s">
        <v>42</v>
      </c>
      <c r="C582" t="s">
        <v>32</v>
      </c>
      <c r="D582">
        <v>0</v>
      </c>
      <c r="E582">
        <v>1</v>
      </c>
      <c r="F582" s="7">
        <v>704.74</v>
      </c>
      <c r="G582">
        <v>0</v>
      </c>
      <c r="H582" s="7">
        <v>0</v>
      </c>
    </row>
    <row r="583" spans="1:8">
      <c r="A583">
        <v>1</v>
      </c>
      <c r="B583" t="s">
        <v>42</v>
      </c>
      <c r="C583" t="s">
        <v>33</v>
      </c>
      <c r="D583">
        <v>0</v>
      </c>
      <c r="E583">
        <v>1</v>
      </c>
      <c r="F583" s="7">
        <v>3222.32</v>
      </c>
      <c r="G583">
        <v>0</v>
      </c>
      <c r="H583" s="7">
        <v>0</v>
      </c>
    </row>
    <row r="584" spans="1:8">
      <c r="A584">
        <v>1</v>
      </c>
      <c r="B584" t="s">
        <v>42</v>
      </c>
      <c r="C584" t="s">
        <v>34</v>
      </c>
      <c r="D584">
        <v>0</v>
      </c>
      <c r="E584">
        <v>1</v>
      </c>
      <c r="F584" s="7">
        <v>11889.61</v>
      </c>
      <c r="G584">
        <v>0</v>
      </c>
      <c r="H584" s="7">
        <v>0</v>
      </c>
    </row>
    <row r="585" spans="1:8">
      <c r="A585">
        <v>1</v>
      </c>
      <c r="B585" t="s">
        <v>42</v>
      </c>
      <c r="C585" t="s">
        <v>33</v>
      </c>
      <c r="D585">
        <v>0</v>
      </c>
      <c r="E585">
        <v>1</v>
      </c>
      <c r="F585" s="7">
        <v>9491.89</v>
      </c>
      <c r="G585">
        <v>0</v>
      </c>
      <c r="H585" s="7">
        <v>0</v>
      </c>
    </row>
    <row r="586" spans="1:8">
      <c r="A586">
        <v>1</v>
      </c>
      <c r="B586" t="s">
        <v>42</v>
      </c>
      <c r="C586" t="s">
        <v>33</v>
      </c>
      <c r="D586">
        <v>0</v>
      </c>
      <c r="E586">
        <v>1</v>
      </c>
      <c r="F586" s="7">
        <v>6131.21</v>
      </c>
      <c r="G586">
        <v>0</v>
      </c>
      <c r="H586" s="7">
        <v>0</v>
      </c>
    </row>
    <row r="587" spans="1:8">
      <c r="A587">
        <v>1</v>
      </c>
      <c r="B587" t="s">
        <v>42</v>
      </c>
      <c r="C587" t="s">
        <v>34</v>
      </c>
      <c r="D587">
        <v>0</v>
      </c>
      <c r="E587">
        <v>1</v>
      </c>
      <c r="F587" s="7">
        <v>11938.61</v>
      </c>
      <c r="G587">
        <v>0</v>
      </c>
      <c r="H587" s="7">
        <v>0</v>
      </c>
    </row>
    <row r="588" spans="1:8">
      <c r="A588">
        <v>1</v>
      </c>
      <c r="B588" t="s">
        <v>42</v>
      </c>
      <c r="C588" t="s">
        <v>33</v>
      </c>
      <c r="D588">
        <v>0</v>
      </c>
      <c r="E588">
        <v>1</v>
      </c>
      <c r="F588" s="7">
        <v>4233.45</v>
      </c>
      <c r="G588">
        <v>0</v>
      </c>
      <c r="H588" s="7">
        <v>0</v>
      </c>
    </row>
    <row r="589" spans="1:8">
      <c r="A589">
        <v>1</v>
      </c>
      <c r="B589" t="s">
        <v>42</v>
      </c>
      <c r="C589" t="s">
        <v>34</v>
      </c>
      <c r="D589">
        <v>0</v>
      </c>
      <c r="E589">
        <v>1</v>
      </c>
      <c r="F589" s="7">
        <v>32643.79</v>
      </c>
      <c r="G589">
        <v>0</v>
      </c>
      <c r="H589" s="7">
        <v>0</v>
      </c>
    </row>
    <row r="590" spans="1:8">
      <c r="A590">
        <v>1</v>
      </c>
      <c r="B590" t="s">
        <v>42</v>
      </c>
      <c r="C590" t="s">
        <v>32</v>
      </c>
      <c r="D590">
        <v>0</v>
      </c>
      <c r="E590">
        <v>1</v>
      </c>
      <c r="F590" s="7">
        <v>622.15</v>
      </c>
      <c r="G590">
        <v>0</v>
      </c>
      <c r="H590" s="7">
        <v>0</v>
      </c>
    </row>
    <row r="591" spans="1:8">
      <c r="A591">
        <v>1</v>
      </c>
      <c r="B591" t="s">
        <v>42</v>
      </c>
      <c r="C591" t="s">
        <v>33</v>
      </c>
      <c r="D591">
        <v>0</v>
      </c>
      <c r="E591">
        <v>1</v>
      </c>
      <c r="F591" s="7">
        <v>4573.12</v>
      </c>
      <c r="G591">
        <v>0</v>
      </c>
      <c r="H591" s="7">
        <v>0</v>
      </c>
    </row>
    <row r="592" spans="1:8">
      <c r="A592">
        <v>1</v>
      </c>
      <c r="B592" t="s">
        <v>42</v>
      </c>
      <c r="C592" t="s">
        <v>33</v>
      </c>
      <c r="D592">
        <v>0</v>
      </c>
      <c r="E592">
        <v>1</v>
      </c>
      <c r="F592" s="7">
        <v>6057.8</v>
      </c>
      <c r="G592">
        <v>0</v>
      </c>
      <c r="H592" s="7">
        <v>0</v>
      </c>
    </row>
    <row r="593" spans="1:8">
      <c r="A593">
        <v>1</v>
      </c>
      <c r="B593" t="s">
        <v>42</v>
      </c>
      <c r="C593" t="s">
        <v>33</v>
      </c>
      <c r="D593">
        <v>0</v>
      </c>
      <c r="E593">
        <v>1</v>
      </c>
      <c r="F593" s="7">
        <v>5770.32</v>
      </c>
      <c r="G593">
        <v>0</v>
      </c>
      <c r="H593" s="7">
        <v>0</v>
      </c>
    </row>
    <row r="594" spans="1:8">
      <c r="A594">
        <v>1</v>
      </c>
      <c r="B594" t="s">
        <v>42</v>
      </c>
      <c r="C594" t="s">
        <v>33</v>
      </c>
      <c r="D594">
        <v>0</v>
      </c>
      <c r="E594">
        <v>1</v>
      </c>
      <c r="F594" s="7">
        <v>9152.97</v>
      </c>
      <c r="G594">
        <v>0</v>
      </c>
      <c r="H594" s="7">
        <v>0</v>
      </c>
    </row>
    <row r="595" spans="1:8">
      <c r="A595">
        <v>1</v>
      </c>
      <c r="B595" t="s">
        <v>45</v>
      </c>
      <c r="C595" t="s">
        <v>34</v>
      </c>
      <c r="D595">
        <v>0</v>
      </c>
      <c r="E595">
        <v>1</v>
      </c>
      <c r="F595" s="7">
        <v>12154.7</v>
      </c>
      <c r="G595">
        <v>0</v>
      </c>
      <c r="H595" s="7">
        <v>0</v>
      </c>
    </row>
    <row r="596" spans="1:8">
      <c r="A596">
        <v>1</v>
      </c>
      <c r="B596" t="s">
        <v>42</v>
      </c>
      <c r="C596" t="s">
        <v>33</v>
      </c>
      <c r="D596">
        <v>0</v>
      </c>
      <c r="E596">
        <v>1</v>
      </c>
      <c r="F596" s="7">
        <v>8378.01</v>
      </c>
      <c r="G596">
        <v>0</v>
      </c>
      <c r="H596" s="7">
        <v>0</v>
      </c>
    </row>
    <row r="597" spans="1:8">
      <c r="A597">
        <v>1</v>
      </c>
      <c r="B597" t="s">
        <v>42</v>
      </c>
      <c r="C597" t="s">
        <v>33</v>
      </c>
      <c r="D597">
        <v>0</v>
      </c>
      <c r="E597">
        <v>1</v>
      </c>
      <c r="F597" s="7">
        <v>9616.45</v>
      </c>
      <c r="G597">
        <v>0</v>
      </c>
      <c r="H597" s="7">
        <v>0</v>
      </c>
    </row>
    <row r="598" spans="1:8">
      <c r="A598">
        <v>1</v>
      </c>
      <c r="B598" t="s">
        <v>42</v>
      </c>
      <c r="C598" t="s">
        <v>33</v>
      </c>
      <c r="D598">
        <v>0</v>
      </c>
      <c r="E598">
        <v>1</v>
      </c>
      <c r="F598" s="7">
        <v>2231.28</v>
      </c>
      <c r="G598">
        <v>0</v>
      </c>
      <c r="H598" s="7">
        <v>0</v>
      </c>
    </row>
    <row r="599" spans="1:8">
      <c r="A599">
        <v>1</v>
      </c>
      <c r="B599" t="s">
        <v>42</v>
      </c>
      <c r="C599" t="s">
        <v>33</v>
      </c>
      <c r="D599">
        <v>0</v>
      </c>
      <c r="E599">
        <v>1</v>
      </c>
      <c r="F599" s="7">
        <v>4932.54</v>
      </c>
      <c r="G599">
        <v>0</v>
      </c>
      <c r="H599" s="7">
        <v>0</v>
      </c>
    </row>
    <row r="600" spans="1:8">
      <c r="A600">
        <v>1</v>
      </c>
      <c r="B600" t="s">
        <v>46</v>
      </c>
      <c r="C600" t="s">
        <v>34</v>
      </c>
      <c r="D600">
        <v>0</v>
      </c>
      <c r="E600">
        <v>1</v>
      </c>
      <c r="F600" s="7">
        <v>65413.89</v>
      </c>
      <c r="G600">
        <v>0</v>
      </c>
      <c r="H600" s="7">
        <v>0</v>
      </c>
    </row>
    <row r="601" spans="1:8">
      <c r="A601">
        <v>1</v>
      </c>
      <c r="B601" t="s">
        <v>46</v>
      </c>
      <c r="C601" t="s">
        <v>34</v>
      </c>
      <c r="D601">
        <v>0</v>
      </c>
      <c r="E601">
        <v>1</v>
      </c>
      <c r="F601" s="7">
        <v>98560.08</v>
      </c>
      <c r="G601">
        <v>0</v>
      </c>
      <c r="H601" s="7">
        <v>0</v>
      </c>
    </row>
    <row r="602" spans="1:8">
      <c r="A602">
        <v>1</v>
      </c>
      <c r="B602" t="s">
        <v>46</v>
      </c>
      <c r="C602" t="s">
        <v>34</v>
      </c>
      <c r="D602">
        <v>0</v>
      </c>
      <c r="E602">
        <v>1</v>
      </c>
      <c r="F602" s="7">
        <v>15054.61</v>
      </c>
      <c r="G602">
        <v>0</v>
      </c>
      <c r="H602" s="7">
        <v>0</v>
      </c>
    </row>
    <row r="603" spans="1:8">
      <c r="A603">
        <v>1</v>
      </c>
      <c r="B603" t="s">
        <v>46</v>
      </c>
      <c r="C603" t="s">
        <v>35</v>
      </c>
      <c r="D603">
        <v>0</v>
      </c>
      <c r="E603">
        <v>1</v>
      </c>
      <c r="F603" s="7">
        <v>161632.16</v>
      </c>
      <c r="G603">
        <v>0</v>
      </c>
      <c r="H603" s="7">
        <v>0</v>
      </c>
    </row>
    <row r="604" spans="1:8">
      <c r="A604">
        <v>1</v>
      </c>
      <c r="B604" t="s">
        <v>46</v>
      </c>
      <c r="C604" t="s">
        <v>34</v>
      </c>
      <c r="D604">
        <v>0</v>
      </c>
      <c r="E604">
        <v>1</v>
      </c>
      <c r="F604" s="7">
        <v>47529.19</v>
      </c>
      <c r="G604">
        <v>0</v>
      </c>
      <c r="H604" s="7">
        <v>0</v>
      </c>
    </row>
    <row r="605" spans="1:8">
      <c r="A605">
        <v>1</v>
      </c>
      <c r="B605" t="s">
        <v>46</v>
      </c>
      <c r="C605" t="s">
        <v>33</v>
      </c>
      <c r="D605">
        <v>0</v>
      </c>
      <c r="E605">
        <v>1</v>
      </c>
      <c r="F605" s="7">
        <v>9577.45</v>
      </c>
      <c r="G605">
        <v>0</v>
      </c>
      <c r="H605" s="7">
        <v>0</v>
      </c>
    </row>
    <row r="606" spans="1:8">
      <c r="A606">
        <v>1</v>
      </c>
      <c r="B606" t="s">
        <v>46</v>
      </c>
      <c r="C606" t="s">
        <v>35</v>
      </c>
      <c r="D606">
        <v>0</v>
      </c>
      <c r="E606">
        <v>1</v>
      </c>
      <c r="F606" s="7">
        <v>414238.59</v>
      </c>
      <c r="G606">
        <v>0</v>
      </c>
      <c r="H606" s="7">
        <v>0</v>
      </c>
    </row>
    <row r="607" spans="1:8">
      <c r="A607">
        <v>1</v>
      </c>
      <c r="B607" t="s">
        <v>46</v>
      </c>
      <c r="C607" t="s">
        <v>34</v>
      </c>
      <c r="D607">
        <v>0</v>
      </c>
      <c r="E607">
        <v>1</v>
      </c>
      <c r="F607" s="7">
        <v>89327.65</v>
      </c>
      <c r="G607">
        <v>0</v>
      </c>
      <c r="H607" s="7">
        <v>0</v>
      </c>
    </row>
    <row r="608" spans="1:8">
      <c r="A608">
        <v>1</v>
      </c>
      <c r="B608" t="s">
        <v>46</v>
      </c>
      <c r="C608" t="s">
        <v>35</v>
      </c>
      <c r="D608">
        <v>0</v>
      </c>
      <c r="E608">
        <v>1</v>
      </c>
      <c r="F608" s="7">
        <v>194900.16</v>
      </c>
      <c r="G608">
        <v>0</v>
      </c>
      <c r="H608" s="7">
        <v>0</v>
      </c>
    </row>
    <row r="609" spans="1:8">
      <c r="A609">
        <v>1</v>
      </c>
      <c r="B609" t="s">
        <v>46</v>
      </c>
      <c r="C609" t="s">
        <v>34</v>
      </c>
      <c r="D609">
        <v>0</v>
      </c>
      <c r="E609">
        <v>1</v>
      </c>
      <c r="F609" s="7">
        <v>24470.43</v>
      </c>
      <c r="G609">
        <v>0</v>
      </c>
      <c r="H609" s="7">
        <v>0</v>
      </c>
    </row>
    <row r="610" spans="1:8">
      <c r="A610">
        <v>1</v>
      </c>
      <c r="B610" t="s">
        <v>46</v>
      </c>
      <c r="C610" t="s">
        <v>35</v>
      </c>
      <c r="D610">
        <v>0</v>
      </c>
      <c r="E610">
        <v>1</v>
      </c>
      <c r="F610" s="7">
        <v>217668.38</v>
      </c>
      <c r="G610">
        <v>0</v>
      </c>
      <c r="H610" s="7">
        <v>0</v>
      </c>
    </row>
    <row r="611" spans="1:8">
      <c r="A611">
        <v>1</v>
      </c>
      <c r="B611" t="s">
        <v>46</v>
      </c>
      <c r="C611" t="s">
        <v>33</v>
      </c>
      <c r="D611">
        <v>0</v>
      </c>
      <c r="E611">
        <v>1</v>
      </c>
      <c r="F611" s="7">
        <v>9067.51</v>
      </c>
      <c r="G611">
        <v>0</v>
      </c>
      <c r="H611" s="7">
        <v>0</v>
      </c>
    </row>
    <row r="612" spans="1:8">
      <c r="A612">
        <v>1</v>
      </c>
      <c r="B612" t="s">
        <v>46</v>
      </c>
      <c r="C612" t="s">
        <v>35</v>
      </c>
      <c r="D612">
        <v>0</v>
      </c>
      <c r="E612">
        <v>1</v>
      </c>
      <c r="F612" s="7">
        <v>336827.91</v>
      </c>
      <c r="G612">
        <v>0</v>
      </c>
      <c r="H612" s="7">
        <v>0</v>
      </c>
    </row>
    <row r="613" spans="1:8">
      <c r="A613">
        <v>1</v>
      </c>
      <c r="B613" t="s">
        <v>46</v>
      </c>
      <c r="C613" t="s">
        <v>34</v>
      </c>
      <c r="D613">
        <v>0</v>
      </c>
      <c r="E613">
        <v>1</v>
      </c>
      <c r="F613" s="7">
        <v>45317.95</v>
      </c>
      <c r="G613">
        <v>0</v>
      </c>
      <c r="H613" s="7">
        <v>0</v>
      </c>
    </row>
    <row r="614" spans="1:8">
      <c r="A614">
        <v>1</v>
      </c>
      <c r="B614" t="s">
        <v>46</v>
      </c>
      <c r="C614" t="s">
        <v>35</v>
      </c>
      <c r="D614">
        <v>0</v>
      </c>
      <c r="E614">
        <v>1</v>
      </c>
      <c r="F614" s="7">
        <v>230021.01</v>
      </c>
      <c r="G614">
        <v>0</v>
      </c>
      <c r="H614" s="7">
        <v>0</v>
      </c>
    </row>
    <row r="615" spans="1:8">
      <c r="A615">
        <v>1</v>
      </c>
      <c r="B615" t="s">
        <v>46</v>
      </c>
      <c r="C615" t="s">
        <v>35</v>
      </c>
      <c r="D615">
        <v>0</v>
      </c>
      <c r="E615">
        <v>1</v>
      </c>
      <c r="F615" s="7">
        <v>154578.28</v>
      </c>
      <c r="G615">
        <v>0</v>
      </c>
      <c r="H615" s="7">
        <v>0</v>
      </c>
    </row>
    <row r="616" spans="1:8">
      <c r="A616">
        <v>1</v>
      </c>
      <c r="B616" t="s">
        <v>46</v>
      </c>
      <c r="C616" t="s">
        <v>35</v>
      </c>
      <c r="D616">
        <v>0</v>
      </c>
      <c r="E616">
        <v>1</v>
      </c>
      <c r="F616" s="7">
        <v>314134.01</v>
      </c>
      <c r="G616">
        <v>0</v>
      </c>
      <c r="H616" s="7">
        <v>0</v>
      </c>
    </row>
    <row r="617" spans="1:8">
      <c r="A617">
        <v>1</v>
      </c>
      <c r="B617" t="s">
        <v>46</v>
      </c>
      <c r="C617" t="s">
        <v>35</v>
      </c>
      <c r="D617">
        <v>0</v>
      </c>
      <c r="E617">
        <v>1</v>
      </c>
      <c r="F617" s="7">
        <v>206405.92</v>
      </c>
      <c r="G617">
        <v>0</v>
      </c>
      <c r="H617" s="7">
        <v>0</v>
      </c>
    </row>
    <row r="618" spans="1:8">
      <c r="A618">
        <v>1</v>
      </c>
      <c r="B618" t="s">
        <v>46</v>
      </c>
      <c r="C618" t="s">
        <v>35</v>
      </c>
      <c r="D618">
        <v>0</v>
      </c>
      <c r="E618">
        <v>1</v>
      </c>
      <c r="F618" s="7">
        <v>158995.29</v>
      </c>
      <c r="G618">
        <v>0</v>
      </c>
      <c r="H618" s="7">
        <v>0</v>
      </c>
    </row>
    <row r="619" spans="1:8">
      <c r="A619">
        <v>1</v>
      </c>
      <c r="B619" t="s">
        <v>46</v>
      </c>
      <c r="C619" t="s">
        <v>35</v>
      </c>
      <c r="D619">
        <v>0</v>
      </c>
      <c r="E619">
        <v>1</v>
      </c>
      <c r="F619" s="7">
        <v>188238.54</v>
      </c>
      <c r="G619">
        <v>0</v>
      </c>
      <c r="H619" s="7">
        <v>0</v>
      </c>
    </row>
    <row r="620" spans="1:8">
      <c r="A620">
        <v>1</v>
      </c>
      <c r="B620" t="s">
        <v>46</v>
      </c>
      <c r="C620" t="s">
        <v>34</v>
      </c>
      <c r="D620">
        <v>0</v>
      </c>
      <c r="E620">
        <v>1</v>
      </c>
      <c r="F620" s="7">
        <v>21255.8</v>
      </c>
      <c r="G620">
        <v>0</v>
      </c>
      <c r="H620" s="7">
        <v>0</v>
      </c>
    </row>
    <row r="621" spans="1:8">
      <c r="A621">
        <v>1</v>
      </c>
      <c r="B621" t="s">
        <v>46</v>
      </c>
      <c r="C621" t="s">
        <v>35</v>
      </c>
      <c r="D621">
        <v>0</v>
      </c>
      <c r="E621">
        <v>1</v>
      </c>
      <c r="F621" s="7">
        <v>205955.77</v>
      </c>
      <c r="G621">
        <v>0</v>
      </c>
      <c r="H621" s="7">
        <v>0</v>
      </c>
    </row>
    <row r="622" spans="1:8">
      <c r="A622">
        <v>1</v>
      </c>
      <c r="B622" t="s">
        <v>46</v>
      </c>
      <c r="C622" t="s">
        <v>35</v>
      </c>
      <c r="D622">
        <v>0</v>
      </c>
      <c r="E622">
        <v>1</v>
      </c>
      <c r="F622" s="7">
        <v>178370.36</v>
      </c>
      <c r="G622">
        <v>0</v>
      </c>
      <c r="H622" s="7">
        <v>0</v>
      </c>
    </row>
    <row r="623" spans="1:8">
      <c r="A623">
        <v>1</v>
      </c>
      <c r="B623" t="s">
        <v>46</v>
      </c>
      <c r="C623" t="s">
        <v>34</v>
      </c>
      <c r="D623">
        <v>0</v>
      </c>
      <c r="E623">
        <v>1</v>
      </c>
      <c r="F623" s="7">
        <v>42547.96</v>
      </c>
      <c r="G623">
        <v>0</v>
      </c>
      <c r="H623" s="7">
        <v>0</v>
      </c>
    </row>
    <row r="624" spans="1:8">
      <c r="A624">
        <v>1</v>
      </c>
      <c r="B624" t="s">
        <v>46</v>
      </c>
      <c r="C624" t="s">
        <v>34</v>
      </c>
      <c r="D624">
        <v>0</v>
      </c>
      <c r="E624">
        <v>1</v>
      </c>
      <c r="F624" s="7">
        <v>15152.15</v>
      </c>
      <c r="G624">
        <v>0</v>
      </c>
      <c r="H624" s="7">
        <v>0</v>
      </c>
    </row>
    <row r="625" spans="1:8">
      <c r="A625">
        <v>1</v>
      </c>
      <c r="B625" t="s">
        <v>46</v>
      </c>
      <c r="C625" t="s">
        <v>34</v>
      </c>
      <c r="D625">
        <v>0</v>
      </c>
      <c r="E625">
        <v>1</v>
      </c>
      <c r="F625" s="7">
        <v>39249.67</v>
      </c>
      <c r="G625">
        <v>0</v>
      </c>
      <c r="H625" s="7">
        <v>0</v>
      </c>
    </row>
    <row r="626" spans="1:8">
      <c r="A626">
        <v>1</v>
      </c>
      <c r="B626" t="s">
        <v>46</v>
      </c>
      <c r="C626" t="s">
        <v>35</v>
      </c>
      <c r="D626">
        <v>0</v>
      </c>
      <c r="E626">
        <v>1</v>
      </c>
      <c r="F626" s="7">
        <v>101669.17</v>
      </c>
      <c r="G626">
        <v>0</v>
      </c>
      <c r="H626" s="7">
        <v>0</v>
      </c>
    </row>
    <row r="627" spans="1:8">
      <c r="A627">
        <v>1</v>
      </c>
      <c r="B627" t="s">
        <v>46</v>
      </c>
      <c r="C627" t="s">
        <v>34</v>
      </c>
      <c r="D627">
        <v>0</v>
      </c>
      <c r="E627">
        <v>1</v>
      </c>
      <c r="F627" s="7">
        <v>81694.11</v>
      </c>
      <c r="G627">
        <v>0</v>
      </c>
      <c r="H627" s="7">
        <v>0</v>
      </c>
    </row>
    <row r="628" spans="1:8">
      <c r="A628">
        <v>1</v>
      </c>
      <c r="B628" t="s">
        <v>46</v>
      </c>
      <c r="C628" t="s">
        <v>34</v>
      </c>
      <c r="D628">
        <v>0</v>
      </c>
      <c r="E628">
        <v>1</v>
      </c>
      <c r="F628" s="7">
        <v>10266.7</v>
      </c>
      <c r="G628">
        <v>0</v>
      </c>
      <c r="H628" s="7">
        <v>0</v>
      </c>
    </row>
    <row r="629" spans="1:8">
      <c r="A629">
        <v>1</v>
      </c>
      <c r="B629" t="s">
        <v>46</v>
      </c>
      <c r="C629" t="s">
        <v>34</v>
      </c>
      <c r="D629">
        <v>0</v>
      </c>
      <c r="E629">
        <v>1</v>
      </c>
      <c r="F629" s="7">
        <v>35502.25</v>
      </c>
      <c r="G629">
        <v>0</v>
      </c>
      <c r="H629" s="7">
        <v>0</v>
      </c>
    </row>
    <row r="630" spans="1:8">
      <c r="A630">
        <v>1</v>
      </c>
      <c r="B630" t="s">
        <v>46</v>
      </c>
      <c r="C630" t="s">
        <v>35</v>
      </c>
      <c r="D630">
        <v>0</v>
      </c>
      <c r="E630">
        <v>1</v>
      </c>
      <c r="F630" s="7">
        <v>183250</v>
      </c>
      <c r="G630">
        <v>0</v>
      </c>
      <c r="H630" s="7">
        <v>0</v>
      </c>
    </row>
    <row r="631" spans="1:8">
      <c r="A631">
        <v>1</v>
      </c>
      <c r="B631" t="s">
        <v>46</v>
      </c>
      <c r="C631" t="s">
        <v>35</v>
      </c>
      <c r="D631">
        <v>0</v>
      </c>
      <c r="E631">
        <v>1</v>
      </c>
      <c r="F631" s="7">
        <v>219220.21</v>
      </c>
      <c r="G631">
        <v>0</v>
      </c>
      <c r="H631" s="7">
        <v>0</v>
      </c>
    </row>
    <row r="632" spans="1:8">
      <c r="A632">
        <v>1</v>
      </c>
      <c r="B632" t="s">
        <v>46</v>
      </c>
      <c r="C632" t="s">
        <v>35</v>
      </c>
      <c r="D632">
        <v>0</v>
      </c>
      <c r="E632">
        <v>1</v>
      </c>
      <c r="F632" s="7">
        <v>254895.5</v>
      </c>
      <c r="G632">
        <v>0</v>
      </c>
      <c r="H632" s="7">
        <v>0</v>
      </c>
    </row>
    <row r="633" spans="1:8">
      <c r="A633">
        <v>1</v>
      </c>
      <c r="B633" t="s">
        <v>46</v>
      </c>
      <c r="C633" t="s">
        <v>35</v>
      </c>
      <c r="D633">
        <v>0</v>
      </c>
      <c r="E633">
        <v>1</v>
      </c>
      <c r="F633" s="7">
        <v>143148.97</v>
      </c>
      <c r="G633">
        <v>0</v>
      </c>
      <c r="H633" s="7">
        <v>0</v>
      </c>
    </row>
    <row r="634" spans="1:8">
      <c r="A634">
        <v>1</v>
      </c>
      <c r="B634" t="s">
        <v>46</v>
      </c>
      <c r="C634" t="s">
        <v>35</v>
      </c>
      <c r="D634">
        <v>0</v>
      </c>
      <c r="E634">
        <v>1</v>
      </c>
      <c r="F634" s="7">
        <v>132457.52</v>
      </c>
      <c r="G634">
        <v>0</v>
      </c>
      <c r="H634" s="7">
        <v>0</v>
      </c>
    </row>
    <row r="635" spans="1:8">
      <c r="A635">
        <v>1</v>
      </c>
      <c r="B635" t="s">
        <v>46</v>
      </c>
      <c r="C635" t="s">
        <v>35</v>
      </c>
      <c r="D635">
        <v>0</v>
      </c>
      <c r="E635">
        <v>1</v>
      </c>
      <c r="F635" s="7">
        <v>148834.28</v>
      </c>
      <c r="G635">
        <v>0</v>
      </c>
      <c r="H635" s="7">
        <v>0</v>
      </c>
    </row>
    <row r="636" spans="1:8">
      <c r="A636">
        <v>1</v>
      </c>
      <c r="B636" t="s">
        <v>46</v>
      </c>
      <c r="C636" t="s">
        <v>35</v>
      </c>
      <c r="D636">
        <v>0</v>
      </c>
      <c r="E636">
        <v>1</v>
      </c>
      <c r="F636" s="7">
        <v>106727.81</v>
      </c>
      <c r="G636">
        <v>0</v>
      </c>
      <c r="H636" s="7">
        <v>0</v>
      </c>
    </row>
    <row r="637" spans="1:8">
      <c r="A637">
        <v>1</v>
      </c>
      <c r="B637" t="s">
        <v>46</v>
      </c>
      <c r="C637" t="s">
        <v>35</v>
      </c>
      <c r="D637">
        <v>0</v>
      </c>
      <c r="E637">
        <v>1</v>
      </c>
      <c r="F637" s="7">
        <v>223123.71</v>
      </c>
      <c r="G637">
        <v>0</v>
      </c>
      <c r="H637" s="7">
        <v>0</v>
      </c>
    </row>
    <row r="638" spans="1:8">
      <c r="A638">
        <v>1</v>
      </c>
      <c r="B638" t="s">
        <v>46</v>
      </c>
      <c r="C638" t="s">
        <v>35</v>
      </c>
      <c r="D638">
        <v>0</v>
      </c>
      <c r="E638">
        <v>1</v>
      </c>
      <c r="F638" s="7">
        <v>194311.34</v>
      </c>
      <c r="G638">
        <v>0</v>
      </c>
      <c r="H638" s="7">
        <v>0</v>
      </c>
    </row>
    <row r="639" spans="1:8">
      <c r="A639">
        <v>1</v>
      </c>
      <c r="B639" t="s">
        <v>46</v>
      </c>
      <c r="C639" t="s">
        <v>35</v>
      </c>
      <c r="D639">
        <v>0</v>
      </c>
      <c r="E639">
        <v>1</v>
      </c>
      <c r="F639" s="7">
        <v>338964.91</v>
      </c>
      <c r="G639">
        <v>0</v>
      </c>
      <c r="H639" s="7">
        <v>0</v>
      </c>
    </row>
    <row r="640" spans="1:8">
      <c r="A640">
        <v>1</v>
      </c>
      <c r="B640" t="s">
        <v>46</v>
      </c>
      <c r="C640" t="s">
        <v>35</v>
      </c>
      <c r="D640">
        <v>0</v>
      </c>
      <c r="E640">
        <v>1</v>
      </c>
      <c r="F640" s="7">
        <v>247575.4</v>
      </c>
      <c r="G640">
        <v>0</v>
      </c>
      <c r="H640" s="7">
        <v>0</v>
      </c>
    </row>
    <row r="641" spans="1:8">
      <c r="A641">
        <v>1</v>
      </c>
      <c r="B641" t="s">
        <v>46</v>
      </c>
      <c r="C641" t="s">
        <v>34</v>
      </c>
      <c r="D641">
        <v>0</v>
      </c>
      <c r="E641">
        <v>1</v>
      </c>
      <c r="F641" s="7">
        <v>29467.02</v>
      </c>
      <c r="G641">
        <v>0</v>
      </c>
      <c r="H641" s="7">
        <v>0</v>
      </c>
    </row>
    <row r="642" spans="1:8">
      <c r="A642">
        <v>1</v>
      </c>
      <c r="B642" t="s">
        <v>46</v>
      </c>
      <c r="C642" t="s">
        <v>34</v>
      </c>
      <c r="D642">
        <v>0</v>
      </c>
      <c r="E642">
        <v>1</v>
      </c>
      <c r="F642" s="7">
        <v>90340.16</v>
      </c>
      <c r="G642">
        <v>0</v>
      </c>
      <c r="H642" s="7">
        <v>0</v>
      </c>
    </row>
    <row r="643" spans="1:8">
      <c r="A643">
        <v>1</v>
      </c>
      <c r="B643" t="s">
        <v>46</v>
      </c>
      <c r="C643" t="s">
        <v>35</v>
      </c>
      <c r="D643">
        <v>0</v>
      </c>
      <c r="E643">
        <v>1</v>
      </c>
      <c r="F643" s="7">
        <v>198847.32</v>
      </c>
      <c r="G643">
        <v>0</v>
      </c>
      <c r="H643" s="7">
        <v>0</v>
      </c>
    </row>
    <row r="644" spans="1:8">
      <c r="A644">
        <v>1</v>
      </c>
      <c r="B644" t="s">
        <v>46</v>
      </c>
      <c r="C644" t="s">
        <v>35</v>
      </c>
      <c r="D644">
        <v>0</v>
      </c>
      <c r="E644">
        <v>1</v>
      </c>
      <c r="F644" s="7">
        <v>155075.41</v>
      </c>
      <c r="G644">
        <v>0</v>
      </c>
      <c r="H644" s="7">
        <v>0</v>
      </c>
    </row>
    <row r="645" spans="1:8">
      <c r="A645">
        <v>1</v>
      </c>
      <c r="B645" t="s">
        <v>46</v>
      </c>
      <c r="C645" t="s">
        <v>34</v>
      </c>
      <c r="D645">
        <v>0</v>
      </c>
      <c r="E645">
        <v>1</v>
      </c>
      <c r="F645" s="7">
        <v>76932.89</v>
      </c>
      <c r="G645">
        <v>0</v>
      </c>
      <c r="H645" s="7">
        <v>0</v>
      </c>
    </row>
    <row r="646" spans="1:8">
      <c r="A646">
        <v>1</v>
      </c>
      <c r="B646" t="s">
        <v>46</v>
      </c>
      <c r="C646" t="s">
        <v>34</v>
      </c>
      <c r="D646">
        <v>0</v>
      </c>
      <c r="E646">
        <v>1</v>
      </c>
      <c r="F646" s="7">
        <v>92971.79</v>
      </c>
      <c r="G646">
        <v>0</v>
      </c>
      <c r="H646" s="7">
        <v>0</v>
      </c>
    </row>
    <row r="647" spans="1:8">
      <c r="A647">
        <v>1</v>
      </c>
      <c r="B647" t="s">
        <v>46</v>
      </c>
      <c r="C647" t="s">
        <v>33</v>
      </c>
      <c r="D647">
        <v>0</v>
      </c>
      <c r="E647">
        <v>1</v>
      </c>
      <c r="F647" s="7">
        <v>7322.98</v>
      </c>
      <c r="G647">
        <v>0</v>
      </c>
      <c r="H647" s="7">
        <v>0</v>
      </c>
    </row>
    <row r="648" spans="1:8">
      <c r="A648">
        <v>1</v>
      </c>
      <c r="B648" t="s">
        <v>46</v>
      </c>
      <c r="C648" t="s">
        <v>35</v>
      </c>
      <c r="D648">
        <v>0</v>
      </c>
      <c r="E648">
        <v>1</v>
      </c>
      <c r="F648" s="7">
        <v>222126.95</v>
      </c>
      <c r="G648">
        <v>0</v>
      </c>
      <c r="H648" s="7">
        <v>0</v>
      </c>
    </row>
    <row r="649" spans="1:8">
      <c r="A649">
        <v>1</v>
      </c>
      <c r="B649" t="s">
        <v>46</v>
      </c>
      <c r="C649" t="s">
        <v>34</v>
      </c>
      <c r="D649">
        <v>0</v>
      </c>
      <c r="E649">
        <v>1</v>
      </c>
      <c r="F649" s="7">
        <v>62983.91</v>
      </c>
      <c r="G649">
        <v>0</v>
      </c>
      <c r="H649" s="7">
        <v>0</v>
      </c>
    </row>
    <row r="650" spans="1:8">
      <c r="A650">
        <v>1</v>
      </c>
      <c r="B650" t="s">
        <v>46</v>
      </c>
      <c r="C650" t="s">
        <v>33</v>
      </c>
      <c r="D650">
        <v>0</v>
      </c>
      <c r="E650">
        <v>1</v>
      </c>
      <c r="F650" s="7">
        <v>1271.77</v>
      </c>
      <c r="G650">
        <v>0</v>
      </c>
      <c r="H650" s="7">
        <v>0</v>
      </c>
    </row>
    <row r="651" spans="1:8">
      <c r="A651">
        <v>1</v>
      </c>
      <c r="B651" t="s">
        <v>46</v>
      </c>
      <c r="C651" t="s">
        <v>35</v>
      </c>
      <c r="D651">
        <v>0</v>
      </c>
      <c r="E651">
        <v>1</v>
      </c>
      <c r="F651" s="7">
        <v>246816.65</v>
      </c>
      <c r="G651">
        <v>0</v>
      </c>
      <c r="H651" s="7">
        <v>0</v>
      </c>
    </row>
    <row r="652" spans="1:8">
      <c r="A652">
        <v>1</v>
      </c>
      <c r="B652" t="s">
        <v>46</v>
      </c>
      <c r="C652" t="s">
        <v>34</v>
      </c>
      <c r="D652">
        <v>0</v>
      </c>
      <c r="E652">
        <v>1</v>
      </c>
      <c r="F652" s="7">
        <v>21898.97</v>
      </c>
      <c r="G652">
        <v>0</v>
      </c>
      <c r="H652" s="7">
        <v>0</v>
      </c>
    </row>
    <row r="653" spans="1:8">
      <c r="A653">
        <v>1</v>
      </c>
      <c r="B653" t="s">
        <v>46</v>
      </c>
      <c r="C653" t="s">
        <v>34</v>
      </c>
      <c r="D653">
        <v>0</v>
      </c>
      <c r="E653">
        <v>1</v>
      </c>
      <c r="F653" s="7">
        <v>30811.56</v>
      </c>
      <c r="G653">
        <v>0</v>
      </c>
      <c r="H653" s="7">
        <v>0</v>
      </c>
    </row>
    <row r="654" spans="1:8">
      <c r="A654">
        <v>1</v>
      </c>
      <c r="B654" t="s">
        <v>46</v>
      </c>
      <c r="C654" t="s">
        <v>35</v>
      </c>
      <c r="D654">
        <v>0</v>
      </c>
      <c r="E654">
        <v>1</v>
      </c>
      <c r="F654" s="7">
        <v>100275.09</v>
      </c>
      <c r="G654">
        <v>0</v>
      </c>
      <c r="H654" s="7">
        <v>0</v>
      </c>
    </row>
    <row r="655" spans="1:8">
      <c r="A655">
        <v>1</v>
      </c>
      <c r="B655" t="s">
        <v>46</v>
      </c>
      <c r="C655" t="s">
        <v>34</v>
      </c>
      <c r="D655">
        <v>0</v>
      </c>
      <c r="E655">
        <v>1</v>
      </c>
      <c r="F655" s="7">
        <v>46630.53</v>
      </c>
      <c r="G655">
        <v>0</v>
      </c>
      <c r="H655" s="7">
        <v>0</v>
      </c>
    </row>
    <row r="656" spans="1:8">
      <c r="A656">
        <v>1</v>
      </c>
      <c r="B656" t="s">
        <v>46</v>
      </c>
      <c r="C656" t="s">
        <v>35</v>
      </c>
      <c r="D656">
        <v>0</v>
      </c>
      <c r="E656">
        <v>1</v>
      </c>
      <c r="F656" s="7">
        <v>158775.58</v>
      </c>
      <c r="G656">
        <v>0</v>
      </c>
      <c r="H656" s="7">
        <v>0</v>
      </c>
    </row>
    <row r="657" spans="1:8">
      <c r="A657">
        <v>1</v>
      </c>
      <c r="B657" t="s">
        <v>46</v>
      </c>
      <c r="C657" t="s">
        <v>34</v>
      </c>
      <c r="D657">
        <v>0</v>
      </c>
      <c r="E657">
        <v>1</v>
      </c>
      <c r="F657" s="7">
        <v>90556.08</v>
      </c>
      <c r="G657">
        <v>0</v>
      </c>
      <c r="H657" s="7">
        <v>0</v>
      </c>
    </row>
    <row r="658" spans="1:8">
      <c r="A658">
        <v>1</v>
      </c>
      <c r="B658" t="s">
        <v>46</v>
      </c>
      <c r="C658" t="s">
        <v>35</v>
      </c>
      <c r="D658">
        <v>0</v>
      </c>
      <c r="E658">
        <v>1</v>
      </c>
      <c r="F658" s="7">
        <v>173948.89</v>
      </c>
      <c r="G658">
        <v>0</v>
      </c>
      <c r="H658" s="7">
        <v>0</v>
      </c>
    </row>
    <row r="659" spans="1:8">
      <c r="A659">
        <v>1</v>
      </c>
      <c r="B659" t="s">
        <v>46</v>
      </c>
      <c r="C659" t="s">
        <v>34</v>
      </c>
      <c r="D659">
        <v>0</v>
      </c>
      <c r="E659">
        <v>1</v>
      </c>
      <c r="F659" s="7">
        <v>66216.71</v>
      </c>
      <c r="G659">
        <v>0</v>
      </c>
      <c r="H659" s="7">
        <v>0</v>
      </c>
    </row>
    <row r="660" spans="1:8">
      <c r="A660">
        <v>1</v>
      </c>
      <c r="B660" t="s">
        <v>46</v>
      </c>
      <c r="C660" t="s">
        <v>35</v>
      </c>
      <c r="D660">
        <v>0</v>
      </c>
      <c r="E660">
        <v>1</v>
      </c>
      <c r="F660" s="7">
        <v>216133.99</v>
      </c>
      <c r="G660">
        <v>0</v>
      </c>
      <c r="H660" s="7">
        <v>0</v>
      </c>
    </row>
    <row r="661" spans="1:8">
      <c r="A661">
        <v>1</v>
      </c>
      <c r="B661" t="s">
        <v>46</v>
      </c>
      <c r="C661" t="s">
        <v>35</v>
      </c>
      <c r="D661">
        <v>0</v>
      </c>
      <c r="E661">
        <v>1</v>
      </c>
      <c r="F661" s="7">
        <v>371883.82</v>
      </c>
      <c r="G661">
        <v>0</v>
      </c>
      <c r="H661" s="7">
        <v>0</v>
      </c>
    </row>
    <row r="662" spans="1:8">
      <c r="A662">
        <v>1</v>
      </c>
      <c r="B662" t="s">
        <v>46</v>
      </c>
      <c r="C662" t="s">
        <v>35</v>
      </c>
      <c r="D662">
        <v>0</v>
      </c>
      <c r="E662">
        <v>1</v>
      </c>
      <c r="F662" s="7">
        <v>770537.37</v>
      </c>
      <c r="G662">
        <v>0</v>
      </c>
      <c r="H662" s="7">
        <v>0</v>
      </c>
    </row>
    <row r="663" spans="1:8">
      <c r="A663">
        <v>1</v>
      </c>
      <c r="B663" t="s">
        <v>46</v>
      </c>
      <c r="C663" t="s">
        <v>34</v>
      </c>
      <c r="D663">
        <v>0</v>
      </c>
      <c r="E663">
        <v>1</v>
      </c>
      <c r="F663" s="7">
        <v>71275.47</v>
      </c>
      <c r="G663">
        <v>0</v>
      </c>
      <c r="H663" s="7">
        <v>0</v>
      </c>
    </row>
    <row r="664" spans="1:8">
      <c r="A664">
        <v>1</v>
      </c>
      <c r="B664" t="s">
        <v>46</v>
      </c>
      <c r="C664" t="s">
        <v>35</v>
      </c>
      <c r="D664">
        <v>0</v>
      </c>
      <c r="E664">
        <v>1</v>
      </c>
      <c r="F664" s="7">
        <v>336298.77</v>
      </c>
      <c r="G664">
        <v>0</v>
      </c>
      <c r="H664" s="7">
        <v>0</v>
      </c>
    </row>
    <row r="665" spans="1:8">
      <c r="A665">
        <v>1</v>
      </c>
      <c r="B665" t="s">
        <v>46</v>
      </c>
      <c r="C665" t="s">
        <v>35</v>
      </c>
      <c r="D665">
        <v>0</v>
      </c>
      <c r="E665">
        <v>1</v>
      </c>
      <c r="F665" s="7">
        <v>317393.38</v>
      </c>
      <c r="G665">
        <v>0</v>
      </c>
      <c r="H665" s="7">
        <v>0</v>
      </c>
    </row>
    <row r="666" spans="1:8">
      <c r="A666">
        <v>1</v>
      </c>
      <c r="B666" t="s">
        <v>46</v>
      </c>
      <c r="C666" t="s">
        <v>35</v>
      </c>
      <c r="D666">
        <v>0</v>
      </c>
      <c r="E666">
        <v>1</v>
      </c>
      <c r="F666" s="7">
        <v>181002.01</v>
      </c>
      <c r="G666">
        <v>0</v>
      </c>
      <c r="H666" s="7">
        <v>0</v>
      </c>
    </row>
    <row r="667" spans="1:8">
      <c r="A667">
        <v>1</v>
      </c>
      <c r="B667" t="s">
        <v>46</v>
      </c>
      <c r="C667" t="s">
        <v>35</v>
      </c>
      <c r="D667">
        <v>0</v>
      </c>
      <c r="E667">
        <v>1</v>
      </c>
      <c r="F667" s="7">
        <v>311449.38</v>
      </c>
      <c r="G667">
        <v>0</v>
      </c>
      <c r="H667" s="7">
        <v>0</v>
      </c>
    </row>
    <row r="668" spans="1:8">
      <c r="A668">
        <v>1</v>
      </c>
      <c r="B668" t="s">
        <v>46</v>
      </c>
      <c r="C668" t="s">
        <v>35</v>
      </c>
      <c r="D668">
        <v>0</v>
      </c>
      <c r="E668">
        <v>1</v>
      </c>
      <c r="F668" s="7">
        <v>270824.42</v>
      </c>
      <c r="G668">
        <v>0</v>
      </c>
      <c r="H668" s="7">
        <v>0</v>
      </c>
    </row>
    <row r="669" spans="1:8">
      <c r="A669">
        <v>1</v>
      </c>
      <c r="B669" t="s">
        <v>42</v>
      </c>
      <c r="C669" t="s">
        <v>33</v>
      </c>
      <c r="D669">
        <v>0</v>
      </c>
      <c r="E669">
        <v>1</v>
      </c>
      <c r="F669" s="7">
        <v>1449.03</v>
      </c>
      <c r="G669">
        <v>0</v>
      </c>
      <c r="H669" s="7">
        <v>0</v>
      </c>
    </row>
    <row r="670" spans="1:8">
      <c r="A670">
        <v>1</v>
      </c>
      <c r="B670" t="s">
        <v>42</v>
      </c>
      <c r="C670" t="s">
        <v>33</v>
      </c>
      <c r="D670">
        <v>0</v>
      </c>
      <c r="E670">
        <v>1</v>
      </c>
      <c r="F670" s="7">
        <v>3551.48</v>
      </c>
      <c r="G670">
        <v>0</v>
      </c>
      <c r="H670" s="7">
        <v>0</v>
      </c>
    </row>
    <row r="671" spans="1:8">
      <c r="A671">
        <v>1</v>
      </c>
      <c r="B671" t="s">
        <v>44</v>
      </c>
      <c r="C671" t="s">
        <v>35</v>
      </c>
      <c r="D671">
        <v>0</v>
      </c>
      <c r="E671">
        <v>1</v>
      </c>
      <c r="F671" s="7">
        <v>227768.63</v>
      </c>
      <c r="G671">
        <v>0</v>
      </c>
      <c r="H671" s="7">
        <v>0</v>
      </c>
    </row>
    <row r="672" spans="1:8">
      <c r="A672">
        <v>1</v>
      </c>
      <c r="B672" t="s">
        <v>44</v>
      </c>
      <c r="C672" t="s">
        <v>35</v>
      </c>
      <c r="D672">
        <v>0</v>
      </c>
      <c r="E672">
        <v>1</v>
      </c>
      <c r="F672" s="7">
        <v>172986.7</v>
      </c>
      <c r="G672">
        <v>0</v>
      </c>
      <c r="H672" s="7">
        <v>0</v>
      </c>
    </row>
    <row r="673" spans="1:8">
      <c r="A673">
        <v>1</v>
      </c>
      <c r="B673" t="s">
        <v>42</v>
      </c>
      <c r="C673" t="s">
        <v>33</v>
      </c>
      <c r="D673">
        <v>0</v>
      </c>
      <c r="E673">
        <v>1</v>
      </c>
      <c r="F673" s="7">
        <v>4940.2</v>
      </c>
      <c r="G673">
        <v>0</v>
      </c>
      <c r="H673" s="7">
        <v>0</v>
      </c>
    </row>
    <row r="674" spans="1:8">
      <c r="A674">
        <v>1</v>
      </c>
      <c r="B674" t="s">
        <v>42</v>
      </c>
      <c r="C674" t="s">
        <v>33</v>
      </c>
      <c r="D674">
        <v>0</v>
      </c>
      <c r="E674">
        <v>1</v>
      </c>
      <c r="F674" s="7">
        <v>2755.96</v>
      </c>
      <c r="G674">
        <v>0</v>
      </c>
      <c r="H674" s="7">
        <v>0</v>
      </c>
    </row>
    <row r="675" spans="1:8">
      <c r="A675">
        <v>1</v>
      </c>
      <c r="B675" t="s">
        <v>45</v>
      </c>
      <c r="C675" t="s">
        <v>33</v>
      </c>
      <c r="D675">
        <v>0</v>
      </c>
      <c r="E675">
        <v>1</v>
      </c>
      <c r="F675" s="7">
        <v>8807.01</v>
      </c>
      <c r="G675">
        <v>0</v>
      </c>
      <c r="H675" s="7">
        <v>0</v>
      </c>
    </row>
    <row r="676" spans="1:8">
      <c r="A676">
        <v>1</v>
      </c>
      <c r="B676" t="s">
        <v>45</v>
      </c>
      <c r="C676" t="s">
        <v>33</v>
      </c>
      <c r="D676">
        <v>0</v>
      </c>
      <c r="E676">
        <v>1</v>
      </c>
      <c r="F676" s="7">
        <v>3111.86</v>
      </c>
      <c r="G676">
        <v>0</v>
      </c>
      <c r="H676" s="7">
        <v>0</v>
      </c>
    </row>
    <row r="677" spans="1:8">
      <c r="A677">
        <v>1</v>
      </c>
      <c r="B677" t="s">
        <v>42</v>
      </c>
      <c r="C677" t="s">
        <v>34</v>
      </c>
      <c r="D677">
        <v>0</v>
      </c>
      <c r="E677">
        <v>1</v>
      </c>
      <c r="F677" s="7">
        <v>10040.52</v>
      </c>
      <c r="G677">
        <v>0</v>
      </c>
      <c r="H677" s="7">
        <v>0</v>
      </c>
    </row>
    <row r="678" spans="1:8">
      <c r="A678">
        <v>1</v>
      </c>
      <c r="B678" t="s">
        <v>45</v>
      </c>
      <c r="C678" t="s">
        <v>33</v>
      </c>
      <c r="D678">
        <v>0</v>
      </c>
      <c r="E678">
        <v>1</v>
      </c>
      <c r="F678" s="7">
        <v>5363</v>
      </c>
      <c r="G678">
        <v>0</v>
      </c>
      <c r="H678" s="7">
        <v>0</v>
      </c>
    </row>
    <row r="679" spans="1:8">
      <c r="A679">
        <v>1</v>
      </c>
      <c r="B679" t="s">
        <v>42</v>
      </c>
      <c r="C679" t="s">
        <v>34</v>
      </c>
      <c r="D679">
        <v>0</v>
      </c>
      <c r="E679">
        <v>1</v>
      </c>
      <c r="F679" s="7">
        <v>11990.19</v>
      </c>
      <c r="G679">
        <v>0</v>
      </c>
      <c r="H679" s="7">
        <v>0</v>
      </c>
    </row>
    <row r="680" spans="1:8">
      <c r="A680">
        <v>1</v>
      </c>
      <c r="B680" t="s">
        <v>42</v>
      </c>
      <c r="C680" t="s">
        <v>32</v>
      </c>
      <c r="D680">
        <v>0</v>
      </c>
      <c r="E680">
        <v>1</v>
      </c>
      <c r="F680" s="7">
        <v>266.88</v>
      </c>
      <c r="G680">
        <v>0</v>
      </c>
      <c r="H680" s="7">
        <v>0</v>
      </c>
    </row>
    <row r="681" spans="1:8">
      <c r="A681">
        <v>1</v>
      </c>
      <c r="B681" t="s">
        <v>42</v>
      </c>
      <c r="C681" t="s">
        <v>33</v>
      </c>
      <c r="D681">
        <v>0</v>
      </c>
      <c r="E681">
        <v>1</v>
      </c>
      <c r="F681" s="7">
        <v>1928.55</v>
      </c>
      <c r="G681">
        <v>0</v>
      </c>
      <c r="H681" s="7">
        <v>0</v>
      </c>
    </row>
    <row r="682" spans="1:8">
      <c r="A682">
        <v>1</v>
      </c>
      <c r="B682" t="s">
        <v>42</v>
      </c>
      <c r="C682" t="s">
        <v>34</v>
      </c>
      <c r="D682">
        <v>0</v>
      </c>
      <c r="E682">
        <v>1</v>
      </c>
      <c r="F682" s="7">
        <v>10648.06</v>
      </c>
      <c r="G682">
        <v>0</v>
      </c>
      <c r="H682" s="7">
        <v>0</v>
      </c>
    </row>
    <row r="683" spans="1:8">
      <c r="A683">
        <v>1</v>
      </c>
      <c r="B683" t="s">
        <v>42</v>
      </c>
      <c r="C683" t="s">
        <v>32</v>
      </c>
      <c r="D683">
        <v>0</v>
      </c>
      <c r="E683">
        <v>1</v>
      </c>
      <c r="F683" s="7">
        <v>962.43</v>
      </c>
      <c r="G683">
        <v>0</v>
      </c>
      <c r="H683" s="7">
        <v>0</v>
      </c>
    </row>
    <row r="684" spans="1:8">
      <c r="A684">
        <v>1</v>
      </c>
      <c r="B684" t="s">
        <v>42</v>
      </c>
      <c r="C684" t="s">
        <v>33</v>
      </c>
      <c r="D684">
        <v>0</v>
      </c>
      <c r="E684">
        <v>1</v>
      </c>
      <c r="F684" s="7">
        <v>8348.1</v>
      </c>
      <c r="G684">
        <v>0</v>
      </c>
      <c r="H684" s="7">
        <v>0</v>
      </c>
    </row>
    <row r="685" spans="1:8">
      <c r="A685">
        <v>1</v>
      </c>
      <c r="B685" t="s">
        <v>42</v>
      </c>
      <c r="C685" t="s">
        <v>33</v>
      </c>
      <c r="D685">
        <v>0</v>
      </c>
      <c r="E685">
        <v>1</v>
      </c>
      <c r="F685" s="7">
        <v>6969.67</v>
      </c>
      <c r="G685">
        <v>0</v>
      </c>
      <c r="H685" s="7">
        <v>0</v>
      </c>
    </row>
    <row r="686" spans="1:8">
      <c r="A686">
        <v>1</v>
      </c>
      <c r="B686" t="s">
        <v>43</v>
      </c>
      <c r="C686" t="s">
        <v>34</v>
      </c>
      <c r="D686">
        <v>1</v>
      </c>
      <c r="E686">
        <v>1</v>
      </c>
      <c r="F686" s="7">
        <v>20128</v>
      </c>
      <c r="G686">
        <v>1</v>
      </c>
      <c r="H686" s="7">
        <v>20128</v>
      </c>
    </row>
    <row r="687" spans="1:8">
      <c r="A687">
        <v>1</v>
      </c>
      <c r="B687" t="s">
        <v>44</v>
      </c>
      <c r="C687" t="s">
        <v>34</v>
      </c>
      <c r="D687">
        <v>1</v>
      </c>
      <c r="E687">
        <v>1</v>
      </c>
      <c r="F687" s="7">
        <v>20128</v>
      </c>
      <c r="G687">
        <v>1</v>
      </c>
      <c r="H687" s="7">
        <v>20128</v>
      </c>
    </row>
    <row r="688" spans="1:8">
      <c r="A688">
        <v>1</v>
      </c>
      <c r="B688" t="s">
        <v>42</v>
      </c>
      <c r="C688" t="s">
        <v>32</v>
      </c>
      <c r="D688">
        <v>0</v>
      </c>
      <c r="E688">
        <v>1</v>
      </c>
      <c r="F688" s="7">
        <v>154.87</v>
      </c>
      <c r="G688">
        <v>0</v>
      </c>
      <c r="H688" s="7">
        <v>0</v>
      </c>
    </row>
    <row r="689" spans="1:8">
      <c r="A689">
        <v>1</v>
      </c>
      <c r="B689" t="s">
        <v>45</v>
      </c>
      <c r="C689" t="s">
        <v>33</v>
      </c>
      <c r="D689">
        <v>0</v>
      </c>
      <c r="E689">
        <v>1</v>
      </c>
      <c r="F689" s="7">
        <v>4040.84</v>
      </c>
      <c r="G689">
        <v>0</v>
      </c>
      <c r="H689" s="7">
        <v>0</v>
      </c>
    </row>
    <row r="690" spans="1:8">
      <c r="A690">
        <v>1</v>
      </c>
      <c r="B690" t="s">
        <v>42</v>
      </c>
      <c r="C690" t="s">
        <v>33</v>
      </c>
      <c r="D690">
        <v>0</v>
      </c>
      <c r="E690">
        <v>1</v>
      </c>
      <c r="F690" s="7">
        <v>6490.17</v>
      </c>
      <c r="G690">
        <v>0</v>
      </c>
      <c r="H690" s="7">
        <v>0</v>
      </c>
    </row>
    <row r="691" spans="1:8">
      <c r="A691">
        <v>1</v>
      </c>
      <c r="B691" t="s">
        <v>42</v>
      </c>
      <c r="C691" t="s">
        <v>33</v>
      </c>
      <c r="D691">
        <v>0</v>
      </c>
      <c r="E691">
        <v>1</v>
      </c>
      <c r="F691" s="7">
        <v>1101.09</v>
      </c>
      <c r="G691">
        <v>0</v>
      </c>
      <c r="H691" s="7">
        <v>0</v>
      </c>
    </row>
    <row r="692" spans="1:8">
      <c r="A692">
        <v>1</v>
      </c>
      <c r="B692" t="s">
        <v>45</v>
      </c>
      <c r="C692" t="s">
        <v>33</v>
      </c>
      <c r="D692">
        <v>0</v>
      </c>
      <c r="E692">
        <v>1</v>
      </c>
      <c r="F692" s="7">
        <v>4347.78</v>
      </c>
      <c r="G692">
        <v>0</v>
      </c>
      <c r="H692" s="7">
        <v>0</v>
      </c>
    </row>
    <row r="693" spans="1:8">
      <c r="A693">
        <v>1</v>
      </c>
      <c r="B693" t="s">
        <v>44</v>
      </c>
      <c r="C693" t="s">
        <v>35</v>
      </c>
      <c r="D693">
        <v>0</v>
      </c>
      <c r="E693">
        <v>1</v>
      </c>
      <c r="F693" s="7">
        <v>213922.13</v>
      </c>
      <c r="G693">
        <v>0</v>
      </c>
      <c r="H693" s="7">
        <v>0</v>
      </c>
    </row>
    <row r="694" spans="1:8">
      <c r="A694">
        <v>1</v>
      </c>
      <c r="B694" t="s">
        <v>44</v>
      </c>
      <c r="C694" t="s">
        <v>34</v>
      </c>
      <c r="D694">
        <v>0</v>
      </c>
      <c r="E694">
        <v>1</v>
      </c>
      <c r="F694" s="7">
        <v>83859.59</v>
      </c>
      <c r="G694">
        <v>0</v>
      </c>
      <c r="H694" s="7">
        <v>0</v>
      </c>
    </row>
    <row r="695" spans="1:8">
      <c r="A695">
        <v>1</v>
      </c>
      <c r="B695" t="s">
        <v>44</v>
      </c>
      <c r="C695" t="s">
        <v>34</v>
      </c>
      <c r="D695">
        <v>0</v>
      </c>
      <c r="E695">
        <v>1</v>
      </c>
      <c r="F695" s="7">
        <v>33269.25</v>
      </c>
      <c r="G695">
        <v>0</v>
      </c>
      <c r="H695" s="7">
        <v>0</v>
      </c>
    </row>
    <row r="696" spans="1:8">
      <c r="A696">
        <v>1</v>
      </c>
      <c r="B696" t="s">
        <v>44</v>
      </c>
      <c r="C696" t="s">
        <v>34</v>
      </c>
      <c r="D696">
        <v>0</v>
      </c>
      <c r="E696">
        <v>1</v>
      </c>
      <c r="F696" s="7">
        <v>51749.94</v>
      </c>
      <c r="G696">
        <v>0</v>
      </c>
      <c r="H696" s="7">
        <v>0</v>
      </c>
    </row>
    <row r="697" spans="1:8">
      <c r="A697">
        <v>1</v>
      </c>
      <c r="B697" t="s">
        <v>44</v>
      </c>
      <c r="C697" t="s">
        <v>34</v>
      </c>
      <c r="D697">
        <v>0</v>
      </c>
      <c r="E697">
        <v>1</v>
      </c>
      <c r="F697" s="7">
        <v>86410.3</v>
      </c>
      <c r="G697">
        <v>0</v>
      </c>
      <c r="H697" s="7">
        <v>0</v>
      </c>
    </row>
    <row r="698" spans="1:8">
      <c r="A698">
        <v>1</v>
      </c>
      <c r="B698" t="s">
        <v>44</v>
      </c>
      <c r="C698" t="s">
        <v>34</v>
      </c>
      <c r="D698">
        <v>0</v>
      </c>
      <c r="E698">
        <v>1</v>
      </c>
      <c r="F698" s="7">
        <v>10856.63</v>
      </c>
      <c r="G698">
        <v>0</v>
      </c>
      <c r="H698" s="7">
        <v>0</v>
      </c>
    </row>
    <row r="699" spans="1:8">
      <c r="A699">
        <v>1</v>
      </c>
      <c r="B699" t="s">
        <v>44</v>
      </c>
      <c r="C699" t="s">
        <v>35</v>
      </c>
      <c r="D699">
        <v>0</v>
      </c>
      <c r="E699">
        <v>1</v>
      </c>
      <c r="F699" s="7">
        <v>161613.93</v>
      </c>
      <c r="G699">
        <v>0</v>
      </c>
      <c r="H699" s="7">
        <v>0</v>
      </c>
    </row>
    <row r="700" spans="1:8">
      <c r="A700">
        <v>1</v>
      </c>
      <c r="B700" t="s">
        <v>44</v>
      </c>
      <c r="C700" t="s">
        <v>35</v>
      </c>
      <c r="D700">
        <v>0</v>
      </c>
      <c r="E700">
        <v>1</v>
      </c>
      <c r="F700" s="7">
        <v>244361.81</v>
      </c>
      <c r="G700">
        <v>0</v>
      </c>
      <c r="H700" s="7">
        <v>0</v>
      </c>
    </row>
    <row r="701" spans="1:8">
      <c r="A701">
        <v>1</v>
      </c>
      <c r="B701" t="s">
        <v>44</v>
      </c>
      <c r="C701" t="s">
        <v>35</v>
      </c>
      <c r="D701">
        <v>0</v>
      </c>
      <c r="E701">
        <v>1</v>
      </c>
      <c r="F701" s="7">
        <v>596617.87</v>
      </c>
      <c r="G701">
        <v>0</v>
      </c>
      <c r="H701" s="7">
        <v>0</v>
      </c>
    </row>
    <row r="702" spans="1:8">
      <c r="A702">
        <v>1</v>
      </c>
      <c r="B702" t="s">
        <v>44</v>
      </c>
      <c r="C702" t="s">
        <v>35</v>
      </c>
      <c r="D702">
        <v>0</v>
      </c>
      <c r="E702">
        <v>1</v>
      </c>
      <c r="F702" s="7">
        <v>108600.78</v>
      </c>
      <c r="G702">
        <v>0</v>
      </c>
      <c r="H702" s="7">
        <v>0</v>
      </c>
    </row>
    <row r="703" spans="1:8">
      <c r="A703">
        <v>1</v>
      </c>
      <c r="B703" t="s">
        <v>44</v>
      </c>
      <c r="C703" t="s">
        <v>35</v>
      </c>
      <c r="D703">
        <v>0</v>
      </c>
      <c r="E703">
        <v>1</v>
      </c>
      <c r="F703" s="7">
        <v>377520.94</v>
      </c>
      <c r="G703">
        <v>0</v>
      </c>
      <c r="H703" s="7">
        <v>0</v>
      </c>
    </row>
    <row r="704" spans="1:8">
      <c r="A704">
        <v>1</v>
      </c>
      <c r="B704" t="s">
        <v>44</v>
      </c>
      <c r="C704" t="s">
        <v>34</v>
      </c>
      <c r="D704">
        <v>0</v>
      </c>
      <c r="E704">
        <v>1</v>
      </c>
      <c r="F704" s="7">
        <v>60758.42</v>
      </c>
      <c r="G704">
        <v>0</v>
      </c>
      <c r="H704" s="7">
        <v>0</v>
      </c>
    </row>
    <row r="705" spans="1:8">
      <c r="A705">
        <v>1</v>
      </c>
      <c r="B705" t="s">
        <v>44</v>
      </c>
      <c r="C705" t="s">
        <v>34</v>
      </c>
      <c r="D705">
        <v>0</v>
      </c>
      <c r="E705">
        <v>1</v>
      </c>
      <c r="F705" s="7">
        <v>86204.31</v>
      </c>
      <c r="G705">
        <v>0</v>
      </c>
      <c r="H705" s="7">
        <v>0</v>
      </c>
    </row>
    <row r="706" spans="1:8">
      <c r="A706">
        <v>1</v>
      </c>
      <c r="B706" t="s">
        <v>44</v>
      </c>
      <c r="C706" t="s">
        <v>33</v>
      </c>
      <c r="D706">
        <v>0</v>
      </c>
      <c r="E706">
        <v>1</v>
      </c>
      <c r="F706" s="7">
        <v>1234</v>
      </c>
      <c r="G706">
        <v>0</v>
      </c>
      <c r="H706" s="7">
        <v>0</v>
      </c>
    </row>
    <row r="707" spans="1:8">
      <c r="A707">
        <v>1</v>
      </c>
      <c r="B707" t="s">
        <v>44</v>
      </c>
      <c r="C707" t="s">
        <v>34</v>
      </c>
      <c r="D707">
        <v>0</v>
      </c>
      <c r="E707">
        <v>1</v>
      </c>
      <c r="F707" s="7">
        <v>18288.91</v>
      </c>
      <c r="G707">
        <v>0</v>
      </c>
      <c r="H707" s="7">
        <v>0</v>
      </c>
    </row>
    <row r="708" spans="1:8">
      <c r="A708">
        <v>1</v>
      </c>
      <c r="B708" t="s">
        <v>44</v>
      </c>
      <c r="C708" t="s">
        <v>35</v>
      </c>
      <c r="D708">
        <v>0</v>
      </c>
      <c r="E708">
        <v>1</v>
      </c>
      <c r="F708" s="7">
        <v>248979.22</v>
      </c>
      <c r="G708">
        <v>0</v>
      </c>
      <c r="H708" s="7">
        <v>0</v>
      </c>
    </row>
    <row r="709" spans="1:8">
      <c r="A709">
        <v>1</v>
      </c>
      <c r="B709" t="s">
        <v>44</v>
      </c>
      <c r="C709" t="s">
        <v>35</v>
      </c>
      <c r="D709">
        <v>0</v>
      </c>
      <c r="E709">
        <v>1</v>
      </c>
      <c r="F709" s="7">
        <v>126774.5</v>
      </c>
      <c r="G709">
        <v>0</v>
      </c>
      <c r="H709" s="7">
        <v>0</v>
      </c>
    </row>
    <row r="710" spans="1:8">
      <c r="A710">
        <v>1</v>
      </c>
      <c r="B710" t="s">
        <v>44</v>
      </c>
      <c r="C710" t="s">
        <v>34</v>
      </c>
      <c r="D710">
        <v>0</v>
      </c>
      <c r="E710">
        <v>1</v>
      </c>
      <c r="F710" s="7">
        <v>38428.19</v>
      </c>
      <c r="G710">
        <v>0</v>
      </c>
      <c r="H710" s="7">
        <v>0</v>
      </c>
    </row>
    <row r="711" spans="1:8">
      <c r="A711">
        <v>1</v>
      </c>
      <c r="B711" t="s">
        <v>44</v>
      </c>
      <c r="C711" t="s">
        <v>35</v>
      </c>
      <c r="D711">
        <v>0</v>
      </c>
      <c r="E711">
        <v>1</v>
      </c>
      <c r="F711" s="7">
        <v>109732.52</v>
      </c>
      <c r="G711">
        <v>0</v>
      </c>
      <c r="H711" s="7">
        <v>0</v>
      </c>
    </row>
    <row r="712" spans="1:8">
      <c r="A712">
        <v>1</v>
      </c>
      <c r="B712" t="s">
        <v>44</v>
      </c>
      <c r="C712" t="s">
        <v>34</v>
      </c>
      <c r="D712">
        <v>0</v>
      </c>
      <c r="E712">
        <v>1</v>
      </c>
      <c r="F712" s="7">
        <v>17851.54</v>
      </c>
      <c r="G712">
        <v>0</v>
      </c>
      <c r="H712" s="7">
        <v>0</v>
      </c>
    </row>
    <row r="713" spans="1:8">
      <c r="A713">
        <v>1</v>
      </c>
      <c r="B713" t="s">
        <v>44</v>
      </c>
      <c r="C713" t="s">
        <v>33</v>
      </c>
      <c r="D713">
        <v>0</v>
      </c>
      <c r="E713">
        <v>1</v>
      </c>
      <c r="F713" s="7">
        <v>5223.97</v>
      </c>
      <c r="G713">
        <v>0</v>
      </c>
      <c r="H713" s="7">
        <v>0</v>
      </c>
    </row>
    <row r="714" spans="1:8">
      <c r="A714">
        <v>1</v>
      </c>
      <c r="B714" t="s">
        <v>44</v>
      </c>
      <c r="C714" t="s">
        <v>34</v>
      </c>
      <c r="D714">
        <v>0</v>
      </c>
      <c r="E714">
        <v>1</v>
      </c>
      <c r="F714" s="7">
        <v>63807.17</v>
      </c>
      <c r="G714">
        <v>0</v>
      </c>
      <c r="H714" s="7">
        <v>0</v>
      </c>
    </row>
    <row r="715" spans="1:8">
      <c r="A715">
        <v>1</v>
      </c>
      <c r="B715" t="s">
        <v>44</v>
      </c>
      <c r="C715" t="s">
        <v>35</v>
      </c>
      <c r="D715">
        <v>0</v>
      </c>
      <c r="E715">
        <v>1</v>
      </c>
      <c r="F715" s="7">
        <v>406297.68</v>
      </c>
      <c r="G715">
        <v>0</v>
      </c>
      <c r="H715" s="7">
        <v>0</v>
      </c>
    </row>
    <row r="716" spans="1:8">
      <c r="A716">
        <v>1</v>
      </c>
      <c r="B716" t="s">
        <v>42</v>
      </c>
      <c r="C716" t="s">
        <v>33</v>
      </c>
      <c r="D716">
        <v>0</v>
      </c>
      <c r="E716">
        <v>1</v>
      </c>
      <c r="F716" s="7">
        <v>4779.93</v>
      </c>
      <c r="G716">
        <v>0</v>
      </c>
      <c r="H716" s="7">
        <v>0</v>
      </c>
    </row>
    <row r="717" spans="1:8">
      <c r="A717">
        <v>1</v>
      </c>
      <c r="B717" t="s">
        <v>43</v>
      </c>
      <c r="C717" t="s">
        <v>34</v>
      </c>
      <c r="D717">
        <v>0</v>
      </c>
      <c r="E717">
        <v>1</v>
      </c>
      <c r="F717" s="7">
        <v>16631.14</v>
      </c>
      <c r="G717">
        <v>0</v>
      </c>
      <c r="H717" s="7">
        <v>0</v>
      </c>
    </row>
    <row r="718" spans="1:8">
      <c r="A718">
        <v>1</v>
      </c>
      <c r="B718" t="s">
        <v>42</v>
      </c>
      <c r="C718" t="s">
        <v>33</v>
      </c>
      <c r="D718">
        <v>0</v>
      </c>
      <c r="E718">
        <v>1</v>
      </c>
      <c r="F718" s="7">
        <v>2771.16</v>
      </c>
      <c r="G718">
        <v>0</v>
      </c>
      <c r="H718" s="7">
        <v>0</v>
      </c>
    </row>
    <row r="719" spans="1:8">
      <c r="A719">
        <v>1</v>
      </c>
      <c r="B719" t="s">
        <v>42</v>
      </c>
      <c r="C719" t="s">
        <v>33</v>
      </c>
      <c r="D719">
        <v>0</v>
      </c>
      <c r="E719">
        <v>1</v>
      </c>
      <c r="F719" s="7">
        <v>3154.06</v>
      </c>
      <c r="G719">
        <v>0</v>
      </c>
      <c r="H719" s="7">
        <v>0</v>
      </c>
    </row>
    <row r="720" spans="1:8">
      <c r="A720">
        <v>1</v>
      </c>
      <c r="B720" t="s">
        <v>42</v>
      </c>
      <c r="C720" t="s">
        <v>33</v>
      </c>
      <c r="D720">
        <v>0</v>
      </c>
      <c r="E720">
        <v>1</v>
      </c>
      <c r="F720" s="7">
        <v>7813.63</v>
      </c>
      <c r="G720">
        <v>0</v>
      </c>
      <c r="H720" s="7">
        <v>0</v>
      </c>
    </row>
    <row r="721" spans="1:8">
      <c r="A721">
        <v>1</v>
      </c>
      <c r="B721" t="s">
        <v>42</v>
      </c>
      <c r="C721" t="s">
        <v>32</v>
      </c>
      <c r="D721">
        <v>0</v>
      </c>
      <c r="E721">
        <v>1</v>
      </c>
      <c r="F721" s="7">
        <v>360.13</v>
      </c>
      <c r="G721">
        <v>0</v>
      </c>
      <c r="H721" s="7">
        <v>0</v>
      </c>
    </row>
    <row r="722" spans="1:8">
      <c r="A722">
        <v>1</v>
      </c>
      <c r="B722" t="s">
        <v>44</v>
      </c>
      <c r="C722" t="s">
        <v>35</v>
      </c>
      <c r="D722">
        <v>0</v>
      </c>
      <c r="E722">
        <v>1</v>
      </c>
      <c r="F722" s="7">
        <v>431381.17</v>
      </c>
      <c r="G722">
        <v>0</v>
      </c>
      <c r="H722" s="7">
        <v>0</v>
      </c>
    </row>
    <row r="723" spans="1:8">
      <c r="A723">
        <v>1</v>
      </c>
      <c r="B723" t="s">
        <v>43</v>
      </c>
      <c r="C723" t="s">
        <v>34</v>
      </c>
      <c r="D723">
        <v>0</v>
      </c>
      <c r="E723">
        <v>1</v>
      </c>
      <c r="F723" s="7">
        <v>43670.84</v>
      </c>
      <c r="G723">
        <v>0</v>
      </c>
      <c r="H723" s="7">
        <v>0</v>
      </c>
    </row>
    <row r="724" spans="1:8">
      <c r="A724">
        <v>1</v>
      </c>
      <c r="B724" t="s">
        <v>42</v>
      </c>
      <c r="C724" t="s">
        <v>33</v>
      </c>
      <c r="D724">
        <v>0</v>
      </c>
      <c r="E724">
        <v>1</v>
      </c>
      <c r="F724" s="7">
        <v>7342.63</v>
      </c>
      <c r="G724">
        <v>0</v>
      </c>
      <c r="H724" s="7">
        <v>0</v>
      </c>
    </row>
    <row r="725" spans="1:8">
      <c r="A725">
        <v>1</v>
      </c>
      <c r="B725" t="s">
        <v>42</v>
      </c>
      <c r="C725" t="s">
        <v>33</v>
      </c>
      <c r="D725">
        <v>0</v>
      </c>
      <c r="E725">
        <v>1</v>
      </c>
      <c r="F725" s="7">
        <v>7417.09</v>
      </c>
      <c r="G725">
        <v>0</v>
      </c>
      <c r="H725" s="7">
        <v>0</v>
      </c>
    </row>
    <row r="726" spans="1:8">
      <c r="A726">
        <v>1</v>
      </c>
      <c r="B726" t="s">
        <v>42</v>
      </c>
      <c r="C726" t="s">
        <v>33</v>
      </c>
      <c r="D726">
        <v>0</v>
      </c>
      <c r="E726">
        <v>1</v>
      </c>
      <c r="F726" s="7">
        <v>8865.26</v>
      </c>
      <c r="G726">
        <v>0</v>
      </c>
      <c r="H726" s="7">
        <v>0</v>
      </c>
    </row>
    <row r="727" spans="1:8">
      <c r="A727">
        <v>1</v>
      </c>
      <c r="B727" t="s">
        <v>44</v>
      </c>
      <c r="C727" t="s">
        <v>35</v>
      </c>
      <c r="D727">
        <v>0</v>
      </c>
      <c r="E727">
        <v>1</v>
      </c>
      <c r="F727" s="7">
        <v>213490.87</v>
      </c>
      <c r="G727">
        <v>0</v>
      </c>
      <c r="H727" s="7">
        <v>0</v>
      </c>
    </row>
    <row r="728" spans="1:8">
      <c r="A728">
        <v>1</v>
      </c>
      <c r="B728" t="s">
        <v>42</v>
      </c>
      <c r="C728" t="s">
        <v>33</v>
      </c>
      <c r="D728">
        <v>0</v>
      </c>
      <c r="E728">
        <v>1</v>
      </c>
      <c r="F728" s="7">
        <v>7444.4</v>
      </c>
      <c r="G728">
        <v>0</v>
      </c>
      <c r="H728" s="7">
        <v>0</v>
      </c>
    </row>
    <row r="729" spans="1:8">
      <c r="A729">
        <v>1</v>
      </c>
      <c r="B729" t="s">
        <v>44</v>
      </c>
      <c r="C729" t="s">
        <v>35</v>
      </c>
      <c r="D729">
        <v>0</v>
      </c>
      <c r="E729">
        <v>1</v>
      </c>
      <c r="F729" s="7">
        <v>287265.38</v>
      </c>
      <c r="G729">
        <v>0</v>
      </c>
      <c r="H729" s="7">
        <v>0</v>
      </c>
    </row>
    <row r="730" spans="1:8">
      <c r="A730">
        <v>1</v>
      </c>
      <c r="B730" t="s">
        <v>44</v>
      </c>
      <c r="C730" t="s">
        <v>35</v>
      </c>
      <c r="D730">
        <v>1</v>
      </c>
      <c r="E730">
        <v>1</v>
      </c>
      <c r="F730" s="7">
        <v>416001.33</v>
      </c>
      <c r="G730">
        <v>1</v>
      </c>
      <c r="H730" s="7">
        <v>416001.33</v>
      </c>
    </row>
    <row r="731" spans="1:8">
      <c r="A731">
        <v>1</v>
      </c>
      <c r="B731" t="s">
        <v>42</v>
      </c>
      <c r="C731" t="s">
        <v>33</v>
      </c>
      <c r="D731">
        <v>0</v>
      </c>
      <c r="E731">
        <v>1</v>
      </c>
      <c r="F731" s="7">
        <v>6432.26</v>
      </c>
      <c r="G731">
        <v>0</v>
      </c>
      <c r="H731" s="7">
        <v>0</v>
      </c>
    </row>
    <row r="732" spans="1:8">
      <c r="A732">
        <v>1</v>
      </c>
      <c r="B732" t="s">
        <v>42</v>
      </c>
      <c r="C732" t="s">
        <v>33</v>
      </c>
      <c r="D732">
        <v>0</v>
      </c>
      <c r="E732">
        <v>1</v>
      </c>
      <c r="F732" s="7">
        <v>8690.86</v>
      </c>
      <c r="G732">
        <v>0</v>
      </c>
      <c r="H732" s="7">
        <v>0</v>
      </c>
    </row>
    <row r="733" spans="1:8">
      <c r="A733">
        <v>1</v>
      </c>
      <c r="B733" t="s">
        <v>42</v>
      </c>
      <c r="C733" t="s">
        <v>33</v>
      </c>
      <c r="D733">
        <v>0</v>
      </c>
      <c r="E733">
        <v>1</v>
      </c>
      <c r="F733" s="7">
        <v>3791.28</v>
      </c>
      <c r="G733">
        <v>0</v>
      </c>
      <c r="H733" s="7">
        <v>0</v>
      </c>
    </row>
    <row r="734" spans="1:8">
      <c r="A734">
        <v>1</v>
      </c>
      <c r="B734" t="s">
        <v>42</v>
      </c>
      <c r="C734" t="s">
        <v>33</v>
      </c>
      <c r="D734">
        <v>0</v>
      </c>
      <c r="E734">
        <v>1</v>
      </c>
      <c r="F734" s="7">
        <v>4111.34</v>
      </c>
      <c r="G734">
        <v>0</v>
      </c>
      <c r="H734" s="7">
        <v>0</v>
      </c>
    </row>
    <row r="735" spans="1:8">
      <c r="A735">
        <v>1</v>
      </c>
      <c r="B735" t="s">
        <v>42</v>
      </c>
      <c r="C735" t="s">
        <v>33</v>
      </c>
      <c r="D735">
        <v>0</v>
      </c>
      <c r="E735">
        <v>1</v>
      </c>
      <c r="F735" s="7">
        <v>7163.9</v>
      </c>
      <c r="G735">
        <v>0</v>
      </c>
      <c r="H735" s="7">
        <v>0</v>
      </c>
    </row>
    <row r="736" spans="1:8">
      <c r="A736">
        <v>1</v>
      </c>
      <c r="B736" t="s">
        <v>42</v>
      </c>
      <c r="C736" t="s">
        <v>33</v>
      </c>
      <c r="D736">
        <v>0</v>
      </c>
      <c r="E736">
        <v>1</v>
      </c>
      <c r="F736" s="7">
        <v>6557.51</v>
      </c>
      <c r="G736">
        <v>0</v>
      </c>
      <c r="H736" s="7">
        <v>0</v>
      </c>
    </row>
    <row r="737" spans="1:8">
      <c r="A737">
        <v>1</v>
      </c>
      <c r="B737" t="s">
        <v>42</v>
      </c>
      <c r="C737" t="s">
        <v>34</v>
      </c>
      <c r="D737">
        <v>0</v>
      </c>
      <c r="E737">
        <v>1</v>
      </c>
      <c r="F737" s="7">
        <v>17348.25</v>
      </c>
      <c r="G737">
        <v>0</v>
      </c>
      <c r="H737" s="7">
        <v>0</v>
      </c>
    </row>
    <row r="738" spans="1:8">
      <c r="A738">
        <v>1</v>
      </c>
      <c r="B738" t="s">
        <v>42</v>
      </c>
      <c r="C738" t="s">
        <v>33</v>
      </c>
      <c r="D738">
        <v>0</v>
      </c>
      <c r="E738">
        <v>1</v>
      </c>
      <c r="F738" s="7">
        <v>1586.28</v>
      </c>
      <c r="G738">
        <v>0</v>
      </c>
      <c r="H738" s="7">
        <v>0</v>
      </c>
    </row>
    <row r="739" spans="1:8">
      <c r="A739">
        <v>1</v>
      </c>
      <c r="B739" t="s">
        <v>42</v>
      </c>
      <c r="C739" t="s">
        <v>33</v>
      </c>
      <c r="D739">
        <v>0</v>
      </c>
      <c r="E739">
        <v>1</v>
      </c>
      <c r="F739" s="7">
        <v>6811.97</v>
      </c>
      <c r="G739">
        <v>0</v>
      </c>
      <c r="H739" s="7">
        <v>0</v>
      </c>
    </row>
    <row r="740" spans="1:8">
      <c r="A740">
        <v>1</v>
      </c>
      <c r="B740" t="s">
        <v>42</v>
      </c>
      <c r="C740" t="s">
        <v>34</v>
      </c>
      <c r="D740">
        <v>0</v>
      </c>
      <c r="E740">
        <v>1</v>
      </c>
      <c r="F740" s="7">
        <v>36651.07</v>
      </c>
      <c r="G740">
        <v>0</v>
      </c>
      <c r="H740" s="7">
        <v>0</v>
      </c>
    </row>
    <row r="741" spans="1:8">
      <c r="A741">
        <v>1</v>
      </c>
      <c r="B741" t="s">
        <v>42</v>
      </c>
      <c r="C741" t="s">
        <v>33</v>
      </c>
      <c r="D741">
        <v>0</v>
      </c>
      <c r="E741">
        <v>1</v>
      </c>
      <c r="F741" s="7">
        <v>4804.68</v>
      </c>
      <c r="G741">
        <v>0</v>
      </c>
      <c r="H741" s="7">
        <v>0</v>
      </c>
    </row>
    <row r="742" spans="1:8">
      <c r="A742">
        <v>1</v>
      </c>
      <c r="B742" t="s">
        <v>42</v>
      </c>
      <c r="C742" t="s">
        <v>34</v>
      </c>
      <c r="D742">
        <v>0</v>
      </c>
      <c r="E742">
        <v>1</v>
      </c>
      <c r="F742" s="7">
        <v>19375.5</v>
      </c>
      <c r="G742">
        <v>0</v>
      </c>
      <c r="H742" s="7">
        <v>0</v>
      </c>
    </row>
    <row r="743" spans="1:8">
      <c r="A743">
        <v>1</v>
      </c>
      <c r="B743" t="s">
        <v>42</v>
      </c>
      <c r="C743" t="s">
        <v>34</v>
      </c>
      <c r="D743">
        <v>0</v>
      </c>
      <c r="E743">
        <v>1</v>
      </c>
      <c r="F743" s="7">
        <v>13833.75</v>
      </c>
      <c r="G743">
        <v>0</v>
      </c>
      <c r="H743" s="7">
        <v>0</v>
      </c>
    </row>
    <row r="744" spans="1:8">
      <c r="A744">
        <v>1</v>
      </c>
      <c r="B744" t="s">
        <v>42</v>
      </c>
      <c r="C744" t="s">
        <v>34</v>
      </c>
      <c r="D744">
        <v>0</v>
      </c>
      <c r="E744">
        <v>1</v>
      </c>
      <c r="F744" s="7">
        <v>21008.52</v>
      </c>
      <c r="G744">
        <v>0</v>
      </c>
      <c r="H744" s="7">
        <v>0</v>
      </c>
    </row>
    <row r="745" spans="1:8">
      <c r="A745">
        <v>1</v>
      </c>
      <c r="B745" t="s">
        <v>42</v>
      </c>
      <c r="C745" t="s">
        <v>34</v>
      </c>
      <c r="D745">
        <v>0</v>
      </c>
      <c r="E745">
        <v>1</v>
      </c>
      <c r="F745" s="7">
        <v>22043.92</v>
      </c>
      <c r="G745">
        <v>0</v>
      </c>
      <c r="H745" s="7">
        <v>0</v>
      </c>
    </row>
    <row r="746" spans="1:8">
      <c r="A746">
        <v>1</v>
      </c>
      <c r="B746" t="s">
        <v>42</v>
      </c>
      <c r="C746" t="s">
        <v>34</v>
      </c>
      <c r="D746">
        <v>0</v>
      </c>
      <c r="E746">
        <v>1</v>
      </c>
      <c r="F746" s="7">
        <v>32635.14</v>
      </c>
      <c r="G746">
        <v>0</v>
      </c>
      <c r="H746" s="7">
        <v>0</v>
      </c>
    </row>
    <row r="747" spans="1:8">
      <c r="A747">
        <v>1</v>
      </c>
      <c r="B747" t="s">
        <v>42</v>
      </c>
      <c r="C747" t="s">
        <v>34</v>
      </c>
      <c r="D747">
        <v>0</v>
      </c>
      <c r="E747">
        <v>1</v>
      </c>
      <c r="F747" s="7">
        <v>11438.39</v>
      </c>
      <c r="G747">
        <v>0</v>
      </c>
      <c r="H747" s="7">
        <v>0</v>
      </c>
    </row>
    <row r="748" spans="1:8">
      <c r="A748">
        <v>1</v>
      </c>
      <c r="B748" t="s">
        <v>42</v>
      </c>
      <c r="C748" t="s">
        <v>34</v>
      </c>
      <c r="D748">
        <v>0</v>
      </c>
      <c r="E748">
        <v>1</v>
      </c>
      <c r="F748" s="7">
        <v>13527.16</v>
      </c>
      <c r="G748">
        <v>0</v>
      </c>
      <c r="H748" s="7">
        <v>0</v>
      </c>
    </row>
    <row r="749" spans="1:8">
      <c r="A749">
        <v>1</v>
      </c>
      <c r="B749" t="s">
        <v>42</v>
      </c>
      <c r="C749" t="s">
        <v>34</v>
      </c>
      <c r="D749">
        <v>0</v>
      </c>
      <c r="E749">
        <v>1</v>
      </c>
      <c r="F749" s="7">
        <v>11881.78</v>
      </c>
      <c r="G749">
        <v>0</v>
      </c>
      <c r="H749" s="7">
        <v>0</v>
      </c>
    </row>
    <row r="750" spans="1:8">
      <c r="A750">
        <v>1</v>
      </c>
      <c r="B750" t="s">
        <v>42</v>
      </c>
      <c r="C750" t="s">
        <v>33</v>
      </c>
      <c r="D750">
        <v>0</v>
      </c>
      <c r="E750">
        <v>1</v>
      </c>
      <c r="F750" s="7">
        <v>9805.46</v>
      </c>
      <c r="G750">
        <v>0</v>
      </c>
      <c r="H750" s="7">
        <v>0</v>
      </c>
    </row>
    <row r="751" spans="1:8">
      <c r="A751">
        <v>1</v>
      </c>
      <c r="B751" t="s">
        <v>42</v>
      </c>
      <c r="C751" t="s">
        <v>33</v>
      </c>
      <c r="D751">
        <v>0</v>
      </c>
      <c r="E751">
        <v>1</v>
      </c>
      <c r="F751" s="7">
        <v>9470.85</v>
      </c>
      <c r="G751">
        <v>0</v>
      </c>
      <c r="H751" s="7">
        <v>0</v>
      </c>
    </row>
    <row r="752" spans="1:8">
      <c r="A752">
        <v>1</v>
      </c>
      <c r="B752" t="s">
        <v>42</v>
      </c>
      <c r="C752" t="s">
        <v>34</v>
      </c>
      <c r="D752">
        <v>0</v>
      </c>
      <c r="E752">
        <v>1</v>
      </c>
      <c r="F752" s="7">
        <v>20560.86</v>
      </c>
      <c r="G752">
        <v>0</v>
      </c>
      <c r="H752" s="7">
        <v>0</v>
      </c>
    </row>
    <row r="753" spans="1:8">
      <c r="A753">
        <v>1</v>
      </c>
      <c r="B753" t="s">
        <v>42</v>
      </c>
      <c r="C753" t="s">
        <v>34</v>
      </c>
      <c r="D753">
        <v>0</v>
      </c>
      <c r="E753">
        <v>1</v>
      </c>
      <c r="F753" s="7">
        <v>13679.84</v>
      </c>
      <c r="G753">
        <v>0</v>
      </c>
      <c r="H753" s="7">
        <v>0</v>
      </c>
    </row>
    <row r="754" spans="1:8">
      <c r="A754">
        <v>1</v>
      </c>
      <c r="B754" t="s">
        <v>42</v>
      </c>
      <c r="C754" t="s">
        <v>34</v>
      </c>
      <c r="D754">
        <v>0</v>
      </c>
      <c r="E754">
        <v>1</v>
      </c>
      <c r="F754" s="7">
        <v>15448</v>
      </c>
      <c r="G754">
        <v>0</v>
      </c>
      <c r="H754" s="7">
        <v>0</v>
      </c>
    </row>
    <row r="755" spans="1:8">
      <c r="A755">
        <v>1</v>
      </c>
      <c r="B755" t="s">
        <v>42</v>
      </c>
      <c r="C755" t="s">
        <v>33</v>
      </c>
      <c r="D755">
        <v>0</v>
      </c>
      <c r="E755">
        <v>1</v>
      </c>
      <c r="F755" s="7">
        <v>1987.4</v>
      </c>
      <c r="G755">
        <v>0</v>
      </c>
      <c r="H755" s="7">
        <v>0</v>
      </c>
    </row>
    <row r="756" spans="1:8">
      <c r="A756">
        <v>1</v>
      </c>
      <c r="B756" t="s">
        <v>42</v>
      </c>
      <c r="C756" t="s">
        <v>33</v>
      </c>
      <c r="D756">
        <v>0</v>
      </c>
      <c r="E756">
        <v>1</v>
      </c>
      <c r="F756" s="7">
        <v>4145.04</v>
      </c>
      <c r="G756">
        <v>0</v>
      </c>
      <c r="H756" s="7">
        <v>0</v>
      </c>
    </row>
    <row r="757" spans="1:8">
      <c r="A757">
        <v>1</v>
      </c>
      <c r="B757" t="s">
        <v>42</v>
      </c>
      <c r="C757" t="s">
        <v>33</v>
      </c>
      <c r="D757">
        <v>0</v>
      </c>
      <c r="E757">
        <v>1</v>
      </c>
      <c r="F757" s="7">
        <v>3511.45</v>
      </c>
      <c r="G757">
        <v>0</v>
      </c>
      <c r="H757" s="7">
        <v>0</v>
      </c>
    </row>
    <row r="758" spans="1:8">
      <c r="A758">
        <v>1</v>
      </c>
      <c r="B758" t="s">
        <v>42</v>
      </c>
      <c r="C758" t="s">
        <v>33</v>
      </c>
      <c r="D758">
        <v>0</v>
      </c>
      <c r="E758">
        <v>1</v>
      </c>
      <c r="F758" s="7">
        <v>1118.1</v>
      </c>
      <c r="G758">
        <v>0</v>
      </c>
      <c r="H758" s="7">
        <v>0</v>
      </c>
    </row>
    <row r="759" spans="1:8">
      <c r="A759">
        <v>1</v>
      </c>
      <c r="B759" t="s">
        <v>42</v>
      </c>
      <c r="C759" t="s">
        <v>32</v>
      </c>
      <c r="D759">
        <v>0</v>
      </c>
      <c r="E759">
        <v>1</v>
      </c>
      <c r="F759" s="7">
        <v>15.06</v>
      </c>
      <c r="G759">
        <v>0</v>
      </c>
      <c r="H759" s="7">
        <v>0</v>
      </c>
    </row>
    <row r="760" spans="1:8">
      <c r="A760">
        <v>1</v>
      </c>
      <c r="B760" t="s">
        <v>46</v>
      </c>
      <c r="C760" t="s">
        <v>35</v>
      </c>
      <c r="D760">
        <v>0</v>
      </c>
      <c r="E760">
        <v>1</v>
      </c>
      <c r="F760" s="7">
        <v>352568.35</v>
      </c>
      <c r="G760">
        <v>0</v>
      </c>
      <c r="H760" s="7">
        <v>0</v>
      </c>
    </row>
    <row r="761" spans="1:8">
      <c r="A761">
        <v>1</v>
      </c>
      <c r="B761" t="s">
        <v>42</v>
      </c>
      <c r="C761" t="s">
        <v>33</v>
      </c>
      <c r="D761">
        <v>0</v>
      </c>
      <c r="E761">
        <v>1</v>
      </c>
      <c r="F761" s="7">
        <v>3043.27</v>
      </c>
      <c r="G761">
        <v>0</v>
      </c>
      <c r="H761" s="7">
        <v>0</v>
      </c>
    </row>
    <row r="762" spans="1:8">
      <c r="A762">
        <v>1</v>
      </c>
      <c r="B762" t="s">
        <v>42</v>
      </c>
      <c r="C762" t="s">
        <v>33</v>
      </c>
      <c r="D762">
        <v>0</v>
      </c>
      <c r="E762">
        <v>1</v>
      </c>
      <c r="F762" s="7">
        <v>9758.09</v>
      </c>
      <c r="G762">
        <v>0</v>
      </c>
      <c r="H762" s="7">
        <v>0</v>
      </c>
    </row>
    <row r="763" spans="1:8">
      <c r="A763">
        <v>1</v>
      </c>
      <c r="B763" t="s">
        <v>42</v>
      </c>
      <c r="C763" t="s">
        <v>33</v>
      </c>
      <c r="D763">
        <v>0</v>
      </c>
      <c r="E763">
        <v>1</v>
      </c>
      <c r="F763" s="7">
        <v>5924.89</v>
      </c>
      <c r="G763">
        <v>0</v>
      </c>
      <c r="H763" s="7">
        <v>0</v>
      </c>
    </row>
    <row r="764" spans="1:8">
      <c r="A764">
        <v>1</v>
      </c>
      <c r="B764" t="s">
        <v>42</v>
      </c>
      <c r="C764" t="s">
        <v>33</v>
      </c>
      <c r="D764">
        <v>0</v>
      </c>
      <c r="E764">
        <v>1</v>
      </c>
      <c r="F764" s="7">
        <v>9550.43</v>
      </c>
      <c r="G764">
        <v>0</v>
      </c>
      <c r="H764" s="7">
        <v>0</v>
      </c>
    </row>
    <row r="765" spans="1:8">
      <c r="A765">
        <v>1</v>
      </c>
      <c r="B765" t="s">
        <v>42</v>
      </c>
      <c r="C765" t="s">
        <v>33</v>
      </c>
      <c r="D765">
        <v>0</v>
      </c>
      <c r="E765">
        <v>1</v>
      </c>
      <c r="F765" s="7">
        <v>4355.66</v>
      </c>
      <c r="G765">
        <v>0</v>
      </c>
      <c r="H765" s="7">
        <v>0</v>
      </c>
    </row>
    <row r="766" spans="1:8">
      <c r="A766">
        <v>1</v>
      </c>
      <c r="B766" t="s">
        <v>45</v>
      </c>
      <c r="C766" t="s">
        <v>33</v>
      </c>
      <c r="D766">
        <v>0</v>
      </c>
      <c r="E766">
        <v>1</v>
      </c>
      <c r="F766" s="7">
        <v>6973.12</v>
      </c>
      <c r="G766">
        <v>0</v>
      </c>
      <c r="H766" s="7">
        <v>0</v>
      </c>
    </row>
    <row r="767" spans="1:8">
      <c r="A767">
        <v>1</v>
      </c>
      <c r="B767" t="s">
        <v>42</v>
      </c>
      <c r="C767" t="s">
        <v>33</v>
      </c>
      <c r="D767">
        <v>0</v>
      </c>
      <c r="E767">
        <v>1</v>
      </c>
      <c r="F767" s="7">
        <v>2358.63</v>
      </c>
      <c r="G767">
        <v>0</v>
      </c>
      <c r="H767" s="7">
        <v>0</v>
      </c>
    </row>
    <row r="768" spans="1:8">
      <c r="A768">
        <v>1</v>
      </c>
      <c r="B768" t="s">
        <v>45</v>
      </c>
      <c r="C768" t="s">
        <v>32</v>
      </c>
      <c r="D768">
        <v>0</v>
      </c>
      <c r="E768">
        <v>1</v>
      </c>
      <c r="F768" s="7">
        <v>374.36</v>
      </c>
      <c r="G768">
        <v>0</v>
      </c>
      <c r="H768" s="7">
        <v>0</v>
      </c>
    </row>
    <row r="769" spans="1:8">
      <c r="A769">
        <v>1</v>
      </c>
      <c r="B769" t="s">
        <v>42</v>
      </c>
      <c r="C769" t="s">
        <v>33</v>
      </c>
      <c r="D769">
        <v>0</v>
      </c>
      <c r="E769">
        <v>1</v>
      </c>
      <c r="F769" s="7">
        <v>8946.63</v>
      </c>
      <c r="G769">
        <v>0</v>
      </c>
      <c r="H769" s="7">
        <v>0</v>
      </c>
    </row>
    <row r="770" spans="1:8">
      <c r="A770">
        <v>1</v>
      </c>
      <c r="B770" t="s">
        <v>42</v>
      </c>
      <c r="C770" t="s">
        <v>34</v>
      </c>
      <c r="D770">
        <v>0</v>
      </c>
      <c r="E770">
        <v>1</v>
      </c>
      <c r="F770" s="7">
        <v>20573.4</v>
      </c>
      <c r="G770">
        <v>0</v>
      </c>
      <c r="H770" s="7">
        <v>0</v>
      </c>
    </row>
    <row r="771" spans="1:8">
      <c r="A771">
        <v>1</v>
      </c>
      <c r="B771" t="s">
        <v>42</v>
      </c>
      <c r="C771" t="s">
        <v>33</v>
      </c>
      <c r="D771">
        <v>0</v>
      </c>
      <c r="E771">
        <v>1</v>
      </c>
      <c r="F771" s="7">
        <v>8358.12</v>
      </c>
      <c r="G771">
        <v>0</v>
      </c>
      <c r="H771" s="7">
        <v>0</v>
      </c>
    </row>
    <row r="772" spans="1:8">
      <c r="A772">
        <v>1</v>
      </c>
      <c r="B772" t="s">
        <v>42</v>
      </c>
      <c r="C772" t="s">
        <v>33</v>
      </c>
      <c r="D772">
        <v>0</v>
      </c>
      <c r="E772">
        <v>1</v>
      </c>
      <c r="F772" s="7">
        <v>1006.76</v>
      </c>
      <c r="G772">
        <v>0</v>
      </c>
      <c r="H772" s="7">
        <v>0</v>
      </c>
    </row>
    <row r="773" spans="1:8">
      <c r="A773">
        <v>1</v>
      </c>
      <c r="B773" t="s">
        <v>42</v>
      </c>
      <c r="C773" t="s">
        <v>34</v>
      </c>
      <c r="D773">
        <v>0</v>
      </c>
      <c r="E773">
        <v>1</v>
      </c>
      <c r="F773" s="7">
        <v>10498.05</v>
      </c>
      <c r="G773">
        <v>0</v>
      </c>
      <c r="H773" s="7">
        <v>0</v>
      </c>
    </row>
    <row r="774" spans="1:8">
      <c r="A774">
        <v>1</v>
      </c>
      <c r="B774" t="s">
        <v>43</v>
      </c>
      <c r="C774" t="s">
        <v>35</v>
      </c>
      <c r="D774">
        <v>0</v>
      </c>
      <c r="E774">
        <v>1</v>
      </c>
      <c r="F774" s="7">
        <v>463722.76</v>
      </c>
      <c r="G774">
        <v>0</v>
      </c>
      <c r="H774" s="7">
        <v>0</v>
      </c>
    </row>
    <row r="775" spans="1:8">
      <c r="A775">
        <v>1</v>
      </c>
      <c r="B775" t="s">
        <v>43</v>
      </c>
      <c r="C775" t="s">
        <v>35</v>
      </c>
      <c r="D775">
        <v>0</v>
      </c>
      <c r="E775">
        <v>1</v>
      </c>
      <c r="F775" s="7">
        <v>138857.19</v>
      </c>
      <c r="G775">
        <v>0</v>
      </c>
      <c r="H775" s="7">
        <v>0</v>
      </c>
    </row>
    <row r="776" spans="1:8">
      <c r="A776">
        <v>1</v>
      </c>
      <c r="B776" t="s">
        <v>42</v>
      </c>
      <c r="C776" t="s">
        <v>33</v>
      </c>
      <c r="D776">
        <v>0</v>
      </c>
      <c r="E776">
        <v>1</v>
      </c>
      <c r="F776" s="7">
        <v>5184.9</v>
      </c>
      <c r="G776">
        <v>0</v>
      </c>
      <c r="H776" s="7">
        <v>0</v>
      </c>
    </row>
    <row r="777" spans="1:8">
      <c r="A777">
        <v>1</v>
      </c>
      <c r="B777" t="s">
        <v>42</v>
      </c>
      <c r="C777" t="s">
        <v>33</v>
      </c>
      <c r="D777">
        <v>0</v>
      </c>
      <c r="E777">
        <v>1</v>
      </c>
      <c r="F777" s="7">
        <v>3626.96</v>
      </c>
      <c r="G777">
        <v>0</v>
      </c>
      <c r="H777" s="7">
        <v>0</v>
      </c>
    </row>
    <row r="778" spans="1:8">
      <c r="A778">
        <v>1</v>
      </c>
      <c r="B778" t="s">
        <v>42</v>
      </c>
      <c r="C778" t="s">
        <v>32</v>
      </c>
      <c r="D778">
        <v>0</v>
      </c>
      <c r="E778">
        <v>1</v>
      </c>
      <c r="F778" s="7">
        <v>282.42</v>
      </c>
      <c r="G778">
        <v>0</v>
      </c>
      <c r="H778" s="7">
        <v>0</v>
      </c>
    </row>
    <row r="779" spans="1:8">
      <c r="A779">
        <v>1</v>
      </c>
      <c r="B779" t="s">
        <v>45</v>
      </c>
      <c r="C779" t="s">
        <v>33</v>
      </c>
      <c r="D779">
        <v>0</v>
      </c>
      <c r="E779">
        <v>1</v>
      </c>
      <c r="F779" s="7">
        <v>8703.54</v>
      </c>
      <c r="G779">
        <v>0</v>
      </c>
      <c r="H779" s="7">
        <v>0</v>
      </c>
    </row>
    <row r="780" spans="1:8">
      <c r="A780">
        <v>1</v>
      </c>
      <c r="B780" t="s">
        <v>42</v>
      </c>
      <c r="C780" t="s">
        <v>33</v>
      </c>
      <c r="D780">
        <v>0</v>
      </c>
      <c r="E780">
        <v>1</v>
      </c>
      <c r="F780" s="7">
        <v>3673.1</v>
      </c>
      <c r="G780">
        <v>0</v>
      </c>
      <c r="H780" s="7">
        <v>0</v>
      </c>
    </row>
    <row r="781" spans="1:8">
      <c r="A781">
        <v>1</v>
      </c>
      <c r="B781" t="s">
        <v>42</v>
      </c>
      <c r="C781" t="s">
        <v>33</v>
      </c>
      <c r="D781">
        <v>0</v>
      </c>
      <c r="E781">
        <v>1</v>
      </c>
      <c r="F781" s="7">
        <v>9800.58</v>
      </c>
      <c r="G781">
        <v>0</v>
      </c>
      <c r="H781" s="7">
        <v>0</v>
      </c>
    </row>
    <row r="782" spans="1:8">
      <c r="A782">
        <v>1</v>
      </c>
      <c r="B782" t="s">
        <v>44</v>
      </c>
      <c r="C782" t="s">
        <v>34</v>
      </c>
      <c r="D782">
        <v>0</v>
      </c>
      <c r="E782">
        <v>1</v>
      </c>
      <c r="F782" s="7">
        <v>88987.11</v>
      </c>
      <c r="G782">
        <v>0</v>
      </c>
      <c r="H782" s="7">
        <v>0</v>
      </c>
    </row>
    <row r="783" spans="1:8">
      <c r="A783">
        <v>1</v>
      </c>
      <c r="B783" t="s">
        <v>42</v>
      </c>
      <c r="C783" t="s">
        <v>33</v>
      </c>
      <c r="D783">
        <v>0</v>
      </c>
      <c r="E783">
        <v>1</v>
      </c>
      <c r="F783" s="7">
        <v>4227.19</v>
      </c>
      <c r="G783">
        <v>0</v>
      </c>
      <c r="H783" s="7">
        <v>0</v>
      </c>
    </row>
    <row r="784" spans="1:8">
      <c r="A784">
        <v>1</v>
      </c>
      <c r="B784" t="s">
        <v>42</v>
      </c>
      <c r="C784" t="s">
        <v>33</v>
      </c>
      <c r="D784">
        <v>0</v>
      </c>
      <c r="E784">
        <v>1</v>
      </c>
      <c r="F784" s="7">
        <v>2881.51</v>
      </c>
      <c r="G784">
        <v>0</v>
      </c>
      <c r="H784" s="7">
        <v>0</v>
      </c>
    </row>
    <row r="785" spans="1:8">
      <c r="A785">
        <v>1</v>
      </c>
      <c r="B785" t="s">
        <v>42</v>
      </c>
      <c r="C785" t="s">
        <v>33</v>
      </c>
      <c r="D785">
        <v>0</v>
      </c>
      <c r="E785">
        <v>1</v>
      </c>
      <c r="F785" s="7">
        <v>4376.46</v>
      </c>
      <c r="G785">
        <v>0</v>
      </c>
      <c r="H785" s="7">
        <v>0</v>
      </c>
    </row>
    <row r="786" spans="1:8">
      <c r="A786">
        <v>1</v>
      </c>
      <c r="B786" t="s">
        <v>42</v>
      </c>
      <c r="C786" t="s">
        <v>34</v>
      </c>
      <c r="D786">
        <v>0</v>
      </c>
      <c r="E786">
        <v>1</v>
      </c>
      <c r="F786" s="7">
        <v>11656.12</v>
      </c>
      <c r="G786">
        <v>0</v>
      </c>
      <c r="H786" s="7">
        <v>0</v>
      </c>
    </row>
    <row r="787" spans="1:8">
      <c r="A787">
        <v>1</v>
      </c>
      <c r="B787" t="s">
        <v>43</v>
      </c>
      <c r="C787" t="s">
        <v>35</v>
      </c>
      <c r="D787">
        <v>0</v>
      </c>
      <c r="E787">
        <v>1</v>
      </c>
      <c r="F787" s="7">
        <v>345698.98</v>
      </c>
      <c r="G787">
        <v>0</v>
      </c>
      <c r="H787" s="7">
        <v>0</v>
      </c>
    </row>
    <row r="788" spans="1:8">
      <c r="A788">
        <v>1</v>
      </c>
      <c r="B788" t="s">
        <v>42</v>
      </c>
      <c r="C788" t="s">
        <v>33</v>
      </c>
      <c r="D788">
        <v>0</v>
      </c>
      <c r="E788">
        <v>1</v>
      </c>
      <c r="F788" s="7">
        <v>3292.21</v>
      </c>
      <c r="G788">
        <v>0</v>
      </c>
      <c r="H788" s="7">
        <v>0</v>
      </c>
    </row>
    <row r="789" spans="1:8">
      <c r="A789">
        <v>1</v>
      </c>
      <c r="B789" t="s">
        <v>42</v>
      </c>
      <c r="C789" t="s">
        <v>33</v>
      </c>
      <c r="D789">
        <v>0</v>
      </c>
      <c r="E789">
        <v>1</v>
      </c>
      <c r="F789" s="7">
        <v>7367.06</v>
      </c>
      <c r="G789">
        <v>0</v>
      </c>
      <c r="H789" s="7">
        <v>0</v>
      </c>
    </row>
    <row r="790" spans="1:8">
      <c r="A790">
        <v>1</v>
      </c>
      <c r="B790" t="s">
        <v>42</v>
      </c>
      <c r="C790" t="s">
        <v>33</v>
      </c>
      <c r="D790">
        <v>0</v>
      </c>
      <c r="E790">
        <v>1</v>
      </c>
      <c r="F790" s="7">
        <v>2937.34</v>
      </c>
      <c r="G790">
        <v>0</v>
      </c>
      <c r="H790" s="7">
        <v>0</v>
      </c>
    </row>
    <row r="791" spans="1:8">
      <c r="A791">
        <v>1</v>
      </c>
      <c r="B791" t="s">
        <v>45</v>
      </c>
      <c r="C791" t="s">
        <v>33</v>
      </c>
      <c r="D791">
        <v>0</v>
      </c>
      <c r="E791">
        <v>1</v>
      </c>
      <c r="F791" s="7">
        <v>1150.14</v>
      </c>
      <c r="G791">
        <v>0</v>
      </c>
      <c r="H791" s="7">
        <v>0</v>
      </c>
    </row>
    <row r="792" spans="1:8">
      <c r="A792">
        <v>1</v>
      </c>
      <c r="B792" t="s">
        <v>42</v>
      </c>
      <c r="C792" t="s">
        <v>33</v>
      </c>
      <c r="D792">
        <v>0</v>
      </c>
      <c r="E792">
        <v>1</v>
      </c>
      <c r="F792" s="7">
        <v>3563.36</v>
      </c>
      <c r="G792">
        <v>0</v>
      </c>
      <c r="H792" s="7">
        <v>0</v>
      </c>
    </row>
    <row r="793" spans="1:8">
      <c r="A793">
        <v>1</v>
      </c>
      <c r="B793" t="s">
        <v>42</v>
      </c>
      <c r="C793" t="s">
        <v>33</v>
      </c>
      <c r="D793">
        <v>0</v>
      </c>
      <c r="E793">
        <v>1</v>
      </c>
      <c r="F793" s="7">
        <v>2380.46</v>
      </c>
      <c r="G793">
        <v>0</v>
      </c>
      <c r="H793" s="7">
        <v>0</v>
      </c>
    </row>
    <row r="794" spans="1:8">
      <c r="A794">
        <v>1</v>
      </c>
      <c r="B794" t="s">
        <v>42</v>
      </c>
      <c r="C794" t="s">
        <v>33</v>
      </c>
      <c r="D794">
        <v>0</v>
      </c>
      <c r="E794">
        <v>1</v>
      </c>
      <c r="F794" s="7">
        <v>2266.02</v>
      </c>
      <c r="G794">
        <v>0</v>
      </c>
      <c r="H794" s="7">
        <v>0</v>
      </c>
    </row>
    <row r="795" spans="1:8">
      <c r="A795">
        <v>1</v>
      </c>
      <c r="B795" t="s">
        <v>43</v>
      </c>
      <c r="C795" t="s">
        <v>34</v>
      </c>
      <c r="D795">
        <v>0</v>
      </c>
      <c r="E795">
        <v>1</v>
      </c>
      <c r="F795" s="7">
        <v>32132.45</v>
      </c>
      <c r="G795">
        <v>0</v>
      </c>
      <c r="H795" s="7">
        <v>0</v>
      </c>
    </row>
    <row r="796" spans="1:8">
      <c r="A796">
        <v>1</v>
      </c>
      <c r="B796" t="s">
        <v>43</v>
      </c>
      <c r="C796" t="s">
        <v>34</v>
      </c>
      <c r="D796">
        <v>0</v>
      </c>
      <c r="E796">
        <v>1</v>
      </c>
      <c r="F796" s="7">
        <v>51627.39</v>
      </c>
      <c r="G796">
        <v>0</v>
      </c>
      <c r="H796" s="7">
        <v>0</v>
      </c>
    </row>
    <row r="797" spans="1:8">
      <c r="A797">
        <v>1</v>
      </c>
      <c r="B797" t="s">
        <v>43</v>
      </c>
      <c r="C797" t="s">
        <v>34</v>
      </c>
      <c r="D797">
        <v>0</v>
      </c>
      <c r="E797">
        <v>1</v>
      </c>
      <c r="F797" s="7">
        <v>62073.54</v>
      </c>
      <c r="G797">
        <v>0</v>
      </c>
      <c r="H797" s="7">
        <v>0</v>
      </c>
    </row>
    <row r="798" spans="1:8">
      <c r="A798">
        <v>1</v>
      </c>
      <c r="B798" t="s">
        <v>43</v>
      </c>
      <c r="C798" t="s">
        <v>34</v>
      </c>
      <c r="D798">
        <v>0</v>
      </c>
      <c r="E798">
        <v>1</v>
      </c>
      <c r="F798" s="7">
        <v>13614.91</v>
      </c>
      <c r="G798">
        <v>0</v>
      </c>
      <c r="H798" s="7">
        <v>0</v>
      </c>
    </row>
    <row r="799" spans="1:8">
      <c r="A799">
        <v>1</v>
      </c>
      <c r="B799" t="s">
        <v>43</v>
      </c>
      <c r="C799" t="s">
        <v>33</v>
      </c>
      <c r="D799">
        <v>0</v>
      </c>
      <c r="E799">
        <v>1</v>
      </c>
      <c r="F799" s="7">
        <v>2290.73</v>
      </c>
      <c r="G799">
        <v>0</v>
      </c>
      <c r="H799" s="7">
        <v>0</v>
      </c>
    </row>
    <row r="800" spans="1:8">
      <c r="A800">
        <v>1</v>
      </c>
      <c r="B800" t="s">
        <v>43</v>
      </c>
      <c r="C800" t="s">
        <v>35</v>
      </c>
      <c r="D800">
        <v>0</v>
      </c>
      <c r="E800">
        <v>1</v>
      </c>
      <c r="F800" s="7">
        <v>637161</v>
      </c>
      <c r="G800">
        <v>0</v>
      </c>
      <c r="H800" s="7">
        <v>0</v>
      </c>
    </row>
    <row r="801" spans="1:8">
      <c r="A801">
        <v>1</v>
      </c>
      <c r="B801" t="s">
        <v>43</v>
      </c>
      <c r="C801" t="s">
        <v>35</v>
      </c>
      <c r="D801">
        <v>0</v>
      </c>
      <c r="E801">
        <v>1</v>
      </c>
      <c r="F801" s="7">
        <v>639378.37</v>
      </c>
      <c r="G801">
        <v>0</v>
      </c>
      <c r="H801" s="7">
        <v>0</v>
      </c>
    </row>
    <row r="802" spans="1:8">
      <c r="A802">
        <v>1</v>
      </c>
      <c r="B802" t="s">
        <v>43</v>
      </c>
      <c r="C802" t="s">
        <v>34</v>
      </c>
      <c r="D802">
        <v>0</v>
      </c>
      <c r="E802">
        <v>1</v>
      </c>
      <c r="F802" s="7">
        <v>34390.85</v>
      </c>
      <c r="G802">
        <v>0</v>
      </c>
      <c r="H802" s="7">
        <v>0</v>
      </c>
    </row>
    <row r="803" spans="1:8">
      <c r="A803">
        <v>1</v>
      </c>
      <c r="B803" t="s">
        <v>43</v>
      </c>
      <c r="C803" t="s">
        <v>36</v>
      </c>
      <c r="D803">
        <v>0</v>
      </c>
      <c r="E803">
        <v>1</v>
      </c>
      <c r="F803" s="7">
        <v>1867849.02</v>
      </c>
      <c r="G803">
        <v>0</v>
      </c>
      <c r="H803" s="7">
        <v>0</v>
      </c>
    </row>
    <row r="804" spans="1:8">
      <c r="A804">
        <v>1</v>
      </c>
      <c r="B804" t="s">
        <v>43</v>
      </c>
      <c r="C804" t="s">
        <v>36</v>
      </c>
      <c r="D804">
        <v>0</v>
      </c>
      <c r="E804">
        <v>1</v>
      </c>
      <c r="F804" s="7">
        <v>1193410.46</v>
      </c>
      <c r="G804">
        <v>0</v>
      </c>
      <c r="H804" s="7">
        <v>0</v>
      </c>
    </row>
    <row r="805" spans="1:8">
      <c r="A805">
        <v>1</v>
      </c>
      <c r="B805" t="s">
        <v>43</v>
      </c>
      <c r="C805" t="s">
        <v>35</v>
      </c>
      <c r="D805">
        <v>0</v>
      </c>
      <c r="E805">
        <v>1</v>
      </c>
      <c r="F805" s="7">
        <v>348186.2</v>
      </c>
      <c r="G805">
        <v>0</v>
      </c>
      <c r="H805" s="7">
        <v>0</v>
      </c>
    </row>
    <row r="806" spans="1:8">
      <c r="A806">
        <v>1</v>
      </c>
      <c r="B806" t="s">
        <v>43</v>
      </c>
      <c r="C806" t="s">
        <v>36</v>
      </c>
      <c r="D806">
        <v>0</v>
      </c>
      <c r="E806">
        <v>1</v>
      </c>
      <c r="F806" s="7">
        <v>1440296.14</v>
      </c>
      <c r="G806">
        <v>0</v>
      </c>
      <c r="H806" s="7">
        <v>0</v>
      </c>
    </row>
    <row r="807" spans="1:8">
      <c r="A807">
        <v>1</v>
      </c>
      <c r="B807" t="s">
        <v>43</v>
      </c>
      <c r="C807" t="s">
        <v>35</v>
      </c>
      <c r="D807">
        <v>0</v>
      </c>
      <c r="E807">
        <v>1</v>
      </c>
      <c r="F807" s="7">
        <v>799483.57</v>
      </c>
      <c r="G807">
        <v>0</v>
      </c>
      <c r="H807" s="7">
        <v>0</v>
      </c>
    </row>
    <row r="808" spans="1:8">
      <c r="A808">
        <v>1</v>
      </c>
      <c r="B808" t="s">
        <v>43</v>
      </c>
      <c r="C808" t="s">
        <v>35</v>
      </c>
      <c r="D808">
        <v>0</v>
      </c>
      <c r="E808">
        <v>1</v>
      </c>
      <c r="F808" s="7">
        <v>969631.31</v>
      </c>
      <c r="G808">
        <v>0</v>
      </c>
      <c r="H808" s="7">
        <v>0</v>
      </c>
    </row>
    <row r="809" spans="1:8">
      <c r="A809">
        <v>1</v>
      </c>
      <c r="B809" t="s">
        <v>43</v>
      </c>
      <c r="C809" t="s">
        <v>35</v>
      </c>
      <c r="D809">
        <v>0</v>
      </c>
      <c r="E809">
        <v>1</v>
      </c>
      <c r="F809" s="7">
        <v>483544.3</v>
      </c>
      <c r="G809">
        <v>0</v>
      </c>
      <c r="H809" s="7">
        <v>0</v>
      </c>
    </row>
    <row r="810" spans="1:8">
      <c r="A810">
        <v>1</v>
      </c>
      <c r="B810" t="s">
        <v>43</v>
      </c>
      <c r="C810" t="s">
        <v>35</v>
      </c>
      <c r="D810">
        <v>0</v>
      </c>
      <c r="E810">
        <v>1</v>
      </c>
      <c r="F810" s="7">
        <v>326349.91</v>
      </c>
      <c r="G810">
        <v>0</v>
      </c>
      <c r="H810" s="7">
        <v>0</v>
      </c>
    </row>
    <row r="811" spans="1:8">
      <c r="A811">
        <v>1</v>
      </c>
      <c r="B811" t="s">
        <v>45</v>
      </c>
      <c r="C811" t="s">
        <v>33</v>
      </c>
      <c r="D811">
        <v>0</v>
      </c>
      <c r="E811">
        <v>1</v>
      </c>
      <c r="F811" s="7">
        <v>7546.88</v>
      </c>
      <c r="G811">
        <v>0</v>
      </c>
      <c r="H811" s="7">
        <v>0</v>
      </c>
    </row>
    <row r="812" spans="1:8">
      <c r="A812">
        <v>1</v>
      </c>
      <c r="B812" t="s">
        <v>42</v>
      </c>
      <c r="C812" t="s">
        <v>33</v>
      </c>
      <c r="D812">
        <v>0</v>
      </c>
      <c r="E812">
        <v>1</v>
      </c>
      <c r="F812" s="7">
        <v>2469.75</v>
      </c>
      <c r="G812">
        <v>0</v>
      </c>
      <c r="H812" s="7">
        <v>0</v>
      </c>
    </row>
    <row r="813" spans="1:8">
      <c r="A813">
        <v>1</v>
      </c>
      <c r="B813" t="s">
        <v>45</v>
      </c>
      <c r="C813" t="s">
        <v>33</v>
      </c>
      <c r="D813">
        <v>0</v>
      </c>
      <c r="E813">
        <v>1</v>
      </c>
      <c r="F813" s="7">
        <v>1741.24</v>
      </c>
      <c r="G813">
        <v>0</v>
      </c>
      <c r="H813" s="7">
        <v>0</v>
      </c>
    </row>
    <row r="814" spans="1:8">
      <c r="A814">
        <v>1</v>
      </c>
      <c r="B814" t="s">
        <v>42</v>
      </c>
      <c r="C814" t="s">
        <v>32</v>
      </c>
      <c r="D814">
        <v>0</v>
      </c>
      <c r="E814">
        <v>1</v>
      </c>
      <c r="F814" s="7">
        <v>553.25</v>
      </c>
      <c r="G814">
        <v>0</v>
      </c>
      <c r="H814" s="7">
        <v>0</v>
      </c>
    </row>
    <row r="815" spans="1:8">
      <c r="A815">
        <v>1</v>
      </c>
      <c r="B815" t="s">
        <v>42</v>
      </c>
      <c r="C815" t="s">
        <v>33</v>
      </c>
      <c r="D815">
        <v>0</v>
      </c>
      <c r="E815">
        <v>1</v>
      </c>
      <c r="F815" s="7">
        <v>6606.31</v>
      </c>
      <c r="G815">
        <v>0</v>
      </c>
      <c r="H815" s="7">
        <v>0</v>
      </c>
    </row>
    <row r="816" spans="1:8">
      <c r="A816">
        <v>1</v>
      </c>
      <c r="B816" t="s">
        <v>42</v>
      </c>
      <c r="C816" t="s">
        <v>33</v>
      </c>
      <c r="D816">
        <v>0</v>
      </c>
      <c r="E816">
        <v>1</v>
      </c>
      <c r="F816" s="7">
        <v>2075.94</v>
      </c>
      <c r="G816">
        <v>0</v>
      </c>
      <c r="H816" s="7">
        <v>0</v>
      </c>
    </row>
    <row r="817" spans="1:8">
      <c r="A817">
        <v>1</v>
      </c>
      <c r="B817" t="s">
        <v>43</v>
      </c>
      <c r="C817" t="s">
        <v>34</v>
      </c>
      <c r="D817">
        <v>0</v>
      </c>
      <c r="E817">
        <v>1</v>
      </c>
      <c r="F817" s="7">
        <v>84212.94</v>
      </c>
      <c r="G817">
        <v>0</v>
      </c>
      <c r="H817" s="7">
        <v>0</v>
      </c>
    </row>
    <row r="818" spans="1:8">
      <c r="A818">
        <v>1</v>
      </c>
      <c r="B818" t="s">
        <v>44</v>
      </c>
      <c r="C818" t="s">
        <v>35</v>
      </c>
      <c r="D818">
        <v>0</v>
      </c>
      <c r="E818">
        <v>1</v>
      </c>
      <c r="F818" s="7">
        <v>312108.51</v>
      </c>
      <c r="G818">
        <v>0</v>
      </c>
      <c r="H818" s="7">
        <v>0</v>
      </c>
    </row>
    <row r="819" spans="1:8">
      <c r="A819">
        <v>1</v>
      </c>
      <c r="B819" t="s">
        <v>42</v>
      </c>
      <c r="C819" t="s">
        <v>33</v>
      </c>
      <c r="D819">
        <v>0</v>
      </c>
      <c r="E819">
        <v>1</v>
      </c>
      <c r="F819" s="7">
        <v>1647.93</v>
      </c>
      <c r="G819">
        <v>0</v>
      </c>
      <c r="H819" s="7">
        <v>0</v>
      </c>
    </row>
    <row r="820" spans="1:8">
      <c r="A820">
        <v>1</v>
      </c>
      <c r="B820" t="s">
        <v>42</v>
      </c>
      <c r="C820" t="s">
        <v>33</v>
      </c>
      <c r="D820">
        <v>0</v>
      </c>
      <c r="E820">
        <v>1</v>
      </c>
      <c r="F820" s="7">
        <v>3533.32</v>
      </c>
      <c r="G820">
        <v>0</v>
      </c>
      <c r="H820" s="7">
        <v>0</v>
      </c>
    </row>
    <row r="821" spans="1:8">
      <c r="A821">
        <v>1</v>
      </c>
      <c r="B821" t="s">
        <v>42</v>
      </c>
      <c r="C821" t="s">
        <v>33</v>
      </c>
      <c r="D821">
        <v>0</v>
      </c>
      <c r="E821">
        <v>1</v>
      </c>
      <c r="F821" s="7">
        <v>7659.86</v>
      </c>
      <c r="G821">
        <v>0</v>
      </c>
      <c r="H821" s="7">
        <v>0</v>
      </c>
    </row>
    <row r="822" spans="1:8">
      <c r="A822">
        <v>1</v>
      </c>
      <c r="B822" t="s">
        <v>42</v>
      </c>
      <c r="C822" t="s">
        <v>33</v>
      </c>
      <c r="D822">
        <v>0</v>
      </c>
      <c r="E822">
        <v>1</v>
      </c>
      <c r="F822" s="7">
        <v>7203.07</v>
      </c>
      <c r="G822">
        <v>0</v>
      </c>
      <c r="H822" s="7">
        <v>0</v>
      </c>
    </row>
    <row r="823" spans="1:8">
      <c r="A823">
        <v>1</v>
      </c>
      <c r="B823" t="s">
        <v>44</v>
      </c>
      <c r="C823" t="s">
        <v>35</v>
      </c>
      <c r="D823">
        <v>0</v>
      </c>
      <c r="E823">
        <v>1</v>
      </c>
      <c r="F823" s="7">
        <v>116206.75</v>
      </c>
      <c r="G823">
        <v>0</v>
      </c>
      <c r="H823" s="7">
        <v>0</v>
      </c>
    </row>
    <row r="824" spans="1:8">
      <c r="A824">
        <v>1</v>
      </c>
      <c r="B824" t="s">
        <v>44</v>
      </c>
      <c r="C824" t="s">
        <v>34</v>
      </c>
      <c r="D824">
        <v>0</v>
      </c>
      <c r="E824">
        <v>1</v>
      </c>
      <c r="F824" s="7">
        <v>30331.38</v>
      </c>
      <c r="G824">
        <v>0</v>
      </c>
      <c r="H824" s="7">
        <v>0</v>
      </c>
    </row>
    <row r="825" spans="1:8">
      <c r="A825">
        <v>1</v>
      </c>
      <c r="B825" t="s">
        <v>42</v>
      </c>
      <c r="C825" t="s">
        <v>33</v>
      </c>
      <c r="D825">
        <v>0</v>
      </c>
      <c r="E825">
        <v>1</v>
      </c>
      <c r="F825" s="7">
        <v>2063.77</v>
      </c>
      <c r="G825">
        <v>0</v>
      </c>
      <c r="H825" s="7">
        <v>0</v>
      </c>
    </row>
    <row r="826" spans="1:8">
      <c r="A826">
        <v>1</v>
      </c>
      <c r="B826" t="s">
        <v>42</v>
      </c>
      <c r="C826" t="s">
        <v>33</v>
      </c>
      <c r="D826">
        <v>0</v>
      </c>
      <c r="E826">
        <v>1</v>
      </c>
      <c r="F826" s="7">
        <v>3035.35</v>
      </c>
      <c r="G826">
        <v>0</v>
      </c>
      <c r="H826" s="7">
        <v>0</v>
      </c>
    </row>
    <row r="827" spans="1:8">
      <c r="A827">
        <v>1</v>
      </c>
      <c r="B827" t="s">
        <v>44</v>
      </c>
      <c r="C827" t="s">
        <v>35</v>
      </c>
      <c r="D827">
        <v>0</v>
      </c>
      <c r="E827">
        <v>1</v>
      </c>
      <c r="F827" s="7">
        <v>123797.1</v>
      </c>
      <c r="G827">
        <v>0</v>
      </c>
      <c r="H827" s="7">
        <v>0</v>
      </c>
    </row>
    <row r="828" spans="1:8">
      <c r="A828">
        <v>1</v>
      </c>
      <c r="B828" t="s">
        <v>45</v>
      </c>
      <c r="C828" t="s">
        <v>33</v>
      </c>
      <c r="D828">
        <v>0</v>
      </c>
      <c r="E828">
        <v>1</v>
      </c>
      <c r="F828" s="7">
        <v>8233.25</v>
      </c>
      <c r="G828">
        <v>0</v>
      </c>
      <c r="H828" s="7">
        <v>0</v>
      </c>
    </row>
    <row r="829" spans="1:8">
      <c r="A829">
        <v>1</v>
      </c>
      <c r="B829" t="s">
        <v>42</v>
      </c>
      <c r="C829" t="s">
        <v>33</v>
      </c>
      <c r="D829">
        <v>0</v>
      </c>
      <c r="E829">
        <v>1</v>
      </c>
      <c r="F829" s="7">
        <v>2271.34</v>
      </c>
      <c r="G829">
        <v>0</v>
      </c>
      <c r="H829" s="7">
        <v>0</v>
      </c>
    </row>
    <row r="830" spans="1:8">
      <c r="A830">
        <v>1</v>
      </c>
      <c r="B830" t="s">
        <v>42</v>
      </c>
      <c r="C830" t="s">
        <v>33</v>
      </c>
      <c r="D830">
        <v>0</v>
      </c>
      <c r="E830">
        <v>1</v>
      </c>
      <c r="F830" s="7">
        <v>3801.74</v>
      </c>
      <c r="G830">
        <v>0</v>
      </c>
      <c r="H830" s="7">
        <v>0</v>
      </c>
    </row>
    <row r="831" spans="1:8">
      <c r="A831">
        <v>1</v>
      </c>
      <c r="B831" t="s">
        <v>42</v>
      </c>
      <c r="C831" t="s">
        <v>33</v>
      </c>
      <c r="D831">
        <v>0</v>
      </c>
      <c r="E831">
        <v>1</v>
      </c>
      <c r="F831" s="7">
        <v>1530.83</v>
      </c>
      <c r="G831">
        <v>0</v>
      </c>
      <c r="H831" s="7">
        <v>0</v>
      </c>
    </row>
    <row r="832" spans="1:8">
      <c r="A832">
        <v>1</v>
      </c>
      <c r="B832" t="s">
        <v>42</v>
      </c>
      <c r="C832" t="s">
        <v>33</v>
      </c>
      <c r="D832">
        <v>0</v>
      </c>
      <c r="E832">
        <v>1</v>
      </c>
      <c r="F832" s="7">
        <v>4833.96</v>
      </c>
      <c r="G832">
        <v>0</v>
      </c>
      <c r="H832" s="7">
        <v>0</v>
      </c>
    </row>
    <row r="833" spans="1:8">
      <c r="A833">
        <v>1</v>
      </c>
      <c r="B833" t="s">
        <v>42</v>
      </c>
      <c r="C833" t="s">
        <v>33</v>
      </c>
      <c r="D833">
        <v>0</v>
      </c>
      <c r="E833">
        <v>1</v>
      </c>
      <c r="F833" s="7">
        <v>5842.61</v>
      </c>
      <c r="G833">
        <v>0</v>
      </c>
      <c r="H833" s="7">
        <v>0</v>
      </c>
    </row>
    <row r="834" spans="1:8">
      <c r="A834">
        <v>1</v>
      </c>
      <c r="B834" t="s">
        <v>42</v>
      </c>
      <c r="C834" t="s">
        <v>33</v>
      </c>
      <c r="D834">
        <v>0</v>
      </c>
      <c r="E834">
        <v>1</v>
      </c>
      <c r="F834" s="7">
        <v>2871.89</v>
      </c>
      <c r="G834">
        <v>0</v>
      </c>
      <c r="H834" s="7">
        <v>0</v>
      </c>
    </row>
    <row r="835" spans="1:8">
      <c r="A835">
        <v>1</v>
      </c>
      <c r="B835" t="s">
        <v>45</v>
      </c>
      <c r="C835" t="s">
        <v>33</v>
      </c>
      <c r="D835">
        <v>0</v>
      </c>
      <c r="E835">
        <v>1</v>
      </c>
      <c r="F835" s="7">
        <v>5297.36</v>
      </c>
      <c r="G835">
        <v>0</v>
      </c>
      <c r="H835" s="7">
        <v>0</v>
      </c>
    </row>
    <row r="836" spans="1:8">
      <c r="A836">
        <v>1</v>
      </c>
      <c r="B836" t="s">
        <v>43</v>
      </c>
      <c r="C836" t="s">
        <v>35</v>
      </c>
      <c r="D836">
        <v>0</v>
      </c>
      <c r="E836">
        <v>1</v>
      </c>
      <c r="F836" s="7">
        <v>621561.65</v>
      </c>
      <c r="G836">
        <v>0</v>
      </c>
      <c r="H836" s="7">
        <v>0</v>
      </c>
    </row>
    <row r="837" spans="1:8">
      <c r="A837">
        <v>1</v>
      </c>
      <c r="B837" t="s">
        <v>42</v>
      </c>
      <c r="C837" t="s">
        <v>32</v>
      </c>
      <c r="D837">
        <v>0</v>
      </c>
      <c r="E837">
        <v>1</v>
      </c>
      <c r="F837" s="7">
        <v>829.07</v>
      </c>
      <c r="G837">
        <v>0</v>
      </c>
      <c r="H837" s="7">
        <v>0</v>
      </c>
    </row>
    <row r="838" spans="1:8">
      <c r="A838">
        <v>1</v>
      </c>
      <c r="B838" t="s">
        <v>42</v>
      </c>
      <c r="C838" t="s">
        <v>33</v>
      </c>
      <c r="D838">
        <v>0</v>
      </c>
      <c r="E838">
        <v>1</v>
      </c>
      <c r="F838" s="7">
        <v>3418.07</v>
      </c>
      <c r="G838">
        <v>0</v>
      </c>
      <c r="H838" s="7">
        <v>0</v>
      </c>
    </row>
    <row r="839" spans="1:8">
      <c r="A839">
        <v>1</v>
      </c>
      <c r="B839" t="s">
        <v>44</v>
      </c>
      <c r="C839" t="s">
        <v>34</v>
      </c>
      <c r="D839">
        <v>0</v>
      </c>
      <c r="E839">
        <v>1</v>
      </c>
      <c r="F839" s="7">
        <v>41924.75</v>
      </c>
      <c r="G839">
        <v>0</v>
      </c>
      <c r="H839" s="7">
        <v>0</v>
      </c>
    </row>
    <row r="840" spans="1:8">
      <c r="A840">
        <v>1</v>
      </c>
      <c r="B840" t="s">
        <v>44</v>
      </c>
      <c r="C840" t="s">
        <v>35</v>
      </c>
      <c r="D840">
        <v>0</v>
      </c>
      <c r="E840">
        <v>1</v>
      </c>
      <c r="F840" s="7">
        <v>173597.57</v>
      </c>
      <c r="G840">
        <v>0</v>
      </c>
      <c r="H840" s="7">
        <v>0</v>
      </c>
    </row>
    <row r="841" spans="1:8">
      <c r="A841">
        <v>1</v>
      </c>
      <c r="B841" t="s">
        <v>44</v>
      </c>
      <c r="C841" t="s">
        <v>34</v>
      </c>
      <c r="D841">
        <v>0</v>
      </c>
      <c r="E841">
        <v>1</v>
      </c>
      <c r="F841" s="7">
        <v>77642.84</v>
      </c>
      <c r="G841">
        <v>0</v>
      </c>
      <c r="H841" s="7">
        <v>0</v>
      </c>
    </row>
    <row r="842" spans="1:8">
      <c r="A842">
        <v>1</v>
      </c>
      <c r="B842" t="s">
        <v>44</v>
      </c>
      <c r="C842" t="s">
        <v>35</v>
      </c>
      <c r="D842">
        <v>0</v>
      </c>
      <c r="E842">
        <v>1</v>
      </c>
      <c r="F842" s="7">
        <v>144964.23</v>
      </c>
      <c r="G842">
        <v>0</v>
      </c>
      <c r="H842" s="7">
        <v>0</v>
      </c>
    </row>
    <row r="843" spans="1:8">
      <c r="A843">
        <v>1</v>
      </c>
      <c r="B843" t="s">
        <v>44</v>
      </c>
      <c r="C843" t="s">
        <v>34</v>
      </c>
      <c r="D843">
        <v>0</v>
      </c>
      <c r="E843">
        <v>1</v>
      </c>
      <c r="F843" s="7">
        <v>94038.9</v>
      </c>
      <c r="G843">
        <v>0</v>
      </c>
      <c r="H843" s="7">
        <v>0</v>
      </c>
    </row>
    <row r="844" spans="1:8">
      <c r="A844">
        <v>1</v>
      </c>
      <c r="B844" t="s">
        <v>44</v>
      </c>
      <c r="C844" t="s">
        <v>34</v>
      </c>
      <c r="D844">
        <v>0</v>
      </c>
      <c r="E844">
        <v>1</v>
      </c>
      <c r="F844" s="7">
        <v>26051.33</v>
      </c>
      <c r="G844">
        <v>0</v>
      </c>
      <c r="H844" s="7">
        <v>0</v>
      </c>
    </row>
    <row r="845" spans="1:8">
      <c r="A845">
        <v>1</v>
      </c>
      <c r="B845" t="s">
        <v>44</v>
      </c>
      <c r="C845" t="s">
        <v>35</v>
      </c>
      <c r="D845">
        <v>0</v>
      </c>
      <c r="E845">
        <v>1</v>
      </c>
      <c r="F845" s="7">
        <v>134143.27</v>
      </c>
      <c r="G845">
        <v>0</v>
      </c>
      <c r="H845" s="7">
        <v>0</v>
      </c>
    </row>
    <row r="846" spans="1:8">
      <c r="A846">
        <v>1</v>
      </c>
      <c r="B846" t="s">
        <v>44</v>
      </c>
      <c r="C846" t="s">
        <v>35</v>
      </c>
      <c r="D846">
        <v>0</v>
      </c>
      <c r="E846">
        <v>1</v>
      </c>
      <c r="F846" s="7">
        <v>497424.19</v>
      </c>
      <c r="G846">
        <v>0</v>
      </c>
      <c r="H846" s="7">
        <v>0</v>
      </c>
    </row>
    <row r="847" spans="1:8">
      <c r="A847">
        <v>1</v>
      </c>
      <c r="B847" t="s">
        <v>44</v>
      </c>
      <c r="C847" t="s">
        <v>35</v>
      </c>
      <c r="D847">
        <v>0</v>
      </c>
      <c r="E847">
        <v>1</v>
      </c>
      <c r="F847" s="7">
        <v>607616.73</v>
      </c>
      <c r="G847">
        <v>0</v>
      </c>
      <c r="H847" s="7">
        <v>0</v>
      </c>
    </row>
    <row r="848" spans="1:8">
      <c r="A848">
        <v>1</v>
      </c>
      <c r="B848" t="s">
        <v>44</v>
      </c>
      <c r="C848" t="s">
        <v>35</v>
      </c>
      <c r="D848">
        <v>0</v>
      </c>
      <c r="E848">
        <v>1</v>
      </c>
      <c r="F848" s="7">
        <v>681093.57</v>
      </c>
      <c r="G848">
        <v>0</v>
      </c>
      <c r="H848" s="7">
        <v>0</v>
      </c>
    </row>
    <row r="849" spans="1:8">
      <c r="A849">
        <v>1</v>
      </c>
      <c r="B849" t="s">
        <v>44</v>
      </c>
      <c r="C849" t="s">
        <v>35</v>
      </c>
      <c r="D849">
        <v>0</v>
      </c>
      <c r="E849">
        <v>1</v>
      </c>
      <c r="F849" s="7">
        <v>114057.61</v>
      </c>
      <c r="G849">
        <v>0</v>
      </c>
      <c r="H849" s="7">
        <v>0</v>
      </c>
    </row>
    <row r="850" spans="1:8">
      <c r="A850">
        <v>1</v>
      </c>
      <c r="B850" t="s">
        <v>44</v>
      </c>
      <c r="C850" t="s">
        <v>35</v>
      </c>
      <c r="D850">
        <v>0</v>
      </c>
      <c r="E850">
        <v>1</v>
      </c>
      <c r="F850" s="7">
        <v>205279.62</v>
      </c>
      <c r="G850">
        <v>0</v>
      </c>
      <c r="H850" s="7">
        <v>0</v>
      </c>
    </row>
    <row r="851" spans="1:8">
      <c r="A851">
        <v>1</v>
      </c>
      <c r="B851" t="s">
        <v>44</v>
      </c>
      <c r="C851" t="s">
        <v>35</v>
      </c>
      <c r="D851">
        <v>0</v>
      </c>
      <c r="E851">
        <v>1</v>
      </c>
      <c r="F851" s="7">
        <v>173512.93</v>
      </c>
      <c r="G851">
        <v>0</v>
      </c>
      <c r="H851" s="7">
        <v>0</v>
      </c>
    </row>
    <row r="852" spans="1:8">
      <c r="A852">
        <v>1</v>
      </c>
      <c r="B852" t="s">
        <v>44</v>
      </c>
      <c r="C852" t="s">
        <v>35</v>
      </c>
      <c r="D852">
        <v>0</v>
      </c>
      <c r="E852">
        <v>1</v>
      </c>
      <c r="F852" s="7">
        <v>166817.98</v>
      </c>
      <c r="G852">
        <v>0</v>
      </c>
      <c r="H852" s="7">
        <v>0</v>
      </c>
    </row>
    <row r="853" spans="1:8">
      <c r="A853">
        <v>1</v>
      </c>
      <c r="B853" t="s">
        <v>44</v>
      </c>
      <c r="C853" t="s">
        <v>35</v>
      </c>
      <c r="D853">
        <v>0</v>
      </c>
      <c r="E853">
        <v>1</v>
      </c>
      <c r="F853" s="7">
        <v>113283.13</v>
      </c>
      <c r="G853">
        <v>0</v>
      </c>
      <c r="H853" s="7">
        <v>0</v>
      </c>
    </row>
    <row r="854" spans="1:8">
      <c r="A854">
        <v>1</v>
      </c>
      <c r="B854" t="s">
        <v>44</v>
      </c>
      <c r="C854" t="s">
        <v>35</v>
      </c>
      <c r="D854">
        <v>0</v>
      </c>
      <c r="E854">
        <v>1</v>
      </c>
      <c r="F854" s="7">
        <v>179030.05</v>
      </c>
      <c r="G854">
        <v>0</v>
      </c>
      <c r="H854" s="7">
        <v>0</v>
      </c>
    </row>
    <row r="855" spans="1:8">
      <c r="A855">
        <v>1</v>
      </c>
      <c r="B855" t="s">
        <v>44</v>
      </c>
      <c r="C855" t="s">
        <v>34</v>
      </c>
      <c r="D855">
        <v>0</v>
      </c>
      <c r="E855">
        <v>1</v>
      </c>
      <c r="F855" s="7">
        <v>94332</v>
      </c>
      <c r="G855">
        <v>0</v>
      </c>
      <c r="H855" s="7">
        <v>0</v>
      </c>
    </row>
    <row r="856" spans="1:8">
      <c r="A856">
        <v>1</v>
      </c>
      <c r="B856" t="s">
        <v>44</v>
      </c>
      <c r="C856" t="s">
        <v>35</v>
      </c>
      <c r="D856">
        <v>0</v>
      </c>
      <c r="E856">
        <v>1</v>
      </c>
      <c r="F856" s="7">
        <v>141111.15</v>
      </c>
      <c r="G856">
        <v>0</v>
      </c>
      <c r="H856" s="7">
        <v>0</v>
      </c>
    </row>
    <row r="857" spans="1:8">
      <c r="A857">
        <v>1</v>
      </c>
      <c r="B857" t="s">
        <v>44</v>
      </c>
      <c r="C857" t="s">
        <v>34</v>
      </c>
      <c r="D857">
        <v>0</v>
      </c>
      <c r="E857">
        <v>1</v>
      </c>
      <c r="F857" s="7">
        <v>45756.23</v>
      </c>
      <c r="G857">
        <v>0</v>
      </c>
      <c r="H857" s="7">
        <v>0</v>
      </c>
    </row>
    <row r="858" spans="1:8">
      <c r="A858">
        <v>1</v>
      </c>
      <c r="B858" t="s">
        <v>44</v>
      </c>
      <c r="C858" t="s">
        <v>33</v>
      </c>
      <c r="D858">
        <v>0</v>
      </c>
      <c r="E858">
        <v>1</v>
      </c>
      <c r="F858" s="7">
        <v>6039.61</v>
      </c>
      <c r="G858">
        <v>0</v>
      </c>
      <c r="H858" s="7">
        <v>0</v>
      </c>
    </row>
    <row r="859" spans="1:8">
      <c r="A859">
        <v>1</v>
      </c>
      <c r="B859" t="s">
        <v>44</v>
      </c>
      <c r="C859" t="s">
        <v>34</v>
      </c>
      <c r="D859">
        <v>0</v>
      </c>
      <c r="E859">
        <v>1</v>
      </c>
      <c r="F859" s="7">
        <v>46261.02</v>
      </c>
      <c r="G859">
        <v>0</v>
      </c>
      <c r="H859" s="7">
        <v>0</v>
      </c>
    </row>
    <row r="860" spans="1:8">
      <c r="A860">
        <v>1</v>
      </c>
      <c r="B860" t="s">
        <v>44</v>
      </c>
      <c r="C860" t="s">
        <v>35</v>
      </c>
      <c r="D860">
        <v>0</v>
      </c>
      <c r="E860">
        <v>1</v>
      </c>
      <c r="F860" s="7">
        <v>312471.16</v>
      </c>
      <c r="G860">
        <v>0</v>
      </c>
      <c r="H860" s="7">
        <v>0</v>
      </c>
    </row>
    <row r="861" spans="1:8">
      <c r="A861">
        <v>1</v>
      </c>
      <c r="B861" t="s">
        <v>44</v>
      </c>
      <c r="C861" t="s">
        <v>35</v>
      </c>
      <c r="D861">
        <v>0</v>
      </c>
      <c r="E861">
        <v>1</v>
      </c>
      <c r="F861" s="7">
        <v>195490.04</v>
      </c>
      <c r="G861">
        <v>0</v>
      </c>
      <c r="H861" s="7">
        <v>0</v>
      </c>
    </row>
    <row r="862" spans="1:8">
      <c r="A862">
        <v>1</v>
      </c>
      <c r="B862" t="s">
        <v>44</v>
      </c>
      <c r="C862" t="s">
        <v>35</v>
      </c>
      <c r="D862">
        <v>0</v>
      </c>
      <c r="E862">
        <v>1</v>
      </c>
      <c r="F862" s="7">
        <v>107308.84</v>
      </c>
      <c r="G862">
        <v>0</v>
      </c>
      <c r="H862" s="7">
        <v>0</v>
      </c>
    </row>
    <row r="863" spans="1:8">
      <c r="A863">
        <v>1</v>
      </c>
      <c r="B863" t="s">
        <v>44</v>
      </c>
      <c r="C863" t="s">
        <v>34</v>
      </c>
      <c r="D863">
        <v>0</v>
      </c>
      <c r="E863">
        <v>1</v>
      </c>
      <c r="F863" s="7">
        <v>48252.82</v>
      </c>
      <c r="G863">
        <v>0</v>
      </c>
      <c r="H863" s="7">
        <v>0</v>
      </c>
    </row>
    <row r="864" spans="1:8">
      <c r="A864">
        <v>1</v>
      </c>
      <c r="B864" t="s">
        <v>44</v>
      </c>
      <c r="C864" t="s">
        <v>34</v>
      </c>
      <c r="D864">
        <v>0</v>
      </c>
      <c r="E864">
        <v>1</v>
      </c>
      <c r="F864" s="7">
        <v>25674.03</v>
      </c>
      <c r="G864">
        <v>0</v>
      </c>
      <c r="H864" s="7">
        <v>0</v>
      </c>
    </row>
    <row r="865" spans="1:8">
      <c r="A865">
        <v>1</v>
      </c>
      <c r="B865" t="s">
        <v>44</v>
      </c>
      <c r="C865" t="s">
        <v>34</v>
      </c>
      <c r="D865">
        <v>0</v>
      </c>
      <c r="E865">
        <v>1</v>
      </c>
      <c r="F865" s="7">
        <v>63830.49</v>
      </c>
      <c r="G865">
        <v>0</v>
      </c>
      <c r="H865" s="7">
        <v>0</v>
      </c>
    </row>
    <row r="866" spans="1:8">
      <c r="A866">
        <v>1</v>
      </c>
      <c r="B866" t="s">
        <v>44</v>
      </c>
      <c r="C866" t="s">
        <v>34</v>
      </c>
      <c r="D866">
        <v>0</v>
      </c>
      <c r="E866">
        <v>1</v>
      </c>
      <c r="F866" s="7">
        <v>96178.8</v>
      </c>
      <c r="G866">
        <v>0</v>
      </c>
      <c r="H866" s="7">
        <v>0</v>
      </c>
    </row>
    <row r="867" spans="1:8">
      <c r="A867">
        <v>1</v>
      </c>
      <c r="B867" t="s">
        <v>44</v>
      </c>
      <c r="C867" t="s">
        <v>35</v>
      </c>
      <c r="D867">
        <v>0</v>
      </c>
      <c r="E867">
        <v>1</v>
      </c>
      <c r="F867" s="7">
        <v>155122.86</v>
      </c>
      <c r="G867">
        <v>0</v>
      </c>
      <c r="H867" s="7">
        <v>0</v>
      </c>
    </row>
    <row r="868" spans="1:8">
      <c r="A868">
        <v>1</v>
      </c>
      <c r="B868" t="s">
        <v>44</v>
      </c>
      <c r="C868" t="s">
        <v>35</v>
      </c>
      <c r="D868">
        <v>0</v>
      </c>
      <c r="E868">
        <v>1</v>
      </c>
      <c r="F868" s="7">
        <v>171757.76</v>
      </c>
      <c r="G868">
        <v>0</v>
      </c>
      <c r="H868" s="7">
        <v>0</v>
      </c>
    </row>
    <row r="869" spans="1:8">
      <c r="A869">
        <v>1</v>
      </c>
      <c r="B869" t="s">
        <v>44</v>
      </c>
      <c r="C869" t="s">
        <v>33</v>
      </c>
      <c r="D869">
        <v>0</v>
      </c>
      <c r="E869">
        <v>1</v>
      </c>
      <c r="F869" s="7">
        <v>8809.04</v>
      </c>
      <c r="G869">
        <v>0</v>
      </c>
      <c r="H869" s="7">
        <v>0</v>
      </c>
    </row>
    <row r="870" spans="1:8">
      <c r="A870">
        <v>1</v>
      </c>
      <c r="B870" t="s">
        <v>44</v>
      </c>
      <c r="C870" t="s">
        <v>34</v>
      </c>
      <c r="D870">
        <v>0</v>
      </c>
      <c r="E870">
        <v>1</v>
      </c>
      <c r="F870" s="7">
        <v>27320.2</v>
      </c>
      <c r="G870">
        <v>0</v>
      </c>
      <c r="H870" s="7">
        <v>0</v>
      </c>
    </row>
    <row r="871" spans="1:8">
      <c r="A871">
        <v>1</v>
      </c>
      <c r="B871" t="s">
        <v>44</v>
      </c>
      <c r="C871" t="s">
        <v>35</v>
      </c>
      <c r="D871">
        <v>0</v>
      </c>
      <c r="E871">
        <v>1</v>
      </c>
      <c r="F871" s="7">
        <v>517915.91</v>
      </c>
      <c r="G871">
        <v>0</v>
      </c>
      <c r="H871" s="7">
        <v>0</v>
      </c>
    </row>
    <row r="872" spans="1:8">
      <c r="A872">
        <v>1</v>
      </c>
      <c r="B872" t="s">
        <v>44</v>
      </c>
      <c r="C872" t="s">
        <v>34</v>
      </c>
      <c r="D872">
        <v>0</v>
      </c>
      <c r="E872">
        <v>1</v>
      </c>
      <c r="F872" s="7">
        <v>34629.16</v>
      </c>
      <c r="G872">
        <v>0</v>
      </c>
      <c r="H872" s="7">
        <v>0</v>
      </c>
    </row>
    <row r="873" spans="1:8">
      <c r="A873">
        <v>1</v>
      </c>
      <c r="B873" t="s">
        <v>44</v>
      </c>
      <c r="C873" t="s">
        <v>34</v>
      </c>
      <c r="D873">
        <v>0</v>
      </c>
      <c r="E873">
        <v>1</v>
      </c>
      <c r="F873" s="7">
        <v>94296.25</v>
      </c>
      <c r="G873">
        <v>0</v>
      </c>
      <c r="H873" s="7">
        <v>0</v>
      </c>
    </row>
    <row r="874" spans="1:8">
      <c r="A874">
        <v>1</v>
      </c>
      <c r="B874" t="s">
        <v>44</v>
      </c>
      <c r="C874" t="s">
        <v>35</v>
      </c>
      <c r="D874">
        <v>0</v>
      </c>
      <c r="E874">
        <v>1</v>
      </c>
      <c r="F874" s="7">
        <v>285360.06</v>
      </c>
      <c r="G874">
        <v>0</v>
      </c>
      <c r="H874" s="7">
        <v>0</v>
      </c>
    </row>
    <row r="875" spans="1:8">
      <c r="A875">
        <v>1</v>
      </c>
      <c r="B875" t="s">
        <v>44</v>
      </c>
      <c r="C875" t="s">
        <v>35</v>
      </c>
      <c r="D875">
        <v>0</v>
      </c>
      <c r="E875">
        <v>1</v>
      </c>
      <c r="F875" s="7">
        <v>161445.91</v>
      </c>
      <c r="G875">
        <v>0</v>
      </c>
      <c r="H875" s="7">
        <v>0</v>
      </c>
    </row>
    <row r="876" spans="1:8">
      <c r="A876">
        <v>1</v>
      </c>
      <c r="B876" t="s">
        <v>44</v>
      </c>
      <c r="C876" t="s">
        <v>35</v>
      </c>
      <c r="D876">
        <v>0</v>
      </c>
      <c r="E876">
        <v>1</v>
      </c>
      <c r="F876" s="7">
        <v>386683.04</v>
      </c>
      <c r="G876">
        <v>0</v>
      </c>
      <c r="H876" s="7">
        <v>0</v>
      </c>
    </row>
    <row r="877" spans="1:8">
      <c r="A877">
        <v>1</v>
      </c>
      <c r="B877" t="s">
        <v>44</v>
      </c>
      <c r="C877" t="s">
        <v>35</v>
      </c>
      <c r="D877">
        <v>0</v>
      </c>
      <c r="E877">
        <v>1</v>
      </c>
      <c r="F877" s="7">
        <v>169854.57</v>
      </c>
      <c r="G877">
        <v>0</v>
      </c>
      <c r="H877" s="7">
        <v>0</v>
      </c>
    </row>
    <row r="878" spans="1:8">
      <c r="A878">
        <v>1</v>
      </c>
      <c r="B878" t="s">
        <v>44</v>
      </c>
      <c r="C878" t="s">
        <v>35</v>
      </c>
      <c r="D878">
        <v>0</v>
      </c>
      <c r="E878">
        <v>1</v>
      </c>
      <c r="F878" s="7">
        <v>126167.7</v>
      </c>
      <c r="G878">
        <v>0</v>
      </c>
      <c r="H878" s="7">
        <v>0</v>
      </c>
    </row>
    <row r="879" spans="1:8">
      <c r="A879">
        <v>1</v>
      </c>
      <c r="B879" t="s">
        <v>44</v>
      </c>
      <c r="C879" t="s">
        <v>35</v>
      </c>
      <c r="D879">
        <v>0</v>
      </c>
      <c r="E879">
        <v>1</v>
      </c>
      <c r="F879" s="7">
        <v>152757.58</v>
      </c>
      <c r="G879">
        <v>0</v>
      </c>
      <c r="H879" s="7">
        <v>0</v>
      </c>
    </row>
    <row r="880" spans="1:8">
      <c r="A880">
        <v>1</v>
      </c>
      <c r="B880" t="s">
        <v>44</v>
      </c>
      <c r="C880" t="s">
        <v>34</v>
      </c>
      <c r="D880">
        <v>0</v>
      </c>
      <c r="E880">
        <v>1</v>
      </c>
      <c r="F880" s="7">
        <v>49661.18</v>
      </c>
      <c r="G880">
        <v>0</v>
      </c>
      <c r="H880" s="7">
        <v>0</v>
      </c>
    </row>
    <row r="881" spans="1:8">
      <c r="A881">
        <v>1</v>
      </c>
      <c r="B881" t="s">
        <v>44</v>
      </c>
      <c r="C881" t="s">
        <v>34</v>
      </c>
      <c r="D881">
        <v>0</v>
      </c>
      <c r="E881">
        <v>1</v>
      </c>
      <c r="F881" s="7">
        <v>73513.5</v>
      </c>
      <c r="G881">
        <v>0</v>
      </c>
      <c r="H881" s="7">
        <v>0</v>
      </c>
    </row>
    <row r="882" spans="1:8">
      <c r="A882">
        <v>1</v>
      </c>
      <c r="B882" t="s">
        <v>44</v>
      </c>
      <c r="C882" t="s">
        <v>35</v>
      </c>
      <c r="D882">
        <v>0</v>
      </c>
      <c r="E882">
        <v>1</v>
      </c>
      <c r="F882" s="7">
        <v>166335.32</v>
      </c>
      <c r="G882">
        <v>0</v>
      </c>
      <c r="H882" s="7">
        <v>0</v>
      </c>
    </row>
    <row r="883" spans="1:8">
      <c r="A883">
        <v>1</v>
      </c>
      <c r="B883" t="s">
        <v>44</v>
      </c>
      <c r="C883" t="s">
        <v>35</v>
      </c>
      <c r="D883">
        <v>0</v>
      </c>
      <c r="E883">
        <v>1</v>
      </c>
      <c r="F883" s="7">
        <v>234268.82</v>
      </c>
      <c r="G883">
        <v>0</v>
      </c>
      <c r="H883" s="7">
        <v>0</v>
      </c>
    </row>
    <row r="884" spans="1:8">
      <c r="A884">
        <v>1</v>
      </c>
      <c r="B884" t="s">
        <v>44</v>
      </c>
      <c r="C884" t="s">
        <v>35</v>
      </c>
      <c r="D884">
        <v>0</v>
      </c>
      <c r="E884">
        <v>1</v>
      </c>
      <c r="F884" s="7">
        <v>306280.12</v>
      </c>
      <c r="G884">
        <v>0</v>
      </c>
      <c r="H884" s="7">
        <v>0</v>
      </c>
    </row>
    <row r="885" spans="1:8">
      <c r="A885">
        <v>1</v>
      </c>
      <c r="B885" t="s">
        <v>44</v>
      </c>
      <c r="C885" t="s">
        <v>35</v>
      </c>
      <c r="D885">
        <v>0</v>
      </c>
      <c r="E885">
        <v>1</v>
      </c>
      <c r="F885" s="7">
        <v>194620.68</v>
      </c>
      <c r="G885">
        <v>0</v>
      </c>
      <c r="H885" s="7">
        <v>0</v>
      </c>
    </row>
    <row r="886" spans="1:8">
      <c r="A886">
        <v>1</v>
      </c>
      <c r="B886" t="s">
        <v>44</v>
      </c>
      <c r="C886" t="s">
        <v>35</v>
      </c>
      <c r="D886">
        <v>0</v>
      </c>
      <c r="E886">
        <v>1</v>
      </c>
      <c r="F886" s="7">
        <v>128278.74</v>
      </c>
      <c r="G886">
        <v>0</v>
      </c>
      <c r="H886" s="7">
        <v>0</v>
      </c>
    </row>
    <row r="887" spans="1:8">
      <c r="A887">
        <v>1</v>
      </c>
      <c r="B887" t="s">
        <v>44</v>
      </c>
      <c r="C887" t="s">
        <v>35</v>
      </c>
      <c r="D887">
        <v>0</v>
      </c>
      <c r="E887">
        <v>1</v>
      </c>
      <c r="F887" s="7">
        <v>256773.54</v>
      </c>
      <c r="G887">
        <v>0</v>
      </c>
      <c r="H887" s="7">
        <v>0</v>
      </c>
    </row>
    <row r="888" spans="1:8">
      <c r="A888">
        <v>1</v>
      </c>
      <c r="B888" t="s">
        <v>44</v>
      </c>
      <c r="C888" t="s">
        <v>35</v>
      </c>
      <c r="D888">
        <v>0</v>
      </c>
      <c r="E888">
        <v>1</v>
      </c>
      <c r="F888" s="7">
        <v>105759.12</v>
      </c>
      <c r="G888">
        <v>0</v>
      </c>
      <c r="H888" s="7">
        <v>0</v>
      </c>
    </row>
    <row r="889" spans="1:8">
      <c r="A889">
        <v>1</v>
      </c>
      <c r="B889" t="s">
        <v>44</v>
      </c>
      <c r="C889" t="s">
        <v>34</v>
      </c>
      <c r="D889">
        <v>0</v>
      </c>
      <c r="E889">
        <v>1</v>
      </c>
      <c r="F889" s="7">
        <v>59390.46</v>
      </c>
      <c r="G889">
        <v>0</v>
      </c>
      <c r="H889" s="7">
        <v>0</v>
      </c>
    </row>
    <row r="890" spans="1:8">
      <c r="A890">
        <v>1</v>
      </c>
      <c r="B890" t="s">
        <v>44</v>
      </c>
      <c r="C890" t="s">
        <v>35</v>
      </c>
      <c r="D890">
        <v>0</v>
      </c>
      <c r="E890">
        <v>1</v>
      </c>
      <c r="F890" s="7">
        <v>131991.26</v>
      </c>
      <c r="G890">
        <v>0</v>
      </c>
      <c r="H890" s="7">
        <v>0</v>
      </c>
    </row>
    <row r="891" spans="1:8">
      <c r="A891">
        <v>1</v>
      </c>
      <c r="B891" t="s">
        <v>44</v>
      </c>
      <c r="C891" t="s">
        <v>34</v>
      </c>
      <c r="D891">
        <v>0</v>
      </c>
      <c r="E891">
        <v>1</v>
      </c>
      <c r="F891" s="7">
        <v>65025.3</v>
      </c>
      <c r="G891">
        <v>0</v>
      </c>
      <c r="H891" s="7">
        <v>0</v>
      </c>
    </row>
    <row r="892" spans="1:8">
      <c r="A892">
        <v>1</v>
      </c>
      <c r="B892" t="s">
        <v>44</v>
      </c>
      <c r="C892" t="s">
        <v>34</v>
      </c>
      <c r="D892">
        <v>0</v>
      </c>
      <c r="E892">
        <v>1</v>
      </c>
      <c r="F892" s="7">
        <v>82054.36</v>
      </c>
      <c r="G892">
        <v>0</v>
      </c>
      <c r="H892" s="7">
        <v>0</v>
      </c>
    </row>
    <row r="893" spans="1:8">
      <c r="A893">
        <v>1</v>
      </c>
      <c r="B893" t="s">
        <v>44</v>
      </c>
      <c r="C893" t="s">
        <v>34</v>
      </c>
      <c r="D893">
        <v>0</v>
      </c>
      <c r="E893">
        <v>1</v>
      </c>
      <c r="F893" s="7">
        <v>69708.79</v>
      </c>
      <c r="G893">
        <v>0</v>
      </c>
      <c r="H893" s="7">
        <v>0</v>
      </c>
    </row>
    <row r="894" spans="1:8">
      <c r="A894">
        <v>1</v>
      </c>
      <c r="B894" t="s">
        <v>44</v>
      </c>
      <c r="C894" t="s">
        <v>33</v>
      </c>
      <c r="D894">
        <v>0</v>
      </c>
      <c r="E894">
        <v>1</v>
      </c>
      <c r="F894" s="7">
        <v>9104.26</v>
      </c>
      <c r="G894">
        <v>0</v>
      </c>
      <c r="H894" s="7">
        <v>0</v>
      </c>
    </row>
    <row r="895" spans="1:8">
      <c r="A895">
        <v>1</v>
      </c>
      <c r="B895" t="s">
        <v>44</v>
      </c>
      <c r="C895" t="s">
        <v>34</v>
      </c>
      <c r="D895">
        <v>0</v>
      </c>
      <c r="E895">
        <v>1</v>
      </c>
      <c r="F895" s="7">
        <v>92553.64</v>
      </c>
      <c r="G895">
        <v>0</v>
      </c>
      <c r="H895" s="7">
        <v>0</v>
      </c>
    </row>
    <row r="896" spans="1:8">
      <c r="A896">
        <v>1</v>
      </c>
      <c r="B896" t="s">
        <v>44</v>
      </c>
      <c r="C896" t="s">
        <v>34</v>
      </c>
      <c r="D896">
        <v>0</v>
      </c>
      <c r="E896">
        <v>1</v>
      </c>
      <c r="F896" s="7">
        <v>66312.08</v>
      </c>
      <c r="G896">
        <v>0</v>
      </c>
      <c r="H896" s="7">
        <v>0</v>
      </c>
    </row>
    <row r="897" spans="1:8">
      <c r="A897">
        <v>1</v>
      </c>
      <c r="B897" t="s">
        <v>44</v>
      </c>
      <c r="C897" t="s">
        <v>35</v>
      </c>
      <c r="D897">
        <v>0</v>
      </c>
      <c r="E897">
        <v>1</v>
      </c>
      <c r="F897" s="7">
        <v>142282.63</v>
      </c>
      <c r="G897">
        <v>0</v>
      </c>
      <c r="H897" s="7">
        <v>0</v>
      </c>
    </row>
    <row r="898" spans="1:8">
      <c r="A898">
        <v>1</v>
      </c>
      <c r="B898" t="s">
        <v>44</v>
      </c>
      <c r="C898" t="s">
        <v>35</v>
      </c>
      <c r="D898">
        <v>0</v>
      </c>
      <c r="E898">
        <v>1</v>
      </c>
      <c r="F898" s="7">
        <v>114499.14</v>
      </c>
      <c r="G898">
        <v>0</v>
      </c>
      <c r="H898" s="7">
        <v>0</v>
      </c>
    </row>
    <row r="899" spans="1:8">
      <c r="A899">
        <v>1</v>
      </c>
      <c r="B899" t="s">
        <v>44</v>
      </c>
      <c r="C899" t="s">
        <v>34</v>
      </c>
      <c r="D899">
        <v>0</v>
      </c>
      <c r="E899">
        <v>1</v>
      </c>
      <c r="F899" s="7">
        <v>76635.24</v>
      </c>
      <c r="G899">
        <v>0</v>
      </c>
      <c r="H899" s="7">
        <v>0</v>
      </c>
    </row>
    <row r="900" spans="1:8">
      <c r="A900">
        <v>1</v>
      </c>
      <c r="B900" t="s">
        <v>44</v>
      </c>
      <c r="C900" t="s">
        <v>35</v>
      </c>
      <c r="D900">
        <v>0</v>
      </c>
      <c r="E900">
        <v>1</v>
      </c>
      <c r="F900" s="7">
        <v>132574</v>
      </c>
      <c r="G900">
        <v>0</v>
      </c>
      <c r="H900" s="7">
        <v>0</v>
      </c>
    </row>
    <row r="901" spans="1:8">
      <c r="A901">
        <v>1</v>
      </c>
      <c r="B901" t="s">
        <v>44</v>
      </c>
      <c r="C901" t="s">
        <v>34</v>
      </c>
      <c r="D901">
        <v>0</v>
      </c>
      <c r="E901">
        <v>1</v>
      </c>
      <c r="F901" s="7">
        <v>39485.21</v>
      </c>
      <c r="G901">
        <v>0</v>
      </c>
      <c r="H901" s="7">
        <v>0</v>
      </c>
    </row>
    <row r="902" spans="1:8">
      <c r="A902">
        <v>1</v>
      </c>
      <c r="B902" t="s">
        <v>44</v>
      </c>
      <c r="C902" t="s">
        <v>35</v>
      </c>
      <c r="D902">
        <v>0</v>
      </c>
      <c r="E902">
        <v>1</v>
      </c>
      <c r="F902" s="7">
        <v>236825.42</v>
      </c>
      <c r="G902">
        <v>0</v>
      </c>
      <c r="H902" s="7">
        <v>0</v>
      </c>
    </row>
    <row r="903" spans="1:8">
      <c r="A903">
        <v>1</v>
      </c>
      <c r="B903" t="s">
        <v>44</v>
      </c>
      <c r="C903" t="s">
        <v>35</v>
      </c>
      <c r="D903">
        <v>0</v>
      </c>
      <c r="E903">
        <v>1</v>
      </c>
      <c r="F903" s="7">
        <v>327066.19</v>
      </c>
      <c r="G903">
        <v>0</v>
      </c>
      <c r="H903" s="7">
        <v>0</v>
      </c>
    </row>
    <row r="904" spans="1:8">
      <c r="A904">
        <v>1</v>
      </c>
      <c r="B904" t="s">
        <v>44</v>
      </c>
      <c r="C904" t="s">
        <v>35</v>
      </c>
      <c r="D904">
        <v>0</v>
      </c>
      <c r="E904">
        <v>1</v>
      </c>
      <c r="F904" s="7">
        <v>156819.6</v>
      </c>
      <c r="G904">
        <v>0</v>
      </c>
      <c r="H904" s="7">
        <v>0</v>
      </c>
    </row>
    <row r="905" spans="1:8">
      <c r="A905">
        <v>1</v>
      </c>
      <c r="B905" t="s">
        <v>44</v>
      </c>
      <c r="C905" t="s">
        <v>34</v>
      </c>
      <c r="D905">
        <v>0</v>
      </c>
      <c r="E905">
        <v>1</v>
      </c>
      <c r="F905" s="7">
        <v>13136.44</v>
      </c>
      <c r="G905">
        <v>0</v>
      </c>
      <c r="H905" s="7">
        <v>0</v>
      </c>
    </row>
    <row r="906" spans="1:8">
      <c r="A906">
        <v>1</v>
      </c>
      <c r="B906" t="s">
        <v>42</v>
      </c>
      <c r="C906" t="s">
        <v>33</v>
      </c>
      <c r="D906">
        <v>0</v>
      </c>
      <c r="E906">
        <v>1</v>
      </c>
      <c r="F906" s="7">
        <v>4306.89</v>
      </c>
      <c r="G906">
        <v>0</v>
      </c>
      <c r="H906" s="7">
        <v>0</v>
      </c>
    </row>
    <row r="907" spans="1:8">
      <c r="A907">
        <v>1</v>
      </c>
      <c r="B907" t="s">
        <v>42</v>
      </c>
      <c r="C907" t="s">
        <v>33</v>
      </c>
      <c r="D907">
        <v>0</v>
      </c>
      <c r="E907">
        <v>1</v>
      </c>
      <c r="F907" s="7">
        <v>8309.52</v>
      </c>
      <c r="G907">
        <v>0</v>
      </c>
      <c r="H907" s="7">
        <v>0</v>
      </c>
    </row>
    <row r="908" spans="1:8">
      <c r="A908">
        <v>1</v>
      </c>
      <c r="B908" t="s">
        <v>42</v>
      </c>
      <c r="C908" t="s">
        <v>33</v>
      </c>
      <c r="D908">
        <v>0</v>
      </c>
      <c r="E908">
        <v>1</v>
      </c>
      <c r="F908" s="7">
        <v>5363.35</v>
      </c>
      <c r="G908">
        <v>0</v>
      </c>
      <c r="H908" s="7">
        <v>0</v>
      </c>
    </row>
    <row r="909" spans="1:8">
      <c r="A909">
        <v>1</v>
      </c>
      <c r="B909" t="s">
        <v>42</v>
      </c>
      <c r="C909" t="s">
        <v>32</v>
      </c>
      <c r="D909">
        <v>0</v>
      </c>
      <c r="E909">
        <v>1</v>
      </c>
      <c r="F909" s="7">
        <v>132.42</v>
      </c>
      <c r="G909">
        <v>0</v>
      </c>
      <c r="H909" s="7">
        <v>0</v>
      </c>
    </row>
    <row r="910" spans="1:8">
      <c r="A910">
        <v>1</v>
      </c>
      <c r="B910" t="s">
        <v>42</v>
      </c>
      <c r="C910" t="s">
        <v>34</v>
      </c>
      <c r="D910">
        <v>0</v>
      </c>
      <c r="E910">
        <v>1</v>
      </c>
      <c r="F910" s="7">
        <v>19644.08</v>
      </c>
      <c r="G910">
        <v>0</v>
      </c>
      <c r="H910" s="7">
        <v>0</v>
      </c>
    </row>
    <row r="911" spans="1:8">
      <c r="A911">
        <v>1</v>
      </c>
      <c r="B911" t="s">
        <v>42</v>
      </c>
      <c r="C911" t="s">
        <v>32</v>
      </c>
      <c r="D911">
        <v>0</v>
      </c>
      <c r="E911">
        <v>1</v>
      </c>
      <c r="F911" s="7">
        <v>895.24</v>
      </c>
      <c r="G911">
        <v>0</v>
      </c>
      <c r="H911" s="7">
        <v>0</v>
      </c>
    </row>
    <row r="912" spans="1:8">
      <c r="A912">
        <v>1</v>
      </c>
      <c r="B912" t="s">
        <v>42</v>
      </c>
      <c r="C912" t="s">
        <v>33</v>
      </c>
      <c r="D912">
        <v>0</v>
      </c>
      <c r="E912">
        <v>1</v>
      </c>
      <c r="F912" s="7">
        <v>7641.08</v>
      </c>
      <c r="G912">
        <v>0</v>
      </c>
      <c r="H912" s="7">
        <v>0</v>
      </c>
    </row>
    <row r="913" spans="1:8">
      <c r="A913">
        <v>1</v>
      </c>
      <c r="B913" t="s">
        <v>42</v>
      </c>
      <c r="C913" t="s">
        <v>34</v>
      </c>
      <c r="D913">
        <v>0</v>
      </c>
      <c r="E913">
        <v>1</v>
      </c>
      <c r="F913" s="7">
        <v>31188.22</v>
      </c>
      <c r="G913">
        <v>0</v>
      </c>
      <c r="H913" s="7">
        <v>0</v>
      </c>
    </row>
    <row r="914" spans="1:8">
      <c r="A914">
        <v>1</v>
      </c>
      <c r="B914" t="s">
        <v>42</v>
      </c>
      <c r="C914" t="s">
        <v>34</v>
      </c>
      <c r="D914">
        <v>0</v>
      </c>
      <c r="E914">
        <v>1</v>
      </c>
      <c r="F914" s="7">
        <v>13954.75</v>
      </c>
      <c r="G914">
        <v>0</v>
      </c>
      <c r="H914" s="7">
        <v>0</v>
      </c>
    </row>
    <row r="915" spans="1:8">
      <c r="A915">
        <v>1</v>
      </c>
      <c r="B915" t="s">
        <v>42</v>
      </c>
      <c r="C915" t="s">
        <v>34</v>
      </c>
      <c r="D915">
        <v>0</v>
      </c>
      <c r="E915">
        <v>1</v>
      </c>
      <c r="F915" s="7">
        <v>10497.33</v>
      </c>
      <c r="G915">
        <v>0</v>
      </c>
      <c r="H915" s="7">
        <v>0</v>
      </c>
    </row>
    <row r="916" spans="1:8">
      <c r="A916">
        <v>1</v>
      </c>
      <c r="B916" t="s">
        <v>42</v>
      </c>
      <c r="C916" t="s">
        <v>33</v>
      </c>
      <c r="D916">
        <v>0</v>
      </c>
      <c r="E916">
        <v>1</v>
      </c>
      <c r="F916" s="7">
        <v>5843.75</v>
      </c>
      <c r="G916">
        <v>0</v>
      </c>
      <c r="H916" s="7">
        <v>0</v>
      </c>
    </row>
    <row r="917" spans="1:8">
      <c r="A917">
        <v>1</v>
      </c>
      <c r="B917" t="s">
        <v>42</v>
      </c>
      <c r="C917" t="s">
        <v>33</v>
      </c>
      <c r="D917">
        <v>0</v>
      </c>
      <c r="E917">
        <v>1</v>
      </c>
      <c r="F917" s="7">
        <v>7260.2</v>
      </c>
      <c r="G917">
        <v>0</v>
      </c>
      <c r="H917" s="7">
        <v>0</v>
      </c>
    </row>
    <row r="918" spans="1:8">
      <c r="A918">
        <v>1</v>
      </c>
      <c r="B918" t="s">
        <v>42</v>
      </c>
      <c r="C918" t="s">
        <v>34</v>
      </c>
      <c r="D918">
        <v>0</v>
      </c>
      <c r="E918">
        <v>1</v>
      </c>
      <c r="F918" s="7">
        <v>10285.86</v>
      </c>
      <c r="G918">
        <v>0</v>
      </c>
      <c r="H918" s="7">
        <v>0</v>
      </c>
    </row>
    <row r="919" spans="1:8">
      <c r="A919">
        <v>1</v>
      </c>
      <c r="B919" t="s">
        <v>42</v>
      </c>
      <c r="C919" t="s">
        <v>33</v>
      </c>
      <c r="D919">
        <v>0</v>
      </c>
      <c r="E919">
        <v>1</v>
      </c>
      <c r="F919" s="7">
        <v>6249.78</v>
      </c>
      <c r="G919">
        <v>0</v>
      </c>
      <c r="H919" s="7">
        <v>0</v>
      </c>
    </row>
    <row r="920" spans="1:8">
      <c r="A920">
        <v>1</v>
      </c>
      <c r="B920" t="s">
        <v>42</v>
      </c>
      <c r="C920" t="s">
        <v>32</v>
      </c>
      <c r="D920">
        <v>0</v>
      </c>
      <c r="E920">
        <v>1</v>
      </c>
      <c r="F920" s="7">
        <v>848.74</v>
      </c>
      <c r="G920">
        <v>0</v>
      </c>
      <c r="H920" s="7">
        <v>0</v>
      </c>
    </row>
    <row r="921" spans="1:8">
      <c r="A921">
        <v>1</v>
      </c>
      <c r="B921" t="s">
        <v>42</v>
      </c>
      <c r="C921" t="s">
        <v>33</v>
      </c>
      <c r="D921">
        <v>0</v>
      </c>
      <c r="E921">
        <v>1</v>
      </c>
      <c r="F921" s="7">
        <v>6993.7</v>
      </c>
      <c r="G921">
        <v>0</v>
      </c>
      <c r="H921" s="7">
        <v>0</v>
      </c>
    </row>
    <row r="922" spans="1:8">
      <c r="A922">
        <v>1</v>
      </c>
      <c r="B922" t="s">
        <v>42</v>
      </c>
      <c r="C922" t="s">
        <v>32</v>
      </c>
      <c r="D922">
        <v>0</v>
      </c>
      <c r="E922">
        <v>1</v>
      </c>
      <c r="F922" s="7">
        <v>795.29</v>
      </c>
      <c r="G922">
        <v>0</v>
      </c>
      <c r="H922" s="7">
        <v>0</v>
      </c>
    </row>
    <row r="923" spans="1:8">
      <c r="A923">
        <v>1</v>
      </c>
      <c r="B923" t="s">
        <v>42</v>
      </c>
      <c r="C923" t="s">
        <v>33</v>
      </c>
      <c r="D923">
        <v>0</v>
      </c>
      <c r="E923">
        <v>1</v>
      </c>
      <c r="F923" s="7">
        <v>9191.46</v>
      </c>
      <c r="G923">
        <v>0</v>
      </c>
      <c r="H923" s="7">
        <v>0</v>
      </c>
    </row>
    <row r="924" spans="1:8">
      <c r="A924">
        <v>1</v>
      </c>
      <c r="B924" t="s">
        <v>44</v>
      </c>
      <c r="C924" t="s">
        <v>35</v>
      </c>
      <c r="D924">
        <v>0</v>
      </c>
      <c r="E924">
        <v>1</v>
      </c>
      <c r="F924" s="7">
        <v>132038.41</v>
      </c>
      <c r="G924">
        <v>0</v>
      </c>
      <c r="H924" s="7">
        <v>0</v>
      </c>
    </row>
    <row r="925" spans="1:8">
      <c r="A925">
        <v>1</v>
      </c>
      <c r="B925" t="s">
        <v>42</v>
      </c>
      <c r="C925" t="s">
        <v>33</v>
      </c>
      <c r="D925">
        <v>0</v>
      </c>
      <c r="E925">
        <v>1</v>
      </c>
      <c r="F925" s="7">
        <v>6495.27</v>
      </c>
      <c r="G925">
        <v>0</v>
      </c>
      <c r="H925" s="7">
        <v>0</v>
      </c>
    </row>
    <row r="926" spans="1:8">
      <c r="A926">
        <v>1</v>
      </c>
      <c r="B926" t="s">
        <v>42</v>
      </c>
      <c r="C926" t="s">
        <v>33</v>
      </c>
      <c r="D926">
        <v>0</v>
      </c>
      <c r="E926">
        <v>1</v>
      </c>
      <c r="F926" s="7">
        <v>1679.68</v>
      </c>
      <c r="G926">
        <v>0</v>
      </c>
      <c r="H926" s="7">
        <v>0</v>
      </c>
    </row>
    <row r="927" spans="1:8">
      <c r="A927">
        <v>1</v>
      </c>
      <c r="B927" t="s">
        <v>43</v>
      </c>
      <c r="C927" t="s">
        <v>34</v>
      </c>
      <c r="D927">
        <v>0</v>
      </c>
      <c r="E927">
        <v>1</v>
      </c>
      <c r="F927" s="7">
        <v>47477.97</v>
      </c>
      <c r="G927">
        <v>0</v>
      </c>
      <c r="H927" s="7">
        <v>0</v>
      </c>
    </row>
    <row r="928" spans="1:8">
      <c r="A928">
        <v>1</v>
      </c>
      <c r="B928" t="s">
        <v>45</v>
      </c>
      <c r="C928" t="s">
        <v>33</v>
      </c>
      <c r="D928">
        <v>0</v>
      </c>
      <c r="E928">
        <v>1</v>
      </c>
      <c r="F928" s="7">
        <v>1260.62</v>
      </c>
      <c r="G928">
        <v>0</v>
      </c>
      <c r="H928" s="7">
        <v>0</v>
      </c>
    </row>
    <row r="929" spans="1:8">
      <c r="A929">
        <v>1</v>
      </c>
      <c r="B929" t="s">
        <v>42</v>
      </c>
      <c r="C929" t="s">
        <v>34</v>
      </c>
      <c r="D929">
        <v>0</v>
      </c>
      <c r="E929">
        <v>1</v>
      </c>
      <c r="F929" s="7">
        <v>15034.23</v>
      </c>
      <c r="G929">
        <v>0</v>
      </c>
      <c r="H929" s="7">
        <v>0</v>
      </c>
    </row>
    <row r="930" spans="1:8">
      <c r="A930">
        <v>1</v>
      </c>
      <c r="B930" t="s">
        <v>42</v>
      </c>
      <c r="C930" t="s">
        <v>33</v>
      </c>
      <c r="D930">
        <v>0</v>
      </c>
      <c r="E930">
        <v>1</v>
      </c>
      <c r="F930" s="7">
        <v>3238.39</v>
      </c>
      <c r="G930">
        <v>0</v>
      </c>
      <c r="H930" s="7">
        <v>0</v>
      </c>
    </row>
    <row r="931" spans="1:8">
      <c r="A931">
        <v>1</v>
      </c>
      <c r="B931" t="s">
        <v>44</v>
      </c>
      <c r="C931" t="s">
        <v>35</v>
      </c>
      <c r="D931">
        <v>0</v>
      </c>
      <c r="E931">
        <v>1</v>
      </c>
      <c r="F931" s="7">
        <v>251241.14</v>
      </c>
      <c r="G931">
        <v>0</v>
      </c>
      <c r="H931" s="7">
        <v>0</v>
      </c>
    </row>
    <row r="932" spans="1:8">
      <c r="A932">
        <v>1</v>
      </c>
      <c r="B932" t="s">
        <v>42</v>
      </c>
      <c r="C932" t="s">
        <v>33</v>
      </c>
      <c r="D932">
        <v>0</v>
      </c>
      <c r="E932">
        <v>1</v>
      </c>
      <c r="F932" s="7">
        <v>3644.12</v>
      </c>
      <c r="G932">
        <v>0</v>
      </c>
      <c r="H932" s="7">
        <v>0</v>
      </c>
    </row>
    <row r="933" spans="1:8">
      <c r="A933">
        <v>1</v>
      </c>
      <c r="B933" t="s">
        <v>44</v>
      </c>
      <c r="C933" t="s">
        <v>35</v>
      </c>
      <c r="D933">
        <v>0</v>
      </c>
      <c r="E933">
        <v>1</v>
      </c>
      <c r="F933" s="7">
        <v>283123.48</v>
      </c>
      <c r="G933">
        <v>0</v>
      </c>
      <c r="H933" s="7">
        <v>0</v>
      </c>
    </row>
    <row r="934" spans="1:8">
      <c r="A934">
        <v>1</v>
      </c>
      <c r="B934" t="s">
        <v>42</v>
      </c>
      <c r="C934" t="s">
        <v>33</v>
      </c>
      <c r="D934">
        <v>0</v>
      </c>
      <c r="E934">
        <v>1</v>
      </c>
      <c r="F934" s="7">
        <v>2851.83</v>
      </c>
      <c r="G934">
        <v>0</v>
      </c>
      <c r="H934" s="7">
        <v>0</v>
      </c>
    </row>
    <row r="935" spans="1:8">
      <c r="A935">
        <v>1</v>
      </c>
      <c r="B935" t="s">
        <v>46</v>
      </c>
      <c r="C935" t="s">
        <v>34</v>
      </c>
      <c r="D935">
        <v>0</v>
      </c>
      <c r="E935">
        <v>1</v>
      </c>
      <c r="F935" s="7">
        <v>94726.64</v>
      </c>
      <c r="G935">
        <v>0</v>
      </c>
      <c r="H935" s="7">
        <v>0</v>
      </c>
    </row>
    <row r="936" spans="1:8">
      <c r="A936">
        <v>1</v>
      </c>
      <c r="B936" t="s">
        <v>42</v>
      </c>
      <c r="C936" t="s">
        <v>34</v>
      </c>
      <c r="D936">
        <v>0</v>
      </c>
      <c r="E936">
        <v>1</v>
      </c>
      <c r="F936" s="7">
        <v>17020.69</v>
      </c>
      <c r="G936">
        <v>0</v>
      </c>
      <c r="H936" s="7">
        <v>0</v>
      </c>
    </row>
    <row r="937" spans="1:8">
      <c r="A937">
        <v>1</v>
      </c>
      <c r="B937" t="s">
        <v>42</v>
      </c>
      <c r="C937" t="s">
        <v>33</v>
      </c>
      <c r="D937">
        <v>0</v>
      </c>
      <c r="E937">
        <v>1</v>
      </c>
      <c r="F937" s="7">
        <v>6523.19</v>
      </c>
      <c r="G937">
        <v>0</v>
      </c>
      <c r="H937" s="7">
        <v>0</v>
      </c>
    </row>
    <row r="938" spans="1:8">
      <c r="A938">
        <v>1</v>
      </c>
      <c r="B938" t="s">
        <v>42</v>
      </c>
      <c r="C938" t="s">
        <v>33</v>
      </c>
      <c r="D938">
        <v>0</v>
      </c>
      <c r="E938">
        <v>1</v>
      </c>
      <c r="F938" s="7">
        <v>1383.56</v>
      </c>
      <c r="G938">
        <v>0</v>
      </c>
      <c r="H938" s="7">
        <v>0</v>
      </c>
    </row>
    <row r="939" spans="1:8">
      <c r="A939">
        <v>1</v>
      </c>
      <c r="B939" t="s">
        <v>45</v>
      </c>
      <c r="C939" t="s">
        <v>33</v>
      </c>
      <c r="D939">
        <v>0</v>
      </c>
      <c r="E939">
        <v>1</v>
      </c>
      <c r="F939" s="7">
        <v>1580.66</v>
      </c>
      <c r="G939">
        <v>0</v>
      </c>
      <c r="H939" s="7">
        <v>0</v>
      </c>
    </row>
    <row r="940" spans="1:8">
      <c r="A940">
        <v>1</v>
      </c>
      <c r="B940" t="s">
        <v>42</v>
      </c>
      <c r="C940" t="s">
        <v>33</v>
      </c>
      <c r="D940">
        <v>0</v>
      </c>
      <c r="E940">
        <v>1</v>
      </c>
      <c r="F940" s="7">
        <v>2466.95</v>
      </c>
      <c r="G940">
        <v>0</v>
      </c>
      <c r="H940" s="7">
        <v>0</v>
      </c>
    </row>
    <row r="941" spans="1:8">
      <c r="A941">
        <v>1</v>
      </c>
      <c r="B941" t="s">
        <v>42</v>
      </c>
      <c r="C941" t="s">
        <v>33</v>
      </c>
      <c r="D941">
        <v>0</v>
      </c>
      <c r="E941">
        <v>1</v>
      </c>
      <c r="F941" s="7">
        <v>1017.85</v>
      </c>
      <c r="G941">
        <v>0</v>
      </c>
      <c r="H941" s="7">
        <v>0</v>
      </c>
    </row>
    <row r="942" spans="1:8">
      <c r="A942">
        <v>1</v>
      </c>
      <c r="B942" t="s">
        <v>42</v>
      </c>
      <c r="C942" t="s">
        <v>33</v>
      </c>
      <c r="D942">
        <v>0</v>
      </c>
      <c r="E942">
        <v>1</v>
      </c>
      <c r="F942" s="7">
        <v>2270.41</v>
      </c>
      <c r="G942">
        <v>0</v>
      </c>
      <c r="H942" s="7">
        <v>0</v>
      </c>
    </row>
    <row r="943" spans="1:8">
      <c r="A943">
        <v>1</v>
      </c>
      <c r="B943" t="s">
        <v>44</v>
      </c>
      <c r="C943" t="s">
        <v>35</v>
      </c>
      <c r="D943">
        <v>0</v>
      </c>
      <c r="E943">
        <v>1</v>
      </c>
      <c r="F943" s="7">
        <v>102265.88</v>
      </c>
      <c r="G943">
        <v>0</v>
      </c>
      <c r="H943" s="7">
        <v>0</v>
      </c>
    </row>
    <row r="944" spans="1:8">
      <c r="A944">
        <v>1</v>
      </c>
      <c r="B944" t="s">
        <v>45</v>
      </c>
      <c r="C944" t="s">
        <v>34</v>
      </c>
      <c r="D944">
        <v>0</v>
      </c>
      <c r="E944">
        <v>1</v>
      </c>
      <c r="F944" s="7">
        <v>13758.63</v>
      </c>
      <c r="G944">
        <v>0</v>
      </c>
      <c r="H944" s="7">
        <v>0</v>
      </c>
    </row>
    <row r="945" spans="1:8">
      <c r="A945">
        <v>1</v>
      </c>
      <c r="B945" t="s">
        <v>46</v>
      </c>
      <c r="C945" t="s">
        <v>33</v>
      </c>
      <c r="D945">
        <v>0</v>
      </c>
      <c r="E945">
        <v>1</v>
      </c>
      <c r="F945" s="7">
        <v>5221.77</v>
      </c>
      <c r="G945">
        <v>0</v>
      </c>
      <c r="H945" s="7">
        <v>0</v>
      </c>
    </row>
    <row r="946" spans="1:8">
      <c r="A946">
        <v>1</v>
      </c>
      <c r="B946" t="s">
        <v>42</v>
      </c>
      <c r="C946" t="s">
        <v>34</v>
      </c>
      <c r="D946">
        <v>0</v>
      </c>
      <c r="E946">
        <v>1</v>
      </c>
      <c r="F946" s="7">
        <v>12256.66</v>
      </c>
      <c r="G946">
        <v>0</v>
      </c>
      <c r="H946" s="7">
        <v>0</v>
      </c>
    </row>
    <row r="947" spans="1:8">
      <c r="A947">
        <v>1</v>
      </c>
      <c r="B947" t="s">
        <v>42</v>
      </c>
      <c r="C947" t="s">
        <v>33</v>
      </c>
      <c r="D947">
        <v>0</v>
      </c>
      <c r="E947">
        <v>1</v>
      </c>
      <c r="F947" s="7">
        <v>8227.3</v>
      </c>
      <c r="G947">
        <v>0</v>
      </c>
      <c r="H947" s="7">
        <v>0</v>
      </c>
    </row>
    <row r="948" spans="1:8">
      <c r="A948">
        <v>1</v>
      </c>
      <c r="B948" t="s">
        <v>42</v>
      </c>
      <c r="C948" t="s">
        <v>32</v>
      </c>
      <c r="D948">
        <v>0</v>
      </c>
      <c r="E948">
        <v>1</v>
      </c>
      <c r="F948" s="7">
        <v>527.15</v>
      </c>
      <c r="G948">
        <v>0</v>
      </c>
      <c r="H948" s="7">
        <v>0</v>
      </c>
    </row>
    <row r="949" spans="1:8">
      <c r="A949">
        <v>1</v>
      </c>
      <c r="B949" t="s">
        <v>42</v>
      </c>
      <c r="C949" t="s">
        <v>32</v>
      </c>
      <c r="D949">
        <v>0</v>
      </c>
      <c r="E949">
        <v>1</v>
      </c>
      <c r="F949" s="7">
        <v>950.25</v>
      </c>
      <c r="G949">
        <v>0</v>
      </c>
      <c r="H949" s="7">
        <v>0</v>
      </c>
    </row>
    <row r="950" spans="1:8">
      <c r="A950">
        <v>1</v>
      </c>
      <c r="B950" t="s">
        <v>42</v>
      </c>
      <c r="C950" t="s">
        <v>34</v>
      </c>
      <c r="D950">
        <v>0</v>
      </c>
      <c r="E950">
        <v>1</v>
      </c>
      <c r="F950" s="7">
        <v>12728.46</v>
      </c>
      <c r="G950">
        <v>0</v>
      </c>
      <c r="H950" s="7">
        <v>0</v>
      </c>
    </row>
    <row r="951" spans="1:8">
      <c r="A951">
        <v>1</v>
      </c>
      <c r="B951" t="s">
        <v>42</v>
      </c>
      <c r="C951" t="s">
        <v>33</v>
      </c>
      <c r="D951">
        <v>0</v>
      </c>
      <c r="E951">
        <v>1</v>
      </c>
      <c r="F951" s="7">
        <v>1002.96</v>
      </c>
      <c r="G951">
        <v>0</v>
      </c>
      <c r="H951" s="7">
        <v>0</v>
      </c>
    </row>
    <row r="952" spans="1:8">
      <c r="A952">
        <v>1</v>
      </c>
      <c r="B952" t="s">
        <v>42</v>
      </c>
      <c r="C952" t="s">
        <v>33</v>
      </c>
      <c r="D952">
        <v>0</v>
      </c>
      <c r="E952">
        <v>1</v>
      </c>
      <c r="F952" s="7">
        <v>6917.1</v>
      </c>
      <c r="G952">
        <v>0</v>
      </c>
      <c r="H952" s="7">
        <v>0</v>
      </c>
    </row>
    <row r="953" spans="1:8">
      <c r="A953">
        <v>1</v>
      </c>
      <c r="B953" t="s">
        <v>42</v>
      </c>
      <c r="C953" t="s">
        <v>33</v>
      </c>
      <c r="D953">
        <v>0</v>
      </c>
      <c r="E953">
        <v>1</v>
      </c>
      <c r="F953" s="7">
        <v>1977.17</v>
      </c>
      <c r="G953">
        <v>0</v>
      </c>
      <c r="H953" s="7">
        <v>0</v>
      </c>
    </row>
    <row r="954" spans="1:8">
      <c r="A954">
        <v>1</v>
      </c>
      <c r="B954" t="s">
        <v>42</v>
      </c>
      <c r="C954" t="s">
        <v>33</v>
      </c>
      <c r="D954">
        <v>0</v>
      </c>
      <c r="E954">
        <v>1</v>
      </c>
      <c r="F954" s="7">
        <v>9314.84</v>
      </c>
      <c r="G954">
        <v>0</v>
      </c>
      <c r="H954" s="7">
        <v>0</v>
      </c>
    </row>
    <row r="955" spans="1:8">
      <c r="A955">
        <v>1</v>
      </c>
      <c r="B955" t="s">
        <v>42</v>
      </c>
      <c r="C955" t="s">
        <v>33</v>
      </c>
      <c r="D955">
        <v>0</v>
      </c>
      <c r="E955">
        <v>1</v>
      </c>
      <c r="F955" s="7">
        <v>1157.05</v>
      </c>
      <c r="G955">
        <v>0</v>
      </c>
      <c r="H955" s="7">
        <v>0</v>
      </c>
    </row>
    <row r="956" spans="1:8">
      <c r="A956">
        <v>1</v>
      </c>
      <c r="B956" t="s">
        <v>45</v>
      </c>
      <c r="C956" t="s">
        <v>33</v>
      </c>
      <c r="D956">
        <v>0</v>
      </c>
      <c r="E956">
        <v>1</v>
      </c>
      <c r="F956" s="7">
        <v>3766.99</v>
      </c>
      <c r="G956">
        <v>0</v>
      </c>
      <c r="H956" s="7">
        <v>0</v>
      </c>
    </row>
    <row r="957" spans="1:8">
      <c r="A957">
        <v>1</v>
      </c>
      <c r="B957" t="s">
        <v>42</v>
      </c>
      <c r="C957" t="s">
        <v>33</v>
      </c>
      <c r="D957">
        <v>0</v>
      </c>
      <c r="E957">
        <v>1</v>
      </c>
      <c r="F957" s="7">
        <v>3464.41</v>
      </c>
      <c r="G957">
        <v>0</v>
      </c>
      <c r="H957" s="7">
        <v>0</v>
      </c>
    </row>
    <row r="958" spans="1:8">
      <c r="A958">
        <v>1</v>
      </c>
      <c r="B958" t="s">
        <v>44</v>
      </c>
      <c r="C958" t="s">
        <v>34</v>
      </c>
      <c r="D958">
        <v>0</v>
      </c>
      <c r="E958">
        <v>1</v>
      </c>
      <c r="F958" s="7">
        <v>68662.06</v>
      </c>
      <c r="G958">
        <v>0</v>
      </c>
      <c r="H958" s="7">
        <v>0</v>
      </c>
    </row>
    <row r="959" spans="1:8">
      <c r="A959">
        <v>1</v>
      </c>
      <c r="B959" t="s">
        <v>45</v>
      </c>
      <c r="C959" t="s">
        <v>33</v>
      </c>
      <c r="D959">
        <v>0</v>
      </c>
      <c r="E959">
        <v>1</v>
      </c>
      <c r="F959" s="7">
        <v>8679.29</v>
      </c>
      <c r="G959">
        <v>0</v>
      </c>
      <c r="H959" s="7">
        <v>0</v>
      </c>
    </row>
    <row r="960" spans="1:8">
      <c r="A960">
        <v>1</v>
      </c>
      <c r="B960" t="s">
        <v>42</v>
      </c>
      <c r="C960" t="s">
        <v>34</v>
      </c>
      <c r="D960">
        <v>0</v>
      </c>
      <c r="E960">
        <v>1</v>
      </c>
      <c r="F960" s="7">
        <v>15266.05</v>
      </c>
      <c r="G960">
        <v>0</v>
      </c>
      <c r="H960" s="7">
        <v>0</v>
      </c>
    </row>
    <row r="961" spans="1:8">
      <c r="A961">
        <v>1</v>
      </c>
      <c r="B961" t="s">
        <v>42</v>
      </c>
      <c r="C961" t="s">
        <v>33</v>
      </c>
      <c r="D961">
        <v>0</v>
      </c>
      <c r="E961">
        <v>1</v>
      </c>
      <c r="F961" s="7">
        <v>8348.75</v>
      </c>
      <c r="G961">
        <v>0</v>
      </c>
      <c r="H961" s="7">
        <v>0</v>
      </c>
    </row>
    <row r="962" spans="1:8">
      <c r="A962">
        <v>1</v>
      </c>
      <c r="B962" t="s">
        <v>42</v>
      </c>
      <c r="C962" t="s">
        <v>33</v>
      </c>
      <c r="D962">
        <v>0</v>
      </c>
      <c r="E962">
        <v>1</v>
      </c>
      <c r="F962" s="7">
        <v>8419.73</v>
      </c>
      <c r="G962">
        <v>0</v>
      </c>
      <c r="H962" s="7">
        <v>0</v>
      </c>
    </row>
    <row r="963" spans="1:8">
      <c r="A963">
        <v>1</v>
      </c>
      <c r="B963" t="s">
        <v>42</v>
      </c>
      <c r="C963" t="s">
        <v>33</v>
      </c>
      <c r="D963">
        <v>0</v>
      </c>
      <c r="E963">
        <v>1</v>
      </c>
      <c r="F963" s="7">
        <v>6688.74</v>
      </c>
      <c r="G963">
        <v>0</v>
      </c>
      <c r="H963" s="7">
        <v>0</v>
      </c>
    </row>
    <row r="964" spans="1:8">
      <c r="A964">
        <v>1</v>
      </c>
      <c r="B964" t="s">
        <v>42</v>
      </c>
      <c r="C964" t="s">
        <v>33</v>
      </c>
      <c r="D964">
        <v>0</v>
      </c>
      <c r="E964">
        <v>1</v>
      </c>
      <c r="F964" s="7">
        <v>1979.94</v>
      </c>
      <c r="G964">
        <v>0</v>
      </c>
      <c r="H964" s="7">
        <v>0</v>
      </c>
    </row>
    <row r="965" spans="1:8">
      <c r="A965">
        <v>1</v>
      </c>
      <c r="B965" t="s">
        <v>42</v>
      </c>
      <c r="C965" t="s">
        <v>33</v>
      </c>
      <c r="D965">
        <v>0</v>
      </c>
      <c r="E965">
        <v>1</v>
      </c>
      <c r="F965" s="7">
        <v>9574.31</v>
      </c>
      <c r="G965">
        <v>0</v>
      </c>
      <c r="H965" s="7">
        <v>0</v>
      </c>
    </row>
    <row r="966" spans="1:8">
      <c r="A966">
        <v>1</v>
      </c>
      <c r="B966" t="s">
        <v>42</v>
      </c>
      <c r="C966" t="s">
        <v>33</v>
      </c>
      <c r="D966">
        <v>0</v>
      </c>
      <c r="E966">
        <v>1</v>
      </c>
      <c r="F966" s="7">
        <v>5287.68</v>
      </c>
      <c r="G966">
        <v>0</v>
      </c>
      <c r="H966" s="7">
        <v>0</v>
      </c>
    </row>
    <row r="967" spans="1:8">
      <c r="A967">
        <v>1</v>
      </c>
      <c r="B967" t="s">
        <v>42</v>
      </c>
      <c r="C967" t="s">
        <v>34</v>
      </c>
      <c r="D967">
        <v>0</v>
      </c>
      <c r="E967">
        <v>1</v>
      </c>
      <c r="F967" s="7">
        <v>10627.18</v>
      </c>
      <c r="G967">
        <v>0</v>
      </c>
      <c r="H967" s="7">
        <v>0</v>
      </c>
    </row>
    <row r="968" spans="1:8">
      <c r="A968">
        <v>1</v>
      </c>
      <c r="B968" t="s">
        <v>42</v>
      </c>
      <c r="C968" t="s">
        <v>33</v>
      </c>
      <c r="D968">
        <v>0</v>
      </c>
      <c r="E968">
        <v>1</v>
      </c>
      <c r="F968" s="7">
        <v>5809.78</v>
      </c>
      <c r="G968">
        <v>0</v>
      </c>
      <c r="H968" s="7">
        <v>0</v>
      </c>
    </row>
    <row r="969" spans="1:8">
      <c r="A969">
        <v>1</v>
      </c>
      <c r="B969" t="s">
        <v>43</v>
      </c>
      <c r="C969" t="s">
        <v>35</v>
      </c>
      <c r="D969">
        <v>0</v>
      </c>
      <c r="E969">
        <v>1</v>
      </c>
      <c r="F969" s="7">
        <v>411363.54</v>
      </c>
      <c r="G969">
        <v>0</v>
      </c>
      <c r="H969" s="7">
        <v>0</v>
      </c>
    </row>
    <row r="970" spans="1:8">
      <c r="A970">
        <v>1</v>
      </c>
      <c r="B970" t="s">
        <v>42</v>
      </c>
      <c r="C970" t="s">
        <v>33</v>
      </c>
      <c r="D970">
        <v>0</v>
      </c>
      <c r="E970">
        <v>1</v>
      </c>
      <c r="F970" s="7">
        <v>4086.5</v>
      </c>
      <c r="G970">
        <v>0</v>
      </c>
      <c r="H970" s="7">
        <v>0</v>
      </c>
    </row>
    <row r="971" spans="1:8">
      <c r="A971">
        <v>1</v>
      </c>
      <c r="B971" t="s">
        <v>42</v>
      </c>
      <c r="C971" t="s">
        <v>34</v>
      </c>
      <c r="D971">
        <v>0</v>
      </c>
      <c r="E971">
        <v>1</v>
      </c>
      <c r="F971" s="7">
        <v>19741.22</v>
      </c>
      <c r="G971">
        <v>0</v>
      </c>
      <c r="H971" s="7">
        <v>0</v>
      </c>
    </row>
    <row r="972" spans="1:8">
      <c r="A972">
        <v>1</v>
      </c>
      <c r="B972" t="s">
        <v>42</v>
      </c>
      <c r="C972" t="s">
        <v>33</v>
      </c>
      <c r="D972">
        <v>0</v>
      </c>
      <c r="E972">
        <v>1</v>
      </c>
      <c r="F972" s="7">
        <v>5270.72</v>
      </c>
      <c r="G972">
        <v>0</v>
      </c>
      <c r="H972" s="7">
        <v>0</v>
      </c>
    </row>
    <row r="973" spans="1:8">
      <c r="A973">
        <v>1</v>
      </c>
      <c r="B973" t="s">
        <v>46</v>
      </c>
      <c r="C973" t="s">
        <v>34</v>
      </c>
      <c r="D973">
        <v>0</v>
      </c>
      <c r="E973">
        <v>1</v>
      </c>
      <c r="F973" s="7">
        <v>55827.09</v>
      </c>
      <c r="G973">
        <v>0</v>
      </c>
      <c r="H973" s="7">
        <v>0</v>
      </c>
    </row>
    <row r="974" spans="1:8">
      <c r="A974">
        <v>1</v>
      </c>
      <c r="B974" t="s">
        <v>44</v>
      </c>
      <c r="C974" t="s">
        <v>35</v>
      </c>
      <c r="D974">
        <v>0</v>
      </c>
      <c r="E974">
        <v>1</v>
      </c>
      <c r="F974" s="7">
        <v>174068.82</v>
      </c>
      <c r="G974">
        <v>0</v>
      </c>
      <c r="H974" s="7">
        <v>0</v>
      </c>
    </row>
    <row r="975" spans="1:8">
      <c r="A975">
        <v>1</v>
      </c>
      <c r="B975" t="s">
        <v>43</v>
      </c>
      <c r="C975" t="s">
        <v>36</v>
      </c>
      <c r="D975">
        <v>1</v>
      </c>
      <c r="E975">
        <v>1</v>
      </c>
      <c r="F975" s="7">
        <v>1277212.77</v>
      </c>
      <c r="G975">
        <v>1</v>
      </c>
      <c r="H975" s="7">
        <v>1277212.77</v>
      </c>
    </row>
    <row r="976" spans="1:8">
      <c r="A976">
        <v>1</v>
      </c>
      <c r="B976" t="s">
        <v>44</v>
      </c>
      <c r="C976" t="s">
        <v>36</v>
      </c>
      <c r="D976">
        <v>1</v>
      </c>
      <c r="E976">
        <v>1</v>
      </c>
      <c r="F976" s="7">
        <v>1277212.77</v>
      </c>
      <c r="G976">
        <v>1</v>
      </c>
      <c r="H976" s="7">
        <v>1277212.77</v>
      </c>
    </row>
    <row r="977" spans="1:8">
      <c r="A977">
        <v>1</v>
      </c>
      <c r="B977" t="s">
        <v>46</v>
      </c>
      <c r="C977" t="s">
        <v>34</v>
      </c>
      <c r="D977">
        <v>0</v>
      </c>
      <c r="E977">
        <v>1</v>
      </c>
      <c r="F977" s="7">
        <v>24105.5</v>
      </c>
      <c r="G977">
        <v>0</v>
      </c>
      <c r="H977" s="7">
        <v>0</v>
      </c>
    </row>
    <row r="978" spans="1:8">
      <c r="A978">
        <v>1</v>
      </c>
      <c r="B978" t="s">
        <v>42</v>
      </c>
      <c r="C978" t="s">
        <v>33</v>
      </c>
      <c r="D978">
        <v>0</v>
      </c>
      <c r="E978">
        <v>1</v>
      </c>
      <c r="F978" s="7">
        <v>6854.06</v>
      </c>
      <c r="G978">
        <v>0</v>
      </c>
      <c r="H978" s="7">
        <v>0</v>
      </c>
    </row>
    <row r="979" spans="1:8">
      <c r="A979">
        <v>1</v>
      </c>
      <c r="B979" t="s">
        <v>44</v>
      </c>
      <c r="C979" t="s">
        <v>35</v>
      </c>
      <c r="D979">
        <v>0</v>
      </c>
      <c r="E979">
        <v>1</v>
      </c>
      <c r="F979" s="7">
        <v>111899.09</v>
      </c>
      <c r="G979">
        <v>0</v>
      </c>
      <c r="H979" s="7">
        <v>0</v>
      </c>
    </row>
    <row r="980" spans="1:8">
      <c r="A980">
        <v>1</v>
      </c>
      <c r="B980" t="s">
        <v>42</v>
      </c>
      <c r="C980" t="s">
        <v>33</v>
      </c>
      <c r="D980">
        <v>0</v>
      </c>
      <c r="E980">
        <v>1</v>
      </c>
      <c r="F980" s="7">
        <v>1231.79</v>
      </c>
      <c r="G980">
        <v>0</v>
      </c>
      <c r="H980" s="7">
        <v>0</v>
      </c>
    </row>
    <row r="981" spans="1:8">
      <c r="A981">
        <v>1</v>
      </c>
      <c r="B981" t="s">
        <v>42</v>
      </c>
      <c r="C981" t="s">
        <v>33</v>
      </c>
      <c r="D981">
        <v>0</v>
      </c>
      <c r="E981">
        <v>1</v>
      </c>
      <c r="F981" s="7">
        <v>3380.1</v>
      </c>
      <c r="G981">
        <v>0</v>
      </c>
      <c r="H981" s="7">
        <v>0</v>
      </c>
    </row>
    <row r="982" spans="1:8">
      <c r="A982">
        <v>1</v>
      </c>
      <c r="B982" t="s">
        <v>45</v>
      </c>
      <c r="C982" t="s">
        <v>33</v>
      </c>
      <c r="D982">
        <v>0</v>
      </c>
      <c r="E982">
        <v>1</v>
      </c>
      <c r="F982" s="7">
        <v>2869.65</v>
      </c>
      <c r="G982">
        <v>0</v>
      </c>
      <c r="H982" s="7">
        <v>0</v>
      </c>
    </row>
    <row r="983" spans="1:8">
      <c r="A983">
        <v>1</v>
      </c>
      <c r="B983" t="s">
        <v>42</v>
      </c>
      <c r="C983" t="s">
        <v>33</v>
      </c>
      <c r="D983">
        <v>0</v>
      </c>
      <c r="E983">
        <v>1</v>
      </c>
      <c r="F983" s="7">
        <v>1658.87</v>
      </c>
      <c r="G983">
        <v>0</v>
      </c>
      <c r="H983" s="7">
        <v>0</v>
      </c>
    </row>
    <row r="984" spans="1:8">
      <c r="A984">
        <v>1</v>
      </c>
      <c r="B984" t="s">
        <v>42</v>
      </c>
      <c r="C984" t="s">
        <v>32</v>
      </c>
      <c r="D984">
        <v>0</v>
      </c>
      <c r="E984">
        <v>1</v>
      </c>
      <c r="F984" s="7">
        <v>823.36</v>
      </c>
      <c r="G984">
        <v>0</v>
      </c>
      <c r="H984" s="7">
        <v>0</v>
      </c>
    </row>
    <row r="985" spans="1:8">
      <c r="A985">
        <v>1</v>
      </c>
      <c r="B985" t="s">
        <v>42</v>
      </c>
      <c r="C985" t="s">
        <v>33</v>
      </c>
      <c r="D985">
        <v>0</v>
      </c>
      <c r="E985">
        <v>1</v>
      </c>
      <c r="F985" s="7">
        <v>7541.47</v>
      </c>
      <c r="G985">
        <v>0</v>
      </c>
      <c r="H985" s="7">
        <v>0</v>
      </c>
    </row>
    <row r="986" spans="1:8">
      <c r="A986">
        <v>1</v>
      </c>
      <c r="B986" t="s">
        <v>45</v>
      </c>
      <c r="C986" t="s">
        <v>33</v>
      </c>
      <c r="D986">
        <v>0</v>
      </c>
      <c r="E986">
        <v>1</v>
      </c>
      <c r="F986" s="7">
        <v>3635.93</v>
      </c>
      <c r="G986">
        <v>0</v>
      </c>
      <c r="H986" s="7">
        <v>0</v>
      </c>
    </row>
    <row r="987" spans="1:8">
      <c r="A987">
        <v>1</v>
      </c>
      <c r="B987" t="s">
        <v>42</v>
      </c>
      <c r="C987" t="s">
        <v>33</v>
      </c>
      <c r="D987">
        <v>0</v>
      </c>
      <c r="E987">
        <v>1</v>
      </c>
      <c r="F987" s="7">
        <v>1328.59</v>
      </c>
      <c r="G987">
        <v>0</v>
      </c>
      <c r="H987" s="7">
        <v>0</v>
      </c>
    </row>
    <row r="988" spans="1:8">
      <c r="A988">
        <v>1</v>
      </c>
      <c r="B988" t="s">
        <v>43</v>
      </c>
      <c r="C988" t="s">
        <v>34</v>
      </c>
      <c r="D988">
        <v>0</v>
      </c>
      <c r="E988">
        <v>1</v>
      </c>
      <c r="F988" s="7">
        <v>56145.85</v>
      </c>
      <c r="G988">
        <v>0</v>
      </c>
      <c r="H988" s="7">
        <v>0</v>
      </c>
    </row>
    <row r="989" spans="1:8">
      <c r="A989">
        <v>1</v>
      </c>
      <c r="B989" t="s">
        <v>42</v>
      </c>
      <c r="C989" t="s">
        <v>32</v>
      </c>
      <c r="D989">
        <v>0</v>
      </c>
      <c r="E989">
        <v>1</v>
      </c>
      <c r="F989" s="7">
        <v>973.18</v>
      </c>
      <c r="G989">
        <v>0</v>
      </c>
      <c r="H989" s="7">
        <v>0</v>
      </c>
    </row>
    <row r="990" spans="1:8">
      <c r="A990">
        <v>1</v>
      </c>
      <c r="B990" t="s">
        <v>42</v>
      </c>
      <c r="C990" t="s">
        <v>32</v>
      </c>
      <c r="D990">
        <v>0</v>
      </c>
      <c r="E990">
        <v>1</v>
      </c>
      <c r="F990" s="7">
        <v>619.24</v>
      </c>
      <c r="G990">
        <v>0</v>
      </c>
      <c r="H990" s="7">
        <v>0</v>
      </c>
    </row>
    <row r="991" spans="1:8">
      <c r="A991">
        <v>1</v>
      </c>
      <c r="B991" t="s">
        <v>45</v>
      </c>
      <c r="C991" t="s">
        <v>32</v>
      </c>
      <c r="D991">
        <v>0</v>
      </c>
      <c r="E991">
        <v>1</v>
      </c>
      <c r="F991" s="7">
        <v>300.41</v>
      </c>
      <c r="G991">
        <v>0</v>
      </c>
      <c r="H991" s="7">
        <v>0</v>
      </c>
    </row>
    <row r="992" spans="1:8">
      <c r="A992">
        <v>1</v>
      </c>
      <c r="B992" t="s">
        <v>43</v>
      </c>
      <c r="C992" t="s">
        <v>35</v>
      </c>
      <c r="D992">
        <v>0</v>
      </c>
      <c r="E992">
        <v>1</v>
      </c>
      <c r="F992" s="7">
        <v>700967.19</v>
      </c>
      <c r="G992">
        <v>0</v>
      </c>
      <c r="H992" s="7">
        <v>0</v>
      </c>
    </row>
    <row r="993" spans="1:8">
      <c r="A993">
        <v>1</v>
      </c>
      <c r="B993" t="s">
        <v>42</v>
      </c>
      <c r="C993" t="s">
        <v>33</v>
      </c>
      <c r="D993">
        <v>0</v>
      </c>
      <c r="E993">
        <v>1</v>
      </c>
      <c r="F993" s="7">
        <v>8354.27</v>
      </c>
      <c r="G993">
        <v>0</v>
      </c>
      <c r="H993" s="7">
        <v>0</v>
      </c>
    </row>
    <row r="994" spans="1:8">
      <c r="A994">
        <v>1</v>
      </c>
      <c r="B994" t="s">
        <v>45</v>
      </c>
      <c r="C994" t="s">
        <v>33</v>
      </c>
      <c r="D994">
        <v>0</v>
      </c>
      <c r="E994">
        <v>1</v>
      </c>
      <c r="F994" s="7">
        <v>5423.28</v>
      </c>
      <c r="G994">
        <v>0</v>
      </c>
      <c r="H994" s="7">
        <v>0</v>
      </c>
    </row>
    <row r="995" spans="1:8">
      <c r="A995">
        <v>1</v>
      </c>
      <c r="B995" t="s">
        <v>42</v>
      </c>
      <c r="C995" t="s">
        <v>32</v>
      </c>
      <c r="D995">
        <v>0</v>
      </c>
      <c r="E995">
        <v>1</v>
      </c>
      <c r="F995" s="7">
        <v>708.59</v>
      </c>
      <c r="G995">
        <v>0</v>
      </c>
      <c r="H995" s="7">
        <v>0</v>
      </c>
    </row>
    <row r="996" spans="1:8">
      <c r="A996">
        <v>1</v>
      </c>
      <c r="B996" t="s">
        <v>42</v>
      </c>
      <c r="C996" t="s">
        <v>33</v>
      </c>
      <c r="D996">
        <v>0</v>
      </c>
      <c r="E996">
        <v>1</v>
      </c>
      <c r="F996" s="7">
        <v>8358.81</v>
      </c>
      <c r="G996">
        <v>0</v>
      </c>
      <c r="H996" s="7">
        <v>0</v>
      </c>
    </row>
    <row r="997" spans="1:8">
      <c r="A997">
        <v>1</v>
      </c>
      <c r="B997" t="s">
        <v>42</v>
      </c>
      <c r="C997" t="s">
        <v>33</v>
      </c>
      <c r="D997">
        <v>0</v>
      </c>
      <c r="E997">
        <v>1</v>
      </c>
      <c r="F997" s="7">
        <v>2245.62</v>
      </c>
      <c r="G997">
        <v>0</v>
      </c>
      <c r="H997" s="7">
        <v>0</v>
      </c>
    </row>
    <row r="998" spans="1:8">
      <c r="A998">
        <v>1</v>
      </c>
      <c r="B998" t="s">
        <v>42</v>
      </c>
      <c r="C998" t="s">
        <v>33</v>
      </c>
      <c r="D998">
        <v>0</v>
      </c>
      <c r="E998">
        <v>1</v>
      </c>
      <c r="F998" s="7">
        <v>4593.59</v>
      </c>
      <c r="G998">
        <v>0</v>
      </c>
      <c r="H998" s="7">
        <v>0</v>
      </c>
    </row>
    <row r="999" spans="1:8">
      <c r="A999">
        <v>1</v>
      </c>
      <c r="B999" t="s">
        <v>42</v>
      </c>
      <c r="C999" t="s">
        <v>32</v>
      </c>
      <c r="D999">
        <v>0</v>
      </c>
      <c r="E999">
        <v>1</v>
      </c>
      <c r="F999" s="7">
        <v>399.66</v>
      </c>
      <c r="G999">
        <v>0</v>
      </c>
      <c r="H999" s="7">
        <v>0</v>
      </c>
    </row>
    <row r="1000" spans="1:8">
      <c r="A1000">
        <v>1</v>
      </c>
      <c r="B1000" t="s">
        <v>42</v>
      </c>
      <c r="C1000" t="s">
        <v>33</v>
      </c>
      <c r="D1000">
        <v>0</v>
      </c>
      <c r="E1000">
        <v>1</v>
      </c>
      <c r="F1000" s="7">
        <v>1617.9</v>
      </c>
      <c r="G1000">
        <v>0</v>
      </c>
      <c r="H1000" s="7">
        <v>0</v>
      </c>
    </row>
    <row r="1001" spans="1:8">
      <c r="A1001">
        <v>1</v>
      </c>
      <c r="B1001" t="s">
        <v>42</v>
      </c>
      <c r="C1001" t="s">
        <v>33</v>
      </c>
      <c r="D1001">
        <v>0</v>
      </c>
      <c r="E1001">
        <v>1</v>
      </c>
      <c r="F1001" s="7">
        <v>2167.26</v>
      </c>
      <c r="G1001">
        <v>0</v>
      </c>
      <c r="H1001" s="7">
        <v>0</v>
      </c>
    </row>
    <row r="1002" spans="1:8">
      <c r="A1002">
        <v>1</v>
      </c>
      <c r="B1002" t="s">
        <v>42</v>
      </c>
      <c r="C1002" t="s">
        <v>33</v>
      </c>
      <c r="D1002">
        <v>0</v>
      </c>
      <c r="E1002">
        <v>1</v>
      </c>
      <c r="F1002" s="7">
        <v>9738.95</v>
      </c>
      <c r="G1002">
        <v>0</v>
      </c>
      <c r="H1002" s="7">
        <v>0</v>
      </c>
    </row>
    <row r="1003" spans="1:8">
      <c r="A1003">
        <v>1</v>
      </c>
      <c r="B1003" t="s">
        <v>42</v>
      </c>
      <c r="C1003" t="s">
        <v>33</v>
      </c>
      <c r="D1003">
        <v>0</v>
      </c>
      <c r="E1003">
        <v>1</v>
      </c>
      <c r="F1003" s="7">
        <v>3396.25</v>
      </c>
      <c r="G1003">
        <v>0</v>
      </c>
      <c r="H1003" s="7">
        <v>0</v>
      </c>
    </row>
    <row r="1004" spans="1:8">
      <c r="A1004">
        <v>1</v>
      </c>
      <c r="B1004" t="s">
        <v>42</v>
      </c>
      <c r="C1004" t="s">
        <v>33</v>
      </c>
      <c r="D1004">
        <v>0</v>
      </c>
      <c r="E1004">
        <v>1</v>
      </c>
      <c r="F1004" s="7">
        <v>6780.78</v>
      </c>
      <c r="G1004">
        <v>0</v>
      </c>
      <c r="H1004" s="7">
        <v>0</v>
      </c>
    </row>
    <row r="1005" spans="1:8">
      <c r="A1005">
        <v>1</v>
      </c>
      <c r="B1005" t="s">
        <v>42</v>
      </c>
      <c r="C1005" t="s">
        <v>33</v>
      </c>
      <c r="D1005">
        <v>0</v>
      </c>
      <c r="E1005">
        <v>1</v>
      </c>
      <c r="F1005" s="7">
        <v>2284.54</v>
      </c>
      <c r="G1005">
        <v>0</v>
      </c>
      <c r="H1005" s="7">
        <v>0</v>
      </c>
    </row>
    <row r="1006" spans="1:8">
      <c r="A1006">
        <v>1</v>
      </c>
      <c r="B1006" t="s">
        <v>42</v>
      </c>
      <c r="C1006" t="s">
        <v>32</v>
      </c>
      <c r="D1006">
        <v>0</v>
      </c>
      <c r="E1006">
        <v>1</v>
      </c>
      <c r="F1006" s="7">
        <v>502.61</v>
      </c>
      <c r="G1006">
        <v>0</v>
      </c>
      <c r="H1006" s="7">
        <v>0</v>
      </c>
    </row>
    <row r="1007" spans="1:8">
      <c r="A1007">
        <v>1</v>
      </c>
      <c r="B1007" t="s">
        <v>42</v>
      </c>
      <c r="C1007" t="s">
        <v>33</v>
      </c>
      <c r="D1007">
        <v>0</v>
      </c>
      <c r="E1007">
        <v>1</v>
      </c>
      <c r="F1007" s="7">
        <v>8716.47</v>
      </c>
      <c r="G1007">
        <v>0</v>
      </c>
      <c r="H1007" s="7">
        <v>0</v>
      </c>
    </row>
    <row r="1008" spans="1:8">
      <c r="A1008">
        <v>1</v>
      </c>
      <c r="B1008" t="s">
        <v>44</v>
      </c>
      <c r="C1008" t="s">
        <v>35</v>
      </c>
      <c r="D1008">
        <v>0</v>
      </c>
      <c r="E1008">
        <v>1</v>
      </c>
      <c r="F1008" s="7">
        <v>209370.56</v>
      </c>
      <c r="G1008">
        <v>0</v>
      </c>
      <c r="H1008" s="7">
        <v>0</v>
      </c>
    </row>
    <row r="1009" spans="1:8">
      <c r="A1009">
        <v>1</v>
      </c>
      <c r="B1009" t="s">
        <v>44</v>
      </c>
      <c r="C1009" t="s">
        <v>35</v>
      </c>
      <c r="D1009">
        <v>0</v>
      </c>
      <c r="E1009">
        <v>1</v>
      </c>
      <c r="F1009" s="7">
        <v>117023.79</v>
      </c>
      <c r="G1009">
        <v>0</v>
      </c>
      <c r="H1009" s="7">
        <v>0</v>
      </c>
    </row>
    <row r="1010" spans="1:8">
      <c r="A1010">
        <v>1</v>
      </c>
      <c r="B1010" t="s">
        <v>42</v>
      </c>
      <c r="C1010" t="s">
        <v>34</v>
      </c>
      <c r="D1010">
        <v>0</v>
      </c>
      <c r="E1010">
        <v>1</v>
      </c>
      <c r="F1010" s="7">
        <v>10891.96</v>
      </c>
      <c r="G1010">
        <v>0</v>
      </c>
      <c r="H1010" s="7">
        <v>0</v>
      </c>
    </row>
    <row r="1011" spans="1:8">
      <c r="A1011">
        <v>1</v>
      </c>
      <c r="B1011" t="s">
        <v>42</v>
      </c>
      <c r="C1011" t="s">
        <v>33</v>
      </c>
      <c r="D1011">
        <v>0</v>
      </c>
      <c r="E1011">
        <v>1</v>
      </c>
      <c r="F1011" s="7">
        <v>4149.86</v>
      </c>
      <c r="G1011">
        <v>0</v>
      </c>
      <c r="H1011" s="7">
        <v>0</v>
      </c>
    </row>
    <row r="1012" spans="1:8">
      <c r="A1012">
        <v>1</v>
      </c>
      <c r="B1012" t="s">
        <v>42</v>
      </c>
      <c r="C1012" t="s">
        <v>34</v>
      </c>
      <c r="D1012">
        <v>0</v>
      </c>
      <c r="E1012">
        <v>1</v>
      </c>
      <c r="F1012" s="7">
        <v>13252.81</v>
      </c>
      <c r="G1012">
        <v>0</v>
      </c>
      <c r="H1012" s="7">
        <v>0</v>
      </c>
    </row>
    <row r="1013" spans="1:8">
      <c r="A1013">
        <v>1</v>
      </c>
      <c r="B1013" t="s">
        <v>42</v>
      </c>
      <c r="C1013" t="s">
        <v>33</v>
      </c>
      <c r="D1013">
        <v>0</v>
      </c>
      <c r="E1013">
        <v>1</v>
      </c>
      <c r="F1013" s="7">
        <v>1213.64</v>
      </c>
      <c r="G1013">
        <v>0</v>
      </c>
      <c r="H1013" s="7">
        <v>0</v>
      </c>
    </row>
    <row r="1014" spans="1:8">
      <c r="A1014">
        <v>1</v>
      </c>
      <c r="B1014" t="s">
        <v>42</v>
      </c>
      <c r="C1014" t="s">
        <v>33</v>
      </c>
      <c r="D1014">
        <v>0</v>
      </c>
      <c r="E1014">
        <v>1</v>
      </c>
      <c r="F1014" s="7">
        <v>5800.85</v>
      </c>
      <c r="G1014">
        <v>0</v>
      </c>
      <c r="H1014" s="7">
        <v>0</v>
      </c>
    </row>
    <row r="1015" spans="1:8">
      <c r="A1015">
        <v>1</v>
      </c>
      <c r="B1015" t="s">
        <v>42</v>
      </c>
      <c r="C1015" t="s">
        <v>33</v>
      </c>
      <c r="D1015">
        <v>0</v>
      </c>
      <c r="E1015">
        <v>1</v>
      </c>
      <c r="F1015" s="7">
        <v>8094.53</v>
      </c>
      <c r="G1015">
        <v>0</v>
      </c>
      <c r="H1015" s="7">
        <v>0</v>
      </c>
    </row>
    <row r="1016" spans="1:8">
      <c r="A1016">
        <v>1</v>
      </c>
      <c r="B1016" t="s">
        <v>42</v>
      </c>
      <c r="C1016" t="s">
        <v>33</v>
      </c>
      <c r="D1016">
        <v>0</v>
      </c>
      <c r="E1016">
        <v>1</v>
      </c>
      <c r="F1016" s="7">
        <v>3825.39</v>
      </c>
      <c r="G1016">
        <v>0</v>
      </c>
      <c r="H1016" s="7">
        <v>0</v>
      </c>
    </row>
    <row r="1017" spans="1:8">
      <c r="A1017">
        <v>1</v>
      </c>
      <c r="B1017" t="s">
        <v>42</v>
      </c>
      <c r="C1017" t="s">
        <v>34</v>
      </c>
      <c r="D1017">
        <v>0</v>
      </c>
      <c r="E1017">
        <v>1</v>
      </c>
      <c r="F1017" s="7">
        <v>12162.01</v>
      </c>
      <c r="G1017">
        <v>0</v>
      </c>
      <c r="H1017" s="7">
        <v>0</v>
      </c>
    </row>
    <row r="1018" spans="1:8">
      <c r="A1018">
        <v>1</v>
      </c>
      <c r="B1018" t="s">
        <v>44</v>
      </c>
      <c r="C1018" t="s">
        <v>35</v>
      </c>
      <c r="D1018">
        <v>0</v>
      </c>
      <c r="E1018">
        <v>1</v>
      </c>
      <c r="F1018" s="7">
        <v>472385.25</v>
      </c>
      <c r="G1018">
        <v>0</v>
      </c>
      <c r="H1018" s="7">
        <v>0</v>
      </c>
    </row>
    <row r="1019" spans="1:8">
      <c r="A1019">
        <v>1</v>
      </c>
      <c r="B1019" t="s">
        <v>42</v>
      </c>
      <c r="C1019" t="s">
        <v>34</v>
      </c>
      <c r="D1019">
        <v>0</v>
      </c>
      <c r="E1019">
        <v>1</v>
      </c>
      <c r="F1019" s="7">
        <v>13427.34</v>
      </c>
      <c r="G1019">
        <v>0</v>
      </c>
      <c r="H1019" s="7">
        <v>0</v>
      </c>
    </row>
    <row r="1020" spans="1:8">
      <c r="A1020">
        <v>1</v>
      </c>
      <c r="B1020" t="s">
        <v>42</v>
      </c>
      <c r="C1020" t="s">
        <v>33</v>
      </c>
      <c r="D1020">
        <v>0</v>
      </c>
      <c r="E1020">
        <v>1</v>
      </c>
      <c r="F1020" s="7">
        <v>1873.13</v>
      </c>
      <c r="G1020">
        <v>0</v>
      </c>
      <c r="H1020" s="7">
        <v>0</v>
      </c>
    </row>
    <row r="1021" spans="1:8">
      <c r="A1021">
        <v>1</v>
      </c>
      <c r="B1021" t="s">
        <v>42</v>
      </c>
      <c r="C1021" t="s">
        <v>33</v>
      </c>
      <c r="D1021">
        <v>0</v>
      </c>
      <c r="E1021">
        <v>1</v>
      </c>
      <c r="F1021" s="7">
        <v>6443.58</v>
      </c>
      <c r="G1021">
        <v>0</v>
      </c>
      <c r="H1021" s="7">
        <v>0</v>
      </c>
    </row>
    <row r="1022" spans="1:8">
      <c r="A1022">
        <v>1</v>
      </c>
      <c r="B1022" t="s">
        <v>42</v>
      </c>
      <c r="C1022" t="s">
        <v>33</v>
      </c>
      <c r="D1022">
        <v>0</v>
      </c>
      <c r="E1022">
        <v>1</v>
      </c>
      <c r="F1022" s="7">
        <v>4008.01</v>
      </c>
      <c r="G1022">
        <v>0</v>
      </c>
      <c r="H1022" s="7">
        <v>0</v>
      </c>
    </row>
    <row r="1023" spans="1:8">
      <c r="A1023">
        <v>1</v>
      </c>
      <c r="B1023" t="s">
        <v>44</v>
      </c>
      <c r="C1023" t="s">
        <v>35</v>
      </c>
      <c r="D1023">
        <v>0</v>
      </c>
      <c r="E1023">
        <v>1</v>
      </c>
      <c r="F1023" s="7">
        <v>197186.52</v>
      </c>
      <c r="G1023">
        <v>0</v>
      </c>
      <c r="H1023" s="7">
        <v>0</v>
      </c>
    </row>
    <row r="1024" spans="1:8">
      <c r="A1024">
        <v>1</v>
      </c>
      <c r="B1024" t="s">
        <v>42</v>
      </c>
      <c r="C1024" t="s">
        <v>33</v>
      </c>
      <c r="D1024">
        <v>0</v>
      </c>
      <c r="E1024">
        <v>1</v>
      </c>
      <c r="F1024" s="7">
        <v>1220.37</v>
      </c>
      <c r="G1024">
        <v>0</v>
      </c>
      <c r="H1024" s="7">
        <v>0</v>
      </c>
    </row>
    <row r="1025" spans="1:8">
      <c r="A1025">
        <v>1</v>
      </c>
      <c r="B1025" t="s">
        <v>45</v>
      </c>
      <c r="C1025" t="s">
        <v>33</v>
      </c>
      <c r="D1025">
        <v>0</v>
      </c>
      <c r="E1025">
        <v>1</v>
      </c>
      <c r="F1025" s="7">
        <v>1683.95</v>
      </c>
      <c r="G1025">
        <v>0</v>
      </c>
      <c r="H1025" s="7">
        <v>0</v>
      </c>
    </row>
    <row r="1026" spans="1:8">
      <c r="A1026">
        <v>1</v>
      </c>
      <c r="B1026" t="s">
        <v>42</v>
      </c>
      <c r="C1026" t="s">
        <v>33</v>
      </c>
      <c r="D1026">
        <v>0</v>
      </c>
      <c r="E1026">
        <v>1</v>
      </c>
      <c r="F1026" s="7">
        <v>2713.67</v>
      </c>
      <c r="G1026">
        <v>0</v>
      </c>
      <c r="H1026" s="7">
        <v>0</v>
      </c>
    </row>
    <row r="1027" spans="1:8">
      <c r="A1027">
        <v>1</v>
      </c>
      <c r="B1027" t="s">
        <v>42</v>
      </c>
      <c r="C1027" t="s">
        <v>33</v>
      </c>
      <c r="D1027">
        <v>0</v>
      </c>
      <c r="E1027">
        <v>1</v>
      </c>
      <c r="F1027" s="7">
        <v>4867.56</v>
      </c>
      <c r="G1027">
        <v>0</v>
      </c>
      <c r="H1027" s="7">
        <v>0</v>
      </c>
    </row>
    <row r="1028" spans="1:8">
      <c r="A1028">
        <v>1</v>
      </c>
      <c r="B1028" t="s">
        <v>44</v>
      </c>
      <c r="C1028" t="s">
        <v>35</v>
      </c>
      <c r="D1028">
        <v>0</v>
      </c>
      <c r="E1028">
        <v>1</v>
      </c>
      <c r="F1028" s="7">
        <v>242940.23</v>
      </c>
      <c r="G1028">
        <v>0</v>
      </c>
      <c r="H1028" s="7">
        <v>0</v>
      </c>
    </row>
    <row r="1029" spans="1:8">
      <c r="A1029">
        <v>1</v>
      </c>
      <c r="B1029" t="s">
        <v>42</v>
      </c>
      <c r="C1029" t="s">
        <v>33</v>
      </c>
      <c r="D1029">
        <v>0</v>
      </c>
      <c r="E1029">
        <v>1</v>
      </c>
      <c r="F1029" s="7">
        <v>4433.98</v>
      </c>
      <c r="G1029">
        <v>0</v>
      </c>
      <c r="H1029" s="7">
        <v>0</v>
      </c>
    </row>
    <row r="1030" spans="1:8">
      <c r="A1030">
        <v>1</v>
      </c>
      <c r="B1030" t="s">
        <v>42</v>
      </c>
      <c r="C1030" t="s">
        <v>33</v>
      </c>
      <c r="D1030">
        <v>0</v>
      </c>
      <c r="E1030">
        <v>1</v>
      </c>
      <c r="F1030" s="7">
        <v>2168.8</v>
      </c>
      <c r="G1030">
        <v>0</v>
      </c>
      <c r="H1030" s="7">
        <v>0</v>
      </c>
    </row>
    <row r="1031" spans="1:8">
      <c r="A1031">
        <v>1</v>
      </c>
      <c r="B1031" t="s">
        <v>42</v>
      </c>
      <c r="C1031" t="s">
        <v>34</v>
      </c>
      <c r="D1031">
        <v>0</v>
      </c>
      <c r="E1031">
        <v>1</v>
      </c>
      <c r="F1031" s="7">
        <v>10059.7</v>
      </c>
      <c r="G1031">
        <v>0</v>
      </c>
      <c r="H1031" s="7">
        <v>0</v>
      </c>
    </row>
    <row r="1032" spans="1:8">
      <c r="A1032">
        <v>1</v>
      </c>
      <c r="B1032" t="s">
        <v>42</v>
      </c>
      <c r="C1032" t="s">
        <v>33</v>
      </c>
      <c r="D1032">
        <v>0</v>
      </c>
      <c r="E1032">
        <v>1</v>
      </c>
      <c r="F1032" s="7">
        <v>8092.1</v>
      </c>
      <c r="G1032">
        <v>0</v>
      </c>
      <c r="H1032" s="7">
        <v>0</v>
      </c>
    </row>
    <row r="1033" spans="1:8">
      <c r="A1033">
        <v>1</v>
      </c>
      <c r="B1033" t="s">
        <v>42</v>
      </c>
      <c r="C1033" t="s">
        <v>34</v>
      </c>
      <c r="D1033">
        <v>0</v>
      </c>
      <c r="E1033">
        <v>1</v>
      </c>
      <c r="F1033" s="7">
        <v>11770.54</v>
      </c>
      <c r="G1033">
        <v>0</v>
      </c>
      <c r="H1033" s="7">
        <v>0</v>
      </c>
    </row>
    <row r="1034" spans="1:8">
      <c r="A1034">
        <v>1</v>
      </c>
      <c r="B1034" t="s">
        <v>42</v>
      </c>
      <c r="C1034" t="s">
        <v>33</v>
      </c>
      <c r="D1034">
        <v>0</v>
      </c>
      <c r="E1034">
        <v>1</v>
      </c>
      <c r="F1034" s="7">
        <v>1576.78</v>
      </c>
      <c r="G1034">
        <v>0</v>
      </c>
      <c r="H1034" s="7">
        <v>0</v>
      </c>
    </row>
    <row r="1035" spans="1:8">
      <c r="A1035">
        <v>1</v>
      </c>
      <c r="B1035" t="s">
        <v>42</v>
      </c>
      <c r="C1035" t="s">
        <v>32</v>
      </c>
      <c r="D1035">
        <v>0</v>
      </c>
      <c r="E1035">
        <v>1</v>
      </c>
      <c r="F1035" s="7">
        <v>320.53</v>
      </c>
      <c r="G1035">
        <v>0</v>
      </c>
      <c r="H1035" s="7">
        <v>0</v>
      </c>
    </row>
    <row r="1036" spans="1:8">
      <c r="A1036">
        <v>1</v>
      </c>
      <c r="B1036" t="s">
        <v>45</v>
      </c>
      <c r="C1036" t="s">
        <v>33</v>
      </c>
      <c r="D1036">
        <v>0</v>
      </c>
      <c r="E1036">
        <v>1</v>
      </c>
      <c r="F1036" s="7">
        <v>3390.74</v>
      </c>
      <c r="G1036">
        <v>0</v>
      </c>
      <c r="H1036" s="7">
        <v>0</v>
      </c>
    </row>
    <row r="1037" spans="1:8">
      <c r="A1037">
        <v>1</v>
      </c>
      <c r="B1037" t="s">
        <v>42</v>
      </c>
      <c r="C1037" t="s">
        <v>33</v>
      </c>
      <c r="D1037">
        <v>0</v>
      </c>
      <c r="E1037">
        <v>1</v>
      </c>
      <c r="F1037" s="7">
        <v>2736.35</v>
      </c>
      <c r="G1037">
        <v>0</v>
      </c>
      <c r="H1037" s="7">
        <v>0</v>
      </c>
    </row>
    <row r="1038" spans="1:8">
      <c r="A1038">
        <v>1</v>
      </c>
      <c r="B1038" t="s">
        <v>42</v>
      </c>
      <c r="C1038" t="s">
        <v>33</v>
      </c>
      <c r="D1038">
        <v>0</v>
      </c>
      <c r="E1038">
        <v>1</v>
      </c>
      <c r="F1038" s="7">
        <v>6029.92</v>
      </c>
      <c r="G1038">
        <v>0</v>
      </c>
      <c r="H1038" s="7">
        <v>0</v>
      </c>
    </row>
    <row r="1039" spans="1:8">
      <c r="A1039">
        <v>1</v>
      </c>
      <c r="B1039" t="s">
        <v>42</v>
      </c>
      <c r="C1039" t="s">
        <v>33</v>
      </c>
      <c r="D1039">
        <v>0</v>
      </c>
      <c r="E1039">
        <v>1</v>
      </c>
      <c r="F1039" s="7">
        <v>7506.65</v>
      </c>
      <c r="G1039">
        <v>0</v>
      </c>
      <c r="H1039" s="7">
        <v>0</v>
      </c>
    </row>
    <row r="1040" spans="1:8">
      <c r="A1040">
        <v>1</v>
      </c>
      <c r="B1040" t="s">
        <v>42</v>
      </c>
      <c r="C1040" t="s">
        <v>34</v>
      </c>
      <c r="D1040">
        <v>0</v>
      </c>
      <c r="E1040">
        <v>1</v>
      </c>
      <c r="F1040" s="7">
        <v>12621.09</v>
      </c>
      <c r="G1040">
        <v>0</v>
      </c>
      <c r="H1040" s="7">
        <v>0</v>
      </c>
    </row>
    <row r="1041" spans="1:8">
      <c r="A1041">
        <v>1</v>
      </c>
      <c r="B1041" t="s">
        <v>42</v>
      </c>
      <c r="C1041" t="s">
        <v>33</v>
      </c>
      <c r="D1041">
        <v>0</v>
      </c>
      <c r="E1041">
        <v>1</v>
      </c>
      <c r="F1041" s="7">
        <v>1582.67</v>
      </c>
      <c r="G1041">
        <v>0</v>
      </c>
      <c r="H1041" s="7">
        <v>0</v>
      </c>
    </row>
    <row r="1042" spans="1:8">
      <c r="A1042">
        <v>1</v>
      </c>
      <c r="B1042" t="s">
        <v>42</v>
      </c>
      <c r="C1042" t="s">
        <v>32</v>
      </c>
      <c r="D1042">
        <v>0</v>
      </c>
      <c r="E1042">
        <v>1</v>
      </c>
      <c r="F1042" s="7">
        <v>881.26</v>
      </c>
      <c r="G1042">
        <v>0</v>
      </c>
      <c r="H1042" s="7">
        <v>0</v>
      </c>
    </row>
    <row r="1043" spans="1:8">
      <c r="A1043">
        <v>1</v>
      </c>
      <c r="B1043" t="s">
        <v>45</v>
      </c>
      <c r="C1043" t="s">
        <v>33</v>
      </c>
      <c r="D1043">
        <v>0</v>
      </c>
      <c r="E1043">
        <v>1</v>
      </c>
      <c r="F1043" s="7">
        <v>4651.67</v>
      </c>
      <c r="G1043">
        <v>0</v>
      </c>
      <c r="H1043" s="7">
        <v>0</v>
      </c>
    </row>
    <row r="1044" spans="1:8">
      <c r="A1044">
        <v>1</v>
      </c>
      <c r="B1044" t="s">
        <v>42</v>
      </c>
      <c r="C1044" t="s">
        <v>33</v>
      </c>
      <c r="D1044">
        <v>0</v>
      </c>
      <c r="E1044">
        <v>1</v>
      </c>
      <c r="F1044" s="7">
        <v>8074.16</v>
      </c>
      <c r="G1044">
        <v>0</v>
      </c>
      <c r="H1044" s="7">
        <v>0</v>
      </c>
    </row>
    <row r="1045" spans="1:8">
      <c r="A1045">
        <v>1</v>
      </c>
      <c r="B1045" t="s">
        <v>42</v>
      </c>
      <c r="C1045" t="s">
        <v>33</v>
      </c>
      <c r="D1045">
        <v>0</v>
      </c>
      <c r="E1045">
        <v>1</v>
      </c>
      <c r="F1045" s="7">
        <v>4337.08</v>
      </c>
      <c r="G1045">
        <v>0</v>
      </c>
      <c r="H1045" s="7">
        <v>0</v>
      </c>
    </row>
    <row r="1046" spans="1:8">
      <c r="A1046">
        <v>1</v>
      </c>
      <c r="B1046" t="s">
        <v>45</v>
      </c>
      <c r="C1046" t="s">
        <v>32</v>
      </c>
      <c r="D1046">
        <v>0</v>
      </c>
      <c r="E1046">
        <v>1</v>
      </c>
      <c r="F1046" s="7">
        <v>429.42</v>
      </c>
      <c r="G1046">
        <v>0</v>
      </c>
      <c r="H1046" s="7">
        <v>0</v>
      </c>
    </row>
    <row r="1047" spans="1:8">
      <c r="A1047">
        <v>1</v>
      </c>
      <c r="B1047" t="s">
        <v>42</v>
      </c>
      <c r="C1047" t="s">
        <v>33</v>
      </c>
      <c r="D1047">
        <v>0</v>
      </c>
      <c r="E1047">
        <v>1</v>
      </c>
      <c r="F1047" s="7">
        <v>7645.96</v>
      </c>
      <c r="G1047">
        <v>0</v>
      </c>
      <c r="H1047" s="7">
        <v>0</v>
      </c>
    </row>
    <row r="1048" spans="1:8">
      <c r="A1048">
        <v>1</v>
      </c>
      <c r="B1048" t="s">
        <v>43</v>
      </c>
      <c r="C1048" t="s">
        <v>35</v>
      </c>
      <c r="D1048">
        <v>0</v>
      </c>
      <c r="E1048">
        <v>1</v>
      </c>
      <c r="F1048" s="7">
        <v>221654.28</v>
      </c>
      <c r="G1048">
        <v>0</v>
      </c>
      <c r="H1048" s="7">
        <v>0</v>
      </c>
    </row>
    <row r="1049" spans="1:8">
      <c r="A1049">
        <v>1</v>
      </c>
      <c r="B1049" t="s">
        <v>42</v>
      </c>
      <c r="C1049" t="s">
        <v>34</v>
      </c>
      <c r="D1049">
        <v>0</v>
      </c>
      <c r="E1049">
        <v>1</v>
      </c>
      <c r="F1049" s="7">
        <v>10932.41</v>
      </c>
      <c r="G1049">
        <v>0</v>
      </c>
      <c r="H1049" s="7">
        <v>0</v>
      </c>
    </row>
    <row r="1050" spans="1:8">
      <c r="A1050">
        <v>1</v>
      </c>
      <c r="B1050" t="s">
        <v>42</v>
      </c>
      <c r="C1050" t="s">
        <v>33</v>
      </c>
      <c r="D1050">
        <v>0</v>
      </c>
      <c r="E1050">
        <v>1</v>
      </c>
      <c r="F1050" s="7">
        <v>4518.42</v>
      </c>
      <c r="G1050">
        <v>0</v>
      </c>
      <c r="H1050" s="7">
        <v>0</v>
      </c>
    </row>
    <row r="1051" spans="1:8">
      <c r="A1051">
        <v>1</v>
      </c>
      <c r="B1051" t="s">
        <v>42</v>
      </c>
      <c r="C1051" t="s">
        <v>33</v>
      </c>
      <c r="D1051">
        <v>0</v>
      </c>
      <c r="E1051">
        <v>1</v>
      </c>
      <c r="F1051" s="7">
        <v>1616.52</v>
      </c>
      <c r="G1051">
        <v>0</v>
      </c>
      <c r="H1051" s="7">
        <v>0</v>
      </c>
    </row>
    <row r="1052" spans="1:8">
      <c r="A1052">
        <v>1</v>
      </c>
      <c r="B1052" t="s">
        <v>42</v>
      </c>
      <c r="C1052" t="s">
        <v>33</v>
      </c>
      <c r="D1052">
        <v>0</v>
      </c>
      <c r="E1052">
        <v>1</v>
      </c>
      <c r="F1052" s="7">
        <v>3545.37</v>
      </c>
      <c r="G1052">
        <v>0</v>
      </c>
      <c r="H1052" s="7">
        <v>0</v>
      </c>
    </row>
    <row r="1053" spans="1:8">
      <c r="A1053">
        <v>1</v>
      </c>
      <c r="B1053" t="s">
        <v>46</v>
      </c>
      <c r="C1053" t="s">
        <v>35</v>
      </c>
      <c r="D1053">
        <v>0</v>
      </c>
      <c r="E1053">
        <v>1</v>
      </c>
      <c r="F1053" s="7">
        <v>159334.62</v>
      </c>
      <c r="G1053">
        <v>0</v>
      </c>
      <c r="H1053" s="7">
        <v>0</v>
      </c>
    </row>
    <row r="1054" spans="1:8">
      <c r="A1054">
        <v>1</v>
      </c>
      <c r="B1054" t="s">
        <v>44</v>
      </c>
      <c r="C1054" t="s">
        <v>35</v>
      </c>
      <c r="D1054">
        <v>0</v>
      </c>
      <c r="E1054">
        <v>1</v>
      </c>
      <c r="F1054" s="7">
        <v>334262.17</v>
      </c>
      <c r="G1054">
        <v>0</v>
      </c>
      <c r="H1054" s="7">
        <v>0</v>
      </c>
    </row>
    <row r="1055" spans="1:8">
      <c r="A1055">
        <v>1</v>
      </c>
      <c r="B1055" t="s">
        <v>42</v>
      </c>
      <c r="C1055" t="s">
        <v>33</v>
      </c>
      <c r="D1055">
        <v>0</v>
      </c>
      <c r="E1055">
        <v>1</v>
      </c>
      <c r="F1055" s="7">
        <v>5403.87</v>
      </c>
      <c r="G1055">
        <v>0</v>
      </c>
      <c r="H1055" s="7">
        <v>0</v>
      </c>
    </row>
    <row r="1056" spans="1:8">
      <c r="A1056">
        <v>1</v>
      </c>
      <c r="B1056" t="s">
        <v>42</v>
      </c>
      <c r="C1056" t="s">
        <v>34</v>
      </c>
      <c r="D1056">
        <v>0</v>
      </c>
      <c r="E1056">
        <v>1</v>
      </c>
      <c r="F1056" s="7">
        <v>13288.84</v>
      </c>
      <c r="G1056">
        <v>0</v>
      </c>
      <c r="H1056" s="7">
        <v>0</v>
      </c>
    </row>
    <row r="1057" spans="1:8">
      <c r="A1057">
        <v>1</v>
      </c>
      <c r="B1057" t="s">
        <v>42</v>
      </c>
      <c r="C1057" t="s">
        <v>33</v>
      </c>
      <c r="D1057">
        <v>0</v>
      </c>
      <c r="E1057">
        <v>1</v>
      </c>
      <c r="F1057" s="7">
        <v>7079.24</v>
      </c>
      <c r="G1057">
        <v>0</v>
      </c>
      <c r="H1057" s="7">
        <v>0</v>
      </c>
    </row>
    <row r="1058" spans="1:8">
      <c r="A1058">
        <v>1</v>
      </c>
      <c r="B1058" t="s">
        <v>42</v>
      </c>
      <c r="C1058" t="s">
        <v>33</v>
      </c>
      <c r="D1058">
        <v>0</v>
      </c>
      <c r="E1058">
        <v>1</v>
      </c>
      <c r="F1058" s="7">
        <v>4451.95</v>
      </c>
      <c r="G1058">
        <v>0</v>
      </c>
      <c r="H1058" s="7">
        <v>0</v>
      </c>
    </row>
    <row r="1059" spans="1:8">
      <c r="A1059">
        <v>1</v>
      </c>
      <c r="B1059" t="s">
        <v>42</v>
      </c>
      <c r="C1059" t="s">
        <v>34</v>
      </c>
      <c r="D1059">
        <v>0</v>
      </c>
      <c r="E1059">
        <v>1</v>
      </c>
      <c r="F1059" s="7">
        <v>25554.79</v>
      </c>
      <c r="G1059">
        <v>0</v>
      </c>
      <c r="H1059" s="7">
        <v>0</v>
      </c>
    </row>
    <row r="1060" spans="1:8">
      <c r="A1060">
        <v>1</v>
      </c>
      <c r="B1060" t="s">
        <v>42</v>
      </c>
      <c r="C1060" t="s">
        <v>33</v>
      </c>
      <c r="D1060">
        <v>0</v>
      </c>
      <c r="E1060">
        <v>1</v>
      </c>
      <c r="F1060" s="7">
        <v>6757.51</v>
      </c>
      <c r="G1060">
        <v>0</v>
      </c>
      <c r="H1060" s="7">
        <v>0</v>
      </c>
    </row>
    <row r="1061" spans="1:8">
      <c r="A1061">
        <v>1</v>
      </c>
      <c r="B1061" t="s">
        <v>42</v>
      </c>
      <c r="C1061" t="s">
        <v>33</v>
      </c>
      <c r="D1061">
        <v>0</v>
      </c>
      <c r="E1061">
        <v>1</v>
      </c>
      <c r="F1061" s="7">
        <v>2756.3</v>
      </c>
      <c r="G1061">
        <v>0</v>
      </c>
      <c r="H1061" s="7">
        <v>0</v>
      </c>
    </row>
    <row r="1062" spans="1:8">
      <c r="A1062">
        <v>1</v>
      </c>
      <c r="B1062" t="s">
        <v>42</v>
      </c>
      <c r="C1062" t="s">
        <v>33</v>
      </c>
      <c r="D1062">
        <v>0</v>
      </c>
      <c r="E1062">
        <v>1</v>
      </c>
      <c r="F1062" s="7">
        <v>4163.82</v>
      </c>
      <c r="G1062">
        <v>0</v>
      </c>
      <c r="H1062" s="7">
        <v>0</v>
      </c>
    </row>
    <row r="1063" spans="1:8">
      <c r="A1063">
        <v>1</v>
      </c>
      <c r="B1063" t="s">
        <v>45</v>
      </c>
      <c r="C1063" t="s">
        <v>33</v>
      </c>
      <c r="D1063">
        <v>0</v>
      </c>
      <c r="E1063">
        <v>1</v>
      </c>
      <c r="F1063" s="7">
        <v>5416.8</v>
      </c>
      <c r="G1063">
        <v>0</v>
      </c>
      <c r="H1063" s="7">
        <v>0</v>
      </c>
    </row>
    <row r="1064" spans="1:8">
      <c r="A1064">
        <v>1</v>
      </c>
      <c r="B1064" t="s">
        <v>42</v>
      </c>
      <c r="C1064" t="s">
        <v>33</v>
      </c>
      <c r="D1064">
        <v>0</v>
      </c>
      <c r="E1064">
        <v>1</v>
      </c>
      <c r="F1064" s="7">
        <v>8356.44</v>
      </c>
      <c r="G1064">
        <v>0</v>
      </c>
      <c r="H1064" s="7">
        <v>0</v>
      </c>
    </row>
    <row r="1065" spans="1:8">
      <c r="A1065">
        <v>1</v>
      </c>
      <c r="B1065" t="s">
        <v>45</v>
      </c>
      <c r="C1065" t="s">
        <v>33</v>
      </c>
      <c r="D1065">
        <v>0</v>
      </c>
      <c r="E1065">
        <v>1</v>
      </c>
      <c r="F1065" s="7">
        <v>7257.7</v>
      </c>
      <c r="G1065">
        <v>0</v>
      </c>
      <c r="H1065" s="7">
        <v>0</v>
      </c>
    </row>
    <row r="1066" spans="1:8">
      <c r="A1066">
        <v>1</v>
      </c>
      <c r="B1066" t="s">
        <v>42</v>
      </c>
      <c r="C1066" t="s">
        <v>33</v>
      </c>
      <c r="D1066">
        <v>0</v>
      </c>
      <c r="E1066">
        <v>1</v>
      </c>
      <c r="F1066" s="7">
        <v>5570.5</v>
      </c>
      <c r="G1066">
        <v>0</v>
      </c>
      <c r="H1066" s="7">
        <v>0</v>
      </c>
    </row>
    <row r="1067" spans="1:8">
      <c r="A1067">
        <v>1</v>
      </c>
      <c r="B1067" t="s">
        <v>42</v>
      </c>
      <c r="C1067" t="s">
        <v>33</v>
      </c>
      <c r="D1067">
        <v>0</v>
      </c>
      <c r="E1067">
        <v>1</v>
      </c>
      <c r="F1067" s="7">
        <v>9181.99</v>
      </c>
      <c r="G1067">
        <v>0</v>
      </c>
      <c r="H1067" s="7">
        <v>0</v>
      </c>
    </row>
    <row r="1068" spans="1:8">
      <c r="A1068">
        <v>1</v>
      </c>
      <c r="B1068" t="s">
        <v>42</v>
      </c>
      <c r="C1068" t="s">
        <v>32</v>
      </c>
      <c r="D1068">
        <v>0</v>
      </c>
      <c r="E1068">
        <v>1</v>
      </c>
      <c r="F1068" s="7">
        <v>663.34</v>
      </c>
      <c r="G1068">
        <v>0</v>
      </c>
      <c r="H1068" s="7">
        <v>0</v>
      </c>
    </row>
    <row r="1069" spans="1:8">
      <c r="A1069">
        <v>1</v>
      </c>
      <c r="B1069" t="s">
        <v>42</v>
      </c>
      <c r="C1069" t="s">
        <v>33</v>
      </c>
      <c r="D1069">
        <v>0</v>
      </c>
      <c r="E1069">
        <v>1</v>
      </c>
      <c r="F1069" s="7">
        <v>1532.35</v>
      </c>
      <c r="G1069">
        <v>0</v>
      </c>
      <c r="H1069" s="7">
        <v>0</v>
      </c>
    </row>
    <row r="1070" spans="1:8">
      <c r="A1070">
        <v>1</v>
      </c>
      <c r="B1070" t="s">
        <v>42</v>
      </c>
      <c r="C1070" t="s">
        <v>33</v>
      </c>
      <c r="D1070">
        <v>0</v>
      </c>
      <c r="E1070">
        <v>1</v>
      </c>
      <c r="F1070" s="7">
        <v>1180.55</v>
      </c>
      <c r="G1070">
        <v>0</v>
      </c>
      <c r="H1070" s="7">
        <v>0</v>
      </c>
    </row>
    <row r="1071" spans="1:8">
      <c r="A1071">
        <v>1</v>
      </c>
      <c r="B1071" t="s">
        <v>42</v>
      </c>
      <c r="C1071" t="s">
        <v>33</v>
      </c>
      <c r="D1071">
        <v>0</v>
      </c>
      <c r="E1071">
        <v>1</v>
      </c>
      <c r="F1071" s="7">
        <v>7950.29</v>
      </c>
      <c r="G1071">
        <v>0</v>
      </c>
      <c r="H1071" s="7">
        <v>0</v>
      </c>
    </row>
    <row r="1072" spans="1:8">
      <c r="A1072">
        <v>1</v>
      </c>
      <c r="B1072" t="s">
        <v>42</v>
      </c>
      <c r="C1072" t="s">
        <v>33</v>
      </c>
      <c r="D1072">
        <v>0</v>
      </c>
      <c r="E1072">
        <v>1</v>
      </c>
      <c r="F1072" s="7">
        <v>5334.81</v>
      </c>
      <c r="G1072">
        <v>0</v>
      </c>
      <c r="H1072" s="7">
        <v>0</v>
      </c>
    </row>
    <row r="1073" spans="1:8">
      <c r="A1073">
        <v>1</v>
      </c>
      <c r="B1073" t="s">
        <v>42</v>
      </c>
      <c r="C1073" t="s">
        <v>32</v>
      </c>
      <c r="D1073">
        <v>0</v>
      </c>
      <c r="E1073">
        <v>1</v>
      </c>
      <c r="F1073" s="7">
        <v>760.21</v>
      </c>
      <c r="G1073">
        <v>0</v>
      </c>
      <c r="H1073" s="7">
        <v>0</v>
      </c>
    </row>
    <row r="1074" spans="1:8">
      <c r="A1074">
        <v>1</v>
      </c>
      <c r="B1074" t="s">
        <v>42</v>
      </c>
      <c r="C1074" t="s">
        <v>33</v>
      </c>
      <c r="D1074">
        <v>0</v>
      </c>
      <c r="E1074">
        <v>1</v>
      </c>
      <c r="F1074" s="7">
        <v>1697.56</v>
      </c>
      <c r="G1074">
        <v>0</v>
      </c>
      <c r="H1074" s="7">
        <v>0</v>
      </c>
    </row>
    <row r="1075" spans="1:8">
      <c r="A1075">
        <v>1</v>
      </c>
      <c r="B1075" t="s">
        <v>42</v>
      </c>
      <c r="C1075" t="s">
        <v>32</v>
      </c>
      <c r="D1075">
        <v>0</v>
      </c>
      <c r="E1075">
        <v>1</v>
      </c>
      <c r="F1075" s="7">
        <v>112.56</v>
      </c>
      <c r="G1075">
        <v>0</v>
      </c>
      <c r="H1075" s="7">
        <v>0</v>
      </c>
    </row>
    <row r="1076" spans="1:8">
      <c r="A1076">
        <v>1</v>
      </c>
      <c r="B1076" t="s">
        <v>42</v>
      </c>
      <c r="C1076" t="s">
        <v>34</v>
      </c>
      <c r="D1076">
        <v>0</v>
      </c>
      <c r="E1076">
        <v>1</v>
      </c>
      <c r="F1076" s="7">
        <v>13373.96</v>
      </c>
      <c r="G1076">
        <v>0</v>
      </c>
      <c r="H1076" s="7">
        <v>0</v>
      </c>
    </row>
    <row r="1077" spans="1:8">
      <c r="A1077">
        <v>1</v>
      </c>
      <c r="B1077" t="s">
        <v>45</v>
      </c>
      <c r="C1077" t="s">
        <v>33</v>
      </c>
      <c r="D1077">
        <v>0</v>
      </c>
      <c r="E1077">
        <v>1</v>
      </c>
      <c r="F1077" s="7">
        <v>6606.47</v>
      </c>
      <c r="G1077">
        <v>0</v>
      </c>
      <c r="H1077" s="7">
        <v>0</v>
      </c>
    </row>
    <row r="1078" spans="1:8">
      <c r="A1078">
        <v>1</v>
      </c>
      <c r="B1078" t="s">
        <v>44</v>
      </c>
      <c r="C1078" t="s">
        <v>35</v>
      </c>
      <c r="D1078">
        <v>0</v>
      </c>
      <c r="E1078">
        <v>1</v>
      </c>
      <c r="F1078" s="7">
        <v>208501.33</v>
      </c>
      <c r="G1078">
        <v>0</v>
      </c>
      <c r="H1078" s="7">
        <v>0</v>
      </c>
    </row>
    <row r="1079" spans="1:8">
      <c r="A1079">
        <v>1</v>
      </c>
      <c r="B1079" t="s">
        <v>42</v>
      </c>
      <c r="C1079" t="s">
        <v>33</v>
      </c>
      <c r="D1079">
        <v>0</v>
      </c>
      <c r="E1079">
        <v>1</v>
      </c>
      <c r="F1079" s="7">
        <v>1045.63</v>
      </c>
      <c r="G1079">
        <v>0</v>
      </c>
      <c r="H1079" s="7">
        <v>0</v>
      </c>
    </row>
    <row r="1080" spans="1:8">
      <c r="A1080">
        <v>1</v>
      </c>
      <c r="B1080" t="s">
        <v>44</v>
      </c>
      <c r="C1080" t="s">
        <v>35</v>
      </c>
      <c r="D1080">
        <v>0</v>
      </c>
      <c r="E1080">
        <v>1</v>
      </c>
      <c r="F1080" s="7">
        <v>363482.02</v>
      </c>
      <c r="G1080">
        <v>0</v>
      </c>
      <c r="H1080" s="7">
        <v>0</v>
      </c>
    </row>
    <row r="1081" spans="1:8">
      <c r="A1081">
        <v>1</v>
      </c>
      <c r="B1081" t="s">
        <v>45</v>
      </c>
      <c r="C1081" t="s">
        <v>33</v>
      </c>
      <c r="D1081">
        <v>0</v>
      </c>
      <c r="E1081">
        <v>1</v>
      </c>
      <c r="F1081" s="7">
        <v>2935.86</v>
      </c>
      <c r="G1081">
        <v>0</v>
      </c>
      <c r="H1081" s="7">
        <v>0</v>
      </c>
    </row>
    <row r="1082" spans="1:8">
      <c r="A1082">
        <v>1</v>
      </c>
      <c r="B1082" t="s">
        <v>46</v>
      </c>
      <c r="C1082" t="s">
        <v>34</v>
      </c>
      <c r="D1082">
        <v>0</v>
      </c>
      <c r="E1082">
        <v>1</v>
      </c>
      <c r="F1082" s="7">
        <v>88626.65</v>
      </c>
      <c r="G1082">
        <v>0</v>
      </c>
      <c r="H1082" s="7">
        <v>0</v>
      </c>
    </row>
    <row r="1083" spans="1:8">
      <c r="A1083">
        <v>1</v>
      </c>
      <c r="B1083" t="s">
        <v>44</v>
      </c>
      <c r="C1083" t="s">
        <v>35</v>
      </c>
      <c r="D1083">
        <v>0</v>
      </c>
      <c r="E1083">
        <v>1</v>
      </c>
      <c r="F1083" s="7">
        <v>540789.56</v>
      </c>
      <c r="G1083">
        <v>0</v>
      </c>
      <c r="H1083" s="7">
        <v>0</v>
      </c>
    </row>
    <row r="1084" spans="1:8">
      <c r="A1084">
        <v>1</v>
      </c>
      <c r="B1084" t="s">
        <v>42</v>
      </c>
      <c r="C1084" t="s">
        <v>34</v>
      </c>
      <c r="D1084">
        <v>0</v>
      </c>
      <c r="E1084">
        <v>1</v>
      </c>
      <c r="F1084" s="7">
        <v>10430.39</v>
      </c>
      <c r="G1084">
        <v>0</v>
      </c>
      <c r="H1084" s="7">
        <v>0</v>
      </c>
    </row>
    <row r="1085" spans="1:8">
      <c r="A1085">
        <v>1</v>
      </c>
      <c r="B1085" t="s">
        <v>42</v>
      </c>
      <c r="C1085" t="s">
        <v>33</v>
      </c>
      <c r="D1085">
        <v>0</v>
      </c>
      <c r="E1085">
        <v>1</v>
      </c>
      <c r="F1085" s="7">
        <v>4279.07</v>
      </c>
      <c r="G1085">
        <v>0</v>
      </c>
      <c r="H1085" s="7">
        <v>0</v>
      </c>
    </row>
    <row r="1086" spans="1:8">
      <c r="A1086">
        <v>1</v>
      </c>
      <c r="B1086" t="s">
        <v>42</v>
      </c>
      <c r="C1086" t="s">
        <v>33</v>
      </c>
      <c r="D1086">
        <v>0</v>
      </c>
      <c r="E1086">
        <v>1</v>
      </c>
      <c r="F1086" s="7">
        <v>3537.25</v>
      </c>
      <c r="G1086">
        <v>0</v>
      </c>
      <c r="H1086" s="7">
        <v>0</v>
      </c>
    </row>
    <row r="1087" spans="1:8">
      <c r="A1087">
        <v>1</v>
      </c>
      <c r="B1087" t="s">
        <v>43</v>
      </c>
      <c r="C1087" t="s">
        <v>34</v>
      </c>
      <c r="D1087">
        <v>0</v>
      </c>
      <c r="E1087">
        <v>1</v>
      </c>
      <c r="F1087" s="7">
        <v>66225.76</v>
      </c>
      <c r="G1087">
        <v>0</v>
      </c>
      <c r="H1087" s="7">
        <v>0</v>
      </c>
    </row>
    <row r="1088" spans="1:8">
      <c r="A1088">
        <v>1</v>
      </c>
      <c r="B1088" t="s">
        <v>42</v>
      </c>
      <c r="C1088" t="s">
        <v>32</v>
      </c>
      <c r="D1088">
        <v>0</v>
      </c>
      <c r="E1088">
        <v>1</v>
      </c>
      <c r="F1088" s="7">
        <v>964.77</v>
      </c>
      <c r="G1088">
        <v>0</v>
      </c>
      <c r="H1088" s="7">
        <v>0</v>
      </c>
    </row>
    <row r="1089" spans="1:8">
      <c r="A1089">
        <v>1</v>
      </c>
      <c r="B1089" t="s">
        <v>42</v>
      </c>
      <c r="C1089" t="s">
        <v>34</v>
      </c>
      <c r="D1089">
        <v>0</v>
      </c>
      <c r="E1089">
        <v>1</v>
      </c>
      <c r="F1089" s="7">
        <v>12178.51</v>
      </c>
      <c r="G1089">
        <v>0</v>
      </c>
      <c r="H1089" s="7">
        <v>0</v>
      </c>
    </row>
    <row r="1090" spans="1:8">
      <c r="A1090">
        <v>1</v>
      </c>
      <c r="B1090" t="s">
        <v>44</v>
      </c>
      <c r="C1090" t="s">
        <v>35</v>
      </c>
      <c r="D1090">
        <v>0</v>
      </c>
      <c r="E1090">
        <v>1</v>
      </c>
      <c r="F1090" s="7">
        <v>310157.55</v>
      </c>
      <c r="G1090">
        <v>0</v>
      </c>
      <c r="H1090" s="7">
        <v>0</v>
      </c>
    </row>
    <row r="1091" spans="1:8">
      <c r="A1091">
        <v>1</v>
      </c>
      <c r="B1091" t="s">
        <v>42</v>
      </c>
      <c r="C1091" t="s">
        <v>33</v>
      </c>
      <c r="D1091">
        <v>0</v>
      </c>
      <c r="E1091">
        <v>1</v>
      </c>
      <c r="F1091" s="7">
        <v>2272.54</v>
      </c>
      <c r="G1091">
        <v>0</v>
      </c>
      <c r="H1091" s="7">
        <v>0</v>
      </c>
    </row>
    <row r="1092" spans="1:8">
      <c r="A1092">
        <v>1</v>
      </c>
      <c r="B1092" t="s">
        <v>42</v>
      </c>
      <c r="C1092" t="s">
        <v>33</v>
      </c>
      <c r="D1092">
        <v>0</v>
      </c>
      <c r="E1092">
        <v>1</v>
      </c>
      <c r="F1092" s="7">
        <v>6078.56</v>
      </c>
      <c r="G1092">
        <v>0</v>
      </c>
      <c r="H1092" s="7">
        <v>0</v>
      </c>
    </row>
    <row r="1093" spans="1:8">
      <c r="A1093">
        <v>1</v>
      </c>
      <c r="B1093" t="s">
        <v>42</v>
      </c>
      <c r="C1093" t="s">
        <v>33</v>
      </c>
      <c r="D1093">
        <v>0</v>
      </c>
      <c r="E1093">
        <v>1</v>
      </c>
      <c r="F1093" s="7">
        <v>4108.8</v>
      </c>
      <c r="G1093">
        <v>0</v>
      </c>
      <c r="H1093" s="7">
        <v>0</v>
      </c>
    </row>
    <row r="1094" spans="1:8">
      <c r="A1094">
        <v>1</v>
      </c>
      <c r="B1094" t="s">
        <v>42</v>
      </c>
      <c r="C1094" t="s">
        <v>33</v>
      </c>
      <c r="D1094">
        <v>0</v>
      </c>
      <c r="E1094">
        <v>1</v>
      </c>
      <c r="F1094" s="7">
        <v>2671.31</v>
      </c>
      <c r="G1094">
        <v>0</v>
      </c>
      <c r="H1094" s="7">
        <v>0</v>
      </c>
    </row>
    <row r="1095" spans="1:8">
      <c r="A1095">
        <v>1</v>
      </c>
      <c r="B1095" t="s">
        <v>42</v>
      </c>
      <c r="C1095" t="s">
        <v>34</v>
      </c>
      <c r="D1095">
        <v>0</v>
      </c>
      <c r="E1095">
        <v>1</v>
      </c>
      <c r="F1095" s="7">
        <v>12426.38</v>
      </c>
      <c r="G1095">
        <v>0</v>
      </c>
      <c r="H1095" s="7">
        <v>0</v>
      </c>
    </row>
    <row r="1096" spans="1:8">
      <c r="A1096">
        <v>1</v>
      </c>
      <c r="B1096" t="s">
        <v>42</v>
      </c>
      <c r="C1096" t="s">
        <v>34</v>
      </c>
      <c r="D1096">
        <v>0</v>
      </c>
      <c r="E1096">
        <v>1</v>
      </c>
      <c r="F1096" s="7">
        <v>17373.04</v>
      </c>
      <c r="G1096">
        <v>0</v>
      </c>
      <c r="H1096" s="7">
        <v>0</v>
      </c>
    </row>
    <row r="1097" spans="1:8">
      <c r="A1097">
        <v>1</v>
      </c>
      <c r="B1097" t="s">
        <v>42</v>
      </c>
      <c r="C1097" t="s">
        <v>33</v>
      </c>
      <c r="D1097">
        <v>0</v>
      </c>
      <c r="E1097">
        <v>1</v>
      </c>
      <c r="F1097" s="7">
        <v>7272.63</v>
      </c>
      <c r="G1097">
        <v>0</v>
      </c>
      <c r="H1097" s="7">
        <v>0</v>
      </c>
    </row>
    <row r="1098" spans="1:8">
      <c r="A1098">
        <v>1</v>
      </c>
      <c r="B1098" t="s">
        <v>42</v>
      </c>
      <c r="C1098" t="s">
        <v>33</v>
      </c>
      <c r="D1098">
        <v>0</v>
      </c>
      <c r="E1098">
        <v>1</v>
      </c>
      <c r="F1098" s="7">
        <v>6548.43</v>
      </c>
      <c r="G1098">
        <v>0</v>
      </c>
      <c r="H1098" s="7">
        <v>0</v>
      </c>
    </row>
    <row r="1099" spans="1:8">
      <c r="A1099">
        <v>1</v>
      </c>
      <c r="B1099" t="s">
        <v>42</v>
      </c>
      <c r="C1099" t="s">
        <v>33</v>
      </c>
      <c r="D1099">
        <v>0</v>
      </c>
      <c r="E1099">
        <v>1</v>
      </c>
      <c r="F1099" s="7">
        <v>2644.63</v>
      </c>
      <c r="G1099">
        <v>0</v>
      </c>
      <c r="H1099" s="7">
        <v>0</v>
      </c>
    </row>
    <row r="1100" spans="1:8">
      <c r="A1100">
        <v>1</v>
      </c>
      <c r="B1100" t="s">
        <v>42</v>
      </c>
      <c r="C1100" t="s">
        <v>33</v>
      </c>
      <c r="D1100">
        <v>0</v>
      </c>
      <c r="E1100">
        <v>1</v>
      </c>
      <c r="F1100" s="7">
        <v>6776.93</v>
      </c>
      <c r="G1100">
        <v>0</v>
      </c>
      <c r="H1100" s="7">
        <v>0</v>
      </c>
    </row>
    <row r="1101" spans="1:8">
      <c r="A1101">
        <v>1</v>
      </c>
      <c r="B1101" t="s">
        <v>42</v>
      </c>
      <c r="C1101" t="s">
        <v>33</v>
      </c>
      <c r="D1101">
        <v>0</v>
      </c>
      <c r="E1101">
        <v>1</v>
      </c>
      <c r="F1101" s="7">
        <v>1810.41</v>
      </c>
      <c r="G1101">
        <v>0</v>
      </c>
      <c r="H1101" s="7">
        <v>0</v>
      </c>
    </row>
    <row r="1102" spans="1:8">
      <c r="A1102">
        <v>1</v>
      </c>
      <c r="B1102" t="s">
        <v>45</v>
      </c>
      <c r="C1102" t="s">
        <v>33</v>
      </c>
      <c r="D1102">
        <v>0</v>
      </c>
      <c r="E1102">
        <v>1</v>
      </c>
      <c r="F1102" s="7">
        <v>2586.39</v>
      </c>
      <c r="G1102">
        <v>0</v>
      </c>
      <c r="H1102" s="7">
        <v>0</v>
      </c>
    </row>
    <row r="1103" spans="1:8">
      <c r="A1103">
        <v>1</v>
      </c>
      <c r="B1103" t="s">
        <v>43</v>
      </c>
      <c r="C1103" t="s">
        <v>34</v>
      </c>
      <c r="D1103">
        <v>0</v>
      </c>
      <c r="E1103">
        <v>1</v>
      </c>
      <c r="F1103" s="7">
        <v>47564.74</v>
      </c>
      <c r="G1103">
        <v>0</v>
      </c>
      <c r="H1103" s="7">
        <v>0</v>
      </c>
    </row>
    <row r="1104" spans="1:8">
      <c r="A1104">
        <v>1</v>
      </c>
      <c r="B1104" t="s">
        <v>42</v>
      </c>
      <c r="C1104" t="s">
        <v>33</v>
      </c>
      <c r="D1104">
        <v>0</v>
      </c>
      <c r="E1104">
        <v>1</v>
      </c>
      <c r="F1104" s="7">
        <v>5485.04</v>
      </c>
      <c r="G1104">
        <v>0</v>
      </c>
      <c r="H1104" s="7">
        <v>0</v>
      </c>
    </row>
    <row r="1105" spans="1:8">
      <c r="A1105">
        <v>1</v>
      </c>
      <c r="B1105" t="s">
        <v>45</v>
      </c>
      <c r="C1105" t="s">
        <v>33</v>
      </c>
      <c r="D1105">
        <v>0</v>
      </c>
      <c r="E1105">
        <v>1</v>
      </c>
      <c r="F1105" s="7">
        <v>2644.54</v>
      </c>
      <c r="G1105">
        <v>0</v>
      </c>
      <c r="H1105" s="7">
        <v>0</v>
      </c>
    </row>
    <row r="1106" spans="1:8">
      <c r="A1106">
        <v>1</v>
      </c>
      <c r="B1106" t="s">
        <v>42</v>
      </c>
      <c r="C1106" t="s">
        <v>33</v>
      </c>
      <c r="D1106">
        <v>0</v>
      </c>
      <c r="E1106">
        <v>1</v>
      </c>
      <c r="F1106" s="7">
        <v>9361.47</v>
      </c>
      <c r="G1106">
        <v>0</v>
      </c>
      <c r="H1106" s="7">
        <v>0</v>
      </c>
    </row>
    <row r="1107" spans="1:8">
      <c r="A1107">
        <v>1</v>
      </c>
      <c r="B1107" t="s">
        <v>42</v>
      </c>
      <c r="C1107" t="s">
        <v>33</v>
      </c>
      <c r="D1107">
        <v>0</v>
      </c>
      <c r="E1107">
        <v>1</v>
      </c>
      <c r="F1107" s="7">
        <v>1193.24</v>
      </c>
      <c r="G1107">
        <v>0</v>
      </c>
      <c r="H1107" s="7">
        <v>0</v>
      </c>
    </row>
    <row r="1108" spans="1:8">
      <c r="A1108">
        <v>1</v>
      </c>
      <c r="B1108" t="s">
        <v>45</v>
      </c>
      <c r="C1108" t="s">
        <v>33</v>
      </c>
      <c r="D1108">
        <v>0</v>
      </c>
      <c r="E1108">
        <v>1</v>
      </c>
      <c r="F1108" s="7">
        <v>9549.7</v>
      </c>
      <c r="G1108">
        <v>0</v>
      </c>
      <c r="H1108" s="7">
        <v>0</v>
      </c>
    </row>
    <row r="1109" spans="1:8">
      <c r="A1109">
        <v>1</v>
      </c>
      <c r="B1109" t="s">
        <v>44</v>
      </c>
      <c r="C1109" t="s">
        <v>32</v>
      </c>
      <c r="D1109">
        <v>0</v>
      </c>
      <c r="E1109">
        <v>1</v>
      </c>
      <c r="F1109" s="7">
        <v>593.4</v>
      </c>
      <c r="G1109">
        <v>0</v>
      </c>
      <c r="H1109" s="7">
        <v>0</v>
      </c>
    </row>
    <row r="1110" spans="1:8">
      <c r="A1110">
        <v>1</v>
      </c>
      <c r="B1110" t="s">
        <v>42</v>
      </c>
      <c r="C1110" t="s">
        <v>33</v>
      </c>
      <c r="D1110">
        <v>0</v>
      </c>
      <c r="E1110">
        <v>1</v>
      </c>
      <c r="F1110" s="7">
        <v>1122.14</v>
      </c>
      <c r="G1110">
        <v>0</v>
      </c>
      <c r="H1110" s="7">
        <v>0</v>
      </c>
    </row>
    <row r="1111" spans="1:8">
      <c r="A1111">
        <v>1</v>
      </c>
      <c r="B1111" t="s">
        <v>43</v>
      </c>
      <c r="C1111" t="s">
        <v>35</v>
      </c>
      <c r="D1111">
        <v>0</v>
      </c>
      <c r="E1111">
        <v>1</v>
      </c>
      <c r="F1111" s="7">
        <v>264361.19</v>
      </c>
      <c r="G1111">
        <v>0</v>
      </c>
      <c r="H1111" s="7">
        <v>0</v>
      </c>
    </row>
    <row r="1112" spans="1:8">
      <c r="A1112">
        <v>1</v>
      </c>
      <c r="B1112" t="s">
        <v>42</v>
      </c>
      <c r="C1112" t="s">
        <v>33</v>
      </c>
      <c r="D1112">
        <v>0</v>
      </c>
      <c r="E1112">
        <v>1</v>
      </c>
      <c r="F1112" s="7">
        <v>8148.08</v>
      </c>
      <c r="G1112">
        <v>0</v>
      </c>
      <c r="H1112" s="7">
        <v>0</v>
      </c>
    </row>
    <row r="1113" spans="1:8">
      <c r="A1113">
        <v>1</v>
      </c>
      <c r="B1113" t="s">
        <v>42</v>
      </c>
      <c r="C1113" t="s">
        <v>33</v>
      </c>
      <c r="D1113">
        <v>0</v>
      </c>
      <c r="E1113">
        <v>1</v>
      </c>
      <c r="F1113" s="7">
        <v>8264.22</v>
      </c>
      <c r="G1113">
        <v>0</v>
      </c>
      <c r="H1113" s="7">
        <v>0</v>
      </c>
    </row>
    <row r="1114" spans="1:8">
      <c r="A1114">
        <v>1</v>
      </c>
      <c r="B1114" t="s">
        <v>42</v>
      </c>
      <c r="C1114" t="s">
        <v>33</v>
      </c>
      <c r="D1114">
        <v>0</v>
      </c>
      <c r="E1114">
        <v>1</v>
      </c>
      <c r="F1114" s="7">
        <v>3393.22</v>
      </c>
      <c r="G1114">
        <v>0</v>
      </c>
      <c r="H1114" s="7">
        <v>0</v>
      </c>
    </row>
    <row r="1115" spans="1:8">
      <c r="A1115">
        <v>1</v>
      </c>
      <c r="B1115" t="s">
        <v>42</v>
      </c>
      <c r="C1115" t="s">
        <v>33</v>
      </c>
      <c r="D1115">
        <v>0</v>
      </c>
      <c r="E1115">
        <v>1</v>
      </c>
      <c r="F1115" s="7">
        <v>2392.53</v>
      </c>
      <c r="G1115">
        <v>0</v>
      </c>
      <c r="H1115" s="7">
        <v>0</v>
      </c>
    </row>
    <row r="1116" spans="1:8">
      <c r="A1116">
        <v>1</v>
      </c>
      <c r="B1116" t="s">
        <v>42</v>
      </c>
      <c r="C1116" t="s">
        <v>33</v>
      </c>
      <c r="D1116">
        <v>0</v>
      </c>
      <c r="E1116">
        <v>1</v>
      </c>
      <c r="F1116" s="7">
        <v>5324.43</v>
      </c>
      <c r="G1116">
        <v>0</v>
      </c>
      <c r="H1116" s="7">
        <v>0</v>
      </c>
    </row>
    <row r="1117" spans="1:8">
      <c r="A1117">
        <v>1</v>
      </c>
      <c r="B1117" t="s">
        <v>44</v>
      </c>
      <c r="C1117" t="s">
        <v>35</v>
      </c>
      <c r="D1117">
        <v>0</v>
      </c>
      <c r="E1117">
        <v>1</v>
      </c>
      <c r="F1117" s="7">
        <v>160700.51</v>
      </c>
      <c r="G1117">
        <v>0</v>
      </c>
      <c r="H1117" s="7">
        <v>0</v>
      </c>
    </row>
    <row r="1118" spans="1:8">
      <c r="A1118">
        <v>1</v>
      </c>
      <c r="B1118" t="s">
        <v>45</v>
      </c>
      <c r="C1118" t="s">
        <v>33</v>
      </c>
      <c r="D1118">
        <v>0</v>
      </c>
      <c r="E1118">
        <v>1</v>
      </c>
      <c r="F1118" s="7">
        <v>8901.32</v>
      </c>
      <c r="G1118">
        <v>0</v>
      </c>
      <c r="H1118" s="7">
        <v>0</v>
      </c>
    </row>
    <row r="1119" spans="1:8">
      <c r="A1119">
        <v>1</v>
      </c>
      <c r="B1119" t="s">
        <v>44</v>
      </c>
      <c r="C1119" t="s">
        <v>33</v>
      </c>
      <c r="D1119">
        <v>0</v>
      </c>
      <c r="E1119">
        <v>1</v>
      </c>
      <c r="F1119" s="7">
        <v>9864.23</v>
      </c>
      <c r="G1119">
        <v>0</v>
      </c>
      <c r="H1119" s="7">
        <v>0</v>
      </c>
    </row>
    <row r="1120" spans="1:8">
      <c r="A1120">
        <v>1</v>
      </c>
      <c r="B1120" t="s">
        <v>42</v>
      </c>
      <c r="C1120" t="s">
        <v>33</v>
      </c>
      <c r="D1120">
        <v>0</v>
      </c>
      <c r="E1120">
        <v>1</v>
      </c>
      <c r="F1120" s="7">
        <v>8791.02</v>
      </c>
      <c r="G1120">
        <v>0</v>
      </c>
      <c r="H1120" s="7">
        <v>0</v>
      </c>
    </row>
    <row r="1121" spans="1:8">
      <c r="A1121">
        <v>1</v>
      </c>
      <c r="B1121" t="s">
        <v>43</v>
      </c>
      <c r="C1121" t="s">
        <v>34</v>
      </c>
      <c r="D1121">
        <v>1</v>
      </c>
      <c r="E1121">
        <v>1</v>
      </c>
      <c r="F1121" s="7">
        <v>35063.63</v>
      </c>
      <c r="G1121">
        <v>1</v>
      </c>
      <c r="H1121" s="7">
        <v>35063.63</v>
      </c>
    </row>
    <row r="1122" spans="1:8">
      <c r="A1122">
        <v>1</v>
      </c>
      <c r="B1122" t="s">
        <v>44</v>
      </c>
      <c r="C1122" t="s">
        <v>34</v>
      </c>
      <c r="D1122">
        <v>1</v>
      </c>
      <c r="E1122">
        <v>1</v>
      </c>
      <c r="F1122" s="7">
        <v>35063.63</v>
      </c>
      <c r="G1122">
        <v>1</v>
      </c>
      <c r="H1122" s="7">
        <v>35063.63</v>
      </c>
    </row>
    <row r="1123" spans="1:8">
      <c r="A1123">
        <v>1</v>
      </c>
      <c r="B1123" t="s">
        <v>42</v>
      </c>
      <c r="C1123" t="s">
        <v>33</v>
      </c>
      <c r="D1123">
        <v>0</v>
      </c>
      <c r="E1123">
        <v>1</v>
      </c>
      <c r="F1123" s="7">
        <v>1066.04</v>
      </c>
      <c r="G1123">
        <v>0</v>
      </c>
      <c r="H1123" s="7">
        <v>0</v>
      </c>
    </row>
    <row r="1124" spans="1:8">
      <c r="A1124">
        <v>1</v>
      </c>
      <c r="B1124" t="s">
        <v>45</v>
      </c>
      <c r="C1124" t="s">
        <v>33</v>
      </c>
      <c r="D1124">
        <v>0</v>
      </c>
      <c r="E1124">
        <v>1</v>
      </c>
      <c r="F1124" s="7">
        <v>5430.64</v>
      </c>
      <c r="G1124">
        <v>0</v>
      </c>
      <c r="H1124" s="7">
        <v>0</v>
      </c>
    </row>
    <row r="1125" spans="1:8">
      <c r="A1125">
        <v>1</v>
      </c>
      <c r="B1125" t="s">
        <v>44</v>
      </c>
      <c r="C1125" t="s">
        <v>35</v>
      </c>
      <c r="D1125">
        <v>0</v>
      </c>
      <c r="E1125">
        <v>1</v>
      </c>
      <c r="F1125" s="7">
        <v>161796.96</v>
      </c>
      <c r="G1125">
        <v>0</v>
      </c>
      <c r="H1125" s="7">
        <v>0</v>
      </c>
    </row>
    <row r="1126" spans="1:8">
      <c r="A1126">
        <v>1</v>
      </c>
      <c r="B1126" t="s">
        <v>44</v>
      </c>
      <c r="C1126" t="s">
        <v>35</v>
      </c>
      <c r="D1126">
        <v>0</v>
      </c>
      <c r="E1126">
        <v>1</v>
      </c>
      <c r="F1126" s="7">
        <v>107292.25</v>
      </c>
      <c r="G1126">
        <v>0</v>
      </c>
      <c r="H1126" s="7">
        <v>0</v>
      </c>
    </row>
    <row r="1127" spans="1:8">
      <c r="A1127">
        <v>1</v>
      </c>
      <c r="B1127" t="s">
        <v>42</v>
      </c>
      <c r="C1127" t="s">
        <v>33</v>
      </c>
      <c r="D1127">
        <v>0</v>
      </c>
      <c r="E1127">
        <v>1</v>
      </c>
      <c r="F1127" s="7">
        <v>6488.6</v>
      </c>
      <c r="G1127">
        <v>0</v>
      </c>
      <c r="H1127" s="7">
        <v>0</v>
      </c>
    </row>
    <row r="1128" spans="1:8">
      <c r="A1128">
        <v>1</v>
      </c>
      <c r="B1128" t="s">
        <v>42</v>
      </c>
      <c r="C1128" t="s">
        <v>33</v>
      </c>
      <c r="D1128">
        <v>0</v>
      </c>
      <c r="E1128">
        <v>1</v>
      </c>
      <c r="F1128" s="7">
        <v>1617.97</v>
      </c>
      <c r="G1128">
        <v>0</v>
      </c>
      <c r="H1128" s="7">
        <v>0</v>
      </c>
    </row>
    <row r="1129" spans="1:8">
      <c r="A1129">
        <v>1</v>
      </c>
      <c r="B1129" t="s">
        <v>44</v>
      </c>
      <c r="C1129" t="s">
        <v>35</v>
      </c>
      <c r="D1129">
        <v>0</v>
      </c>
      <c r="E1129">
        <v>1</v>
      </c>
      <c r="F1129" s="7">
        <v>427175.03</v>
      </c>
      <c r="G1129">
        <v>0</v>
      </c>
      <c r="H1129" s="7">
        <v>0</v>
      </c>
    </row>
    <row r="1130" spans="1:8">
      <c r="A1130">
        <v>1</v>
      </c>
      <c r="B1130" t="s">
        <v>45</v>
      </c>
      <c r="C1130" t="s">
        <v>33</v>
      </c>
      <c r="D1130">
        <v>0</v>
      </c>
      <c r="E1130">
        <v>1</v>
      </c>
      <c r="F1130" s="7">
        <v>6765.12</v>
      </c>
      <c r="G1130">
        <v>0</v>
      </c>
      <c r="H1130" s="7">
        <v>0</v>
      </c>
    </row>
    <row r="1131" spans="1:8">
      <c r="A1131">
        <v>1</v>
      </c>
      <c r="B1131" t="s">
        <v>45</v>
      </c>
      <c r="C1131" t="s">
        <v>33</v>
      </c>
      <c r="D1131">
        <v>0</v>
      </c>
      <c r="E1131">
        <v>1</v>
      </c>
      <c r="F1131" s="7">
        <v>3269.72</v>
      </c>
      <c r="G1131">
        <v>0</v>
      </c>
      <c r="H1131" s="7">
        <v>0</v>
      </c>
    </row>
    <row r="1132" spans="1:8">
      <c r="A1132">
        <v>1</v>
      </c>
      <c r="B1132" t="s">
        <v>42</v>
      </c>
      <c r="C1132" t="s">
        <v>33</v>
      </c>
      <c r="D1132">
        <v>0</v>
      </c>
      <c r="E1132">
        <v>1</v>
      </c>
      <c r="F1132" s="7">
        <v>9499.4</v>
      </c>
      <c r="G1132">
        <v>0</v>
      </c>
      <c r="H1132" s="7">
        <v>0</v>
      </c>
    </row>
    <row r="1133" spans="1:8">
      <c r="A1133">
        <v>1</v>
      </c>
      <c r="B1133" t="s">
        <v>42</v>
      </c>
      <c r="C1133" t="s">
        <v>32</v>
      </c>
      <c r="D1133">
        <v>0</v>
      </c>
      <c r="E1133">
        <v>1</v>
      </c>
      <c r="F1133" s="7">
        <v>865.77</v>
      </c>
      <c r="G1133">
        <v>0</v>
      </c>
      <c r="H1133" s="7">
        <v>0</v>
      </c>
    </row>
    <row r="1134" spans="1:8">
      <c r="A1134">
        <v>1</v>
      </c>
      <c r="B1134" t="s">
        <v>44</v>
      </c>
      <c r="C1134" t="s">
        <v>35</v>
      </c>
      <c r="D1134">
        <v>0</v>
      </c>
      <c r="E1134">
        <v>1</v>
      </c>
      <c r="F1134" s="7">
        <v>151096.79</v>
      </c>
      <c r="G1134">
        <v>0</v>
      </c>
      <c r="H1134" s="7">
        <v>0</v>
      </c>
    </row>
    <row r="1135" spans="1:8">
      <c r="A1135">
        <v>1</v>
      </c>
      <c r="B1135" t="s">
        <v>45</v>
      </c>
      <c r="C1135" t="s">
        <v>33</v>
      </c>
      <c r="D1135">
        <v>0</v>
      </c>
      <c r="E1135">
        <v>1</v>
      </c>
      <c r="F1135" s="7">
        <v>4244.4</v>
      </c>
      <c r="G1135">
        <v>0</v>
      </c>
      <c r="H1135" s="7">
        <v>0</v>
      </c>
    </row>
    <row r="1136" spans="1:8">
      <c r="A1136">
        <v>1</v>
      </c>
      <c r="B1136" t="s">
        <v>42</v>
      </c>
      <c r="C1136" t="s">
        <v>32</v>
      </c>
      <c r="D1136">
        <v>0</v>
      </c>
      <c r="E1136">
        <v>1</v>
      </c>
      <c r="F1136" s="7">
        <v>885.9</v>
      </c>
      <c r="G1136">
        <v>0</v>
      </c>
      <c r="H1136" s="7">
        <v>0</v>
      </c>
    </row>
    <row r="1137" spans="1:8">
      <c r="A1137">
        <v>1</v>
      </c>
      <c r="B1137" t="s">
        <v>42</v>
      </c>
      <c r="C1137" t="s">
        <v>33</v>
      </c>
      <c r="D1137">
        <v>0</v>
      </c>
      <c r="E1137">
        <v>1</v>
      </c>
      <c r="F1137" s="7">
        <v>4322.17</v>
      </c>
      <c r="G1137">
        <v>0</v>
      </c>
      <c r="H1137" s="7">
        <v>0</v>
      </c>
    </row>
    <row r="1138" spans="1:8">
      <c r="A1138">
        <v>1</v>
      </c>
      <c r="B1138" t="s">
        <v>42</v>
      </c>
      <c r="C1138" t="s">
        <v>33</v>
      </c>
      <c r="D1138">
        <v>0</v>
      </c>
      <c r="E1138">
        <v>1</v>
      </c>
      <c r="F1138" s="7">
        <v>7664.12</v>
      </c>
      <c r="G1138">
        <v>0</v>
      </c>
      <c r="H1138" s="7">
        <v>0</v>
      </c>
    </row>
    <row r="1139" spans="1:8">
      <c r="A1139">
        <v>1</v>
      </c>
      <c r="B1139" t="s">
        <v>42</v>
      </c>
      <c r="C1139" t="s">
        <v>33</v>
      </c>
      <c r="D1139">
        <v>0</v>
      </c>
      <c r="E1139">
        <v>1</v>
      </c>
      <c r="F1139" s="7">
        <v>3644.85</v>
      </c>
      <c r="G1139">
        <v>0</v>
      </c>
      <c r="H1139" s="7">
        <v>0</v>
      </c>
    </row>
    <row r="1140" spans="1:8">
      <c r="A1140">
        <v>1</v>
      </c>
      <c r="B1140" t="s">
        <v>42</v>
      </c>
      <c r="C1140" t="s">
        <v>34</v>
      </c>
      <c r="D1140">
        <v>0</v>
      </c>
      <c r="E1140">
        <v>1</v>
      </c>
      <c r="F1140" s="7">
        <v>12462.9</v>
      </c>
      <c r="G1140">
        <v>0</v>
      </c>
      <c r="H1140" s="7">
        <v>0</v>
      </c>
    </row>
    <row r="1141" spans="1:8">
      <c r="A1141">
        <v>1</v>
      </c>
      <c r="B1141" t="s">
        <v>42</v>
      </c>
      <c r="C1141" t="s">
        <v>33</v>
      </c>
      <c r="D1141">
        <v>0</v>
      </c>
      <c r="E1141">
        <v>1</v>
      </c>
      <c r="F1141" s="7">
        <v>3014.54</v>
      </c>
      <c r="G1141">
        <v>0</v>
      </c>
      <c r="H1141" s="7">
        <v>0</v>
      </c>
    </row>
    <row r="1142" spans="1:8">
      <c r="A1142">
        <v>1</v>
      </c>
      <c r="B1142" t="s">
        <v>42</v>
      </c>
      <c r="C1142" t="s">
        <v>33</v>
      </c>
      <c r="D1142">
        <v>0</v>
      </c>
      <c r="E1142">
        <v>1</v>
      </c>
      <c r="F1142" s="7">
        <v>5880.33</v>
      </c>
      <c r="G1142">
        <v>0</v>
      </c>
      <c r="H1142" s="7">
        <v>0</v>
      </c>
    </row>
    <row r="1143" spans="1:8">
      <c r="A1143">
        <v>1</v>
      </c>
      <c r="B1143" t="s">
        <v>42</v>
      </c>
      <c r="C1143" t="s">
        <v>34</v>
      </c>
      <c r="D1143">
        <v>0</v>
      </c>
      <c r="E1143">
        <v>1</v>
      </c>
      <c r="F1143" s="7">
        <v>14025.72</v>
      </c>
      <c r="G1143">
        <v>0</v>
      </c>
      <c r="H1143" s="7">
        <v>0</v>
      </c>
    </row>
    <row r="1144" spans="1:8">
      <c r="A1144">
        <v>1</v>
      </c>
      <c r="B1144" t="s">
        <v>42</v>
      </c>
      <c r="C1144" t="s">
        <v>34</v>
      </c>
      <c r="D1144">
        <v>0</v>
      </c>
      <c r="E1144">
        <v>1</v>
      </c>
      <c r="F1144" s="7">
        <v>12187.88</v>
      </c>
      <c r="G1144">
        <v>0</v>
      </c>
      <c r="H1144" s="7">
        <v>0</v>
      </c>
    </row>
    <row r="1145" spans="1:8">
      <c r="A1145">
        <v>1</v>
      </c>
      <c r="B1145" t="s">
        <v>42</v>
      </c>
      <c r="C1145" t="s">
        <v>34</v>
      </c>
      <c r="D1145">
        <v>0</v>
      </c>
      <c r="E1145">
        <v>1</v>
      </c>
      <c r="F1145" s="7">
        <v>10777.89</v>
      </c>
      <c r="G1145">
        <v>0</v>
      </c>
      <c r="H1145" s="7">
        <v>0</v>
      </c>
    </row>
    <row r="1146" spans="1:8">
      <c r="A1146">
        <v>1</v>
      </c>
      <c r="B1146" t="s">
        <v>42</v>
      </c>
      <c r="C1146" t="s">
        <v>32</v>
      </c>
      <c r="D1146">
        <v>0</v>
      </c>
      <c r="E1146">
        <v>1</v>
      </c>
      <c r="F1146" s="7">
        <v>708.82</v>
      </c>
      <c r="G1146">
        <v>0</v>
      </c>
      <c r="H1146" s="7">
        <v>0</v>
      </c>
    </row>
    <row r="1147" spans="1:8">
      <c r="A1147">
        <v>1</v>
      </c>
      <c r="B1147" t="s">
        <v>45</v>
      </c>
      <c r="C1147" t="s">
        <v>33</v>
      </c>
      <c r="D1147">
        <v>0</v>
      </c>
      <c r="E1147">
        <v>1</v>
      </c>
      <c r="F1147" s="7">
        <v>5633.3</v>
      </c>
      <c r="G1147">
        <v>0</v>
      </c>
      <c r="H1147" s="7">
        <v>0</v>
      </c>
    </row>
    <row r="1148" spans="1:8">
      <c r="A1148">
        <v>1</v>
      </c>
      <c r="B1148" t="s">
        <v>42</v>
      </c>
      <c r="C1148" t="s">
        <v>33</v>
      </c>
      <c r="D1148">
        <v>0</v>
      </c>
      <c r="E1148">
        <v>1</v>
      </c>
      <c r="F1148" s="7">
        <v>2223.41</v>
      </c>
      <c r="G1148">
        <v>0</v>
      </c>
      <c r="H1148" s="7">
        <v>0</v>
      </c>
    </row>
    <row r="1149" spans="1:8">
      <c r="A1149">
        <v>1</v>
      </c>
      <c r="B1149" t="s">
        <v>42</v>
      </c>
      <c r="C1149" t="s">
        <v>33</v>
      </c>
      <c r="D1149">
        <v>0</v>
      </c>
      <c r="E1149">
        <v>1</v>
      </c>
      <c r="F1149" s="7">
        <v>2195.63</v>
      </c>
      <c r="G1149">
        <v>0</v>
      </c>
      <c r="H1149" s="7">
        <v>0</v>
      </c>
    </row>
    <row r="1150" spans="1:8">
      <c r="A1150">
        <v>1</v>
      </c>
      <c r="B1150" t="s">
        <v>45</v>
      </c>
      <c r="C1150" t="s">
        <v>33</v>
      </c>
      <c r="D1150">
        <v>0</v>
      </c>
      <c r="E1150">
        <v>1</v>
      </c>
      <c r="F1150" s="7">
        <v>1668.11</v>
      </c>
      <c r="G1150">
        <v>0</v>
      </c>
      <c r="H1150" s="7">
        <v>0</v>
      </c>
    </row>
    <row r="1151" spans="1:8">
      <c r="A1151">
        <v>1</v>
      </c>
      <c r="B1151" t="s">
        <v>43</v>
      </c>
      <c r="C1151" t="s">
        <v>35</v>
      </c>
      <c r="D1151">
        <v>0</v>
      </c>
      <c r="E1151">
        <v>1</v>
      </c>
      <c r="F1151" s="7">
        <v>281425.06</v>
      </c>
      <c r="G1151">
        <v>0</v>
      </c>
      <c r="H1151" s="7">
        <v>0</v>
      </c>
    </row>
    <row r="1152" spans="1:8">
      <c r="A1152">
        <v>1</v>
      </c>
      <c r="B1152" t="s">
        <v>43</v>
      </c>
      <c r="C1152" t="s">
        <v>34</v>
      </c>
      <c r="D1152">
        <v>0</v>
      </c>
      <c r="E1152">
        <v>1</v>
      </c>
      <c r="F1152" s="7">
        <v>18561.23</v>
      </c>
      <c r="G1152">
        <v>0</v>
      </c>
      <c r="H1152" s="7">
        <v>0</v>
      </c>
    </row>
    <row r="1153" spans="1:8">
      <c r="A1153">
        <v>1</v>
      </c>
      <c r="B1153" t="s">
        <v>43</v>
      </c>
      <c r="C1153" t="s">
        <v>34</v>
      </c>
      <c r="D1153">
        <v>0</v>
      </c>
      <c r="E1153">
        <v>1</v>
      </c>
      <c r="F1153" s="7">
        <v>39069.42</v>
      </c>
      <c r="G1153">
        <v>0</v>
      </c>
      <c r="H1153" s="7">
        <v>0</v>
      </c>
    </row>
    <row r="1154" spans="1:8">
      <c r="A1154">
        <v>1</v>
      </c>
      <c r="B1154" t="s">
        <v>43</v>
      </c>
      <c r="C1154" t="s">
        <v>34</v>
      </c>
      <c r="D1154">
        <v>0</v>
      </c>
      <c r="E1154">
        <v>1</v>
      </c>
      <c r="F1154" s="7">
        <v>63186.93</v>
      </c>
      <c r="G1154">
        <v>0</v>
      </c>
      <c r="H1154" s="7">
        <v>0</v>
      </c>
    </row>
    <row r="1155" spans="1:8">
      <c r="A1155">
        <v>1</v>
      </c>
      <c r="B1155" t="s">
        <v>43</v>
      </c>
      <c r="C1155" t="s">
        <v>35</v>
      </c>
      <c r="D1155">
        <v>0</v>
      </c>
      <c r="E1155">
        <v>1</v>
      </c>
      <c r="F1155" s="7">
        <v>419757.69</v>
      </c>
      <c r="G1155">
        <v>0</v>
      </c>
      <c r="H1155" s="7">
        <v>0</v>
      </c>
    </row>
    <row r="1156" spans="1:8">
      <c r="A1156">
        <v>1</v>
      </c>
      <c r="B1156" t="s">
        <v>43</v>
      </c>
      <c r="C1156" t="s">
        <v>35</v>
      </c>
      <c r="D1156">
        <v>0</v>
      </c>
      <c r="E1156">
        <v>1</v>
      </c>
      <c r="F1156" s="7">
        <v>127920.4</v>
      </c>
      <c r="G1156">
        <v>0</v>
      </c>
      <c r="H1156" s="7">
        <v>0</v>
      </c>
    </row>
    <row r="1157" spans="1:8">
      <c r="A1157">
        <v>1</v>
      </c>
      <c r="B1157" t="s">
        <v>43</v>
      </c>
      <c r="C1157" t="s">
        <v>34</v>
      </c>
      <c r="D1157">
        <v>0</v>
      </c>
      <c r="E1157">
        <v>1</v>
      </c>
      <c r="F1157" s="7">
        <v>11136.72</v>
      </c>
      <c r="G1157">
        <v>0</v>
      </c>
      <c r="H1157" s="7">
        <v>0</v>
      </c>
    </row>
    <row r="1158" spans="1:8">
      <c r="A1158">
        <v>1</v>
      </c>
      <c r="B1158" t="s">
        <v>43</v>
      </c>
      <c r="C1158" t="s">
        <v>34</v>
      </c>
      <c r="D1158">
        <v>0</v>
      </c>
      <c r="E1158">
        <v>1</v>
      </c>
      <c r="F1158" s="7">
        <v>33782.98</v>
      </c>
      <c r="G1158">
        <v>0</v>
      </c>
      <c r="H1158" s="7">
        <v>0</v>
      </c>
    </row>
    <row r="1159" spans="1:8">
      <c r="A1159">
        <v>1</v>
      </c>
      <c r="B1159" t="s">
        <v>43</v>
      </c>
      <c r="C1159" t="s">
        <v>36</v>
      </c>
      <c r="D1159">
        <v>0</v>
      </c>
      <c r="E1159">
        <v>1</v>
      </c>
      <c r="F1159" s="7">
        <v>3776389.09</v>
      </c>
      <c r="G1159">
        <v>0</v>
      </c>
      <c r="H1159" s="7">
        <v>0</v>
      </c>
    </row>
    <row r="1160" spans="1:8">
      <c r="A1160">
        <v>1</v>
      </c>
      <c r="B1160" t="s">
        <v>43</v>
      </c>
      <c r="C1160" t="s">
        <v>36</v>
      </c>
      <c r="D1160">
        <v>0</v>
      </c>
      <c r="E1160">
        <v>1</v>
      </c>
      <c r="F1160" s="7">
        <v>1127058.69</v>
      </c>
      <c r="G1160">
        <v>0</v>
      </c>
      <c r="H1160" s="7">
        <v>0</v>
      </c>
    </row>
    <row r="1161" spans="1:8">
      <c r="A1161">
        <v>1</v>
      </c>
      <c r="B1161" t="s">
        <v>43</v>
      </c>
      <c r="C1161" t="s">
        <v>35</v>
      </c>
      <c r="D1161">
        <v>0</v>
      </c>
      <c r="E1161">
        <v>1</v>
      </c>
      <c r="F1161" s="7">
        <v>112401.53</v>
      </c>
      <c r="G1161">
        <v>0</v>
      </c>
      <c r="H1161" s="7">
        <v>0</v>
      </c>
    </row>
    <row r="1162" spans="1:8">
      <c r="A1162">
        <v>1</v>
      </c>
      <c r="B1162" t="s">
        <v>43</v>
      </c>
      <c r="C1162" t="s">
        <v>35</v>
      </c>
      <c r="D1162">
        <v>0</v>
      </c>
      <c r="E1162">
        <v>1</v>
      </c>
      <c r="F1162" s="7">
        <v>668237.36</v>
      </c>
      <c r="G1162">
        <v>0</v>
      </c>
      <c r="H1162" s="7">
        <v>0</v>
      </c>
    </row>
    <row r="1163" spans="1:8">
      <c r="A1163">
        <v>1</v>
      </c>
      <c r="B1163" t="s">
        <v>43</v>
      </c>
      <c r="C1163" t="s">
        <v>35</v>
      </c>
      <c r="D1163">
        <v>0</v>
      </c>
      <c r="E1163">
        <v>1</v>
      </c>
      <c r="F1163" s="7">
        <v>789419.02</v>
      </c>
      <c r="G1163">
        <v>0</v>
      </c>
      <c r="H1163" s="7">
        <v>0</v>
      </c>
    </row>
    <row r="1164" spans="1:8">
      <c r="A1164">
        <v>1</v>
      </c>
      <c r="B1164" t="s">
        <v>43</v>
      </c>
      <c r="C1164" t="s">
        <v>35</v>
      </c>
      <c r="D1164">
        <v>0</v>
      </c>
      <c r="E1164">
        <v>1</v>
      </c>
      <c r="F1164" s="7">
        <v>569068.84</v>
      </c>
      <c r="G1164">
        <v>0</v>
      </c>
      <c r="H1164" s="7">
        <v>0</v>
      </c>
    </row>
    <row r="1165" spans="1:8">
      <c r="A1165">
        <v>1</v>
      </c>
      <c r="B1165" t="s">
        <v>43</v>
      </c>
      <c r="C1165" t="s">
        <v>35</v>
      </c>
      <c r="D1165">
        <v>0</v>
      </c>
      <c r="E1165">
        <v>1</v>
      </c>
      <c r="F1165" s="7">
        <v>682894.68</v>
      </c>
      <c r="G1165">
        <v>0</v>
      </c>
      <c r="H1165" s="7">
        <v>0</v>
      </c>
    </row>
    <row r="1166" spans="1:8">
      <c r="A1166">
        <v>1</v>
      </c>
      <c r="B1166" t="s">
        <v>43</v>
      </c>
      <c r="C1166" t="s">
        <v>35</v>
      </c>
      <c r="D1166">
        <v>0</v>
      </c>
      <c r="E1166">
        <v>1</v>
      </c>
      <c r="F1166" s="7">
        <v>443116.03</v>
      </c>
      <c r="G1166">
        <v>0</v>
      </c>
      <c r="H1166" s="7">
        <v>0</v>
      </c>
    </row>
    <row r="1167" spans="1:8">
      <c r="A1167">
        <v>1</v>
      </c>
      <c r="B1167" t="s">
        <v>43</v>
      </c>
      <c r="C1167" t="s">
        <v>33</v>
      </c>
      <c r="D1167">
        <v>0</v>
      </c>
      <c r="E1167">
        <v>1</v>
      </c>
      <c r="F1167" s="7">
        <v>3942.44</v>
      </c>
      <c r="G1167">
        <v>0</v>
      </c>
      <c r="H1167" s="7">
        <v>0</v>
      </c>
    </row>
    <row r="1168" spans="1:8">
      <c r="A1168">
        <v>1</v>
      </c>
      <c r="B1168" t="s">
        <v>43</v>
      </c>
      <c r="C1168" t="s">
        <v>35</v>
      </c>
      <c r="D1168">
        <v>0</v>
      </c>
      <c r="E1168">
        <v>1</v>
      </c>
      <c r="F1168" s="7">
        <v>539430.95</v>
      </c>
      <c r="G1168">
        <v>0</v>
      </c>
      <c r="H1168" s="7">
        <v>0</v>
      </c>
    </row>
    <row r="1169" spans="1:8">
      <c r="A1169">
        <v>1</v>
      </c>
      <c r="B1169" t="s">
        <v>43</v>
      </c>
      <c r="C1169" t="s">
        <v>35</v>
      </c>
      <c r="D1169">
        <v>0</v>
      </c>
      <c r="E1169">
        <v>1</v>
      </c>
      <c r="F1169" s="7">
        <v>598782.65</v>
      </c>
      <c r="G1169">
        <v>0</v>
      </c>
      <c r="H1169" s="7">
        <v>0</v>
      </c>
    </row>
    <row r="1170" spans="1:8">
      <c r="A1170">
        <v>1</v>
      </c>
      <c r="B1170" t="s">
        <v>43</v>
      </c>
      <c r="C1170" t="s">
        <v>35</v>
      </c>
      <c r="D1170">
        <v>0</v>
      </c>
      <c r="E1170">
        <v>1</v>
      </c>
      <c r="F1170" s="7">
        <v>600581.61</v>
      </c>
      <c r="G1170">
        <v>0</v>
      </c>
      <c r="H1170" s="7">
        <v>0</v>
      </c>
    </row>
    <row r="1171" spans="1:8">
      <c r="A1171">
        <v>1</v>
      </c>
      <c r="B1171" t="s">
        <v>43</v>
      </c>
      <c r="C1171" t="s">
        <v>35</v>
      </c>
      <c r="D1171">
        <v>0</v>
      </c>
      <c r="E1171">
        <v>1</v>
      </c>
      <c r="F1171" s="7">
        <v>221297.05</v>
      </c>
      <c r="G1171">
        <v>0</v>
      </c>
      <c r="H1171" s="7">
        <v>0</v>
      </c>
    </row>
    <row r="1172" spans="1:8">
      <c r="A1172">
        <v>1</v>
      </c>
      <c r="B1172" t="s">
        <v>43</v>
      </c>
      <c r="C1172" t="s">
        <v>35</v>
      </c>
      <c r="D1172">
        <v>0</v>
      </c>
      <c r="E1172">
        <v>1</v>
      </c>
      <c r="F1172" s="7">
        <v>249592.99</v>
      </c>
      <c r="G1172">
        <v>0</v>
      </c>
      <c r="H1172" s="7">
        <v>0</v>
      </c>
    </row>
    <row r="1173" spans="1:8">
      <c r="A1173">
        <v>1</v>
      </c>
      <c r="B1173" t="s">
        <v>42</v>
      </c>
      <c r="C1173" t="s">
        <v>33</v>
      </c>
      <c r="D1173">
        <v>0</v>
      </c>
      <c r="E1173">
        <v>1</v>
      </c>
      <c r="F1173" s="7">
        <v>5170.23</v>
      </c>
      <c r="G1173">
        <v>0</v>
      </c>
      <c r="H1173" s="7">
        <v>0</v>
      </c>
    </row>
    <row r="1174" spans="1:8">
      <c r="A1174">
        <v>1</v>
      </c>
      <c r="B1174" t="s">
        <v>42</v>
      </c>
      <c r="C1174" t="s">
        <v>33</v>
      </c>
      <c r="D1174">
        <v>0</v>
      </c>
      <c r="E1174">
        <v>1</v>
      </c>
      <c r="F1174" s="7">
        <v>8553.73</v>
      </c>
      <c r="G1174">
        <v>0</v>
      </c>
      <c r="H1174" s="7">
        <v>0</v>
      </c>
    </row>
    <row r="1175" spans="1:8">
      <c r="A1175">
        <v>1</v>
      </c>
      <c r="B1175" t="s">
        <v>44</v>
      </c>
      <c r="C1175" t="s">
        <v>33</v>
      </c>
      <c r="D1175">
        <v>0</v>
      </c>
      <c r="E1175">
        <v>1</v>
      </c>
      <c r="F1175" s="7">
        <v>9980.32</v>
      </c>
      <c r="G1175">
        <v>0</v>
      </c>
      <c r="H1175" s="7">
        <v>0</v>
      </c>
    </row>
    <row r="1176" spans="1:8">
      <c r="A1176">
        <v>1</v>
      </c>
      <c r="B1176" t="s">
        <v>42</v>
      </c>
      <c r="C1176" t="s">
        <v>34</v>
      </c>
      <c r="D1176">
        <v>0</v>
      </c>
      <c r="E1176">
        <v>1</v>
      </c>
      <c r="F1176" s="7">
        <v>11982.62</v>
      </c>
      <c r="G1176">
        <v>0</v>
      </c>
      <c r="H1176" s="7">
        <v>0</v>
      </c>
    </row>
    <row r="1177" spans="1:8">
      <c r="A1177">
        <v>1</v>
      </c>
      <c r="B1177" t="s">
        <v>45</v>
      </c>
      <c r="C1177" t="s">
        <v>33</v>
      </c>
      <c r="D1177">
        <v>0</v>
      </c>
      <c r="E1177">
        <v>1</v>
      </c>
      <c r="F1177" s="7">
        <v>2763.95</v>
      </c>
      <c r="G1177">
        <v>0</v>
      </c>
      <c r="H1177" s="7">
        <v>0</v>
      </c>
    </row>
    <row r="1178" spans="1:8">
      <c r="A1178">
        <v>1</v>
      </c>
      <c r="B1178" t="s">
        <v>44</v>
      </c>
      <c r="C1178" t="s">
        <v>35</v>
      </c>
      <c r="D1178">
        <v>0</v>
      </c>
      <c r="E1178">
        <v>1</v>
      </c>
      <c r="F1178" s="7">
        <v>265763.02</v>
      </c>
      <c r="G1178">
        <v>0</v>
      </c>
      <c r="H1178" s="7">
        <v>0</v>
      </c>
    </row>
    <row r="1179" spans="1:8">
      <c r="A1179">
        <v>1</v>
      </c>
      <c r="B1179" t="s">
        <v>42</v>
      </c>
      <c r="C1179" t="s">
        <v>33</v>
      </c>
      <c r="D1179">
        <v>0</v>
      </c>
      <c r="E1179">
        <v>1</v>
      </c>
      <c r="F1179" s="7">
        <v>2364.01</v>
      </c>
      <c r="G1179">
        <v>0</v>
      </c>
      <c r="H1179" s="7">
        <v>0</v>
      </c>
    </row>
    <row r="1180" spans="1:8">
      <c r="A1180">
        <v>1</v>
      </c>
      <c r="B1180" t="s">
        <v>42</v>
      </c>
      <c r="C1180" t="s">
        <v>33</v>
      </c>
      <c r="D1180">
        <v>0</v>
      </c>
      <c r="E1180">
        <v>1</v>
      </c>
      <c r="F1180" s="7">
        <v>1432.47</v>
      </c>
      <c r="G1180">
        <v>0</v>
      </c>
      <c r="H1180" s="7">
        <v>0</v>
      </c>
    </row>
    <row r="1181" spans="1:8">
      <c r="A1181">
        <v>1</v>
      </c>
      <c r="B1181" t="s">
        <v>42</v>
      </c>
      <c r="C1181" t="s">
        <v>32</v>
      </c>
      <c r="D1181">
        <v>0</v>
      </c>
      <c r="E1181">
        <v>1</v>
      </c>
      <c r="F1181" s="7">
        <v>233.76</v>
      </c>
      <c r="G1181">
        <v>0</v>
      </c>
      <c r="H1181" s="7">
        <v>0</v>
      </c>
    </row>
    <row r="1182" spans="1:8">
      <c r="A1182">
        <v>1</v>
      </c>
      <c r="B1182" t="s">
        <v>42</v>
      </c>
      <c r="C1182" t="s">
        <v>34</v>
      </c>
      <c r="D1182">
        <v>0</v>
      </c>
      <c r="E1182">
        <v>1</v>
      </c>
      <c r="F1182" s="7">
        <v>13259.12</v>
      </c>
      <c r="G1182">
        <v>0</v>
      </c>
      <c r="H1182" s="7">
        <v>0</v>
      </c>
    </row>
    <row r="1183" spans="1:8">
      <c r="A1183">
        <v>1</v>
      </c>
      <c r="B1183" t="s">
        <v>42</v>
      </c>
      <c r="C1183" t="s">
        <v>33</v>
      </c>
      <c r="D1183">
        <v>0</v>
      </c>
      <c r="E1183">
        <v>1</v>
      </c>
      <c r="F1183" s="7">
        <v>2364.34</v>
      </c>
      <c r="G1183">
        <v>0</v>
      </c>
      <c r="H1183" s="7">
        <v>0</v>
      </c>
    </row>
    <row r="1184" spans="1:8">
      <c r="A1184">
        <v>1</v>
      </c>
      <c r="B1184" t="s">
        <v>42</v>
      </c>
      <c r="C1184" t="s">
        <v>33</v>
      </c>
      <c r="D1184">
        <v>0</v>
      </c>
      <c r="E1184">
        <v>1</v>
      </c>
      <c r="F1184" s="7">
        <v>3903.48</v>
      </c>
      <c r="G1184">
        <v>0</v>
      </c>
      <c r="H1184" s="7">
        <v>0</v>
      </c>
    </row>
    <row r="1185" spans="1:8">
      <c r="A1185">
        <v>1</v>
      </c>
      <c r="B1185" t="s">
        <v>43</v>
      </c>
      <c r="C1185" t="s">
        <v>35</v>
      </c>
      <c r="D1185">
        <v>0</v>
      </c>
      <c r="E1185">
        <v>1</v>
      </c>
      <c r="F1185" s="7">
        <v>301298.69</v>
      </c>
      <c r="G1185">
        <v>0</v>
      </c>
      <c r="H1185" s="7">
        <v>0</v>
      </c>
    </row>
    <row r="1186" spans="1:8">
      <c r="A1186">
        <v>1</v>
      </c>
      <c r="B1186" t="s">
        <v>42</v>
      </c>
      <c r="C1186" t="s">
        <v>33</v>
      </c>
      <c r="D1186">
        <v>0</v>
      </c>
      <c r="E1186">
        <v>1</v>
      </c>
      <c r="F1186" s="7">
        <v>6623.21</v>
      </c>
      <c r="G1186">
        <v>0</v>
      </c>
      <c r="H1186" s="7">
        <v>0</v>
      </c>
    </row>
    <row r="1187" spans="1:8">
      <c r="A1187">
        <v>1</v>
      </c>
      <c r="B1187" t="s">
        <v>45</v>
      </c>
      <c r="C1187" t="s">
        <v>33</v>
      </c>
      <c r="D1187">
        <v>0</v>
      </c>
      <c r="E1187">
        <v>1</v>
      </c>
      <c r="F1187" s="7">
        <v>1009.43</v>
      </c>
      <c r="G1187">
        <v>0</v>
      </c>
      <c r="H1187" s="7">
        <v>0</v>
      </c>
    </row>
    <row r="1188" spans="1:8">
      <c r="A1188">
        <v>1</v>
      </c>
      <c r="B1188" t="s">
        <v>42</v>
      </c>
      <c r="C1188" t="s">
        <v>33</v>
      </c>
      <c r="D1188">
        <v>0</v>
      </c>
      <c r="E1188">
        <v>1</v>
      </c>
      <c r="F1188" s="7">
        <v>1639.33</v>
      </c>
      <c r="G1188">
        <v>0</v>
      </c>
      <c r="H1188" s="7">
        <v>0</v>
      </c>
    </row>
    <row r="1189" spans="1:8">
      <c r="A1189">
        <v>1</v>
      </c>
      <c r="B1189" t="s">
        <v>42</v>
      </c>
      <c r="C1189" t="s">
        <v>33</v>
      </c>
      <c r="D1189">
        <v>0</v>
      </c>
      <c r="E1189">
        <v>1</v>
      </c>
      <c r="F1189" s="7">
        <v>2033.14</v>
      </c>
      <c r="G1189">
        <v>0</v>
      </c>
      <c r="H1189" s="7">
        <v>0</v>
      </c>
    </row>
    <row r="1190" spans="1:8">
      <c r="A1190">
        <v>1</v>
      </c>
      <c r="B1190" t="s">
        <v>43</v>
      </c>
      <c r="C1190" t="s">
        <v>34</v>
      </c>
      <c r="D1190">
        <v>0</v>
      </c>
      <c r="E1190">
        <v>1</v>
      </c>
      <c r="F1190" s="7">
        <v>45864.43</v>
      </c>
      <c r="G1190">
        <v>0</v>
      </c>
      <c r="H1190" s="7">
        <v>0</v>
      </c>
    </row>
    <row r="1191" spans="1:8">
      <c r="A1191">
        <v>1</v>
      </c>
      <c r="B1191" t="s">
        <v>42</v>
      </c>
      <c r="C1191" t="s">
        <v>34</v>
      </c>
      <c r="D1191">
        <v>0</v>
      </c>
      <c r="E1191">
        <v>1</v>
      </c>
      <c r="F1191" s="7">
        <v>11411.34</v>
      </c>
      <c r="G1191">
        <v>0</v>
      </c>
      <c r="H1191" s="7">
        <v>0</v>
      </c>
    </row>
    <row r="1192" spans="1:8">
      <c r="A1192">
        <v>1</v>
      </c>
      <c r="B1192" t="s">
        <v>42</v>
      </c>
      <c r="C1192" t="s">
        <v>32</v>
      </c>
      <c r="D1192">
        <v>0</v>
      </c>
      <c r="E1192">
        <v>1</v>
      </c>
      <c r="F1192" s="7">
        <v>23.31</v>
      </c>
      <c r="G1192">
        <v>0</v>
      </c>
      <c r="H1192" s="7">
        <v>0</v>
      </c>
    </row>
    <row r="1193" spans="1:8">
      <c r="A1193">
        <v>1</v>
      </c>
      <c r="B1193" t="s">
        <v>42</v>
      </c>
      <c r="C1193" t="s">
        <v>32</v>
      </c>
      <c r="D1193">
        <v>0</v>
      </c>
      <c r="E1193">
        <v>1</v>
      </c>
      <c r="F1193" s="7">
        <v>613.83</v>
      </c>
      <c r="G1193">
        <v>0</v>
      </c>
      <c r="H1193" s="7">
        <v>0</v>
      </c>
    </row>
    <row r="1194" spans="1:8">
      <c r="A1194">
        <v>1</v>
      </c>
      <c r="B1194" t="s">
        <v>42</v>
      </c>
      <c r="C1194" t="s">
        <v>33</v>
      </c>
      <c r="D1194">
        <v>0</v>
      </c>
      <c r="E1194">
        <v>1</v>
      </c>
      <c r="F1194" s="7">
        <v>7154.46</v>
      </c>
      <c r="G1194">
        <v>0</v>
      </c>
      <c r="H1194" s="7">
        <v>0</v>
      </c>
    </row>
    <row r="1195" spans="1:8">
      <c r="A1195">
        <v>1</v>
      </c>
      <c r="B1195" t="s">
        <v>42</v>
      </c>
      <c r="C1195" t="s">
        <v>33</v>
      </c>
      <c r="D1195">
        <v>0</v>
      </c>
      <c r="E1195">
        <v>1</v>
      </c>
      <c r="F1195" s="7">
        <v>1091.54</v>
      </c>
      <c r="G1195">
        <v>0</v>
      </c>
      <c r="H1195" s="7">
        <v>0</v>
      </c>
    </row>
    <row r="1196" spans="1:8">
      <c r="A1196">
        <v>1</v>
      </c>
      <c r="B1196" t="s">
        <v>42</v>
      </c>
      <c r="C1196" t="s">
        <v>33</v>
      </c>
      <c r="D1196">
        <v>0</v>
      </c>
      <c r="E1196">
        <v>1</v>
      </c>
      <c r="F1196" s="7">
        <v>3193.99</v>
      </c>
      <c r="G1196">
        <v>0</v>
      </c>
      <c r="H1196" s="7">
        <v>0</v>
      </c>
    </row>
    <row r="1197" spans="1:8">
      <c r="A1197">
        <v>1</v>
      </c>
      <c r="B1197" t="s">
        <v>42</v>
      </c>
      <c r="C1197" t="s">
        <v>33</v>
      </c>
      <c r="D1197">
        <v>0</v>
      </c>
      <c r="E1197">
        <v>1</v>
      </c>
      <c r="F1197" s="7">
        <v>1849.56</v>
      </c>
      <c r="G1197">
        <v>0</v>
      </c>
      <c r="H1197" s="7">
        <v>0</v>
      </c>
    </row>
    <row r="1198" spans="1:8">
      <c r="A1198">
        <v>1</v>
      </c>
      <c r="B1198" t="s">
        <v>42</v>
      </c>
      <c r="C1198" t="s">
        <v>33</v>
      </c>
      <c r="D1198">
        <v>0</v>
      </c>
      <c r="E1198">
        <v>1</v>
      </c>
      <c r="F1198" s="7">
        <v>4170.82</v>
      </c>
      <c r="G1198">
        <v>0</v>
      </c>
      <c r="H1198" s="7">
        <v>0</v>
      </c>
    </row>
    <row r="1199" spans="1:8">
      <c r="A1199">
        <v>1</v>
      </c>
      <c r="B1199" t="s">
        <v>42</v>
      </c>
      <c r="C1199" t="s">
        <v>33</v>
      </c>
      <c r="D1199">
        <v>0</v>
      </c>
      <c r="E1199">
        <v>1</v>
      </c>
      <c r="F1199" s="7">
        <v>4099.91</v>
      </c>
      <c r="G1199">
        <v>0</v>
      </c>
      <c r="H1199" s="7">
        <v>0</v>
      </c>
    </row>
    <row r="1200" spans="1:8">
      <c r="A1200">
        <v>1</v>
      </c>
      <c r="B1200" t="s">
        <v>42</v>
      </c>
      <c r="C1200" t="s">
        <v>33</v>
      </c>
      <c r="D1200">
        <v>0</v>
      </c>
      <c r="E1200">
        <v>1</v>
      </c>
      <c r="F1200" s="7">
        <v>5923.01</v>
      </c>
      <c r="G1200">
        <v>0</v>
      </c>
      <c r="H1200" s="7">
        <v>0</v>
      </c>
    </row>
    <row r="1201" spans="1:8">
      <c r="A1201">
        <v>1</v>
      </c>
      <c r="B1201" t="s">
        <v>43</v>
      </c>
      <c r="C1201" t="s">
        <v>35</v>
      </c>
      <c r="D1201">
        <v>0</v>
      </c>
      <c r="E1201">
        <v>1</v>
      </c>
      <c r="F1201" s="7">
        <v>208376.61</v>
      </c>
      <c r="G1201">
        <v>0</v>
      </c>
      <c r="H1201" s="7">
        <v>0</v>
      </c>
    </row>
    <row r="1202" spans="1:8">
      <c r="A1202">
        <v>1</v>
      </c>
      <c r="B1202" t="s">
        <v>43</v>
      </c>
      <c r="C1202" t="s">
        <v>35</v>
      </c>
      <c r="D1202">
        <v>0</v>
      </c>
      <c r="E1202">
        <v>1</v>
      </c>
      <c r="F1202" s="7">
        <v>131033.44</v>
      </c>
      <c r="G1202">
        <v>0</v>
      </c>
      <c r="H1202" s="7">
        <v>0</v>
      </c>
    </row>
    <row r="1203" spans="1:8">
      <c r="A1203">
        <v>1</v>
      </c>
      <c r="B1203" t="s">
        <v>43</v>
      </c>
      <c r="C1203" t="s">
        <v>35</v>
      </c>
      <c r="D1203">
        <v>0</v>
      </c>
      <c r="E1203">
        <v>1</v>
      </c>
      <c r="F1203" s="7">
        <v>223848.92</v>
      </c>
      <c r="G1203">
        <v>0</v>
      </c>
      <c r="H1203" s="7">
        <v>0</v>
      </c>
    </row>
    <row r="1204" spans="1:8">
      <c r="A1204">
        <v>1</v>
      </c>
      <c r="B1204" t="s">
        <v>43</v>
      </c>
      <c r="C1204" t="s">
        <v>34</v>
      </c>
      <c r="D1204">
        <v>0</v>
      </c>
      <c r="E1204">
        <v>1</v>
      </c>
      <c r="F1204" s="7">
        <v>68332.36</v>
      </c>
      <c r="G1204">
        <v>0</v>
      </c>
      <c r="H1204" s="7">
        <v>0</v>
      </c>
    </row>
    <row r="1205" spans="1:8">
      <c r="A1205">
        <v>1</v>
      </c>
      <c r="B1205" t="s">
        <v>43</v>
      </c>
      <c r="C1205" t="s">
        <v>35</v>
      </c>
      <c r="D1205">
        <v>0</v>
      </c>
      <c r="E1205">
        <v>1</v>
      </c>
      <c r="F1205" s="7">
        <v>205368.78</v>
      </c>
      <c r="G1205">
        <v>0</v>
      </c>
      <c r="H1205" s="7">
        <v>0</v>
      </c>
    </row>
    <row r="1206" spans="1:8">
      <c r="A1206">
        <v>1</v>
      </c>
      <c r="B1206" t="s">
        <v>43</v>
      </c>
      <c r="C1206" t="s">
        <v>35</v>
      </c>
      <c r="D1206">
        <v>0</v>
      </c>
      <c r="E1206">
        <v>1</v>
      </c>
      <c r="F1206" s="7">
        <v>424141.36</v>
      </c>
      <c r="G1206">
        <v>0</v>
      </c>
      <c r="H1206" s="7">
        <v>0</v>
      </c>
    </row>
    <row r="1207" spans="1:8">
      <c r="A1207">
        <v>1</v>
      </c>
      <c r="B1207" t="s">
        <v>43</v>
      </c>
      <c r="C1207" t="s">
        <v>35</v>
      </c>
      <c r="D1207">
        <v>0</v>
      </c>
      <c r="E1207">
        <v>1</v>
      </c>
      <c r="F1207" s="7">
        <v>373185.07</v>
      </c>
      <c r="G1207">
        <v>0</v>
      </c>
      <c r="H1207" s="7">
        <v>0</v>
      </c>
    </row>
    <row r="1208" spans="1:8">
      <c r="A1208">
        <v>1</v>
      </c>
      <c r="B1208" t="s">
        <v>43</v>
      </c>
      <c r="C1208" t="s">
        <v>36</v>
      </c>
      <c r="D1208">
        <v>0</v>
      </c>
      <c r="E1208">
        <v>1</v>
      </c>
      <c r="F1208" s="7">
        <v>2258388.15</v>
      </c>
      <c r="G1208">
        <v>0</v>
      </c>
      <c r="H1208" s="7">
        <v>0</v>
      </c>
    </row>
    <row r="1209" spans="1:8">
      <c r="A1209">
        <v>1</v>
      </c>
      <c r="B1209" t="s">
        <v>43</v>
      </c>
      <c r="C1209" t="s">
        <v>35</v>
      </c>
      <c r="D1209">
        <v>0</v>
      </c>
      <c r="E1209">
        <v>1</v>
      </c>
      <c r="F1209" s="7">
        <v>250968.18</v>
      </c>
      <c r="G1209">
        <v>0</v>
      </c>
      <c r="H1209" s="7">
        <v>0</v>
      </c>
    </row>
    <row r="1210" spans="1:8">
      <c r="A1210">
        <v>1</v>
      </c>
      <c r="B1210" t="s">
        <v>43</v>
      </c>
      <c r="C1210" t="s">
        <v>34</v>
      </c>
      <c r="D1210">
        <v>0</v>
      </c>
      <c r="E1210">
        <v>1</v>
      </c>
      <c r="F1210" s="7">
        <v>19772.53</v>
      </c>
      <c r="G1210">
        <v>0</v>
      </c>
      <c r="H1210" s="7">
        <v>0</v>
      </c>
    </row>
    <row r="1211" spans="1:8">
      <c r="A1211">
        <v>1</v>
      </c>
      <c r="B1211" t="s">
        <v>43</v>
      </c>
      <c r="C1211" t="s">
        <v>34</v>
      </c>
      <c r="D1211">
        <v>0</v>
      </c>
      <c r="E1211">
        <v>1</v>
      </c>
      <c r="F1211" s="7">
        <v>43023.82</v>
      </c>
      <c r="G1211">
        <v>0</v>
      </c>
      <c r="H1211" s="7">
        <v>0</v>
      </c>
    </row>
    <row r="1212" spans="1:8">
      <c r="A1212">
        <v>1</v>
      </c>
      <c r="B1212" t="s">
        <v>43</v>
      </c>
      <c r="C1212" t="s">
        <v>36</v>
      </c>
      <c r="D1212">
        <v>0</v>
      </c>
      <c r="E1212">
        <v>1</v>
      </c>
      <c r="F1212" s="7">
        <v>1628887.72</v>
      </c>
      <c r="G1212">
        <v>0</v>
      </c>
      <c r="H1212" s="7">
        <v>0</v>
      </c>
    </row>
    <row r="1213" spans="1:8">
      <c r="A1213">
        <v>1</v>
      </c>
      <c r="B1213" t="s">
        <v>43</v>
      </c>
      <c r="C1213" t="s">
        <v>35</v>
      </c>
      <c r="D1213">
        <v>0</v>
      </c>
      <c r="E1213">
        <v>1</v>
      </c>
      <c r="F1213" s="7">
        <v>755499.13</v>
      </c>
      <c r="G1213">
        <v>0</v>
      </c>
      <c r="H1213" s="7">
        <v>0</v>
      </c>
    </row>
    <row r="1214" spans="1:8">
      <c r="A1214">
        <v>1</v>
      </c>
      <c r="B1214" t="s">
        <v>43</v>
      </c>
      <c r="C1214" t="s">
        <v>35</v>
      </c>
      <c r="D1214">
        <v>0</v>
      </c>
      <c r="E1214">
        <v>1</v>
      </c>
      <c r="F1214" s="7">
        <v>289203.45</v>
      </c>
      <c r="G1214">
        <v>0</v>
      </c>
      <c r="H1214" s="7">
        <v>0</v>
      </c>
    </row>
    <row r="1215" spans="1:8">
      <c r="A1215">
        <v>1</v>
      </c>
      <c r="B1215" t="s">
        <v>43</v>
      </c>
      <c r="C1215" t="s">
        <v>35</v>
      </c>
      <c r="D1215">
        <v>0</v>
      </c>
      <c r="E1215">
        <v>1</v>
      </c>
      <c r="F1215" s="7">
        <v>902485.36</v>
      </c>
      <c r="G1215">
        <v>0</v>
      </c>
      <c r="H1215" s="7">
        <v>0</v>
      </c>
    </row>
    <row r="1216" spans="1:8">
      <c r="A1216">
        <v>1</v>
      </c>
      <c r="B1216" t="s">
        <v>43</v>
      </c>
      <c r="C1216" t="s">
        <v>35</v>
      </c>
      <c r="D1216">
        <v>0</v>
      </c>
      <c r="E1216">
        <v>1</v>
      </c>
      <c r="F1216" s="7">
        <v>351854.11</v>
      </c>
      <c r="G1216">
        <v>0</v>
      </c>
      <c r="H1216" s="7">
        <v>0</v>
      </c>
    </row>
    <row r="1217" spans="1:8">
      <c r="A1217">
        <v>1</v>
      </c>
      <c r="B1217" t="s">
        <v>43</v>
      </c>
      <c r="C1217" t="s">
        <v>35</v>
      </c>
      <c r="D1217">
        <v>0</v>
      </c>
      <c r="E1217">
        <v>1</v>
      </c>
      <c r="F1217" s="7">
        <v>605790.2</v>
      </c>
      <c r="G1217">
        <v>0</v>
      </c>
      <c r="H1217" s="7">
        <v>0</v>
      </c>
    </row>
    <row r="1218" spans="1:8">
      <c r="A1218">
        <v>1</v>
      </c>
      <c r="B1218" t="s">
        <v>43</v>
      </c>
      <c r="C1218" t="s">
        <v>35</v>
      </c>
      <c r="D1218">
        <v>0</v>
      </c>
      <c r="E1218">
        <v>1</v>
      </c>
      <c r="F1218" s="7">
        <v>353312.93</v>
      </c>
      <c r="G1218">
        <v>0</v>
      </c>
      <c r="H1218" s="7">
        <v>0</v>
      </c>
    </row>
    <row r="1219" spans="1:8">
      <c r="A1219">
        <v>1</v>
      </c>
      <c r="B1219" t="s">
        <v>43</v>
      </c>
      <c r="C1219" t="s">
        <v>35</v>
      </c>
      <c r="D1219">
        <v>0</v>
      </c>
      <c r="E1219">
        <v>1</v>
      </c>
      <c r="F1219" s="7">
        <v>855931.4</v>
      </c>
      <c r="G1219">
        <v>0</v>
      </c>
      <c r="H1219" s="7">
        <v>0</v>
      </c>
    </row>
    <row r="1220" spans="1:8">
      <c r="A1220">
        <v>1</v>
      </c>
      <c r="B1220" t="s">
        <v>43</v>
      </c>
      <c r="C1220" t="s">
        <v>35</v>
      </c>
      <c r="D1220">
        <v>0</v>
      </c>
      <c r="E1220">
        <v>1</v>
      </c>
      <c r="F1220" s="7">
        <v>699928.86</v>
      </c>
      <c r="G1220">
        <v>0</v>
      </c>
      <c r="H1220" s="7">
        <v>0</v>
      </c>
    </row>
    <row r="1221" spans="1:8">
      <c r="A1221">
        <v>1</v>
      </c>
      <c r="B1221" t="s">
        <v>42</v>
      </c>
      <c r="C1221" t="s">
        <v>33</v>
      </c>
      <c r="D1221">
        <v>0</v>
      </c>
      <c r="E1221">
        <v>1</v>
      </c>
      <c r="F1221" s="7">
        <v>5886.25</v>
      </c>
      <c r="G1221">
        <v>0</v>
      </c>
      <c r="H1221" s="7">
        <v>0</v>
      </c>
    </row>
    <row r="1222" spans="1:8">
      <c r="A1222">
        <v>1</v>
      </c>
      <c r="B1222" t="s">
        <v>43</v>
      </c>
      <c r="C1222" t="s">
        <v>35</v>
      </c>
      <c r="D1222">
        <v>0</v>
      </c>
      <c r="E1222">
        <v>1</v>
      </c>
      <c r="F1222" s="7">
        <v>200774.62</v>
      </c>
      <c r="G1222">
        <v>0</v>
      </c>
      <c r="H1222" s="7">
        <v>0</v>
      </c>
    </row>
    <row r="1223" spans="1:8">
      <c r="A1223">
        <v>1</v>
      </c>
      <c r="B1223" t="s">
        <v>45</v>
      </c>
      <c r="C1223" t="s">
        <v>33</v>
      </c>
      <c r="D1223">
        <v>0</v>
      </c>
      <c r="E1223">
        <v>1</v>
      </c>
      <c r="F1223" s="7">
        <v>1088.94</v>
      </c>
      <c r="G1223">
        <v>0</v>
      </c>
      <c r="H1223" s="7">
        <v>0</v>
      </c>
    </row>
    <row r="1224" spans="1:8">
      <c r="A1224">
        <v>1</v>
      </c>
      <c r="B1224" t="s">
        <v>42</v>
      </c>
      <c r="C1224" t="s">
        <v>33</v>
      </c>
      <c r="D1224">
        <v>0</v>
      </c>
      <c r="E1224">
        <v>1</v>
      </c>
      <c r="F1224" s="7">
        <v>3500</v>
      </c>
      <c r="G1224">
        <v>0</v>
      </c>
      <c r="H1224" s="7">
        <v>0</v>
      </c>
    </row>
    <row r="1225" spans="1:8">
      <c r="A1225">
        <v>1</v>
      </c>
      <c r="B1225" t="s">
        <v>43</v>
      </c>
      <c r="C1225" t="s">
        <v>35</v>
      </c>
      <c r="D1225">
        <v>0</v>
      </c>
      <c r="E1225">
        <v>1</v>
      </c>
      <c r="F1225" s="7">
        <v>109552.96</v>
      </c>
      <c r="G1225">
        <v>0</v>
      </c>
      <c r="H1225" s="7">
        <v>0</v>
      </c>
    </row>
    <row r="1226" spans="1:8">
      <c r="A1226">
        <v>1</v>
      </c>
      <c r="B1226" t="s">
        <v>43</v>
      </c>
      <c r="C1226" t="s">
        <v>34</v>
      </c>
      <c r="D1226">
        <v>0</v>
      </c>
      <c r="E1226">
        <v>1</v>
      </c>
      <c r="F1226" s="7">
        <v>59531.87</v>
      </c>
      <c r="G1226">
        <v>0</v>
      </c>
      <c r="H1226" s="7">
        <v>0</v>
      </c>
    </row>
    <row r="1227" spans="1:8">
      <c r="A1227">
        <v>1</v>
      </c>
      <c r="B1227" t="s">
        <v>43</v>
      </c>
      <c r="C1227" t="s">
        <v>35</v>
      </c>
      <c r="D1227">
        <v>0</v>
      </c>
      <c r="E1227">
        <v>1</v>
      </c>
      <c r="F1227" s="7">
        <v>133637.07</v>
      </c>
      <c r="G1227">
        <v>0</v>
      </c>
      <c r="H1227" s="7">
        <v>0</v>
      </c>
    </row>
    <row r="1228" spans="1:8">
      <c r="A1228">
        <v>1</v>
      </c>
      <c r="B1228" t="s">
        <v>43</v>
      </c>
      <c r="C1228" t="s">
        <v>34</v>
      </c>
      <c r="D1228">
        <v>0</v>
      </c>
      <c r="E1228">
        <v>1</v>
      </c>
      <c r="F1228" s="7">
        <v>75752.73</v>
      </c>
      <c r="G1228">
        <v>0</v>
      </c>
      <c r="H1228" s="7">
        <v>0</v>
      </c>
    </row>
    <row r="1229" spans="1:8">
      <c r="A1229">
        <v>1</v>
      </c>
      <c r="B1229" t="s">
        <v>43</v>
      </c>
      <c r="C1229" t="s">
        <v>35</v>
      </c>
      <c r="D1229">
        <v>0</v>
      </c>
      <c r="E1229">
        <v>1</v>
      </c>
      <c r="F1229" s="7">
        <v>100362.16</v>
      </c>
      <c r="G1229">
        <v>0</v>
      </c>
      <c r="H1229" s="7">
        <v>0</v>
      </c>
    </row>
    <row r="1230" spans="1:8">
      <c r="A1230">
        <v>1</v>
      </c>
      <c r="B1230" t="s">
        <v>43</v>
      </c>
      <c r="C1230" t="s">
        <v>35</v>
      </c>
      <c r="D1230">
        <v>0</v>
      </c>
      <c r="E1230">
        <v>1</v>
      </c>
      <c r="F1230" s="7">
        <v>191177.92</v>
      </c>
      <c r="G1230">
        <v>0</v>
      </c>
      <c r="H1230" s="7">
        <v>0</v>
      </c>
    </row>
    <row r="1231" spans="1:8">
      <c r="A1231">
        <v>1</v>
      </c>
      <c r="B1231" t="s">
        <v>43</v>
      </c>
      <c r="C1231" t="s">
        <v>35</v>
      </c>
      <c r="D1231">
        <v>0</v>
      </c>
      <c r="E1231">
        <v>1</v>
      </c>
      <c r="F1231" s="7">
        <v>435589.96</v>
      </c>
      <c r="G1231">
        <v>0</v>
      </c>
      <c r="H1231" s="7">
        <v>0</v>
      </c>
    </row>
    <row r="1232" spans="1:8">
      <c r="A1232">
        <v>1</v>
      </c>
      <c r="B1232" t="s">
        <v>43</v>
      </c>
      <c r="C1232" t="s">
        <v>33</v>
      </c>
      <c r="D1232">
        <v>0</v>
      </c>
      <c r="E1232">
        <v>1</v>
      </c>
      <c r="F1232" s="7">
        <v>1950.77</v>
      </c>
      <c r="G1232">
        <v>0</v>
      </c>
      <c r="H1232" s="7">
        <v>0</v>
      </c>
    </row>
    <row r="1233" spans="1:8">
      <c r="A1233">
        <v>1</v>
      </c>
      <c r="B1233" t="s">
        <v>43</v>
      </c>
      <c r="C1233" t="s">
        <v>36</v>
      </c>
      <c r="D1233">
        <v>0</v>
      </c>
      <c r="E1233">
        <v>1</v>
      </c>
      <c r="F1233" s="7">
        <v>2223005.62</v>
      </c>
      <c r="G1233">
        <v>0</v>
      </c>
      <c r="H1233" s="7">
        <v>0</v>
      </c>
    </row>
    <row r="1234" spans="1:8">
      <c r="A1234">
        <v>1</v>
      </c>
      <c r="B1234" t="s">
        <v>43</v>
      </c>
      <c r="C1234" t="s">
        <v>35</v>
      </c>
      <c r="D1234">
        <v>0</v>
      </c>
      <c r="E1234">
        <v>1</v>
      </c>
      <c r="F1234" s="7">
        <v>902505.61</v>
      </c>
      <c r="G1234">
        <v>0</v>
      </c>
      <c r="H1234" s="7">
        <v>0</v>
      </c>
    </row>
    <row r="1235" spans="1:8">
      <c r="A1235">
        <v>1</v>
      </c>
      <c r="B1235" t="s">
        <v>43</v>
      </c>
      <c r="C1235" t="s">
        <v>36</v>
      </c>
      <c r="D1235">
        <v>0</v>
      </c>
      <c r="E1235">
        <v>1</v>
      </c>
      <c r="F1235" s="7">
        <v>1201716.66</v>
      </c>
      <c r="G1235">
        <v>0</v>
      </c>
      <c r="H1235" s="7">
        <v>0</v>
      </c>
    </row>
    <row r="1236" spans="1:8">
      <c r="A1236">
        <v>1</v>
      </c>
      <c r="B1236" t="s">
        <v>43</v>
      </c>
      <c r="C1236" t="s">
        <v>35</v>
      </c>
      <c r="D1236">
        <v>0</v>
      </c>
      <c r="E1236">
        <v>1</v>
      </c>
      <c r="F1236" s="7">
        <v>494972.01</v>
      </c>
      <c r="G1236">
        <v>0</v>
      </c>
      <c r="H1236" s="7">
        <v>0</v>
      </c>
    </row>
    <row r="1237" spans="1:8">
      <c r="A1237">
        <v>1</v>
      </c>
      <c r="B1237" t="s">
        <v>43</v>
      </c>
      <c r="C1237" t="s">
        <v>36</v>
      </c>
      <c r="D1237">
        <v>0</v>
      </c>
      <c r="E1237">
        <v>1</v>
      </c>
      <c r="F1237" s="7">
        <v>1417001.19</v>
      </c>
      <c r="G1237">
        <v>0</v>
      </c>
      <c r="H1237" s="7">
        <v>0</v>
      </c>
    </row>
    <row r="1238" spans="1:8">
      <c r="A1238">
        <v>1</v>
      </c>
      <c r="B1238" t="s">
        <v>42</v>
      </c>
      <c r="C1238" t="s">
        <v>33</v>
      </c>
      <c r="D1238">
        <v>0</v>
      </c>
      <c r="E1238">
        <v>1</v>
      </c>
      <c r="F1238" s="7">
        <v>3445.96</v>
      </c>
      <c r="G1238">
        <v>0</v>
      </c>
      <c r="H1238" s="7">
        <v>0</v>
      </c>
    </row>
    <row r="1239" spans="1:8">
      <c r="A1239">
        <v>1</v>
      </c>
      <c r="B1239" t="s">
        <v>42</v>
      </c>
      <c r="C1239" t="s">
        <v>33</v>
      </c>
      <c r="D1239">
        <v>0</v>
      </c>
      <c r="E1239">
        <v>1</v>
      </c>
      <c r="F1239" s="7">
        <v>2650.82</v>
      </c>
      <c r="G1239">
        <v>0</v>
      </c>
      <c r="H1239" s="7">
        <v>0</v>
      </c>
    </row>
    <row r="1240" spans="1:8">
      <c r="A1240">
        <v>1</v>
      </c>
      <c r="B1240" t="s">
        <v>42</v>
      </c>
      <c r="C1240" t="s">
        <v>33</v>
      </c>
      <c r="D1240">
        <v>0</v>
      </c>
      <c r="E1240">
        <v>1</v>
      </c>
      <c r="F1240" s="7">
        <v>2073.2</v>
      </c>
      <c r="G1240">
        <v>0</v>
      </c>
      <c r="H1240" s="7">
        <v>0</v>
      </c>
    </row>
    <row r="1241" spans="1:8">
      <c r="A1241">
        <v>1</v>
      </c>
      <c r="B1241" t="s">
        <v>44</v>
      </c>
      <c r="C1241" t="s">
        <v>35</v>
      </c>
      <c r="D1241">
        <v>0</v>
      </c>
      <c r="E1241">
        <v>1</v>
      </c>
      <c r="F1241" s="7">
        <v>319825.94</v>
      </c>
      <c r="G1241">
        <v>0</v>
      </c>
      <c r="H1241" s="7">
        <v>0</v>
      </c>
    </row>
    <row r="1242" spans="1:8">
      <c r="A1242">
        <v>1</v>
      </c>
      <c r="B1242" t="s">
        <v>44</v>
      </c>
      <c r="C1242" t="s">
        <v>35</v>
      </c>
      <c r="D1242">
        <v>0</v>
      </c>
      <c r="E1242">
        <v>1</v>
      </c>
      <c r="F1242" s="7">
        <v>129431.13</v>
      </c>
      <c r="G1242">
        <v>0</v>
      </c>
      <c r="H1242" s="7">
        <v>0</v>
      </c>
    </row>
    <row r="1243" spans="1:8">
      <c r="A1243">
        <v>1</v>
      </c>
      <c r="B1243" t="s">
        <v>44</v>
      </c>
      <c r="C1243" t="s">
        <v>35</v>
      </c>
      <c r="D1243">
        <v>0</v>
      </c>
      <c r="E1243">
        <v>1</v>
      </c>
      <c r="F1243" s="7">
        <v>105351.94</v>
      </c>
      <c r="G1243">
        <v>0</v>
      </c>
      <c r="H1243" s="7">
        <v>0</v>
      </c>
    </row>
    <row r="1244" spans="1:8">
      <c r="A1244">
        <v>1</v>
      </c>
      <c r="B1244" t="s">
        <v>44</v>
      </c>
      <c r="C1244" t="s">
        <v>34</v>
      </c>
      <c r="D1244">
        <v>0</v>
      </c>
      <c r="E1244">
        <v>1</v>
      </c>
      <c r="F1244" s="7">
        <v>38167</v>
      </c>
      <c r="G1244">
        <v>0</v>
      </c>
      <c r="H1244" s="7">
        <v>0</v>
      </c>
    </row>
    <row r="1245" spans="1:8">
      <c r="A1245">
        <v>1</v>
      </c>
      <c r="B1245" t="s">
        <v>44</v>
      </c>
      <c r="C1245" t="s">
        <v>33</v>
      </c>
      <c r="D1245">
        <v>0</v>
      </c>
      <c r="E1245">
        <v>1</v>
      </c>
      <c r="F1245" s="7">
        <v>4682.74</v>
      </c>
      <c r="G1245">
        <v>0</v>
      </c>
      <c r="H1245" s="7">
        <v>0</v>
      </c>
    </row>
    <row r="1246" spans="1:8">
      <c r="A1246">
        <v>1</v>
      </c>
      <c r="B1246" t="s">
        <v>45</v>
      </c>
      <c r="C1246" t="s">
        <v>33</v>
      </c>
      <c r="D1246">
        <v>0</v>
      </c>
      <c r="E1246">
        <v>1</v>
      </c>
      <c r="F1246" s="7">
        <v>1280.14</v>
      </c>
      <c r="G1246">
        <v>0</v>
      </c>
      <c r="H1246" s="7">
        <v>0</v>
      </c>
    </row>
    <row r="1247" spans="1:8">
      <c r="A1247">
        <v>1</v>
      </c>
      <c r="B1247" t="s">
        <v>45</v>
      </c>
      <c r="C1247" t="s">
        <v>33</v>
      </c>
      <c r="D1247">
        <v>0</v>
      </c>
      <c r="E1247">
        <v>1</v>
      </c>
      <c r="F1247" s="7">
        <v>3039.84</v>
      </c>
      <c r="G1247">
        <v>0</v>
      </c>
      <c r="H1247" s="7">
        <v>0</v>
      </c>
    </row>
    <row r="1248" spans="1:8">
      <c r="A1248">
        <v>1</v>
      </c>
      <c r="B1248" t="s">
        <v>42</v>
      </c>
      <c r="C1248" t="s">
        <v>33</v>
      </c>
      <c r="D1248">
        <v>0</v>
      </c>
      <c r="E1248">
        <v>1</v>
      </c>
      <c r="F1248" s="7">
        <v>5998</v>
      </c>
      <c r="G1248">
        <v>0</v>
      </c>
      <c r="H1248" s="7">
        <v>0</v>
      </c>
    </row>
    <row r="1249" spans="1:8">
      <c r="A1249">
        <v>1</v>
      </c>
      <c r="B1249" t="s">
        <v>42</v>
      </c>
      <c r="C1249" t="s">
        <v>33</v>
      </c>
      <c r="D1249">
        <v>0</v>
      </c>
      <c r="E1249">
        <v>1</v>
      </c>
      <c r="F1249" s="7">
        <v>4273</v>
      </c>
      <c r="G1249">
        <v>0</v>
      </c>
      <c r="H1249" s="7">
        <v>0</v>
      </c>
    </row>
    <row r="1250" spans="1:8">
      <c r="A1250">
        <v>1</v>
      </c>
      <c r="B1250" t="s">
        <v>42</v>
      </c>
      <c r="C1250" t="s">
        <v>33</v>
      </c>
      <c r="D1250">
        <v>0</v>
      </c>
      <c r="E1250">
        <v>1</v>
      </c>
      <c r="F1250" s="7">
        <v>3637.13</v>
      </c>
      <c r="G1250">
        <v>0</v>
      </c>
      <c r="H1250" s="7">
        <v>0</v>
      </c>
    </row>
    <row r="1251" spans="1:8">
      <c r="A1251">
        <v>1</v>
      </c>
      <c r="B1251" t="s">
        <v>42</v>
      </c>
      <c r="C1251" t="s">
        <v>32</v>
      </c>
      <c r="D1251">
        <v>0</v>
      </c>
      <c r="E1251">
        <v>1</v>
      </c>
      <c r="F1251" s="7">
        <v>892.53</v>
      </c>
      <c r="G1251">
        <v>0</v>
      </c>
      <c r="H1251" s="7">
        <v>0</v>
      </c>
    </row>
    <row r="1252" spans="1:8">
      <c r="A1252">
        <v>1</v>
      </c>
      <c r="B1252" t="s">
        <v>42</v>
      </c>
      <c r="C1252" t="s">
        <v>34</v>
      </c>
      <c r="D1252">
        <v>0</v>
      </c>
      <c r="E1252">
        <v>1</v>
      </c>
      <c r="F1252" s="7">
        <v>10707.6</v>
      </c>
      <c r="G1252">
        <v>0</v>
      </c>
      <c r="H1252" s="7">
        <v>0</v>
      </c>
    </row>
    <row r="1253" spans="1:8">
      <c r="A1253">
        <v>1</v>
      </c>
      <c r="B1253" t="s">
        <v>42</v>
      </c>
      <c r="C1253" t="s">
        <v>33</v>
      </c>
      <c r="D1253">
        <v>0</v>
      </c>
      <c r="E1253">
        <v>1</v>
      </c>
      <c r="F1253" s="7">
        <v>6380.75</v>
      </c>
      <c r="G1253">
        <v>0</v>
      </c>
      <c r="H1253" s="7">
        <v>0</v>
      </c>
    </row>
    <row r="1254" spans="1:8">
      <c r="A1254">
        <v>1</v>
      </c>
      <c r="B1254" t="s">
        <v>43</v>
      </c>
      <c r="C1254" t="s">
        <v>35</v>
      </c>
      <c r="D1254">
        <v>0</v>
      </c>
      <c r="E1254">
        <v>1</v>
      </c>
      <c r="F1254" s="7">
        <v>271161.74</v>
      </c>
      <c r="G1254">
        <v>0</v>
      </c>
      <c r="H1254" s="7">
        <v>0</v>
      </c>
    </row>
    <row r="1255" spans="1:8">
      <c r="A1255">
        <v>1</v>
      </c>
      <c r="B1255" t="s">
        <v>43</v>
      </c>
      <c r="C1255" t="s">
        <v>35</v>
      </c>
      <c r="D1255">
        <v>0</v>
      </c>
      <c r="E1255">
        <v>1</v>
      </c>
      <c r="F1255" s="7">
        <v>274108.4</v>
      </c>
      <c r="G1255">
        <v>0</v>
      </c>
      <c r="H1255" s="7">
        <v>0</v>
      </c>
    </row>
    <row r="1256" spans="1:8">
      <c r="A1256">
        <v>1</v>
      </c>
      <c r="B1256" t="s">
        <v>45</v>
      </c>
      <c r="C1256" t="s">
        <v>33</v>
      </c>
      <c r="D1256">
        <v>0</v>
      </c>
      <c r="E1256">
        <v>1</v>
      </c>
      <c r="F1256" s="7">
        <v>2676.97</v>
      </c>
      <c r="G1256">
        <v>0</v>
      </c>
      <c r="H1256" s="7">
        <v>0</v>
      </c>
    </row>
    <row r="1257" spans="1:8">
      <c r="A1257">
        <v>1</v>
      </c>
      <c r="B1257" t="s">
        <v>42</v>
      </c>
      <c r="C1257" t="s">
        <v>33</v>
      </c>
      <c r="D1257">
        <v>0</v>
      </c>
      <c r="E1257">
        <v>1</v>
      </c>
      <c r="F1257" s="7">
        <v>7512.61</v>
      </c>
      <c r="G1257">
        <v>0</v>
      </c>
      <c r="H1257" s="7">
        <v>0</v>
      </c>
    </row>
    <row r="1258" spans="1:8">
      <c r="A1258">
        <v>1</v>
      </c>
      <c r="B1258" t="s">
        <v>42</v>
      </c>
      <c r="C1258" t="s">
        <v>33</v>
      </c>
      <c r="D1258">
        <v>0</v>
      </c>
      <c r="E1258">
        <v>1</v>
      </c>
      <c r="F1258" s="7">
        <v>8612.28</v>
      </c>
      <c r="G1258">
        <v>0</v>
      </c>
      <c r="H1258" s="7">
        <v>0</v>
      </c>
    </row>
    <row r="1259" spans="1:8">
      <c r="A1259">
        <v>1</v>
      </c>
      <c r="B1259" t="s">
        <v>42</v>
      </c>
      <c r="C1259" t="s">
        <v>32</v>
      </c>
      <c r="D1259">
        <v>0</v>
      </c>
      <c r="E1259">
        <v>1</v>
      </c>
      <c r="F1259" s="7">
        <v>413.4</v>
      </c>
      <c r="G1259">
        <v>0</v>
      </c>
      <c r="H1259" s="7">
        <v>0</v>
      </c>
    </row>
    <row r="1260" spans="1:8">
      <c r="A1260">
        <v>1</v>
      </c>
      <c r="B1260" t="s">
        <v>42</v>
      </c>
      <c r="C1260" t="s">
        <v>33</v>
      </c>
      <c r="D1260">
        <v>0</v>
      </c>
      <c r="E1260">
        <v>1</v>
      </c>
      <c r="F1260" s="7">
        <v>6794.39</v>
      </c>
      <c r="G1260">
        <v>0</v>
      </c>
      <c r="H1260" s="7">
        <v>0</v>
      </c>
    </row>
    <row r="1261" spans="1:8">
      <c r="A1261">
        <v>1</v>
      </c>
      <c r="B1261" t="s">
        <v>42</v>
      </c>
      <c r="C1261" t="s">
        <v>33</v>
      </c>
      <c r="D1261">
        <v>0</v>
      </c>
      <c r="E1261">
        <v>1</v>
      </c>
      <c r="F1261" s="7">
        <v>9247.18</v>
      </c>
      <c r="G1261">
        <v>0</v>
      </c>
      <c r="H1261" s="7">
        <v>0</v>
      </c>
    </row>
    <row r="1262" spans="1:8">
      <c r="A1262">
        <v>1</v>
      </c>
      <c r="B1262" t="s">
        <v>42</v>
      </c>
      <c r="C1262" t="s">
        <v>33</v>
      </c>
      <c r="D1262">
        <v>0</v>
      </c>
      <c r="E1262">
        <v>1</v>
      </c>
      <c r="F1262" s="7">
        <v>2821.51</v>
      </c>
      <c r="G1262">
        <v>0</v>
      </c>
      <c r="H1262" s="7">
        <v>0</v>
      </c>
    </row>
    <row r="1263" spans="1:8">
      <c r="A1263">
        <v>1</v>
      </c>
      <c r="B1263" t="s">
        <v>43</v>
      </c>
      <c r="C1263" t="s">
        <v>35</v>
      </c>
      <c r="D1263">
        <v>0</v>
      </c>
      <c r="E1263">
        <v>1</v>
      </c>
      <c r="F1263" s="7">
        <v>378703.81</v>
      </c>
      <c r="G1263">
        <v>0</v>
      </c>
      <c r="H1263" s="7">
        <v>0</v>
      </c>
    </row>
    <row r="1264" spans="1:8">
      <c r="A1264">
        <v>1</v>
      </c>
      <c r="B1264" t="s">
        <v>42</v>
      </c>
      <c r="C1264" t="s">
        <v>33</v>
      </c>
      <c r="D1264">
        <v>0</v>
      </c>
      <c r="E1264">
        <v>1</v>
      </c>
      <c r="F1264" s="7">
        <v>9818.95</v>
      </c>
      <c r="G1264">
        <v>0</v>
      </c>
      <c r="H1264" s="7">
        <v>0</v>
      </c>
    </row>
    <row r="1265" spans="1:8">
      <c r="A1265">
        <v>1</v>
      </c>
      <c r="B1265" t="s">
        <v>42</v>
      </c>
      <c r="C1265" t="s">
        <v>34</v>
      </c>
      <c r="D1265">
        <v>0</v>
      </c>
      <c r="E1265">
        <v>1</v>
      </c>
      <c r="F1265" s="7">
        <v>13268.46</v>
      </c>
      <c r="G1265">
        <v>0</v>
      </c>
      <c r="H1265" s="7">
        <v>0</v>
      </c>
    </row>
    <row r="1266" spans="1:8">
      <c r="A1266">
        <v>1</v>
      </c>
      <c r="B1266" t="s">
        <v>46</v>
      </c>
      <c r="C1266" t="s">
        <v>35</v>
      </c>
      <c r="D1266">
        <v>0</v>
      </c>
      <c r="E1266">
        <v>1</v>
      </c>
      <c r="F1266" s="7">
        <v>378896.52</v>
      </c>
      <c r="G1266">
        <v>0</v>
      </c>
      <c r="H1266" s="7">
        <v>0</v>
      </c>
    </row>
    <row r="1267" spans="1:8">
      <c r="A1267">
        <v>1</v>
      </c>
      <c r="B1267" t="s">
        <v>46</v>
      </c>
      <c r="C1267" t="s">
        <v>34</v>
      </c>
      <c r="D1267">
        <v>0</v>
      </c>
      <c r="E1267">
        <v>1</v>
      </c>
      <c r="F1267" s="7">
        <v>65671.39</v>
      </c>
      <c r="G1267">
        <v>0</v>
      </c>
      <c r="H1267" s="7">
        <v>0</v>
      </c>
    </row>
    <row r="1268" spans="1:8">
      <c r="A1268">
        <v>1</v>
      </c>
      <c r="B1268" t="s">
        <v>46</v>
      </c>
      <c r="C1268" t="s">
        <v>34</v>
      </c>
      <c r="D1268">
        <v>0</v>
      </c>
      <c r="E1268">
        <v>1</v>
      </c>
      <c r="F1268" s="7">
        <v>35492.2</v>
      </c>
      <c r="G1268">
        <v>0</v>
      </c>
      <c r="H1268" s="7">
        <v>0</v>
      </c>
    </row>
    <row r="1269" spans="1:8">
      <c r="A1269">
        <v>1</v>
      </c>
      <c r="B1269" t="s">
        <v>46</v>
      </c>
      <c r="C1269" t="s">
        <v>34</v>
      </c>
      <c r="D1269">
        <v>0</v>
      </c>
      <c r="E1269">
        <v>1</v>
      </c>
      <c r="F1269" s="7">
        <v>18510.43</v>
      </c>
      <c r="G1269">
        <v>0</v>
      </c>
      <c r="H1269" s="7">
        <v>0</v>
      </c>
    </row>
    <row r="1270" spans="1:8">
      <c r="A1270">
        <v>1</v>
      </c>
      <c r="B1270" t="s">
        <v>46</v>
      </c>
      <c r="C1270" t="s">
        <v>34</v>
      </c>
      <c r="D1270">
        <v>0</v>
      </c>
      <c r="E1270">
        <v>1</v>
      </c>
      <c r="F1270" s="7">
        <v>83587.86</v>
      </c>
      <c r="G1270">
        <v>0</v>
      </c>
      <c r="H1270" s="7">
        <v>0</v>
      </c>
    </row>
    <row r="1271" spans="1:8">
      <c r="A1271">
        <v>1</v>
      </c>
      <c r="B1271" t="s">
        <v>46</v>
      </c>
      <c r="C1271" t="s">
        <v>34</v>
      </c>
      <c r="D1271">
        <v>0</v>
      </c>
      <c r="E1271">
        <v>1</v>
      </c>
      <c r="F1271" s="7">
        <v>62455.76</v>
      </c>
      <c r="G1271">
        <v>0</v>
      </c>
      <c r="H1271" s="7">
        <v>0</v>
      </c>
    </row>
    <row r="1272" spans="1:8">
      <c r="A1272">
        <v>1</v>
      </c>
      <c r="B1272" t="s">
        <v>46</v>
      </c>
      <c r="C1272" t="s">
        <v>34</v>
      </c>
      <c r="D1272">
        <v>0</v>
      </c>
      <c r="E1272">
        <v>1</v>
      </c>
      <c r="F1272" s="7">
        <v>44708.03</v>
      </c>
      <c r="G1272">
        <v>0</v>
      </c>
      <c r="H1272" s="7">
        <v>0</v>
      </c>
    </row>
    <row r="1273" spans="1:8">
      <c r="A1273">
        <v>1</v>
      </c>
      <c r="B1273" t="s">
        <v>46</v>
      </c>
      <c r="C1273" t="s">
        <v>35</v>
      </c>
      <c r="D1273">
        <v>0</v>
      </c>
      <c r="E1273">
        <v>1</v>
      </c>
      <c r="F1273" s="7">
        <v>343189.13</v>
      </c>
      <c r="G1273">
        <v>0</v>
      </c>
      <c r="H1273" s="7">
        <v>0</v>
      </c>
    </row>
    <row r="1274" spans="1:8">
      <c r="A1274">
        <v>1</v>
      </c>
      <c r="B1274" t="s">
        <v>46</v>
      </c>
      <c r="C1274" t="s">
        <v>34</v>
      </c>
      <c r="D1274">
        <v>0</v>
      </c>
      <c r="E1274">
        <v>1</v>
      </c>
      <c r="F1274" s="7">
        <v>60215.46</v>
      </c>
      <c r="G1274">
        <v>0</v>
      </c>
      <c r="H1274" s="7">
        <v>0</v>
      </c>
    </row>
    <row r="1275" spans="1:8">
      <c r="A1275">
        <v>1</v>
      </c>
      <c r="B1275" t="s">
        <v>46</v>
      </c>
      <c r="C1275" t="s">
        <v>35</v>
      </c>
      <c r="D1275">
        <v>0</v>
      </c>
      <c r="E1275">
        <v>1</v>
      </c>
      <c r="F1275" s="7">
        <v>235288.68</v>
      </c>
      <c r="G1275">
        <v>0</v>
      </c>
      <c r="H1275" s="7">
        <v>0</v>
      </c>
    </row>
    <row r="1276" spans="1:8">
      <c r="A1276">
        <v>1</v>
      </c>
      <c r="B1276" t="s">
        <v>46</v>
      </c>
      <c r="C1276" t="s">
        <v>35</v>
      </c>
      <c r="D1276">
        <v>0</v>
      </c>
      <c r="E1276">
        <v>1</v>
      </c>
      <c r="F1276" s="7">
        <v>206955.99</v>
      </c>
      <c r="G1276">
        <v>0</v>
      </c>
      <c r="H1276" s="7">
        <v>0</v>
      </c>
    </row>
    <row r="1277" spans="1:8">
      <c r="A1277">
        <v>1</v>
      </c>
      <c r="B1277" t="s">
        <v>46</v>
      </c>
      <c r="C1277" t="s">
        <v>35</v>
      </c>
      <c r="D1277">
        <v>0</v>
      </c>
      <c r="E1277">
        <v>1</v>
      </c>
      <c r="F1277" s="7">
        <v>383446.61</v>
      </c>
      <c r="G1277">
        <v>0</v>
      </c>
      <c r="H1277" s="7">
        <v>0</v>
      </c>
    </row>
    <row r="1278" spans="1:8">
      <c r="A1278">
        <v>1</v>
      </c>
      <c r="B1278" t="s">
        <v>46</v>
      </c>
      <c r="C1278" t="s">
        <v>35</v>
      </c>
      <c r="D1278">
        <v>0</v>
      </c>
      <c r="E1278">
        <v>1</v>
      </c>
      <c r="F1278" s="7">
        <v>145095.94</v>
      </c>
      <c r="G1278">
        <v>0</v>
      </c>
      <c r="H1278" s="7">
        <v>0</v>
      </c>
    </row>
    <row r="1279" spans="1:8">
      <c r="A1279">
        <v>1</v>
      </c>
      <c r="B1279" t="s">
        <v>46</v>
      </c>
      <c r="C1279" t="s">
        <v>35</v>
      </c>
      <c r="D1279">
        <v>0</v>
      </c>
      <c r="E1279">
        <v>1</v>
      </c>
      <c r="F1279" s="7">
        <v>300632.87</v>
      </c>
      <c r="G1279">
        <v>0</v>
      </c>
      <c r="H1279" s="7">
        <v>0</v>
      </c>
    </row>
    <row r="1280" spans="1:8">
      <c r="A1280">
        <v>1</v>
      </c>
      <c r="B1280" t="s">
        <v>46</v>
      </c>
      <c r="C1280" t="s">
        <v>35</v>
      </c>
      <c r="D1280">
        <v>0</v>
      </c>
      <c r="E1280">
        <v>1</v>
      </c>
      <c r="F1280" s="7">
        <v>119081.76</v>
      </c>
      <c r="G1280">
        <v>0</v>
      </c>
      <c r="H1280" s="7">
        <v>0</v>
      </c>
    </row>
    <row r="1281" spans="1:8">
      <c r="A1281">
        <v>1</v>
      </c>
      <c r="B1281" t="s">
        <v>46</v>
      </c>
      <c r="C1281" t="s">
        <v>35</v>
      </c>
      <c r="D1281">
        <v>0</v>
      </c>
      <c r="E1281">
        <v>1</v>
      </c>
      <c r="F1281" s="7">
        <v>203148.34</v>
      </c>
      <c r="G1281">
        <v>0</v>
      </c>
      <c r="H1281" s="7">
        <v>0</v>
      </c>
    </row>
    <row r="1282" spans="1:8">
      <c r="A1282">
        <v>1</v>
      </c>
      <c r="B1282" t="s">
        <v>46</v>
      </c>
      <c r="C1282" t="s">
        <v>35</v>
      </c>
      <c r="D1282">
        <v>0</v>
      </c>
      <c r="E1282">
        <v>1</v>
      </c>
      <c r="F1282" s="7">
        <v>104335.07</v>
      </c>
      <c r="G1282">
        <v>0</v>
      </c>
      <c r="H1282" s="7">
        <v>0</v>
      </c>
    </row>
    <row r="1283" spans="1:8">
      <c r="A1283">
        <v>1</v>
      </c>
      <c r="B1283" t="s">
        <v>46</v>
      </c>
      <c r="C1283" t="s">
        <v>35</v>
      </c>
      <c r="D1283">
        <v>0</v>
      </c>
      <c r="E1283">
        <v>1</v>
      </c>
      <c r="F1283" s="7">
        <v>251482.63</v>
      </c>
      <c r="G1283">
        <v>0</v>
      </c>
      <c r="H1283" s="7">
        <v>0</v>
      </c>
    </row>
    <row r="1284" spans="1:8">
      <c r="A1284">
        <v>1</v>
      </c>
      <c r="B1284" t="s">
        <v>46</v>
      </c>
      <c r="C1284" t="s">
        <v>34</v>
      </c>
      <c r="D1284">
        <v>0</v>
      </c>
      <c r="E1284">
        <v>1</v>
      </c>
      <c r="F1284" s="7">
        <v>92784.06</v>
      </c>
      <c r="G1284">
        <v>0</v>
      </c>
      <c r="H1284" s="7">
        <v>0</v>
      </c>
    </row>
    <row r="1285" spans="1:8">
      <c r="A1285">
        <v>1</v>
      </c>
      <c r="B1285" t="s">
        <v>46</v>
      </c>
      <c r="C1285" t="s">
        <v>34</v>
      </c>
      <c r="D1285">
        <v>0</v>
      </c>
      <c r="E1285">
        <v>1</v>
      </c>
      <c r="F1285" s="7">
        <v>21670.38</v>
      </c>
      <c r="G1285">
        <v>0</v>
      </c>
      <c r="H1285" s="7">
        <v>0</v>
      </c>
    </row>
    <row r="1286" spans="1:8">
      <c r="A1286">
        <v>1</v>
      </c>
      <c r="B1286" t="s">
        <v>46</v>
      </c>
      <c r="C1286" t="s">
        <v>35</v>
      </c>
      <c r="D1286">
        <v>0</v>
      </c>
      <c r="E1286">
        <v>1</v>
      </c>
      <c r="F1286" s="7">
        <v>175443.85</v>
      </c>
      <c r="G1286">
        <v>0</v>
      </c>
      <c r="H1286" s="7">
        <v>0</v>
      </c>
    </row>
    <row r="1287" spans="1:8">
      <c r="A1287">
        <v>1</v>
      </c>
      <c r="B1287" t="s">
        <v>46</v>
      </c>
      <c r="C1287" t="s">
        <v>35</v>
      </c>
      <c r="D1287">
        <v>0</v>
      </c>
      <c r="E1287">
        <v>1</v>
      </c>
      <c r="F1287" s="7">
        <v>226031.29</v>
      </c>
      <c r="G1287">
        <v>0</v>
      </c>
      <c r="H1287" s="7">
        <v>0</v>
      </c>
    </row>
    <row r="1288" spans="1:8">
      <c r="A1288">
        <v>1</v>
      </c>
      <c r="B1288" t="s">
        <v>46</v>
      </c>
      <c r="C1288" t="s">
        <v>35</v>
      </c>
      <c r="D1288">
        <v>0</v>
      </c>
      <c r="E1288">
        <v>1</v>
      </c>
      <c r="F1288" s="7">
        <v>234052.7</v>
      </c>
      <c r="G1288">
        <v>0</v>
      </c>
      <c r="H1288" s="7">
        <v>0</v>
      </c>
    </row>
    <row r="1289" spans="1:8">
      <c r="A1289">
        <v>1</v>
      </c>
      <c r="B1289" t="s">
        <v>46</v>
      </c>
      <c r="C1289" t="s">
        <v>35</v>
      </c>
      <c r="D1289">
        <v>0</v>
      </c>
      <c r="E1289">
        <v>1</v>
      </c>
      <c r="F1289" s="7">
        <v>229848.96</v>
      </c>
      <c r="G1289">
        <v>0</v>
      </c>
      <c r="H1289" s="7">
        <v>0</v>
      </c>
    </row>
    <row r="1290" spans="1:8">
      <c r="A1290">
        <v>1</v>
      </c>
      <c r="B1290" t="s">
        <v>46</v>
      </c>
      <c r="C1290" t="s">
        <v>35</v>
      </c>
      <c r="D1290">
        <v>0</v>
      </c>
      <c r="E1290">
        <v>1</v>
      </c>
      <c r="F1290" s="7">
        <v>111655.85</v>
      </c>
      <c r="G1290">
        <v>0</v>
      </c>
      <c r="H1290" s="7">
        <v>0</v>
      </c>
    </row>
    <row r="1291" spans="1:8">
      <c r="A1291">
        <v>1</v>
      </c>
      <c r="B1291" t="s">
        <v>46</v>
      </c>
      <c r="C1291" t="s">
        <v>34</v>
      </c>
      <c r="D1291">
        <v>0</v>
      </c>
      <c r="E1291">
        <v>1</v>
      </c>
      <c r="F1291" s="7">
        <v>51284.87</v>
      </c>
      <c r="G1291">
        <v>0</v>
      </c>
      <c r="H1291" s="7">
        <v>0</v>
      </c>
    </row>
    <row r="1292" spans="1:8">
      <c r="A1292">
        <v>1</v>
      </c>
      <c r="B1292" t="s">
        <v>46</v>
      </c>
      <c r="C1292" t="s">
        <v>32</v>
      </c>
      <c r="D1292">
        <v>0</v>
      </c>
      <c r="E1292">
        <v>1</v>
      </c>
      <c r="F1292" s="7">
        <v>270.78</v>
      </c>
      <c r="G1292">
        <v>0</v>
      </c>
      <c r="H1292" s="7">
        <v>0</v>
      </c>
    </row>
    <row r="1293" spans="1:8">
      <c r="A1293">
        <v>1</v>
      </c>
      <c r="B1293" t="s">
        <v>46</v>
      </c>
      <c r="C1293" t="s">
        <v>35</v>
      </c>
      <c r="D1293">
        <v>0</v>
      </c>
      <c r="E1293">
        <v>1</v>
      </c>
      <c r="F1293" s="7">
        <v>154442.99</v>
      </c>
      <c r="G1293">
        <v>0</v>
      </c>
      <c r="H1293" s="7">
        <v>0</v>
      </c>
    </row>
    <row r="1294" spans="1:8">
      <c r="A1294">
        <v>1</v>
      </c>
      <c r="B1294" t="s">
        <v>46</v>
      </c>
      <c r="C1294" t="s">
        <v>34</v>
      </c>
      <c r="D1294">
        <v>0</v>
      </c>
      <c r="E1294">
        <v>1</v>
      </c>
      <c r="F1294" s="7">
        <v>34918.59</v>
      </c>
      <c r="G1294">
        <v>0</v>
      </c>
      <c r="H1294" s="7">
        <v>0</v>
      </c>
    </row>
    <row r="1295" spans="1:8">
      <c r="A1295">
        <v>1</v>
      </c>
      <c r="B1295" t="s">
        <v>46</v>
      </c>
      <c r="C1295" t="s">
        <v>34</v>
      </c>
      <c r="D1295">
        <v>0</v>
      </c>
      <c r="E1295">
        <v>1</v>
      </c>
      <c r="F1295" s="7">
        <v>57262.72</v>
      </c>
      <c r="G1295">
        <v>0</v>
      </c>
      <c r="H1295" s="7">
        <v>0</v>
      </c>
    </row>
    <row r="1296" spans="1:8">
      <c r="A1296">
        <v>1</v>
      </c>
      <c r="B1296" t="s">
        <v>46</v>
      </c>
      <c r="C1296" t="s">
        <v>35</v>
      </c>
      <c r="D1296">
        <v>0</v>
      </c>
      <c r="E1296">
        <v>1</v>
      </c>
      <c r="F1296" s="7">
        <v>189703.56</v>
      </c>
      <c r="G1296">
        <v>0</v>
      </c>
      <c r="H1296" s="7">
        <v>0</v>
      </c>
    </row>
    <row r="1297" spans="1:8">
      <c r="A1297">
        <v>1</v>
      </c>
      <c r="B1297" t="s">
        <v>46</v>
      </c>
      <c r="C1297" t="s">
        <v>35</v>
      </c>
      <c r="D1297">
        <v>0</v>
      </c>
      <c r="E1297">
        <v>1</v>
      </c>
      <c r="F1297" s="7">
        <v>288838.13</v>
      </c>
      <c r="G1297">
        <v>0</v>
      </c>
      <c r="H1297" s="7">
        <v>0</v>
      </c>
    </row>
    <row r="1298" spans="1:8">
      <c r="A1298">
        <v>1</v>
      </c>
      <c r="B1298" t="s">
        <v>46</v>
      </c>
      <c r="C1298" t="s">
        <v>34</v>
      </c>
      <c r="D1298">
        <v>0</v>
      </c>
      <c r="E1298">
        <v>1</v>
      </c>
      <c r="F1298" s="7">
        <v>61505.91</v>
      </c>
      <c r="G1298">
        <v>0</v>
      </c>
      <c r="H1298" s="7">
        <v>0</v>
      </c>
    </row>
    <row r="1299" spans="1:8">
      <c r="A1299">
        <v>1</v>
      </c>
      <c r="B1299" t="s">
        <v>46</v>
      </c>
      <c r="C1299" t="s">
        <v>35</v>
      </c>
      <c r="D1299">
        <v>0</v>
      </c>
      <c r="E1299">
        <v>1</v>
      </c>
      <c r="F1299" s="7">
        <v>404167.6</v>
      </c>
      <c r="G1299">
        <v>0</v>
      </c>
      <c r="H1299" s="7">
        <v>0</v>
      </c>
    </row>
    <row r="1300" spans="1:8">
      <c r="A1300">
        <v>1</v>
      </c>
      <c r="B1300" t="s">
        <v>46</v>
      </c>
      <c r="C1300" t="s">
        <v>34</v>
      </c>
      <c r="D1300">
        <v>0</v>
      </c>
      <c r="E1300">
        <v>1</v>
      </c>
      <c r="F1300" s="7">
        <v>57323.56</v>
      </c>
      <c r="G1300">
        <v>0</v>
      </c>
      <c r="H1300" s="7">
        <v>0</v>
      </c>
    </row>
    <row r="1301" spans="1:8">
      <c r="A1301">
        <v>1</v>
      </c>
      <c r="B1301" t="s">
        <v>46</v>
      </c>
      <c r="C1301" t="s">
        <v>34</v>
      </c>
      <c r="D1301">
        <v>0</v>
      </c>
      <c r="E1301">
        <v>1</v>
      </c>
      <c r="F1301" s="7">
        <v>68988.21</v>
      </c>
      <c r="G1301">
        <v>0</v>
      </c>
      <c r="H1301" s="7">
        <v>0</v>
      </c>
    </row>
    <row r="1302" spans="1:8">
      <c r="A1302">
        <v>1</v>
      </c>
      <c r="B1302" t="s">
        <v>46</v>
      </c>
      <c r="C1302" t="s">
        <v>34</v>
      </c>
      <c r="D1302">
        <v>0</v>
      </c>
      <c r="E1302">
        <v>1</v>
      </c>
      <c r="F1302" s="7">
        <v>74230.21</v>
      </c>
      <c r="G1302">
        <v>0</v>
      </c>
      <c r="H1302" s="7">
        <v>0</v>
      </c>
    </row>
    <row r="1303" spans="1:8">
      <c r="A1303">
        <v>1</v>
      </c>
      <c r="B1303" t="s">
        <v>46</v>
      </c>
      <c r="C1303" t="s">
        <v>35</v>
      </c>
      <c r="D1303">
        <v>0</v>
      </c>
      <c r="E1303">
        <v>1</v>
      </c>
      <c r="F1303" s="7">
        <v>377287.8</v>
      </c>
      <c r="G1303">
        <v>0</v>
      </c>
      <c r="H1303" s="7">
        <v>0</v>
      </c>
    </row>
    <row r="1304" spans="1:8">
      <c r="A1304">
        <v>1</v>
      </c>
      <c r="B1304" t="s">
        <v>46</v>
      </c>
      <c r="C1304" t="s">
        <v>35</v>
      </c>
      <c r="D1304">
        <v>0</v>
      </c>
      <c r="E1304">
        <v>1</v>
      </c>
      <c r="F1304" s="7">
        <v>185897.79</v>
      </c>
      <c r="G1304">
        <v>0</v>
      </c>
      <c r="H1304" s="7">
        <v>0</v>
      </c>
    </row>
    <row r="1305" spans="1:8">
      <c r="A1305">
        <v>1</v>
      </c>
      <c r="B1305" t="s">
        <v>46</v>
      </c>
      <c r="C1305" t="s">
        <v>35</v>
      </c>
      <c r="D1305">
        <v>0</v>
      </c>
      <c r="E1305">
        <v>1</v>
      </c>
      <c r="F1305" s="7">
        <v>173842.23</v>
      </c>
      <c r="G1305">
        <v>0</v>
      </c>
      <c r="H1305" s="7">
        <v>0</v>
      </c>
    </row>
    <row r="1306" spans="1:8">
      <c r="A1306">
        <v>1</v>
      </c>
      <c r="B1306" t="s">
        <v>46</v>
      </c>
      <c r="C1306" t="s">
        <v>34</v>
      </c>
      <c r="D1306">
        <v>0</v>
      </c>
      <c r="E1306">
        <v>1</v>
      </c>
      <c r="F1306" s="7">
        <v>31646.31</v>
      </c>
      <c r="G1306">
        <v>0</v>
      </c>
      <c r="H1306" s="7">
        <v>0</v>
      </c>
    </row>
    <row r="1307" spans="1:8">
      <c r="A1307">
        <v>1</v>
      </c>
      <c r="B1307" t="s">
        <v>46</v>
      </c>
      <c r="C1307" t="s">
        <v>34</v>
      </c>
      <c r="D1307">
        <v>0</v>
      </c>
      <c r="E1307">
        <v>1</v>
      </c>
      <c r="F1307" s="7">
        <v>48134.99</v>
      </c>
      <c r="G1307">
        <v>0</v>
      </c>
      <c r="H1307" s="7">
        <v>0</v>
      </c>
    </row>
    <row r="1308" spans="1:8">
      <c r="A1308">
        <v>1</v>
      </c>
      <c r="B1308" t="s">
        <v>46</v>
      </c>
      <c r="C1308" t="s">
        <v>35</v>
      </c>
      <c r="D1308">
        <v>0</v>
      </c>
      <c r="E1308">
        <v>1</v>
      </c>
      <c r="F1308" s="7">
        <v>229982.47</v>
      </c>
      <c r="G1308">
        <v>0</v>
      </c>
      <c r="H1308" s="7">
        <v>0</v>
      </c>
    </row>
    <row r="1309" spans="1:8">
      <c r="A1309">
        <v>1</v>
      </c>
      <c r="B1309" t="s">
        <v>46</v>
      </c>
      <c r="C1309" t="s">
        <v>35</v>
      </c>
      <c r="D1309">
        <v>0</v>
      </c>
      <c r="E1309">
        <v>1</v>
      </c>
      <c r="F1309" s="7">
        <v>216806.48</v>
      </c>
      <c r="G1309">
        <v>0</v>
      </c>
      <c r="H1309" s="7">
        <v>0</v>
      </c>
    </row>
    <row r="1310" spans="1:8">
      <c r="A1310">
        <v>1</v>
      </c>
      <c r="B1310" t="s">
        <v>46</v>
      </c>
      <c r="C1310" t="s">
        <v>35</v>
      </c>
      <c r="D1310">
        <v>0</v>
      </c>
      <c r="E1310">
        <v>1</v>
      </c>
      <c r="F1310" s="7">
        <v>117257.18</v>
      </c>
      <c r="G1310">
        <v>0</v>
      </c>
      <c r="H1310" s="7">
        <v>0</v>
      </c>
    </row>
    <row r="1311" spans="1:8">
      <c r="A1311">
        <v>1</v>
      </c>
      <c r="B1311" t="s">
        <v>46</v>
      </c>
      <c r="C1311" t="s">
        <v>35</v>
      </c>
      <c r="D1311">
        <v>0</v>
      </c>
      <c r="E1311">
        <v>1</v>
      </c>
      <c r="F1311" s="7">
        <v>174413.77</v>
      </c>
      <c r="G1311">
        <v>0</v>
      </c>
      <c r="H1311" s="7">
        <v>0</v>
      </c>
    </row>
    <row r="1312" spans="1:8">
      <c r="A1312">
        <v>1</v>
      </c>
      <c r="B1312" t="s">
        <v>46</v>
      </c>
      <c r="C1312" t="s">
        <v>34</v>
      </c>
      <c r="D1312">
        <v>0</v>
      </c>
      <c r="E1312">
        <v>1</v>
      </c>
      <c r="F1312" s="7">
        <v>72897.92</v>
      </c>
      <c r="G1312">
        <v>0</v>
      </c>
      <c r="H1312" s="7">
        <v>0</v>
      </c>
    </row>
    <row r="1313" spans="1:8">
      <c r="A1313">
        <v>1</v>
      </c>
      <c r="B1313" t="s">
        <v>46</v>
      </c>
      <c r="C1313" t="s">
        <v>34</v>
      </c>
      <c r="D1313">
        <v>0</v>
      </c>
      <c r="E1313">
        <v>1</v>
      </c>
      <c r="F1313" s="7">
        <v>82564.24</v>
      </c>
      <c r="G1313">
        <v>0</v>
      </c>
      <c r="H1313" s="7">
        <v>0</v>
      </c>
    </row>
    <row r="1314" spans="1:8">
      <c r="A1314">
        <v>1</v>
      </c>
      <c r="B1314" t="s">
        <v>46</v>
      </c>
      <c r="C1314" t="s">
        <v>34</v>
      </c>
      <c r="D1314">
        <v>0</v>
      </c>
      <c r="E1314">
        <v>1</v>
      </c>
      <c r="F1314" s="7">
        <v>63764.9</v>
      </c>
      <c r="G1314">
        <v>0</v>
      </c>
      <c r="H1314" s="7">
        <v>0</v>
      </c>
    </row>
    <row r="1315" spans="1:8">
      <c r="A1315">
        <v>1</v>
      </c>
      <c r="B1315" t="s">
        <v>46</v>
      </c>
      <c r="C1315" t="s">
        <v>35</v>
      </c>
      <c r="D1315">
        <v>0</v>
      </c>
      <c r="E1315">
        <v>1</v>
      </c>
      <c r="F1315" s="7">
        <v>183074.81</v>
      </c>
      <c r="G1315">
        <v>0</v>
      </c>
      <c r="H1315" s="7">
        <v>0</v>
      </c>
    </row>
    <row r="1316" spans="1:8">
      <c r="A1316">
        <v>1</v>
      </c>
      <c r="B1316" t="s">
        <v>46</v>
      </c>
      <c r="C1316" t="s">
        <v>35</v>
      </c>
      <c r="D1316">
        <v>0</v>
      </c>
      <c r="E1316">
        <v>1</v>
      </c>
      <c r="F1316" s="7">
        <v>223744.8</v>
      </c>
      <c r="G1316">
        <v>0</v>
      </c>
      <c r="H1316" s="7">
        <v>0</v>
      </c>
    </row>
    <row r="1317" spans="1:8">
      <c r="A1317">
        <v>1</v>
      </c>
      <c r="B1317" t="s">
        <v>46</v>
      </c>
      <c r="C1317" t="s">
        <v>34</v>
      </c>
      <c r="D1317">
        <v>0</v>
      </c>
      <c r="E1317">
        <v>1</v>
      </c>
      <c r="F1317" s="7">
        <v>46179.38</v>
      </c>
      <c r="G1317">
        <v>0</v>
      </c>
      <c r="H1317" s="7">
        <v>0</v>
      </c>
    </row>
    <row r="1318" spans="1:8">
      <c r="A1318">
        <v>1</v>
      </c>
      <c r="B1318" t="s">
        <v>46</v>
      </c>
      <c r="C1318" t="s">
        <v>34</v>
      </c>
      <c r="D1318">
        <v>0</v>
      </c>
      <c r="E1318">
        <v>1</v>
      </c>
      <c r="F1318" s="7">
        <v>91611.03</v>
      </c>
      <c r="G1318">
        <v>0</v>
      </c>
      <c r="H1318" s="7">
        <v>0</v>
      </c>
    </row>
    <row r="1319" spans="1:8">
      <c r="A1319">
        <v>1</v>
      </c>
      <c r="B1319" t="s">
        <v>46</v>
      </c>
      <c r="C1319" t="s">
        <v>35</v>
      </c>
      <c r="D1319">
        <v>0</v>
      </c>
      <c r="E1319">
        <v>1</v>
      </c>
      <c r="F1319" s="7">
        <v>128022.19</v>
      </c>
      <c r="G1319">
        <v>0</v>
      </c>
      <c r="H1319" s="7">
        <v>0</v>
      </c>
    </row>
    <row r="1320" spans="1:8">
      <c r="A1320">
        <v>1</v>
      </c>
      <c r="B1320" t="s">
        <v>46</v>
      </c>
      <c r="C1320" t="s">
        <v>35</v>
      </c>
      <c r="D1320">
        <v>0</v>
      </c>
      <c r="E1320">
        <v>1</v>
      </c>
      <c r="F1320" s="7">
        <v>157949.72</v>
      </c>
      <c r="G1320">
        <v>0</v>
      </c>
      <c r="H1320" s="7">
        <v>0</v>
      </c>
    </row>
    <row r="1321" spans="1:8">
      <c r="A1321">
        <v>1</v>
      </c>
      <c r="B1321" t="s">
        <v>46</v>
      </c>
      <c r="C1321" t="s">
        <v>34</v>
      </c>
      <c r="D1321">
        <v>0</v>
      </c>
      <c r="E1321">
        <v>1</v>
      </c>
      <c r="F1321" s="7">
        <v>26516.56</v>
      </c>
      <c r="G1321">
        <v>0</v>
      </c>
      <c r="H1321" s="7">
        <v>0</v>
      </c>
    </row>
    <row r="1322" spans="1:8">
      <c r="A1322">
        <v>1</v>
      </c>
      <c r="B1322" t="s">
        <v>46</v>
      </c>
      <c r="C1322" t="s">
        <v>35</v>
      </c>
      <c r="D1322">
        <v>0</v>
      </c>
      <c r="E1322">
        <v>1</v>
      </c>
      <c r="F1322" s="7">
        <v>105647.45</v>
      </c>
      <c r="G1322">
        <v>0</v>
      </c>
      <c r="H1322" s="7">
        <v>0</v>
      </c>
    </row>
    <row r="1323" spans="1:8">
      <c r="A1323">
        <v>1</v>
      </c>
      <c r="B1323" t="s">
        <v>46</v>
      </c>
      <c r="C1323" t="s">
        <v>34</v>
      </c>
      <c r="D1323">
        <v>0</v>
      </c>
      <c r="E1323">
        <v>1</v>
      </c>
      <c r="F1323" s="7">
        <v>61858.19</v>
      </c>
      <c r="G1323">
        <v>0</v>
      </c>
      <c r="H1323" s="7">
        <v>0</v>
      </c>
    </row>
    <row r="1324" spans="1:8">
      <c r="A1324">
        <v>1</v>
      </c>
      <c r="B1324" t="s">
        <v>46</v>
      </c>
      <c r="C1324" t="s">
        <v>35</v>
      </c>
      <c r="D1324">
        <v>0</v>
      </c>
      <c r="E1324">
        <v>1</v>
      </c>
      <c r="F1324" s="7">
        <v>245041.35</v>
      </c>
      <c r="G1324">
        <v>0</v>
      </c>
      <c r="H1324" s="7">
        <v>0</v>
      </c>
    </row>
    <row r="1325" spans="1:8">
      <c r="A1325">
        <v>1</v>
      </c>
      <c r="B1325" t="s">
        <v>46</v>
      </c>
      <c r="C1325" t="s">
        <v>34</v>
      </c>
      <c r="D1325">
        <v>0</v>
      </c>
      <c r="E1325">
        <v>1</v>
      </c>
      <c r="F1325" s="7">
        <v>42922.81</v>
      </c>
      <c r="G1325">
        <v>0</v>
      </c>
      <c r="H1325" s="7">
        <v>0</v>
      </c>
    </row>
    <row r="1326" spans="1:8">
      <c r="A1326">
        <v>1</v>
      </c>
      <c r="B1326" t="s">
        <v>46</v>
      </c>
      <c r="C1326" t="s">
        <v>35</v>
      </c>
      <c r="D1326">
        <v>0</v>
      </c>
      <c r="E1326">
        <v>1</v>
      </c>
      <c r="F1326" s="7">
        <v>137465.55</v>
      </c>
      <c r="G1326">
        <v>0</v>
      </c>
      <c r="H1326" s="7">
        <v>0</v>
      </c>
    </row>
    <row r="1327" spans="1:8">
      <c r="A1327">
        <v>1</v>
      </c>
      <c r="B1327" t="s">
        <v>46</v>
      </c>
      <c r="C1327" t="s">
        <v>35</v>
      </c>
      <c r="D1327">
        <v>0</v>
      </c>
      <c r="E1327">
        <v>1</v>
      </c>
      <c r="F1327" s="7">
        <v>170207.14</v>
      </c>
      <c r="G1327">
        <v>0</v>
      </c>
      <c r="H1327" s="7">
        <v>0</v>
      </c>
    </row>
    <row r="1328" spans="1:8">
      <c r="A1328">
        <v>1</v>
      </c>
      <c r="B1328" t="s">
        <v>46</v>
      </c>
      <c r="C1328" t="s">
        <v>34</v>
      </c>
      <c r="D1328">
        <v>0</v>
      </c>
      <c r="E1328">
        <v>1</v>
      </c>
      <c r="F1328" s="7">
        <v>18513.77</v>
      </c>
      <c r="G1328">
        <v>0</v>
      </c>
      <c r="H1328" s="7">
        <v>0</v>
      </c>
    </row>
    <row r="1329" spans="1:8">
      <c r="A1329">
        <v>1</v>
      </c>
      <c r="B1329" t="s">
        <v>46</v>
      </c>
      <c r="C1329" t="s">
        <v>35</v>
      </c>
      <c r="D1329">
        <v>0</v>
      </c>
      <c r="E1329">
        <v>1</v>
      </c>
      <c r="F1329" s="7">
        <v>199318.34</v>
      </c>
      <c r="G1329">
        <v>0</v>
      </c>
      <c r="H1329" s="7">
        <v>0</v>
      </c>
    </row>
    <row r="1330" spans="1:8">
      <c r="A1330">
        <v>1</v>
      </c>
      <c r="B1330" t="s">
        <v>46</v>
      </c>
      <c r="C1330" t="s">
        <v>34</v>
      </c>
      <c r="D1330">
        <v>0</v>
      </c>
      <c r="E1330">
        <v>1</v>
      </c>
      <c r="F1330" s="7">
        <v>26295.3</v>
      </c>
      <c r="G1330">
        <v>0</v>
      </c>
      <c r="H1330" s="7">
        <v>0</v>
      </c>
    </row>
    <row r="1331" spans="1:8">
      <c r="A1331">
        <v>1</v>
      </c>
      <c r="B1331" t="s">
        <v>46</v>
      </c>
      <c r="C1331" t="s">
        <v>35</v>
      </c>
      <c r="D1331">
        <v>0</v>
      </c>
      <c r="E1331">
        <v>1</v>
      </c>
      <c r="F1331" s="7">
        <v>111549.83</v>
      </c>
      <c r="G1331">
        <v>0</v>
      </c>
      <c r="H1331" s="7">
        <v>0</v>
      </c>
    </row>
    <row r="1332" spans="1:8">
      <c r="A1332">
        <v>1</v>
      </c>
      <c r="B1332" t="s">
        <v>46</v>
      </c>
      <c r="C1332" t="s">
        <v>34</v>
      </c>
      <c r="D1332">
        <v>0</v>
      </c>
      <c r="E1332">
        <v>1</v>
      </c>
      <c r="F1332" s="7">
        <v>56912.01</v>
      </c>
      <c r="G1332">
        <v>0</v>
      </c>
      <c r="H1332" s="7">
        <v>0</v>
      </c>
    </row>
    <row r="1333" spans="1:8">
      <c r="A1333">
        <v>1</v>
      </c>
      <c r="B1333" t="s">
        <v>46</v>
      </c>
      <c r="C1333" t="s">
        <v>35</v>
      </c>
      <c r="D1333">
        <v>0</v>
      </c>
      <c r="E1333">
        <v>1</v>
      </c>
      <c r="F1333" s="7">
        <v>414285.51</v>
      </c>
      <c r="G1333">
        <v>0</v>
      </c>
      <c r="H1333" s="7">
        <v>0</v>
      </c>
    </row>
    <row r="1334" spans="1:8">
      <c r="A1334">
        <v>1</v>
      </c>
      <c r="B1334" t="s">
        <v>46</v>
      </c>
      <c r="C1334" t="s">
        <v>35</v>
      </c>
      <c r="D1334">
        <v>0</v>
      </c>
      <c r="E1334">
        <v>1</v>
      </c>
      <c r="F1334" s="7">
        <v>298109.36</v>
      </c>
      <c r="G1334">
        <v>0</v>
      </c>
      <c r="H1334" s="7">
        <v>0</v>
      </c>
    </row>
    <row r="1335" spans="1:8">
      <c r="A1335">
        <v>1</v>
      </c>
      <c r="B1335" t="s">
        <v>46</v>
      </c>
      <c r="C1335" t="s">
        <v>35</v>
      </c>
      <c r="D1335">
        <v>0</v>
      </c>
      <c r="E1335">
        <v>1</v>
      </c>
      <c r="F1335" s="7">
        <v>269736.99</v>
      </c>
      <c r="G1335">
        <v>0</v>
      </c>
      <c r="H1335" s="7">
        <v>0</v>
      </c>
    </row>
    <row r="1336" spans="1:8">
      <c r="A1336">
        <v>1</v>
      </c>
      <c r="B1336" t="s">
        <v>46</v>
      </c>
      <c r="C1336" t="s">
        <v>34</v>
      </c>
      <c r="D1336">
        <v>0</v>
      </c>
      <c r="E1336">
        <v>1</v>
      </c>
      <c r="F1336" s="7">
        <v>18622.16</v>
      </c>
      <c r="G1336">
        <v>0</v>
      </c>
      <c r="H1336" s="7">
        <v>0</v>
      </c>
    </row>
    <row r="1337" spans="1:8">
      <c r="A1337">
        <v>1</v>
      </c>
      <c r="B1337" t="s">
        <v>46</v>
      </c>
      <c r="C1337" t="s">
        <v>35</v>
      </c>
      <c r="D1337">
        <v>0</v>
      </c>
      <c r="E1337">
        <v>1</v>
      </c>
      <c r="F1337" s="7">
        <v>183816.31</v>
      </c>
      <c r="G1337">
        <v>0</v>
      </c>
      <c r="H1337" s="7">
        <v>0</v>
      </c>
    </row>
    <row r="1338" spans="1:8">
      <c r="A1338">
        <v>1</v>
      </c>
      <c r="B1338" t="s">
        <v>46</v>
      </c>
      <c r="C1338" t="s">
        <v>35</v>
      </c>
      <c r="D1338">
        <v>0</v>
      </c>
      <c r="E1338">
        <v>1</v>
      </c>
      <c r="F1338" s="7">
        <v>143405.8</v>
      </c>
      <c r="G1338">
        <v>0</v>
      </c>
      <c r="H1338" s="7">
        <v>0</v>
      </c>
    </row>
    <row r="1339" spans="1:8">
      <c r="A1339">
        <v>1</v>
      </c>
      <c r="B1339" t="s">
        <v>42</v>
      </c>
      <c r="C1339" t="s">
        <v>32</v>
      </c>
      <c r="D1339">
        <v>0</v>
      </c>
      <c r="E1339">
        <v>1</v>
      </c>
      <c r="F1339" s="7">
        <v>449.97</v>
      </c>
      <c r="G1339">
        <v>0</v>
      </c>
      <c r="H1339" s="7">
        <v>0</v>
      </c>
    </row>
    <row r="1340" spans="1:8">
      <c r="A1340">
        <v>1</v>
      </c>
      <c r="B1340" t="s">
        <v>42</v>
      </c>
      <c r="C1340" t="s">
        <v>33</v>
      </c>
      <c r="D1340">
        <v>0</v>
      </c>
      <c r="E1340">
        <v>1</v>
      </c>
      <c r="F1340" s="7">
        <v>2743.55</v>
      </c>
      <c r="G1340">
        <v>0</v>
      </c>
      <c r="H1340" s="7">
        <v>0</v>
      </c>
    </row>
    <row r="1341" spans="1:8">
      <c r="A1341">
        <v>1</v>
      </c>
      <c r="B1341" t="s">
        <v>42</v>
      </c>
      <c r="C1341" t="s">
        <v>33</v>
      </c>
      <c r="D1341">
        <v>0</v>
      </c>
      <c r="E1341">
        <v>1</v>
      </c>
      <c r="F1341" s="7">
        <v>1548.73</v>
      </c>
      <c r="G1341">
        <v>0</v>
      </c>
      <c r="H1341" s="7">
        <v>0</v>
      </c>
    </row>
    <row r="1342" spans="1:8">
      <c r="A1342">
        <v>1</v>
      </c>
      <c r="B1342" t="s">
        <v>42</v>
      </c>
      <c r="C1342" t="s">
        <v>33</v>
      </c>
      <c r="D1342">
        <v>0</v>
      </c>
      <c r="E1342">
        <v>1</v>
      </c>
      <c r="F1342" s="7">
        <v>4828.43</v>
      </c>
      <c r="G1342">
        <v>0</v>
      </c>
      <c r="H1342" s="7">
        <v>0</v>
      </c>
    </row>
    <row r="1343" spans="1:8">
      <c r="A1343">
        <v>1</v>
      </c>
      <c r="B1343" t="s">
        <v>42</v>
      </c>
      <c r="C1343" t="s">
        <v>33</v>
      </c>
      <c r="D1343">
        <v>0</v>
      </c>
      <c r="E1343">
        <v>1</v>
      </c>
      <c r="F1343" s="7">
        <v>1737.12</v>
      </c>
      <c r="G1343">
        <v>0</v>
      </c>
      <c r="H1343" s="7">
        <v>0</v>
      </c>
    </row>
    <row r="1344" spans="1:8">
      <c r="A1344">
        <v>1</v>
      </c>
      <c r="B1344" t="s">
        <v>42</v>
      </c>
      <c r="C1344" t="s">
        <v>33</v>
      </c>
      <c r="D1344">
        <v>0</v>
      </c>
      <c r="E1344">
        <v>1</v>
      </c>
      <c r="F1344" s="7">
        <v>1089.31</v>
      </c>
      <c r="G1344">
        <v>0</v>
      </c>
      <c r="H1344" s="7">
        <v>0</v>
      </c>
    </row>
    <row r="1345" spans="1:8">
      <c r="A1345">
        <v>1</v>
      </c>
      <c r="B1345" t="s">
        <v>42</v>
      </c>
      <c r="C1345" t="s">
        <v>33</v>
      </c>
      <c r="D1345">
        <v>0</v>
      </c>
      <c r="E1345">
        <v>1</v>
      </c>
      <c r="F1345" s="7">
        <v>5237.7</v>
      </c>
      <c r="G1345">
        <v>0</v>
      </c>
      <c r="H1345" s="7">
        <v>0</v>
      </c>
    </row>
    <row r="1346" spans="1:8">
      <c r="A1346">
        <v>1</v>
      </c>
      <c r="B1346" t="s">
        <v>42</v>
      </c>
      <c r="C1346" t="s">
        <v>33</v>
      </c>
      <c r="D1346">
        <v>0</v>
      </c>
      <c r="E1346">
        <v>1</v>
      </c>
      <c r="F1346" s="7">
        <v>3364.48</v>
      </c>
      <c r="G1346">
        <v>0</v>
      </c>
      <c r="H1346" s="7">
        <v>0</v>
      </c>
    </row>
    <row r="1347" spans="1:8">
      <c r="A1347">
        <v>1</v>
      </c>
      <c r="B1347" t="s">
        <v>42</v>
      </c>
      <c r="C1347" t="s">
        <v>33</v>
      </c>
      <c r="D1347">
        <v>0</v>
      </c>
      <c r="E1347">
        <v>1</v>
      </c>
      <c r="F1347" s="7">
        <v>1889.41</v>
      </c>
      <c r="G1347">
        <v>0</v>
      </c>
      <c r="H1347" s="7">
        <v>0</v>
      </c>
    </row>
    <row r="1348" spans="1:8">
      <c r="A1348">
        <v>1</v>
      </c>
      <c r="B1348" t="s">
        <v>42</v>
      </c>
      <c r="C1348" t="s">
        <v>33</v>
      </c>
      <c r="D1348">
        <v>0</v>
      </c>
      <c r="E1348">
        <v>1</v>
      </c>
      <c r="F1348" s="7">
        <v>2685.44</v>
      </c>
      <c r="G1348">
        <v>0</v>
      </c>
      <c r="H1348" s="7">
        <v>0</v>
      </c>
    </row>
    <row r="1349" spans="1:8">
      <c r="A1349">
        <v>1</v>
      </c>
      <c r="B1349" t="s">
        <v>42</v>
      </c>
      <c r="C1349" t="s">
        <v>33</v>
      </c>
      <c r="D1349">
        <v>0</v>
      </c>
      <c r="E1349">
        <v>1</v>
      </c>
      <c r="F1349" s="7">
        <v>1238.08</v>
      </c>
      <c r="G1349">
        <v>0</v>
      </c>
      <c r="H1349" s="7">
        <v>0</v>
      </c>
    </row>
    <row r="1350" spans="1:8">
      <c r="A1350">
        <v>1</v>
      </c>
      <c r="B1350" t="s">
        <v>42</v>
      </c>
      <c r="C1350" t="s">
        <v>34</v>
      </c>
      <c r="D1350">
        <v>0</v>
      </c>
      <c r="E1350">
        <v>1</v>
      </c>
      <c r="F1350" s="7">
        <v>17994.24</v>
      </c>
      <c r="G1350">
        <v>0</v>
      </c>
      <c r="H1350" s="7">
        <v>0</v>
      </c>
    </row>
    <row r="1351" spans="1:8">
      <c r="A1351">
        <v>1</v>
      </c>
      <c r="B1351" t="s">
        <v>42</v>
      </c>
      <c r="C1351" t="s">
        <v>33</v>
      </c>
      <c r="D1351">
        <v>0</v>
      </c>
      <c r="E1351">
        <v>1</v>
      </c>
      <c r="F1351" s="7">
        <v>6396.49</v>
      </c>
      <c r="G1351">
        <v>0</v>
      </c>
      <c r="H1351" s="7">
        <v>0</v>
      </c>
    </row>
    <row r="1352" spans="1:8">
      <c r="A1352">
        <v>1</v>
      </c>
      <c r="B1352" t="s">
        <v>42</v>
      </c>
      <c r="C1352" t="s">
        <v>33</v>
      </c>
      <c r="D1352">
        <v>0</v>
      </c>
      <c r="E1352">
        <v>1</v>
      </c>
      <c r="F1352" s="7">
        <v>2380.21</v>
      </c>
      <c r="G1352">
        <v>0</v>
      </c>
      <c r="H1352" s="7">
        <v>0</v>
      </c>
    </row>
    <row r="1353" spans="1:8">
      <c r="A1353">
        <v>1</v>
      </c>
      <c r="B1353" t="s">
        <v>44</v>
      </c>
      <c r="C1353" t="s">
        <v>35</v>
      </c>
      <c r="D1353">
        <v>0</v>
      </c>
      <c r="E1353">
        <v>1</v>
      </c>
      <c r="F1353" s="7">
        <v>139754.72</v>
      </c>
      <c r="G1353">
        <v>0</v>
      </c>
      <c r="H1353" s="7">
        <v>0</v>
      </c>
    </row>
    <row r="1354" spans="1:8">
      <c r="A1354">
        <v>1</v>
      </c>
      <c r="B1354" t="s">
        <v>42</v>
      </c>
      <c r="C1354" t="s">
        <v>33</v>
      </c>
      <c r="D1354">
        <v>0</v>
      </c>
      <c r="E1354">
        <v>1</v>
      </c>
      <c r="F1354" s="7">
        <v>8787.63</v>
      </c>
      <c r="G1354">
        <v>0</v>
      </c>
      <c r="H1354" s="7">
        <v>0</v>
      </c>
    </row>
    <row r="1355" spans="1:8">
      <c r="A1355">
        <v>1</v>
      </c>
      <c r="B1355" t="s">
        <v>45</v>
      </c>
      <c r="C1355" t="s">
        <v>33</v>
      </c>
      <c r="D1355">
        <v>0</v>
      </c>
      <c r="E1355">
        <v>1</v>
      </c>
      <c r="F1355" s="7">
        <v>2261.24</v>
      </c>
      <c r="G1355">
        <v>0</v>
      </c>
      <c r="H1355" s="7">
        <v>0</v>
      </c>
    </row>
    <row r="1356" spans="1:8">
      <c r="A1356">
        <v>1</v>
      </c>
      <c r="B1356" t="s">
        <v>45</v>
      </c>
      <c r="C1356" t="s">
        <v>33</v>
      </c>
      <c r="D1356">
        <v>0</v>
      </c>
      <c r="E1356">
        <v>1</v>
      </c>
      <c r="F1356" s="7">
        <v>2807.73</v>
      </c>
      <c r="G1356">
        <v>0</v>
      </c>
      <c r="H1356" s="7">
        <v>0</v>
      </c>
    </row>
    <row r="1357" spans="1:8">
      <c r="A1357">
        <v>1</v>
      </c>
      <c r="B1357" t="s">
        <v>42</v>
      </c>
      <c r="C1357" t="s">
        <v>33</v>
      </c>
      <c r="D1357">
        <v>0</v>
      </c>
      <c r="E1357">
        <v>1</v>
      </c>
      <c r="F1357" s="7">
        <v>4247.14</v>
      </c>
      <c r="G1357">
        <v>0</v>
      </c>
      <c r="H1357" s="7">
        <v>0</v>
      </c>
    </row>
    <row r="1358" spans="1:8">
      <c r="A1358">
        <v>1</v>
      </c>
      <c r="B1358" t="s">
        <v>42</v>
      </c>
      <c r="C1358" t="s">
        <v>33</v>
      </c>
      <c r="D1358">
        <v>0</v>
      </c>
      <c r="E1358">
        <v>1</v>
      </c>
      <c r="F1358" s="7">
        <v>4504.48</v>
      </c>
      <c r="G1358">
        <v>0</v>
      </c>
      <c r="H1358" s="7">
        <v>0</v>
      </c>
    </row>
    <row r="1359" spans="1:8">
      <c r="A1359">
        <v>1</v>
      </c>
      <c r="B1359" t="s">
        <v>42</v>
      </c>
      <c r="C1359" t="s">
        <v>33</v>
      </c>
      <c r="D1359">
        <v>0</v>
      </c>
      <c r="E1359">
        <v>1</v>
      </c>
      <c r="F1359" s="7">
        <v>3051.76</v>
      </c>
      <c r="G1359">
        <v>0</v>
      </c>
      <c r="H1359" s="7">
        <v>0</v>
      </c>
    </row>
    <row r="1360" spans="1:8">
      <c r="A1360">
        <v>1</v>
      </c>
      <c r="B1360" t="s">
        <v>42</v>
      </c>
      <c r="C1360" t="s">
        <v>33</v>
      </c>
      <c r="D1360">
        <v>0</v>
      </c>
      <c r="E1360">
        <v>1</v>
      </c>
      <c r="F1360" s="7">
        <v>5675.84</v>
      </c>
      <c r="G1360">
        <v>0</v>
      </c>
      <c r="H1360" s="7">
        <v>0</v>
      </c>
    </row>
    <row r="1361" spans="1:8">
      <c r="A1361">
        <v>1</v>
      </c>
      <c r="B1361" t="s">
        <v>45</v>
      </c>
      <c r="C1361" t="s">
        <v>32</v>
      </c>
      <c r="D1361">
        <v>0</v>
      </c>
      <c r="E1361">
        <v>1</v>
      </c>
      <c r="F1361" s="7">
        <v>194.4</v>
      </c>
      <c r="G1361">
        <v>0</v>
      </c>
      <c r="H1361" s="7">
        <v>0</v>
      </c>
    </row>
    <row r="1362" spans="1:8">
      <c r="A1362">
        <v>1</v>
      </c>
      <c r="B1362" t="s">
        <v>42</v>
      </c>
      <c r="C1362" t="s">
        <v>33</v>
      </c>
      <c r="D1362">
        <v>0</v>
      </c>
      <c r="E1362">
        <v>1</v>
      </c>
      <c r="F1362" s="7">
        <v>8176.58</v>
      </c>
      <c r="G1362">
        <v>0</v>
      </c>
      <c r="H1362" s="7">
        <v>0</v>
      </c>
    </row>
    <row r="1363" spans="1:8">
      <c r="A1363">
        <v>1</v>
      </c>
      <c r="B1363" t="s">
        <v>42</v>
      </c>
      <c r="C1363" t="s">
        <v>33</v>
      </c>
      <c r="D1363">
        <v>0</v>
      </c>
      <c r="E1363">
        <v>1</v>
      </c>
      <c r="F1363" s="7">
        <v>4074.17</v>
      </c>
      <c r="G1363">
        <v>0</v>
      </c>
      <c r="H1363" s="7">
        <v>0</v>
      </c>
    </row>
    <row r="1364" spans="1:8">
      <c r="A1364">
        <v>1</v>
      </c>
      <c r="B1364" t="s">
        <v>42</v>
      </c>
      <c r="C1364" t="s">
        <v>34</v>
      </c>
      <c r="D1364">
        <v>0</v>
      </c>
      <c r="E1364">
        <v>1</v>
      </c>
      <c r="F1364" s="7">
        <v>13695.83</v>
      </c>
      <c r="G1364">
        <v>0</v>
      </c>
      <c r="H1364" s="7">
        <v>0</v>
      </c>
    </row>
    <row r="1365" spans="1:8">
      <c r="A1365">
        <v>1</v>
      </c>
      <c r="B1365" t="s">
        <v>42</v>
      </c>
      <c r="C1365" t="s">
        <v>33</v>
      </c>
      <c r="D1365">
        <v>0</v>
      </c>
      <c r="E1365">
        <v>1</v>
      </c>
      <c r="F1365" s="7">
        <v>8092.22</v>
      </c>
      <c r="G1365">
        <v>0</v>
      </c>
      <c r="H1365" s="7">
        <v>0</v>
      </c>
    </row>
    <row r="1366" spans="1:8">
      <c r="A1366">
        <v>1</v>
      </c>
      <c r="B1366" t="s">
        <v>44</v>
      </c>
      <c r="C1366" t="s">
        <v>35</v>
      </c>
      <c r="D1366">
        <v>0</v>
      </c>
      <c r="E1366">
        <v>1</v>
      </c>
      <c r="F1366" s="7">
        <v>286803.5</v>
      </c>
      <c r="G1366">
        <v>0</v>
      </c>
      <c r="H1366" s="7">
        <v>0</v>
      </c>
    </row>
    <row r="1367" spans="1:8">
      <c r="A1367">
        <v>1</v>
      </c>
      <c r="B1367" t="s">
        <v>42</v>
      </c>
      <c r="C1367" t="s">
        <v>33</v>
      </c>
      <c r="D1367">
        <v>0</v>
      </c>
      <c r="E1367">
        <v>1</v>
      </c>
      <c r="F1367" s="7">
        <v>3620.25</v>
      </c>
      <c r="G1367">
        <v>0</v>
      </c>
      <c r="H1367" s="7">
        <v>0</v>
      </c>
    </row>
    <row r="1368" spans="1:8">
      <c r="A1368">
        <v>1</v>
      </c>
      <c r="B1368" t="s">
        <v>44</v>
      </c>
      <c r="C1368" t="s">
        <v>35</v>
      </c>
      <c r="D1368">
        <v>0</v>
      </c>
      <c r="E1368">
        <v>1</v>
      </c>
      <c r="F1368" s="7">
        <v>153952.87</v>
      </c>
      <c r="G1368">
        <v>0</v>
      </c>
      <c r="H1368" s="7">
        <v>0</v>
      </c>
    </row>
    <row r="1369" spans="1:8">
      <c r="A1369">
        <v>1</v>
      </c>
      <c r="B1369" t="s">
        <v>42</v>
      </c>
      <c r="C1369" t="s">
        <v>33</v>
      </c>
      <c r="D1369">
        <v>0</v>
      </c>
      <c r="E1369">
        <v>1</v>
      </c>
      <c r="F1369" s="7">
        <v>1335.03</v>
      </c>
      <c r="G1369">
        <v>0</v>
      </c>
      <c r="H1369" s="7">
        <v>0</v>
      </c>
    </row>
    <row r="1370" spans="1:8">
      <c r="A1370">
        <v>1</v>
      </c>
      <c r="B1370" t="s">
        <v>42</v>
      </c>
      <c r="C1370" t="s">
        <v>32</v>
      </c>
      <c r="D1370">
        <v>0</v>
      </c>
      <c r="E1370">
        <v>1</v>
      </c>
      <c r="F1370" s="7">
        <v>96.32</v>
      </c>
      <c r="G1370">
        <v>0</v>
      </c>
      <c r="H1370" s="7">
        <v>0</v>
      </c>
    </row>
    <row r="1371" spans="1:8">
      <c r="A1371">
        <v>1</v>
      </c>
      <c r="B1371" t="s">
        <v>43</v>
      </c>
      <c r="C1371" t="s">
        <v>35</v>
      </c>
      <c r="D1371">
        <v>0</v>
      </c>
      <c r="E1371">
        <v>1</v>
      </c>
      <c r="F1371" s="7">
        <v>412906.88</v>
      </c>
      <c r="G1371">
        <v>0</v>
      </c>
      <c r="H1371" s="7">
        <v>0</v>
      </c>
    </row>
    <row r="1372" spans="1:8">
      <c r="A1372">
        <v>1</v>
      </c>
      <c r="B1372" t="s">
        <v>43</v>
      </c>
      <c r="C1372" t="s">
        <v>35</v>
      </c>
      <c r="D1372">
        <v>0</v>
      </c>
      <c r="E1372">
        <v>1</v>
      </c>
      <c r="F1372" s="7">
        <v>288638.46</v>
      </c>
      <c r="G1372">
        <v>0</v>
      </c>
      <c r="H1372" s="7">
        <v>0</v>
      </c>
    </row>
    <row r="1373" spans="1:8">
      <c r="A1373">
        <v>1</v>
      </c>
      <c r="B1373" t="s">
        <v>42</v>
      </c>
      <c r="C1373" t="s">
        <v>33</v>
      </c>
      <c r="D1373">
        <v>0</v>
      </c>
      <c r="E1373">
        <v>1</v>
      </c>
      <c r="F1373" s="7">
        <v>2918.83</v>
      </c>
      <c r="G1373">
        <v>0</v>
      </c>
      <c r="H1373" s="7">
        <v>0</v>
      </c>
    </row>
    <row r="1374" spans="1:8">
      <c r="A1374">
        <v>1</v>
      </c>
      <c r="B1374" t="s">
        <v>42</v>
      </c>
      <c r="C1374" t="s">
        <v>33</v>
      </c>
      <c r="D1374">
        <v>0</v>
      </c>
      <c r="E1374">
        <v>1</v>
      </c>
      <c r="F1374" s="7">
        <v>4852.65</v>
      </c>
      <c r="G1374">
        <v>0</v>
      </c>
      <c r="H1374" s="7">
        <v>0</v>
      </c>
    </row>
    <row r="1375" spans="1:8">
      <c r="A1375">
        <v>1</v>
      </c>
      <c r="B1375" t="s">
        <v>42</v>
      </c>
      <c r="C1375" t="s">
        <v>34</v>
      </c>
      <c r="D1375">
        <v>0</v>
      </c>
      <c r="E1375">
        <v>1</v>
      </c>
      <c r="F1375" s="7">
        <v>13343.47</v>
      </c>
      <c r="G1375">
        <v>0</v>
      </c>
      <c r="H1375" s="7">
        <v>0</v>
      </c>
    </row>
    <row r="1376" spans="1:8">
      <c r="A1376">
        <v>1</v>
      </c>
      <c r="B1376" t="s">
        <v>45</v>
      </c>
      <c r="C1376" t="s">
        <v>33</v>
      </c>
      <c r="D1376">
        <v>0</v>
      </c>
      <c r="E1376">
        <v>1</v>
      </c>
      <c r="F1376" s="7">
        <v>1672.55</v>
      </c>
      <c r="G1376">
        <v>0</v>
      </c>
      <c r="H1376" s="7">
        <v>0</v>
      </c>
    </row>
    <row r="1377" spans="1:8">
      <c r="A1377">
        <v>1</v>
      </c>
      <c r="B1377" t="s">
        <v>42</v>
      </c>
      <c r="C1377" t="s">
        <v>33</v>
      </c>
      <c r="D1377">
        <v>0</v>
      </c>
      <c r="E1377">
        <v>1</v>
      </c>
      <c r="F1377" s="7">
        <v>1020.89</v>
      </c>
      <c r="G1377">
        <v>0</v>
      </c>
      <c r="H1377" s="7">
        <v>0</v>
      </c>
    </row>
    <row r="1378" spans="1:8">
      <c r="A1378">
        <v>1</v>
      </c>
      <c r="B1378" t="s">
        <v>42</v>
      </c>
      <c r="C1378" t="s">
        <v>33</v>
      </c>
      <c r="D1378">
        <v>0</v>
      </c>
      <c r="E1378">
        <v>1</v>
      </c>
      <c r="F1378" s="7">
        <v>4440.79</v>
      </c>
      <c r="G1378">
        <v>0</v>
      </c>
      <c r="H1378" s="7">
        <v>0</v>
      </c>
    </row>
    <row r="1379" spans="1:8">
      <c r="A1379">
        <v>1</v>
      </c>
      <c r="B1379" t="s">
        <v>42</v>
      </c>
      <c r="C1379" t="s">
        <v>34</v>
      </c>
      <c r="D1379">
        <v>0</v>
      </c>
      <c r="E1379">
        <v>1</v>
      </c>
      <c r="F1379" s="7">
        <v>12271.39</v>
      </c>
      <c r="G1379">
        <v>0</v>
      </c>
      <c r="H1379" s="7">
        <v>0</v>
      </c>
    </row>
    <row r="1380" spans="1:8">
      <c r="A1380">
        <v>1</v>
      </c>
      <c r="B1380" t="s">
        <v>43</v>
      </c>
      <c r="C1380" t="s">
        <v>35</v>
      </c>
      <c r="D1380">
        <v>0</v>
      </c>
      <c r="E1380">
        <v>1</v>
      </c>
      <c r="F1380" s="7">
        <v>379953.15</v>
      </c>
      <c r="G1380">
        <v>0</v>
      </c>
      <c r="H1380" s="7">
        <v>0</v>
      </c>
    </row>
    <row r="1381" spans="1:8">
      <c r="A1381">
        <v>1</v>
      </c>
      <c r="B1381" t="s">
        <v>42</v>
      </c>
      <c r="C1381" t="s">
        <v>33</v>
      </c>
      <c r="D1381">
        <v>0</v>
      </c>
      <c r="E1381">
        <v>1</v>
      </c>
      <c r="F1381" s="7">
        <v>9198.49</v>
      </c>
      <c r="G1381">
        <v>0</v>
      </c>
      <c r="H1381" s="7">
        <v>0</v>
      </c>
    </row>
    <row r="1382" spans="1:8">
      <c r="A1382">
        <v>1</v>
      </c>
      <c r="B1382" t="s">
        <v>42</v>
      </c>
      <c r="C1382" t="s">
        <v>32</v>
      </c>
      <c r="D1382">
        <v>0</v>
      </c>
      <c r="E1382">
        <v>1</v>
      </c>
      <c r="F1382" s="7">
        <v>660.52</v>
      </c>
      <c r="G1382">
        <v>0</v>
      </c>
      <c r="H1382" s="7">
        <v>0</v>
      </c>
    </row>
    <row r="1383" spans="1:8">
      <c r="A1383">
        <v>1</v>
      </c>
      <c r="B1383" t="s">
        <v>42</v>
      </c>
      <c r="C1383" t="s">
        <v>33</v>
      </c>
      <c r="D1383">
        <v>0</v>
      </c>
      <c r="E1383">
        <v>1</v>
      </c>
      <c r="F1383" s="7">
        <v>3485.64</v>
      </c>
      <c r="G1383">
        <v>0</v>
      </c>
      <c r="H1383" s="7">
        <v>0</v>
      </c>
    </row>
    <row r="1384" spans="1:8">
      <c r="A1384">
        <v>1</v>
      </c>
      <c r="B1384" t="s">
        <v>42</v>
      </c>
      <c r="C1384" t="s">
        <v>32</v>
      </c>
      <c r="D1384">
        <v>0</v>
      </c>
      <c r="E1384">
        <v>1</v>
      </c>
      <c r="F1384" s="7">
        <v>413.84</v>
      </c>
      <c r="G1384">
        <v>0</v>
      </c>
      <c r="H1384" s="7">
        <v>0</v>
      </c>
    </row>
    <row r="1385" spans="1:8">
      <c r="A1385">
        <v>1</v>
      </c>
      <c r="B1385" t="s">
        <v>42</v>
      </c>
      <c r="C1385" t="s">
        <v>33</v>
      </c>
      <c r="D1385">
        <v>0</v>
      </c>
      <c r="E1385">
        <v>1</v>
      </c>
      <c r="F1385" s="7">
        <v>3865.44</v>
      </c>
      <c r="G1385">
        <v>0</v>
      </c>
      <c r="H1385" s="7">
        <v>0</v>
      </c>
    </row>
    <row r="1386" spans="1:8">
      <c r="A1386">
        <v>1</v>
      </c>
      <c r="B1386" t="s">
        <v>44</v>
      </c>
      <c r="C1386" t="s">
        <v>35</v>
      </c>
      <c r="D1386">
        <v>0</v>
      </c>
      <c r="E1386">
        <v>1</v>
      </c>
      <c r="F1386" s="7">
        <v>124832.65</v>
      </c>
      <c r="G1386">
        <v>0</v>
      </c>
      <c r="H1386" s="7">
        <v>0</v>
      </c>
    </row>
    <row r="1387" spans="1:8">
      <c r="A1387">
        <v>1</v>
      </c>
      <c r="B1387" t="s">
        <v>43</v>
      </c>
      <c r="C1387" t="s">
        <v>35</v>
      </c>
      <c r="D1387">
        <v>0</v>
      </c>
      <c r="E1387">
        <v>1</v>
      </c>
      <c r="F1387" s="7">
        <v>302151.25</v>
      </c>
      <c r="G1387">
        <v>0</v>
      </c>
      <c r="H1387" s="7">
        <v>0</v>
      </c>
    </row>
    <row r="1388" spans="1:8">
      <c r="A1388">
        <v>1</v>
      </c>
      <c r="B1388" t="s">
        <v>42</v>
      </c>
      <c r="C1388" t="s">
        <v>33</v>
      </c>
      <c r="D1388">
        <v>0</v>
      </c>
      <c r="E1388">
        <v>1</v>
      </c>
      <c r="F1388" s="7">
        <v>1854.51</v>
      </c>
      <c r="G1388">
        <v>0</v>
      </c>
      <c r="H1388" s="7">
        <v>0</v>
      </c>
    </row>
    <row r="1389" spans="1:8">
      <c r="A1389">
        <v>1</v>
      </c>
      <c r="B1389" t="s">
        <v>42</v>
      </c>
      <c r="C1389" t="s">
        <v>33</v>
      </c>
      <c r="D1389">
        <v>0</v>
      </c>
      <c r="E1389">
        <v>1</v>
      </c>
      <c r="F1389" s="7">
        <v>2850.6</v>
      </c>
      <c r="G1389">
        <v>0</v>
      </c>
      <c r="H1389" s="7">
        <v>0</v>
      </c>
    </row>
    <row r="1390" spans="1:8">
      <c r="A1390">
        <v>1</v>
      </c>
      <c r="B1390" t="s">
        <v>44</v>
      </c>
      <c r="C1390" t="s">
        <v>35</v>
      </c>
      <c r="D1390">
        <v>0</v>
      </c>
      <c r="E1390">
        <v>1</v>
      </c>
      <c r="F1390" s="7">
        <v>130905.88</v>
      </c>
      <c r="G1390">
        <v>0</v>
      </c>
      <c r="H1390" s="7">
        <v>0</v>
      </c>
    </row>
    <row r="1391" spans="1:8">
      <c r="A1391">
        <v>1</v>
      </c>
      <c r="B1391" t="s">
        <v>42</v>
      </c>
      <c r="C1391" t="s">
        <v>33</v>
      </c>
      <c r="D1391">
        <v>0</v>
      </c>
      <c r="E1391">
        <v>1</v>
      </c>
      <c r="F1391" s="7">
        <v>8782.48</v>
      </c>
      <c r="G1391">
        <v>0</v>
      </c>
      <c r="H1391" s="7">
        <v>0</v>
      </c>
    </row>
    <row r="1392" spans="1:8">
      <c r="A1392">
        <v>1</v>
      </c>
      <c r="B1392" t="s">
        <v>46</v>
      </c>
      <c r="C1392" t="s">
        <v>35</v>
      </c>
      <c r="D1392">
        <v>0</v>
      </c>
      <c r="E1392">
        <v>1</v>
      </c>
      <c r="F1392" s="7">
        <v>254286.27</v>
      </c>
      <c r="G1392">
        <v>0</v>
      </c>
      <c r="H1392" s="7">
        <v>0</v>
      </c>
    </row>
    <row r="1393" spans="1:8">
      <c r="A1393">
        <v>1</v>
      </c>
      <c r="B1393" t="s">
        <v>42</v>
      </c>
      <c r="C1393" t="s">
        <v>34</v>
      </c>
      <c r="D1393">
        <v>0</v>
      </c>
      <c r="E1393">
        <v>1</v>
      </c>
      <c r="F1393" s="7">
        <v>10239.16</v>
      </c>
      <c r="G1393">
        <v>0</v>
      </c>
      <c r="H1393" s="7">
        <v>0</v>
      </c>
    </row>
    <row r="1394" spans="1:8">
      <c r="A1394">
        <v>1</v>
      </c>
      <c r="B1394" t="s">
        <v>43</v>
      </c>
      <c r="C1394" t="s">
        <v>33</v>
      </c>
      <c r="D1394">
        <v>0</v>
      </c>
      <c r="E1394">
        <v>1</v>
      </c>
      <c r="F1394" s="7">
        <v>7276.69</v>
      </c>
      <c r="G1394">
        <v>0</v>
      </c>
      <c r="H1394" s="7">
        <v>0</v>
      </c>
    </row>
    <row r="1395" spans="1:8">
      <c r="A1395">
        <v>1</v>
      </c>
      <c r="B1395" t="s">
        <v>45</v>
      </c>
      <c r="C1395" t="s">
        <v>33</v>
      </c>
      <c r="D1395">
        <v>0</v>
      </c>
      <c r="E1395">
        <v>1</v>
      </c>
      <c r="F1395" s="7">
        <v>4993.81</v>
      </c>
      <c r="G1395">
        <v>0</v>
      </c>
      <c r="H1395" s="7">
        <v>0</v>
      </c>
    </row>
    <row r="1396" spans="1:8">
      <c r="A1396">
        <v>1</v>
      </c>
      <c r="B1396" t="s">
        <v>45</v>
      </c>
      <c r="C1396" t="s">
        <v>33</v>
      </c>
      <c r="D1396">
        <v>0</v>
      </c>
      <c r="E1396">
        <v>1</v>
      </c>
      <c r="F1396" s="7">
        <v>8531.44</v>
      </c>
      <c r="G1396">
        <v>0</v>
      </c>
      <c r="H1396" s="7">
        <v>0</v>
      </c>
    </row>
    <row r="1397" spans="1:8">
      <c r="A1397">
        <v>1</v>
      </c>
      <c r="B1397" t="s">
        <v>42</v>
      </c>
      <c r="C1397" t="s">
        <v>33</v>
      </c>
      <c r="D1397">
        <v>0</v>
      </c>
      <c r="E1397">
        <v>1</v>
      </c>
      <c r="F1397" s="7">
        <v>4297.27</v>
      </c>
      <c r="G1397">
        <v>0</v>
      </c>
      <c r="H1397" s="7">
        <v>0</v>
      </c>
    </row>
    <row r="1398" spans="1:8">
      <c r="A1398">
        <v>1</v>
      </c>
      <c r="B1398" t="s">
        <v>42</v>
      </c>
      <c r="C1398" t="s">
        <v>33</v>
      </c>
      <c r="D1398">
        <v>0</v>
      </c>
      <c r="E1398">
        <v>1</v>
      </c>
      <c r="F1398" s="7">
        <v>7287.73</v>
      </c>
      <c r="G1398">
        <v>0</v>
      </c>
      <c r="H1398" s="7">
        <v>0</v>
      </c>
    </row>
    <row r="1399" spans="1:8">
      <c r="A1399">
        <v>1</v>
      </c>
      <c r="B1399" t="s">
        <v>42</v>
      </c>
      <c r="C1399" t="s">
        <v>33</v>
      </c>
      <c r="D1399">
        <v>0</v>
      </c>
      <c r="E1399">
        <v>1</v>
      </c>
      <c r="F1399" s="7">
        <v>5375.2</v>
      </c>
      <c r="G1399">
        <v>0</v>
      </c>
      <c r="H1399" s="7">
        <v>0</v>
      </c>
    </row>
    <row r="1400" spans="1:8">
      <c r="A1400">
        <v>1</v>
      </c>
      <c r="B1400" t="s">
        <v>42</v>
      </c>
      <c r="C1400" t="s">
        <v>33</v>
      </c>
      <c r="D1400">
        <v>0</v>
      </c>
      <c r="E1400">
        <v>1</v>
      </c>
      <c r="F1400" s="7">
        <v>3830.45</v>
      </c>
      <c r="G1400">
        <v>0</v>
      </c>
      <c r="H1400" s="7">
        <v>0</v>
      </c>
    </row>
    <row r="1401" spans="1:8">
      <c r="A1401">
        <v>1</v>
      </c>
      <c r="B1401" t="s">
        <v>43</v>
      </c>
      <c r="C1401" t="s">
        <v>34</v>
      </c>
      <c r="D1401">
        <v>0</v>
      </c>
      <c r="E1401">
        <v>1</v>
      </c>
      <c r="F1401" s="7">
        <v>70543.76</v>
      </c>
      <c r="G1401">
        <v>0</v>
      </c>
      <c r="H1401" s="7">
        <v>0</v>
      </c>
    </row>
    <row r="1402" spans="1:8">
      <c r="A1402">
        <v>1</v>
      </c>
      <c r="B1402" t="s">
        <v>42</v>
      </c>
      <c r="C1402" t="s">
        <v>33</v>
      </c>
      <c r="D1402">
        <v>0</v>
      </c>
      <c r="E1402">
        <v>1</v>
      </c>
      <c r="F1402" s="7">
        <v>3558.79</v>
      </c>
      <c r="G1402">
        <v>0</v>
      </c>
      <c r="H1402" s="7">
        <v>0</v>
      </c>
    </row>
    <row r="1403" spans="1:8">
      <c r="A1403">
        <v>1</v>
      </c>
      <c r="B1403" t="s">
        <v>42</v>
      </c>
      <c r="C1403" t="s">
        <v>33</v>
      </c>
      <c r="D1403">
        <v>0</v>
      </c>
      <c r="E1403">
        <v>1</v>
      </c>
      <c r="F1403" s="7">
        <v>6891.56</v>
      </c>
      <c r="G1403">
        <v>0</v>
      </c>
      <c r="H1403" s="7">
        <v>0</v>
      </c>
    </row>
    <row r="1404" spans="1:8">
      <c r="A1404">
        <v>1</v>
      </c>
      <c r="B1404" t="s">
        <v>42</v>
      </c>
      <c r="C1404" t="s">
        <v>33</v>
      </c>
      <c r="D1404">
        <v>0</v>
      </c>
      <c r="E1404">
        <v>1</v>
      </c>
      <c r="F1404" s="7">
        <v>2875.66</v>
      </c>
      <c r="G1404">
        <v>0</v>
      </c>
      <c r="H1404" s="7">
        <v>0</v>
      </c>
    </row>
    <row r="1405" spans="1:8">
      <c r="A1405">
        <v>1</v>
      </c>
      <c r="B1405" t="s">
        <v>42</v>
      </c>
      <c r="C1405" t="s">
        <v>33</v>
      </c>
      <c r="D1405">
        <v>0</v>
      </c>
      <c r="E1405">
        <v>1</v>
      </c>
      <c r="F1405" s="7">
        <v>4632.68</v>
      </c>
      <c r="G1405">
        <v>0</v>
      </c>
      <c r="H1405" s="7">
        <v>0</v>
      </c>
    </row>
    <row r="1406" spans="1:8">
      <c r="A1406">
        <v>1</v>
      </c>
      <c r="B1406" t="s">
        <v>42</v>
      </c>
      <c r="C1406" t="s">
        <v>34</v>
      </c>
      <c r="D1406">
        <v>0</v>
      </c>
      <c r="E1406">
        <v>1</v>
      </c>
      <c r="F1406" s="7">
        <v>13693.11</v>
      </c>
      <c r="G1406">
        <v>0</v>
      </c>
      <c r="H1406" s="7">
        <v>0</v>
      </c>
    </row>
    <row r="1407" spans="1:8">
      <c r="A1407">
        <v>1</v>
      </c>
      <c r="B1407" t="s">
        <v>43</v>
      </c>
      <c r="C1407" t="s">
        <v>34</v>
      </c>
      <c r="D1407">
        <v>0</v>
      </c>
      <c r="E1407">
        <v>1</v>
      </c>
      <c r="F1407" s="7">
        <v>81222.77</v>
      </c>
      <c r="G1407">
        <v>0</v>
      </c>
      <c r="H1407" s="7">
        <v>0</v>
      </c>
    </row>
    <row r="1408" spans="1:8">
      <c r="A1408">
        <v>1</v>
      </c>
      <c r="B1408" t="s">
        <v>45</v>
      </c>
      <c r="C1408" t="s">
        <v>33</v>
      </c>
      <c r="D1408">
        <v>0</v>
      </c>
      <c r="E1408">
        <v>1</v>
      </c>
      <c r="F1408" s="7">
        <v>2801.1</v>
      </c>
      <c r="G1408">
        <v>0</v>
      </c>
      <c r="H1408" s="7">
        <v>0</v>
      </c>
    </row>
    <row r="1409" spans="1:8">
      <c r="A1409">
        <v>1</v>
      </c>
      <c r="B1409" t="s">
        <v>43</v>
      </c>
      <c r="C1409" t="s">
        <v>35</v>
      </c>
      <c r="D1409">
        <v>0</v>
      </c>
      <c r="E1409">
        <v>1</v>
      </c>
      <c r="F1409" s="7">
        <v>273951.34</v>
      </c>
      <c r="G1409">
        <v>0</v>
      </c>
      <c r="H1409" s="7">
        <v>0</v>
      </c>
    </row>
    <row r="1410" spans="1:8">
      <c r="A1410">
        <v>1</v>
      </c>
      <c r="B1410" t="s">
        <v>43</v>
      </c>
      <c r="C1410" t="s">
        <v>35</v>
      </c>
      <c r="D1410">
        <v>0</v>
      </c>
      <c r="E1410">
        <v>1</v>
      </c>
      <c r="F1410" s="7">
        <v>490341.11</v>
      </c>
      <c r="G1410">
        <v>0</v>
      </c>
      <c r="H1410" s="7">
        <v>0</v>
      </c>
    </row>
    <row r="1411" spans="1:8">
      <c r="A1411">
        <v>1</v>
      </c>
      <c r="B1411" t="s">
        <v>42</v>
      </c>
      <c r="C1411" t="s">
        <v>32</v>
      </c>
      <c r="D1411">
        <v>0</v>
      </c>
      <c r="E1411">
        <v>1</v>
      </c>
      <c r="F1411" s="7">
        <v>226.29</v>
      </c>
      <c r="G1411">
        <v>0</v>
      </c>
      <c r="H1411" s="7">
        <v>0</v>
      </c>
    </row>
    <row r="1412" spans="1:8">
      <c r="A1412">
        <v>1</v>
      </c>
      <c r="B1412" t="s">
        <v>44</v>
      </c>
      <c r="C1412" t="s">
        <v>35</v>
      </c>
      <c r="D1412">
        <v>0</v>
      </c>
      <c r="E1412">
        <v>1</v>
      </c>
      <c r="F1412" s="7">
        <v>204691.97</v>
      </c>
      <c r="G1412">
        <v>0</v>
      </c>
      <c r="H1412" s="7">
        <v>0</v>
      </c>
    </row>
    <row r="1413" spans="1:8">
      <c r="A1413">
        <v>1</v>
      </c>
      <c r="B1413" t="s">
        <v>42</v>
      </c>
      <c r="C1413" t="s">
        <v>33</v>
      </c>
      <c r="D1413">
        <v>0</v>
      </c>
      <c r="E1413">
        <v>1</v>
      </c>
      <c r="F1413" s="7">
        <v>3399.54</v>
      </c>
      <c r="G1413">
        <v>0</v>
      </c>
      <c r="H1413" s="7">
        <v>0</v>
      </c>
    </row>
    <row r="1414" spans="1:8">
      <c r="A1414">
        <v>1</v>
      </c>
      <c r="B1414" t="s">
        <v>42</v>
      </c>
      <c r="C1414" t="s">
        <v>32</v>
      </c>
      <c r="D1414">
        <v>0</v>
      </c>
      <c r="E1414">
        <v>1</v>
      </c>
      <c r="F1414" s="7">
        <v>261.95</v>
      </c>
      <c r="G1414">
        <v>0</v>
      </c>
      <c r="H1414" s="7">
        <v>0</v>
      </c>
    </row>
    <row r="1415" spans="1:8">
      <c r="A1415">
        <v>1</v>
      </c>
      <c r="B1415" t="s">
        <v>42</v>
      </c>
      <c r="C1415" t="s">
        <v>33</v>
      </c>
      <c r="D1415">
        <v>0</v>
      </c>
      <c r="E1415">
        <v>1</v>
      </c>
      <c r="F1415" s="7">
        <v>1815.83</v>
      </c>
      <c r="G1415">
        <v>0</v>
      </c>
      <c r="H1415" s="7">
        <v>0</v>
      </c>
    </row>
    <row r="1416" spans="1:8">
      <c r="A1416">
        <v>1</v>
      </c>
      <c r="B1416" t="s">
        <v>42</v>
      </c>
      <c r="C1416" t="s">
        <v>34</v>
      </c>
      <c r="D1416">
        <v>0</v>
      </c>
      <c r="E1416">
        <v>1</v>
      </c>
      <c r="F1416" s="7">
        <v>10287.6</v>
      </c>
      <c r="G1416">
        <v>0</v>
      </c>
      <c r="H1416" s="7">
        <v>0</v>
      </c>
    </row>
    <row r="1417" spans="1:8">
      <c r="A1417">
        <v>1</v>
      </c>
      <c r="B1417" t="s">
        <v>45</v>
      </c>
      <c r="C1417" t="s">
        <v>33</v>
      </c>
      <c r="D1417">
        <v>0</v>
      </c>
      <c r="E1417">
        <v>1</v>
      </c>
      <c r="F1417" s="7">
        <v>2633.08</v>
      </c>
      <c r="G1417">
        <v>0</v>
      </c>
      <c r="H1417" s="7">
        <v>0</v>
      </c>
    </row>
    <row r="1418" spans="1:8">
      <c r="A1418">
        <v>1</v>
      </c>
      <c r="B1418" t="s">
        <v>42</v>
      </c>
      <c r="C1418" t="s">
        <v>33</v>
      </c>
      <c r="D1418">
        <v>0</v>
      </c>
      <c r="E1418">
        <v>1</v>
      </c>
      <c r="F1418" s="7">
        <v>8818.07</v>
      </c>
      <c r="G1418">
        <v>0</v>
      </c>
      <c r="H1418" s="7">
        <v>0</v>
      </c>
    </row>
    <row r="1419" spans="1:8">
      <c r="A1419">
        <v>1</v>
      </c>
      <c r="B1419" t="s">
        <v>42</v>
      </c>
      <c r="C1419" t="s">
        <v>32</v>
      </c>
      <c r="D1419">
        <v>0</v>
      </c>
      <c r="E1419">
        <v>1</v>
      </c>
      <c r="F1419" s="7">
        <v>271.77</v>
      </c>
      <c r="G1419">
        <v>0</v>
      </c>
      <c r="H1419" s="7">
        <v>0</v>
      </c>
    </row>
    <row r="1420" spans="1:8">
      <c r="A1420">
        <v>1</v>
      </c>
      <c r="B1420" t="s">
        <v>42</v>
      </c>
      <c r="C1420" t="s">
        <v>33</v>
      </c>
      <c r="D1420">
        <v>0</v>
      </c>
      <c r="E1420">
        <v>1</v>
      </c>
      <c r="F1420" s="7">
        <v>7017.21</v>
      </c>
      <c r="G1420">
        <v>0</v>
      </c>
      <c r="H1420" s="7">
        <v>0</v>
      </c>
    </row>
    <row r="1421" spans="1:8">
      <c r="A1421">
        <v>1</v>
      </c>
      <c r="B1421" t="s">
        <v>42</v>
      </c>
      <c r="C1421" t="s">
        <v>34</v>
      </c>
      <c r="D1421">
        <v>0</v>
      </c>
      <c r="E1421">
        <v>1</v>
      </c>
      <c r="F1421" s="7">
        <v>16709.74</v>
      </c>
      <c r="G1421">
        <v>0</v>
      </c>
      <c r="H1421" s="7">
        <v>0</v>
      </c>
    </row>
    <row r="1422" spans="1:8">
      <c r="A1422">
        <v>1</v>
      </c>
      <c r="B1422" t="s">
        <v>42</v>
      </c>
      <c r="C1422" t="s">
        <v>33</v>
      </c>
      <c r="D1422">
        <v>0</v>
      </c>
      <c r="E1422">
        <v>1</v>
      </c>
      <c r="F1422" s="7">
        <v>2020.04</v>
      </c>
      <c r="G1422">
        <v>0</v>
      </c>
      <c r="H1422" s="7">
        <v>0</v>
      </c>
    </row>
    <row r="1423" spans="1:8">
      <c r="A1423">
        <v>1</v>
      </c>
      <c r="B1423" t="s">
        <v>42</v>
      </c>
      <c r="C1423" t="s">
        <v>33</v>
      </c>
      <c r="D1423">
        <v>0</v>
      </c>
      <c r="E1423">
        <v>1</v>
      </c>
      <c r="F1423" s="7">
        <v>3601.28</v>
      </c>
      <c r="G1423">
        <v>0</v>
      </c>
      <c r="H1423" s="7">
        <v>0</v>
      </c>
    </row>
    <row r="1424" spans="1:8">
      <c r="A1424">
        <v>1</v>
      </c>
      <c r="B1424" t="s">
        <v>45</v>
      </c>
      <c r="C1424" t="s">
        <v>33</v>
      </c>
      <c r="D1424">
        <v>0</v>
      </c>
      <c r="E1424">
        <v>1</v>
      </c>
      <c r="F1424" s="7">
        <v>6027.22</v>
      </c>
      <c r="G1424">
        <v>0</v>
      </c>
      <c r="H1424" s="7">
        <v>0</v>
      </c>
    </row>
    <row r="1425" spans="1:8">
      <c r="A1425">
        <v>1</v>
      </c>
      <c r="B1425" t="s">
        <v>42</v>
      </c>
      <c r="C1425" t="s">
        <v>33</v>
      </c>
      <c r="D1425">
        <v>0</v>
      </c>
      <c r="E1425">
        <v>1</v>
      </c>
      <c r="F1425" s="7">
        <v>7886.77</v>
      </c>
      <c r="G1425">
        <v>0</v>
      </c>
      <c r="H1425" s="7">
        <v>0</v>
      </c>
    </row>
    <row r="1426" spans="1:8">
      <c r="A1426">
        <v>1</v>
      </c>
      <c r="B1426" t="s">
        <v>43</v>
      </c>
      <c r="C1426" t="s">
        <v>35</v>
      </c>
      <c r="D1426">
        <v>0</v>
      </c>
      <c r="E1426">
        <v>1</v>
      </c>
      <c r="F1426" s="7">
        <v>421520.68</v>
      </c>
      <c r="G1426">
        <v>0</v>
      </c>
      <c r="H1426" s="7">
        <v>0</v>
      </c>
    </row>
    <row r="1427" spans="1:8">
      <c r="A1427">
        <v>1</v>
      </c>
      <c r="B1427" t="s">
        <v>42</v>
      </c>
      <c r="C1427" t="s">
        <v>33</v>
      </c>
      <c r="D1427">
        <v>0</v>
      </c>
      <c r="E1427">
        <v>1</v>
      </c>
      <c r="F1427" s="7">
        <v>2444.49</v>
      </c>
      <c r="G1427">
        <v>0</v>
      </c>
      <c r="H1427" s="7">
        <v>0</v>
      </c>
    </row>
    <row r="1428" spans="1:8">
      <c r="A1428">
        <v>1</v>
      </c>
      <c r="B1428" t="s">
        <v>42</v>
      </c>
      <c r="C1428" t="s">
        <v>33</v>
      </c>
      <c r="D1428">
        <v>0</v>
      </c>
      <c r="E1428">
        <v>1</v>
      </c>
      <c r="F1428" s="7">
        <v>2786.6</v>
      </c>
      <c r="G1428">
        <v>0</v>
      </c>
      <c r="H1428" s="7">
        <v>0</v>
      </c>
    </row>
    <row r="1429" spans="1:8">
      <c r="A1429">
        <v>1</v>
      </c>
      <c r="B1429" t="s">
        <v>42</v>
      </c>
      <c r="C1429" t="s">
        <v>33</v>
      </c>
      <c r="D1429">
        <v>0</v>
      </c>
      <c r="E1429">
        <v>1</v>
      </c>
      <c r="F1429" s="7">
        <v>2186.58</v>
      </c>
      <c r="G1429">
        <v>0</v>
      </c>
      <c r="H1429" s="7">
        <v>0</v>
      </c>
    </row>
    <row r="1430" spans="1:8">
      <c r="A1430">
        <v>1</v>
      </c>
      <c r="B1430" t="s">
        <v>44</v>
      </c>
      <c r="C1430" t="s">
        <v>35</v>
      </c>
      <c r="D1430">
        <v>0</v>
      </c>
      <c r="E1430">
        <v>1</v>
      </c>
      <c r="F1430" s="7">
        <v>265803.38</v>
      </c>
      <c r="G1430">
        <v>0</v>
      </c>
      <c r="H1430" s="7">
        <v>0</v>
      </c>
    </row>
    <row r="1431" spans="1:8">
      <c r="A1431">
        <v>1</v>
      </c>
      <c r="B1431" t="s">
        <v>42</v>
      </c>
      <c r="C1431" t="s">
        <v>34</v>
      </c>
      <c r="D1431">
        <v>0</v>
      </c>
      <c r="E1431">
        <v>1</v>
      </c>
      <c r="F1431" s="7">
        <v>12363.37</v>
      </c>
      <c r="G1431">
        <v>0</v>
      </c>
      <c r="H1431" s="7">
        <v>0</v>
      </c>
    </row>
    <row r="1432" spans="1:8">
      <c r="A1432">
        <v>1</v>
      </c>
      <c r="B1432" t="s">
        <v>45</v>
      </c>
      <c r="C1432" t="s">
        <v>33</v>
      </c>
      <c r="D1432">
        <v>0</v>
      </c>
      <c r="E1432">
        <v>1</v>
      </c>
      <c r="F1432" s="7">
        <v>3014.72</v>
      </c>
      <c r="G1432">
        <v>0</v>
      </c>
      <c r="H1432" s="7">
        <v>0</v>
      </c>
    </row>
    <row r="1433" spans="1:8">
      <c r="A1433">
        <v>1</v>
      </c>
      <c r="B1433" t="s">
        <v>43</v>
      </c>
      <c r="C1433" t="s">
        <v>33</v>
      </c>
      <c r="D1433">
        <v>0</v>
      </c>
      <c r="E1433">
        <v>1</v>
      </c>
      <c r="F1433" s="7">
        <v>9533.48</v>
      </c>
      <c r="G1433">
        <v>0</v>
      </c>
      <c r="H1433" s="7">
        <v>0</v>
      </c>
    </row>
    <row r="1434" spans="1:8">
      <c r="A1434">
        <v>1</v>
      </c>
      <c r="B1434" t="s">
        <v>43</v>
      </c>
      <c r="C1434" t="s">
        <v>35</v>
      </c>
      <c r="D1434">
        <v>0</v>
      </c>
      <c r="E1434">
        <v>1</v>
      </c>
      <c r="F1434" s="7">
        <v>139555.44</v>
      </c>
      <c r="G1434">
        <v>0</v>
      </c>
      <c r="H1434" s="7">
        <v>0</v>
      </c>
    </row>
    <row r="1435" spans="1:8">
      <c r="A1435">
        <v>1</v>
      </c>
      <c r="B1435" t="s">
        <v>42</v>
      </c>
      <c r="C1435" t="s">
        <v>34</v>
      </c>
      <c r="D1435">
        <v>0</v>
      </c>
      <c r="E1435">
        <v>1</v>
      </c>
      <c r="F1435" s="7">
        <v>13525.15</v>
      </c>
      <c r="G1435">
        <v>0</v>
      </c>
      <c r="H1435" s="7">
        <v>0</v>
      </c>
    </row>
    <row r="1436" spans="1:8">
      <c r="A1436">
        <v>1</v>
      </c>
      <c r="B1436" t="s">
        <v>42</v>
      </c>
      <c r="C1436" t="s">
        <v>33</v>
      </c>
      <c r="D1436">
        <v>0</v>
      </c>
      <c r="E1436">
        <v>1</v>
      </c>
      <c r="F1436" s="7">
        <v>5134.7</v>
      </c>
      <c r="G1436">
        <v>0</v>
      </c>
      <c r="H1436" s="7">
        <v>0</v>
      </c>
    </row>
    <row r="1437" spans="1:8">
      <c r="A1437">
        <v>1</v>
      </c>
      <c r="B1437" t="s">
        <v>42</v>
      </c>
      <c r="C1437" t="s">
        <v>33</v>
      </c>
      <c r="D1437">
        <v>0</v>
      </c>
      <c r="E1437">
        <v>1</v>
      </c>
      <c r="F1437" s="7">
        <v>4881.15</v>
      </c>
      <c r="G1437">
        <v>0</v>
      </c>
      <c r="H1437" s="7">
        <v>0</v>
      </c>
    </row>
    <row r="1438" spans="1:8">
      <c r="A1438">
        <v>1</v>
      </c>
      <c r="B1438" t="s">
        <v>44</v>
      </c>
      <c r="C1438" t="s">
        <v>35</v>
      </c>
      <c r="D1438">
        <v>0</v>
      </c>
      <c r="E1438">
        <v>1</v>
      </c>
      <c r="F1438" s="7">
        <v>130470.14</v>
      </c>
      <c r="G1438">
        <v>0</v>
      </c>
      <c r="H1438" s="7">
        <v>0</v>
      </c>
    </row>
    <row r="1439" spans="1:8">
      <c r="A1439">
        <v>1</v>
      </c>
      <c r="B1439" t="s">
        <v>43</v>
      </c>
      <c r="C1439" t="s">
        <v>35</v>
      </c>
      <c r="D1439">
        <v>0</v>
      </c>
      <c r="E1439">
        <v>1</v>
      </c>
      <c r="F1439" s="7">
        <v>722161.86</v>
      </c>
      <c r="G1439">
        <v>0</v>
      </c>
      <c r="H1439" s="7">
        <v>0</v>
      </c>
    </row>
    <row r="1440" spans="1:8">
      <c r="A1440">
        <v>1</v>
      </c>
      <c r="B1440" t="s">
        <v>42</v>
      </c>
      <c r="C1440" t="s">
        <v>33</v>
      </c>
      <c r="D1440">
        <v>0</v>
      </c>
      <c r="E1440">
        <v>1</v>
      </c>
      <c r="F1440" s="7">
        <v>5085.47</v>
      </c>
      <c r="G1440">
        <v>0</v>
      </c>
      <c r="H1440" s="7">
        <v>0</v>
      </c>
    </row>
    <row r="1441" spans="1:8">
      <c r="A1441">
        <v>1</v>
      </c>
      <c r="B1441" t="s">
        <v>42</v>
      </c>
      <c r="C1441" t="s">
        <v>33</v>
      </c>
      <c r="D1441">
        <v>0</v>
      </c>
      <c r="E1441">
        <v>1</v>
      </c>
      <c r="F1441" s="7">
        <v>4617.63</v>
      </c>
      <c r="G1441">
        <v>0</v>
      </c>
      <c r="H1441" s="7">
        <v>0</v>
      </c>
    </row>
    <row r="1442" spans="1:8">
      <c r="A1442">
        <v>1</v>
      </c>
      <c r="B1442" t="s">
        <v>42</v>
      </c>
      <c r="C1442" t="s">
        <v>33</v>
      </c>
      <c r="D1442">
        <v>0</v>
      </c>
      <c r="E1442">
        <v>1</v>
      </c>
      <c r="F1442" s="7">
        <v>3941.6</v>
      </c>
      <c r="G1442">
        <v>0</v>
      </c>
      <c r="H1442" s="7">
        <v>0</v>
      </c>
    </row>
    <row r="1443" spans="1:8">
      <c r="A1443">
        <v>1</v>
      </c>
      <c r="B1443" t="s">
        <v>42</v>
      </c>
      <c r="C1443" t="s">
        <v>33</v>
      </c>
      <c r="D1443">
        <v>0</v>
      </c>
      <c r="E1443">
        <v>1</v>
      </c>
      <c r="F1443" s="7">
        <v>1471.39</v>
      </c>
      <c r="G1443">
        <v>0</v>
      </c>
      <c r="H1443" s="7">
        <v>0</v>
      </c>
    </row>
    <row r="1444" spans="1:8">
      <c r="A1444">
        <v>1</v>
      </c>
      <c r="B1444" t="s">
        <v>42</v>
      </c>
      <c r="C1444" t="s">
        <v>33</v>
      </c>
      <c r="D1444">
        <v>0</v>
      </c>
      <c r="E1444">
        <v>1</v>
      </c>
      <c r="F1444" s="7">
        <v>5480.96</v>
      </c>
      <c r="G1444">
        <v>0</v>
      </c>
      <c r="H1444" s="7">
        <v>0</v>
      </c>
    </row>
    <row r="1445" spans="1:8">
      <c r="A1445">
        <v>1</v>
      </c>
      <c r="B1445" t="s">
        <v>42</v>
      </c>
      <c r="C1445" t="s">
        <v>33</v>
      </c>
      <c r="D1445">
        <v>0</v>
      </c>
      <c r="E1445">
        <v>1</v>
      </c>
      <c r="F1445" s="7">
        <v>1834.74</v>
      </c>
      <c r="G1445">
        <v>0</v>
      </c>
      <c r="H1445" s="7">
        <v>0</v>
      </c>
    </row>
    <row r="1446" spans="1:8">
      <c r="A1446">
        <v>1</v>
      </c>
      <c r="B1446" t="s">
        <v>46</v>
      </c>
      <c r="C1446" t="s">
        <v>35</v>
      </c>
      <c r="D1446">
        <v>0</v>
      </c>
      <c r="E1446">
        <v>1</v>
      </c>
      <c r="F1446" s="7">
        <v>365914.64</v>
      </c>
      <c r="G1446">
        <v>0</v>
      </c>
      <c r="H1446" s="7">
        <v>0</v>
      </c>
    </row>
    <row r="1447" spans="1:8">
      <c r="A1447">
        <v>1</v>
      </c>
      <c r="B1447" t="s">
        <v>42</v>
      </c>
      <c r="C1447" t="s">
        <v>34</v>
      </c>
      <c r="D1447">
        <v>0</v>
      </c>
      <c r="E1447">
        <v>1</v>
      </c>
      <c r="F1447" s="7">
        <v>16472.92</v>
      </c>
      <c r="G1447">
        <v>0</v>
      </c>
      <c r="H1447" s="7">
        <v>0</v>
      </c>
    </row>
    <row r="1448" spans="1:8">
      <c r="A1448">
        <v>1</v>
      </c>
      <c r="B1448" t="s">
        <v>42</v>
      </c>
      <c r="C1448" t="s">
        <v>34</v>
      </c>
      <c r="D1448">
        <v>0</v>
      </c>
      <c r="E1448">
        <v>1</v>
      </c>
      <c r="F1448" s="7">
        <v>31922.09</v>
      </c>
      <c r="G1448">
        <v>0</v>
      </c>
      <c r="H1448" s="7">
        <v>0</v>
      </c>
    </row>
    <row r="1449" spans="1:8">
      <c r="A1449">
        <v>1</v>
      </c>
      <c r="B1449" t="s">
        <v>42</v>
      </c>
      <c r="C1449" t="s">
        <v>33</v>
      </c>
      <c r="D1449">
        <v>0</v>
      </c>
      <c r="E1449">
        <v>1</v>
      </c>
      <c r="F1449" s="7">
        <v>6450.56</v>
      </c>
      <c r="G1449">
        <v>0</v>
      </c>
      <c r="H1449" s="7">
        <v>0</v>
      </c>
    </row>
    <row r="1450" spans="1:8">
      <c r="A1450">
        <v>1</v>
      </c>
      <c r="B1450" t="s">
        <v>44</v>
      </c>
      <c r="C1450" t="s">
        <v>35</v>
      </c>
      <c r="D1450">
        <v>0</v>
      </c>
      <c r="E1450">
        <v>1</v>
      </c>
      <c r="F1450" s="7">
        <v>315325.25</v>
      </c>
      <c r="G1450">
        <v>0</v>
      </c>
      <c r="H1450" s="7">
        <v>0</v>
      </c>
    </row>
    <row r="1451" spans="1:8">
      <c r="A1451">
        <v>1</v>
      </c>
      <c r="B1451" t="s">
        <v>42</v>
      </c>
      <c r="C1451" t="s">
        <v>33</v>
      </c>
      <c r="D1451">
        <v>0</v>
      </c>
      <c r="E1451">
        <v>1</v>
      </c>
      <c r="F1451" s="7">
        <v>2869.11</v>
      </c>
      <c r="G1451">
        <v>0</v>
      </c>
      <c r="H1451" s="7">
        <v>0</v>
      </c>
    </row>
    <row r="1452" spans="1:8">
      <c r="A1452">
        <v>1</v>
      </c>
      <c r="B1452" t="s">
        <v>42</v>
      </c>
      <c r="C1452" t="s">
        <v>33</v>
      </c>
      <c r="D1452">
        <v>0</v>
      </c>
      <c r="E1452">
        <v>1</v>
      </c>
      <c r="F1452" s="7">
        <v>2738.86</v>
      </c>
      <c r="G1452">
        <v>0</v>
      </c>
      <c r="H1452" s="7">
        <v>0</v>
      </c>
    </row>
    <row r="1453" spans="1:8">
      <c r="A1453">
        <v>1</v>
      </c>
      <c r="B1453" t="s">
        <v>46</v>
      </c>
      <c r="C1453" t="s">
        <v>34</v>
      </c>
      <c r="D1453">
        <v>0</v>
      </c>
      <c r="E1453">
        <v>1</v>
      </c>
      <c r="F1453" s="7">
        <v>60503.37</v>
      </c>
      <c r="G1453">
        <v>0</v>
      </c>
      <c r="H1453" s="7">
        <v>0</v>
      </c>
    </row>
    <row r="1454" spans="1:8">
      <c r="A1454">
        <v>1</v>
      </c>
      <c r="B1454" t="s">
        <v>42</v>
      </c>
      <c r="C1454" t="s">
        <v>32</v>
      </c>
      <c r="D1454">
        <v>0</v>
      </c>
      <c r="E1454">
        <v>1</v>
      </c>
      <c r="F1454" s="7">
        <v>450.55</v>
      </c>
      <c r="G1454">
        <v>0</v>
      </c>
      <c r="H1454" s="7">
        <v>0</v>
      </c>
    </row>
    <row r="1455" spans="1:8">
      <c r="A1455">
        <v>1</v>
      </c>
      <c r="B1455" t="s">
        <v>45</v>
      </c>
      <c r="C1455" t="s">
        <v>33</v>
      </c>
      <c r="D1455">
        <v>0</v>
      </c>
      <c r="E1455">
        <v>1</v>
      </c>
      <c r="F1455" s="7">
        <v>8161.64</v>
      </c>
      <c r="G1455">
        <v>0</v>
      </c>
      <c r="H1455" s="7">
        <v>0</v>
      </c>
    </row>
    <row r="1456" spans="1:8">
      <c r="A1456">
        <v>1</v>
      </c>
      <c r="B1456" t="s">
        <v>43</v>
      </c>
      <c r="C1456" t="s">
        <v>34</v>
      </c>
      <c r="D1456">
        <v>0</v>
      </c>
      <c r="E1456">
        <v>1</v>
      </c>
      <c r="F1456" s="7">
        <v>40149.38</v>
      </c>
      <c r="G1456">
        <v>0</v>
      </c>
      <c r="H1456" s="7">
        <v>0</v>
      </c>
    </row>
    <row r="1457" spans="1:8">
      <c r="A1457">
        <v>1</v>
      </c>
      <c r="B1457" t="s">
        <v>42</v>
      </c>
      <c r="C1457" t="s">
        <v>33</v>
      </c>
      <c r="D1457">
        <v>0</v>
      </c>
      <c r="E1457">
        <v>1</v>
      </c>
      <c r="F1457" s="7">
        <v>5829.39</v>
      </c>
      <c r="G1457">
        <v>0</v>
      </c>
      <c r="H1457" s="7">
        <v>0</v>
      </c>
    </row>
    <row r="1458" spans="1:8">
      <c r="A1458">
        <v>1</v>
      </c>
      <c r="B1458" t="s">
        <v>42</v>
      </c>
      <c r="C1458" t="s">
        <v>33</v>
      </c>
      <c r="D1458">
        <v>0</v>
      </c>
      <c r="E1458">
        <v>1</v>
      </c>
      <c r="F1458" s="7">
        <v>9119.89</v>
      </c>
      <c r="G1458">
        <v>0</v>
      </c>
      <c r="H1458" s="7">
        <v>0</v>
      </c>
    </row>
    <row r="1459" spans="1:8">
      <c r="A1459">
        <v>1</v>
      </c>
      <c r="B1459" t="s">
        <v>42</v>
      </c>
      <c r="C1459" t="s">
        <v>33</v>
      </c>
      <c r="D1459">
        <v>0</v>
      </c>
      <c r="E1459">
        <v>1</v>
      </c>
      <c r="F1459" s="7">
        <v>3854.39</v>
      </c>
      <c r="G1459">
        <v>0</v>
      </c>
      <c r="H1459" s="7">
        <v>0</v>
      </c>
    </row>
    <row r="1460" spans="1:8">
      <c r="A1460">
        <v>1</v>
      </c>
      <c r="B1460" t="s">
        <v>42</v>
      </c>
      <c r="C1460" t="s">
        <v>33</v>
      </c>
      <c r="D1460">
        <v>0</v>
      </c>
      <c r="E1460">
        <v>1</v>
      </c>
      <c r="F1460" s="7">
        <v>1053.13</v>
      </c>
      <c r="G1460">
        <v>0</v>
      </c>
      <c r="H1460" s="7">
        <v>0</v>
      </c>
    </row>
    <row r="1461" spans="1:8">
      <c r="A1461">
        <v>1</v>
      </c>
      <c r="B1461" t="s">
        <v>42</v>
      </c>
      <c r="C1461" t="s">
        <v>33</v>
      </c>
      <c r="D1461">
        <v>0</v>
      </c>
      <c r="E1461">
        <v>1</v>
      </c>
      <c r="F1461" s="7">
        <v>7296.95</v>
      </c>
      <c r="G1461">
        <v>0</v>
      </c>
      <c r="H1461" s="7">
        <v>0</v>
      </c>
    </row>
    <row r="1462" spans="1:8">
      <c r="A1462">
        <v>1</v>
      </c>
      <c r="B1462" t="s">
        <v>42</v>
      </c>
      <c r="C1462" t="s">
        <v>33</v>
      </c>
      <c r="D1462">
        <v>0</v>
      </c>
      <c r="E1462">
        <v>1</v>
      </c>
      <c r="F1462" s="7">
        <v>9114.34</v>
      </c>
      <c r="G1462">
        <v>0</v>
      </c>
      <c r="H1462" s="7">
        <v>0</v>
      </c>
    </row>
    <row r="1463" spans="1:8">
      <c r="A1463">
        <v>1</v>
      </c>
      <c r="B1463" t="s">
        <v>42</v>
      </c>
      <c r="C1463" t="s">
        <v>34</v>
      </c>
      <c r="D1463">
        <v>0</v>
      </c>
      <c r="E1463">
        <v>1</v>
      </c>
      <c r="F1463" s="7">
        <v>18625.28</v>
      </c>
      <c r="G1463">
        <v>0</v>
      </c>
      <c r="H1463" s="7">
        <v>0</v>
      </c>
    </row>
    <row r="1464" spans="1:8">
      <c r="A1464">
        <v>1</v>
      </c>
      <c r="B1464" t="s">
        <v>42</v>
      </c>
      <c r="C1464" t="s">
        <v>33</v>
      </c>
      <c r="D1464">
        <v>0</v>
      </c>
      <c r="E1464">
        <v>1</v>
      </c>
      <c r="F1464" s="7">
        <v>2134.11</v>
      </c>
      <c r="G1464">
        <v>0</v>
      </c>
      <c r="H1464" s="7">
        <v>0</v>
      </c>
    </row>
    <row r="1465" spans="1:8">
      <c r="A1465">
        <v>1</v>
      </c>
      <c r="B1465" t="s">
        <v>42</v>
      </c>
      <c r="C1465" t="s">
        <v>33</v>
      </c>
      <c r="D1465">
        <v>0</v>
      </c>
      <c r="E1465">
        <v>1</v>
      </c>
      <c r="F1465" s="7">
        <v>3743.03</v>
      </c>
      <c r="G1465">
        <v>0</v>
      </c>
      <c r="H1465" s="7">
        <v>0</v>
      </c>
    </row>
    <row r="1466" spans="1:8">
      <c r="A1466">
        <v>1</v>
      </c>
      <c r="B1466" t="s">
        <v>42</v>
      </c>
      <c r="C1466" t="s">
        <v>34</v>
      </c>
      <c r="D1466">
        <v>0</v>
      </c>
      <c r="E1466">
        <v>1</v>
      </c>
      <c r="F1466" s="7">
        <v>17457.7</v>
      </c>
      <c r="G1466">
        <v>0</v>
      </c>
      <c r="H1466" s="7">
        <v>0</v>
      </c>
    </row>
    <row r="1467" spans="1:8">
      <c r="A1467">
        <v>1</v>
      </c>
      <c r="B1467" t="s">
        <v>42</v>
      </c>
      <c r="C1467" t="s">
        <v>33</v>
      </c>
      <c r="D1467">
        <v>0</v>
      </c>
      <c r="E1467">
        <v>1</v>
      </c>
      <c r="F1467" s="7">
        <v>1098.78</v>
      </c>
      <c r="G1467">
        <v>0</v>
      </c>
      <c r="H1467" s="7">
        <v>0</v>
      </c>
    </row>
    <row r="1468" spans="1:8">
      <c r="A1468">
        <v>1</v>
      </c>
      <c r="B1468" t="s">
        <v>42</v>
      </c>
      <c r="C1468" t="s">
        <v>33</v>
      </c>
      <c r="D1468">
        <v>0</v>
      </c>
      <c r="E1468">
        <v>1</v>
      </c>
      <c r="F1468" s="7">
        <v>1393.49</v>
      </c>
      <c r="G1468">
        <v>0</v>
      </c>
      <c r="H1468" s="7">
        <v>0</v>
      </c>
    </row>
    <row r="1469" spans="1:8">
      <c r="A1469">
        <v>1</v>
      </c>
      <c r="B1469" t="s">
        <v>42</v>
      </c>
      <c r="C1469" t="s">
        <v>33</v>
      </c>
      <c r="D1469">
        <v>0</v>
      </c>
      <c r="E1469">
        <v>1</v>
      </c>
      <c r="F1469" s="7">
        <v>3466.83</v>
      </c>
      <c r="G1469">
        <v>0</v>
      </c>
      <c r="H1469" s="7">
        <v>0</v>
      </c>
    </row>
    <row r="1470" spans="1:8">
      <c r="A1470">
        <v>1</v>
      </c>
      <c r="B1470" t="s">
        <v>42</v>
      </c>
      <c r="C1470" t="s">
        <v>34</v>
      </c>
      <c r="D1470">
        <v>0</v>
      </c>
      <c r="E1470">
        <v>1</v>
      </c>
      <c r="F1470" s="7">
        <v>12960.72</v>
      </c>
      <c r="G1470">
        <v>0</v>
      </c>
      <c r="H1470" s="7">
        <v>0</v>
      </c>
    </row>
    <row r="1471" spans="1:8">
      <c r="A1471">
        <v>1</v>
      </c>
      <c r="B1471" t="s">
        <v>42</v>
      </c>
      <c r="C1471" t="s">
        <v>33</v>
      </c>
      <c r="D1471">
        <v>0</v>
      </c>
      <c r="E1471">
        <v>1</v>
      </c>
      <c r="F1471" s="7">
        <v>3383.61</v>
      </c>
      <c r="G1471">
        <v>0</v>
      </c>
      <c r="H1471" s="7">
        <v>0</v>
      </c>
    </row>
    <row r="1472" spans="1:8">
      <c r="A1472">
        <v>1</v>
      </c>
      <c r="B1472" t="s">
        <v>42</v>
      </c>
      <c r="C1472" t="s">
        <v>33</v>
      </c>
      <c r="D1472">
        <v>0</v>
      </c>
      <c r="E1472">
        <v>1</v>
      </c>
      <c r="F1472" s="7">
        <v>3285.68</v>
      </c>
      <c r="G1472">
        <v>0</v>
      </c>
      <c r="H1472" s="7">
        <v>0</v>
      </c>
    </row>
    <row r="1473" spans="1:8">
      <c r="A1473">
        <v>1</v>
      </c>
      <c r="B1473" t="s">
        <v>42</v>
      </c>
      <c r="C1473" t="s">
        <v>33</v>
      </c>
      <c r="D1473">
        <v>0</v>
      </c>
      <c r="E1473">
        <v>1</v>
      </c>
      <c r="F1473" s="7">
        <v>4898.07</v>
      </c>
      <c r="G1473">
        <v>0</v>
      </c>
      <c r="H1473" s="7">
        <v>0</v>
      </c>
    </row>
    <row r="1474" spans="1:8">
      <c r="A1474">
        <v>1</v>
      </c>
      <c r="B1474" t="s">
        <v>42</v>
      </c>
      <c r="C1474" t="s">
        <v>33</v>
      </c>
      <c r="D1474">
        <v>0</v>
      </c>
      <c r="E1474">
        <v>1</v>
      </c>
      <c r="F1474" s="7">
        <v>9642.19</v>
      </c>
      <c r="G1474">
        <v>0</v>
      </c>
      <c r="H1474" s="7">
        <v>0</v>
      </c>
    </row>
    <row r="1475" spans="1:8">
      <c r="A1475">
        <v>1</v>
      </c>
      <c r="B1475" t="s">
        <v>42</v>
      </c>
      <c r="C1475" t="s">
        <v>33</v>
      </c>
      <c r="D1475">
        <v>0</v>
      </c>
      <c r="E1475">
        <v>1</v>
      </c>
      <c r="F1475" s="7">
        <v>1919.77</v>
      </c>
      <c r="G1475">
        <v>0</v>
      </c>
      <c r="H1475" s="7">
        <v>0</v>
      </c>
    </row>
    <row r="1476" spans="1:8">
      <c r="A1476">
        <v>1</v>
      </c>
      <c r="B1476" t="s">
        <v>42</v>
      </c>
      <c r="C1476" t="s">
        <v>34</v>
      </c>
      <c r="D1476">
        <v>0</v>
      </c>
      <c r="E1476">
        <v>1</v>
      </c>
      <c r="F1476" s="7">
        <v>21820.68</v>
      </c>
      <c r="G1476">
        <v>0</v>
      </c>
      <c r="H1476" s="7">
        <v>0</v>
      </c>
    </row>
    <row r="1477" spans="1:8">
      <c r="A1477">
        <v>1</v>
      </c>
      <c r="B1477" t="s">
        <v>42</v>
      </c>
      <c r="C1477" t="s">
        <v>34</v>
      </c>
      <c r="D1477">
        <v>0</v>
      </c>
      <c r="E1477">
        <v>1</v>
      </c>
      <c r="F1477" s="7">
        <v>18187.81</v>
      </c>
      <c r="G1477">
        <v>0</v>
      </c>
      <c r="H1477" s="7">
        <v>0</v>
      </c>
    </row>
    <row r="1478" spans="1:8">
      <c r="A1478">
        <v>1</v>
      </c>
      <c r="B1478" t="s">
        <v>42</v>
      </c>
      <c r="C1478" t="s">
        <v>34</v>
      </c>
      <c r="D1478">
        <v>0</v>
      </c>
      <c r="E1478">
        <v>1</v>
      </c>
      <c r="F1478" s="7">
        <v>23069.76</v>
      </c>
      <c r="G1478">
        <v>0</v>
      </c>
      <c r="H1478" s="7">
        <v>0</v>
      </c>
    </row>
    <row r="1479" spans="1:8">
      <c r="A1479">
        <v>1</v>
      </c>
      <c r="B1479" t="s">
        <v>42</v>
      </c>
      <c r="C1479" t="s">
        <v>33</v>
      </c>
      <c r="D1479">
        <v>0</v>
      </c>
      <c r="E1479">
        <v>1</v>
      </c>
      <c r="F1479" s="7">
        <v>6820.53</v>
      </c>
      <c r="G1479">
        <v>0</v>
      </c>
      <c r="H1479" s="7">
        <v>0</v>
      </c>
    </row>
    <row r="1480" spans="1:8">
      <c r="A1480">
        <v>1</v>
      </c>
      <c r="B1480" t="s">
        <v>42</v>
      </c>
      <c r="C1480" t="s">
        <v>33</v>
      </c>
      <c r="D1480">
        <v>0</v>
      </c>
      <c r="E1480">
        <v>1</v>
      </c>
      <c r="F1480" s="7">
        <v>2635.06</v>
      </c>
      <c r="G1480">
        <v>0</v>
      </c>
      <c r="H1480" s="7">
        <v>0</v>
      </c>
    </row>
    <row r="1481" spans="1:8">
      <c r="A1481">
        <v>1</v>
      </c>
      <c r="B1481" t="s">
        <v>42</v>
      </c>
      <c r="C1481" t="s">
        <v>33</v>
      </c>
      <c r="D1481">
        <v>0</v>
      </c>
      <c r="E1481">
        <v>1</v>
      </c>
      <c r="F1481" s="7">
        <v>5371.1</v>
      </c>
      <c r="G1481">
        <v>0</v>
      </c>
      <c r="H1481" s="7">
        <v>0</v>
      </c>
    </row>
    <row r="1482" spans="1:8">
      <c r="A1482">
        <v>1</v>
      </c>
      <c r="B1482" t="s">
        <v>44</v>
      </c>
      <c r="C1482" t="s">
        <v>35</v>
      </c>
      <c r="D1482">
        <v>0</v>
      </c>
      <c r="E1482">
        <v>1</v>
      </c>
      <c r="F1482" s="7">
        <v>358124.44</v>
      </c>
      <c r="G1482">
        <v>0</v>
      </c>
      <c r="H1482" s="7">
        <v>0</v>
      </c>
    </row>
    <row r="1483" spans="1:8">
      <c r="A1483">
        <v>1</v>
      </c>
      <c r="B1483" t="s">
        <v>42</v>
      </c>
      <c r="C1483" t="s">
        <v>33</v>
      </c>
      <c r="D1483">
        <v>0</v>
      </c>
      <c r="E1483">
        <v>1</v>
      </c>
      <c r="F1483" s="7">
        <v>2645.88</v>
      </c>
      <c r="G1483">
        <v>0</v>
      </c>
      <c r="H1483" s="7">
        <v>0</v>
      </c>
    </row>
    <row r="1484" spans="1:8">
      <c r="A1484">
        <v>1</v>
      </c>
      <c r="B1484" t="s">
        <v>45</v>
      </c>
      <c r="C1484" t="s">
        <v>33</v>
      </c>
      <c r="D1484">
        <v>0</v>
      </c>
      <c r="E1484">
        <v>1</v>
      </c>
      <c r="F1484" s="7">
        <v>5454.05</v>
      </c>
      <c r="G1484">
        <v>0</v>
      </c>
      <c r="H1484" s="7">
        <v>0</v>
      </c>
    </row>
    <row r="1485" spans="1:8">
      <c r="A1485">
        <v>1</v>
      </c>
      <c r="B1485" t="s">
        <v>42</v>
      </c>
      <c r="C1485" t="s">
        <v>33</v>
      </c>
      <c r="D1485">
        <v>0</v>
      </c>
      <c r="E1485">
        <v>1</v>
      </c>
      <c r="F1485" s="7">
        <v>2691.57</v>
      </c>
      <c r="G1485">
        <v>0</v>
      </c>
      <c r="H1485" s="7">
        <v>0</v>
      </c>
    </row>
    <row r="1486" spans="1:8">
      <c r="A1486">
        <v>1</v>
      </c>
      <c r="B1486" t="s">
        <v>45</v>
      </c>
      <c r="C1486" t="s">
        <v>33</v>
      </c>
      <c r="D1486">
        <v>0</v>
      </c>
      <c r="E1486">
        <v>1</v>
      </c>
      <c r="F1486" s="7">
        <v>3269.57</v>
      </c>
      <c r="G1486">
        <v>0</v>
      </c>
      <c r="H1486" s="7">
        <v>0</v>
      </c>
    </row>
    <row r="1487" spans="1:8">
      <c r="A1487">
        <v>1</v>
      </c>
      <c r="B1487" t="s">
        <v>42</v>
      </c>
      <c r="C1487" t="s">
        <v>33</v>
      </c>
      <c r="D1487">
        <v>0</v>
      </c>
      <c r="E1487">
        <v>1</v>
      </c>
      <c r="F1487" s="7">
        <v>3623.4</v>
      </c>
      <c r="G1487">
        <v>0</v>
      </c>
      <c r="H1487" s="7">
        <v>0</v>
      </c>
    </row>
    <row r="1488" spans="1:8">
      <c r="A1488">
        <v>1</v>
      </c>
      <c r="B1488" t="s">
        <v>42</v>
      </c>
      <c r="C1488" t="s">
        <v>32</v>
      </c>
      <c r="D1488">
        <v>0</v>
      </c>
      <c r="E1488">
        <v>1</v>
      </c>
      <c r="F1488" s="7">
        <v>102.37</v>
      </c>
      <c r="G1488">
        <v>0</v>
      </c>
      <c r="H1488" s="7">
        <v>0</v>
      </c>
    </row>
    <row r="1489" spans="1:8">
      <c r="A1489">
        <v>1</v>
      </c>
      <c r="B1489" t="s">
        <v>42</v>
      </c>
      <c r="C1489" t="s">
        <v>33</v>
      </c>
      <c r="D1489">
        <v>0</v>
      </c>
      <c r="E1489">
        <v>1</v>
      </c>
      <c r="F1489" s="7">
        <v>5601.3</v>
      </c>
      <c r="G1489">
        <v>0</v>
      </c>
      <c r="H1489" s="7">
        <v>0</v>
      </c>
    </row>
    <row r="1490" spans="1:8">
      <c r="A1490">
        <v>1</v>
      </c>
      <c r="B1490" t="s">
        <v>44</v>
      </c>
      <c r="C1490" t="s">
        <v>35</v>
      </c>
      <c r="D1490">
        <v>0</v>
      </c>
      <c r="E1490">
        <v>1</v>
      </c>
      <c r="F1490" s="7">
        <v>151768.14</v>
      </c>
      <c r="G1490">
        <v>0</v>
      </c>
      <c r="H1490" s="7">
        <v>0</v>
      </c>
    </row>
    <row r="1491" spans="1:8">
      <c r="A1491">
        <v>1</v>
      </c>
      <c r="B1491" t="s">
        <v>42</v>
      </c>
      <c r="C1491" t="s">
        <v>33</v>
      </c>
      <c r="D1491">
        <v>0</v>
      </c>
      <c r="E1491">
        <v>1</v>
      </c>
      <c r="F1491" s="7">
        <v>2725.19</v>
      </c>
      <c r="G1491">
        <v>0</v>
      </c>
      <c r="H1491" s="7">
        <v>0</v>
      </c>
    </row>
    <row r="1492" spans="1:8">
      <c r="A1492">
        <v>1</v>
      </c>
      <c r="B1492" t="s">
        <v>42</v>
      </c>
      <c r="C1492" t="s">
        <v>33</v>
      </c>
      <c r="D1492">
        <v>0</v>
      </c>
      <c r="E1492">
        <v>1</v>
      </c>
      <c r="F1492" s="7">
        <v>1534.54</v>
      </c>
      <c r="G1492">
        <v>0</v>
      </c>
      <c r="H1492" s="7">
        <v>0</v>
      </c>
    </row>
    <row r="1493" spans="1:8">
      <c r="A1493">
        <v>1</v>
      </c>
      <c r="B1493" t="s">
        <v>42</v>
      </c>
      <c r="C1493" t="s">
        <v>32</v>
      </c>
      <c r="D1493">
        <v>0</v>
      </c>
      <c r="E1493">
        <v>1</v>
      </c>
      <c r="F1493" s="7">
        <v>402.54</v>
      </c>
      <c r="G1493">
        <v>0</v>
      </c>
      <c r="H1493" s="7">
        <v>0</v>
      </c>
    </row>
    <row r="1494" spans="1:8">
      <c r="A1494">
        <v>1</v>
      </c>
      <c r="B1494" t="s">
        <v>45</v>
      </c>
      <c r="C1494" t="s">
        <v>34</v>
      </c>
      <c r="D1494">
        <v>0</v>
      </c>
      <c r="E1494">
        <v>1</v>
      </c>
      <c r="F1494" s="7">
        <v>12617.81</v>
      </c>
      <c r="G1494">
        <v>0</v>
      </c>
      <c r="H1494" s="7">
        <v>0</v>
      </c>
    </row>
    <row r="1495" spans="1:8">
      <c r="A1495">
        <v>1</v>
      </c>
      <c r="B1495" t="s">
        <v>42</v>
      </c>
      <c r="C1495" t="s">
        <v>33</v>
      </c>
      <c r="D1495">
        <v>0</v>
      </c>
      <c r="E1495">
        <v>1</v>
      </c>
      <c r="F1495" s="7">
        <v>3631.87</v>
      </c>
      <c r="G1495">
        <v>0</v>
      </c>
      <c r="H1495" s="7">
        <v>0</v>
      </c>
    </row>
    <row r="1496" spans="1:8">
      <c r="A1496">
        <v>1</v>
      </c>
      <c r="B1496" t="s">
        <v>44</v>
      </c>
      <c r="C1496" t="s">
        <v>35</v>
      </c>
      <c r="D1496">
        <v>0</v>
      </c>
      <c r="E1496">
        <v>1</v>
      </c>
      <c r="F1496" s="7">
        <v>333946.96</v>
      </c>
      <c r="G1496">
        <v>0</v>
      </c>
      <c r="H1496" s="7">
        <v>0</v>
      </c>
    </row>
    <row r="1497" spans="1:8">
      <c r="A1497">
        <v>1</v>
      </c>
      <c r="B1497" t="s">
        <v>42</v>
      </c>
      <c r="C1497" t="s">
        <v>33</v>
      </c>
      <c r="D1497">
        <v>0</v>
      </c>
      <c r="E1497">
        <v>1</v>
      </c>
      <c r="F1497" s="7">
        <v>7648.78</v>
      </c>
      <c r="G1497">
        <v>0</v>
      </c>
      <c r="H1497" s="7">
        <v>0</v>
      </c>
    </row>
    <row r="1498" spans="1:8">
      <c r="A1498">
        <v>1</v>
      </c>
      <c r="B1498" t="s">
        <v>42</v>
      </c>
      <c r="C1498" t="s">
        <v>34</v>
      </c>
      <c r="D1498">
        <v>0</v>
      </c>
      <c r="E1498">
        <v>1</v>
      </c>
      <c r="F1498" s="7">
        <v>11679.19</v>
      </c>
      <c r="G1498">
        <v>0</v>
      </c>
      <c r="H1498" s="7">
        <v>0</v>
      </c>
    </row>
    <row r="1499" spans="1:8">
      <c r="A1499">
        <v>1</v>
      </c>
      <c r="B1499" t="s">
        <v>42</v>
      </c>
      <c r="C1499" t="s">
        <v>32</v>
      </c>
      <c r="D1499">
        <v>0</v>
      </c>
      <c r="E1499">
        <v>1</v>
      </c>
      <c r="F1499" s="7">
        <v>272.8</v>
      </c>
      <c r="G1499">
        <v>0</v>
      </c>
      <c r="H1499" s="7">
        <v>0</v>
      </c>
    </row>
    <row r="1500" spans="1:8">
      <c r="A1500">
        <v>1</v>
      </c>
      <c r="B1500" t="s">
        <v>42</v>
      </c>
      <c r="C1500" t="s">
        <v>33</v>
      </c>
      <c r="D1500">
        <v>0</v>
      </c>
      <c r="E1500">
        <v>1</v>
      </c>
      <c r="F1500" s="7">
        <v>1380.95</v>
      </c>
      <c r="G1500">
        <v>0</v>
      </c>
      <c r="H1500" s="7">
        <v>0</v>
      </c>
    </row>
    <row r="1501" spans="1:8">
      <c r="A1501">
        <v>1</v>
      </c>
      <c r="B1501" t="s">
        <v>44</v>
      </c>
      <c r="C1501" t="s">
        <v>34</v>
      </c>
      <c r="D1501">
        <v>0</v>
      </c>
      <c r="E1501">
        <v>1</v>
      </c>
      <c r="F1501" s="7">
        <v>29587.32</v>
      </c>
      <c r="G1501">
        <v>0</v>
      </c>
      <c r="H1501" s="7">
        <v>0</v>
      </c>
    </row>
    <row r="1502" spans="1:8">
      <c r="A1502">
        <v>1</v>
      </c>
      <c r="B1502" t="s">
        <v>42</v>
      </c>
      <c r="C1502" t="s">
        <v>33</v>
      </c>
      <c r="D1502">
        <v>0</v>
      </c>
      <c r="E1502">
        <v>1</v>
      </c>
      <c r="F1502" s="7">
        <v>1056.64</v>
      </c>
      <c r="G1502">
        <v>0</v>
      </c>
      <c r="H1502" s="7">
        <v>0</v>
      </c>
    </row>
    <row r="1503" spans="1:8">
      <c r="A1503">
        <v>1</v>
      </c>
      <c r="B1503" t="s">
        <v>42</v>
      </c>
      <c r="C1503" t="s">
        <v>33</v>
      </c>
      <c r="D1503">
        <v>0</v>
      </c>
      <c r="E1503">
        <v>1</v>
      </c>
      <c r="F1503" s="7">
        <v>2515.46</v>
      </c>
      <c r="G1503">
        <v>0</v>
      </c>
      <c r="H1503" s="7">
        <v>0</v>
      </c>
    </row>
    <row r="1504" spans="1:8">
      <c r="A1504">
        <v>1</v>
      </c>
      <c r="B1504" t="s">
        <v>45</v>
      </c>
      <c r="C1504" t="s">
        <v>33</v>
      </c>
      <c r="D1504">
        <v>0</v>
      </c>
      <c r="E1504">
        <v>1</v>
      </c>
      <c r="F1504" s="7">
        <v>6077.94</v>
      </c>
      <c r="G1504">
        <v>0</v>
      </c>
      <c r="H1504" s="7">
        <v>0</v>
      </c>
    </row>
    <row r="1505" spans="1:8">
      <c r="A1505">
        <v>1</v>
      </c>
      <c r="B1505" t="s">
        <v>45</v>
      </c>
      <c r="C1505" t="s">
        <v>33</v>
      </c>
      <c r="D1505">
        <v>0</v>
      </c>
      <c r="E1505">
        <v>1</v>
      </c>
      <c r="F1505" s="7">
        <v>8648.45</v>
      </c>
      <c r="G1505">
        <v>0</v>
      </c>
      <c r="H1505" s="7">
        <v>0</v>
      </c>
    </row>
    <row r="1506" spans="1:8">
      <c r="A1506">
        <v>1</v>
      </c>
      <c r="B1506" t="s">
        <v>45</v>
      </c>
      <c r="C1506" t="s">
        <v>33</v>
      </c>
      <c r="D1506">
        <v>0</v>
      </c>
      <c r="E1506">
        <v>1</v>
      </c>
      <c r="F1506" s="7">
        <v>5264.43</v>
      </c>
      <c r="G1506">
        <v>0</v>
      </c>
      <c r="H1506" s="7">
        <v>0</v>
      </c>
    </row>
    <row r="1507" spans="1:8">
      <c r="A1507">
        <v>1</v>
      </c>
      <c r="B1507" t="s">
        <v>42</v>
      </c>
      <c r="C1507" t="s">
        <v>33</v>
      </c>
      <c r="D1507">
        <v>0</v>
      </c>
      <c r="E1507">
        <v>1</v>
      </c>
      <c r="F1507" s="7">
        <v>3821.75</v>
      </c>
      <c r="G1507">
        <v>0</v>
      </c>
      <c r="H1507" s="7">
        <v>0</v>
      </c>
    </row>
    <row r="1508" spans="1:8">
      <c r="A1508">
        <v>1</v>
      </c>
      <c r="B1508" t="s">
        <v>42</v>
      </c>
      <c r="C1508" t="s">
        <v>33</v>
      </c>
      <c r="D1508">
        <v>0</v>
      </c>
      <c r="E1508">
        <v>1</v>
      </c>
      <c r="F1508" s="7">
        <v>4920.42</v>
      </c>
      <c r="G1508">
        <v>0</v>
      </c>
      <c r="H1508" s="7">
        <v>0</v>
      </c>
    </row>
    <row r="1509" spans="1:8">
      <c r="A1509">
        <v>1</v>
      </c>
      <c r="B1509" t="s">
        <v>42</v>
      </c>
      <c r="C1509" t="s">
        <v>33</v>
      </c>
      <c r="D1509">
        <v>0</v>
      </c>
      <c r="E1509">
        <v>1</v>
      </c>
      <c r="F1509" s="7">
        <v>5635.6</v>
      </c>
      <c r="G1509">
        <v>0</v>
      </c>
      <c r="H1509" s="7">
        <v>0</v>
      </c>
    </row>
    <row r="1510" spans="1:8">
      <c r="A1510">
        <v>1</v>
      </c>
      <c r="B1510" t="s">
        <v>42</v>
      </c>
      <c r="C1510" t="s">
        <v>34</v>
      </c>
      <c r="D1510">
        <v>0</v>
      </c>
      <c r="E1510">
        <v>1</v>
      </c>
      <c r="F1510" s="7">
        <v>11508.76</v>
      </c>
      <c r="G1510">
        <v>0</v>
      </c>
      <c r="H1510" s="7">
        <v>0</v>
      </c>
    </row>
    <row r="1511" spans="1:8">
      <c r="A1511">
        <v>1</v>
      </c>
      <c r="B1511" t="s">
        <v>42</v>
      </c>
      <c r="C1511" t="s">
        <v>33</v>
      </c>
      <c r="D1511">
        <v>0</v>
      </c>
      <c r="E1511">
        <v>1</v>
      </c>
      <c r="F1511" s="7">
        <v>2147.21</v>
      </c>
      <c r="G1511">
        <v>0</v>
      </c>
      <c r="H1511" s="7">
        <v>0</v>
      </c>
    </row>
    <row r="1512" spans="1:8">
      <c r="A1512">
        <v>1</v>
      </c>
      <c r="B1512" t="s">
        <v>42</v>
      </c>
      <c r="C1512" t="s">
        <v>33</v>
      </c>
      <c r="D1512">
        <v>0</v>
      </c>
      <c r="E1512">
        <v>1</v>
      </c>
      <c r="F1512" s="7">
        <v>8380.77</v>
      </c>
      <c r="G1512">
        <v>0</v>
      </c>
      <c r="H1512" s="7">
        <v>0</v>
      </c>
    </row>
    <row r="1513" spans="1:8">
      <c r="A1513">
        <v>1</v>
      </c>
      <c r="B1513" t="s">
        <v>42</v>
      </c>
      <c r="C1513" t="s">
        <v>33</v>
      </c>
      <c r="D1513">
        <v>0</v>
      </c>
      <c r="E1513">
        <v>1</v>
      </c>
      <c r="F1513" s="7">
        <v>3850.6</v>
      </c>
      <c r="G1513">
        <v>0</v>
      </c>
      <c r="H1513" s="7">
        <v>0</v>
      </c>
    </row>
    <row r="1514" spans="1:8">
      <c r="A1514">
        <v>1</v>
      </c>
      <c r="B1514" t="s">
        <v>42</v>
      </c>
      <c r="C1514" t="s">
        <v>33</v>
      </c>
      <c r="D1514">
        <v>0</v>
      </c>
      <c r="E1514">
        <v>1</v>
      </c>
      <c r="F1514" s="7">
        <v>5238.73</v>
      </c>
      <c r="G1514">
        <v>0</v>
      </c>
      <c r="H1514" s="7">
        <v>0</v>
      </c>
    </row>
    <row r="1515" spans="1:8">
      <c r="A1515">
        <v>1</v>
      </c>
      <c r="B1515" t="s">
        <v>42</v>
      </c>
      <c r="C1515" t="s">
        <v>33</v>
      </c>
      <c r="D1515">
        <v>0</v>
      </c>
      <c r="E1515">
        <v>1</v>
      </c>
      <c r="F1515" s="7">
        <v>6173.13</v>
      </c>
      <c r="G1515">
        <v>0</v>
      </c>
      <c r="H1515" s="7">
        <v>0</v>
      </c>
    </row>
    <row r="1516" spans="1:8">
      <c r="A1516">
        <v>1</v>
      </c>
      <c r="B1516" t="s">
        <v>42</v>
      </c>
      <c r="C1516" t="s">
        <v>33</v>
      </c>
      <c r="D1516">
        <v>0</v>
      </c>
      <c r="E1516">
        <v>1</v>
      </c>
      <c r="F1516" s="7">
        <v>1196.9</v>
      </c>
      <c r="G1516">
        <v>0</v>
      </c>
      <c r="H1516" s="7">
        <v>0</v>
      </c>
    </row>
    <row r="1517" spans="1:8">
      <c r="A1517">
        <v>1</v>
      </c>
      <c r="B1517" t="s">
        <v>42</v>
      </c>
      <c r="C1517" t="s">
        <v>32</v>
      </c>
      <c r="D1517">
        <v>0</v>
      </c>
      <c r="E1517">
        <v>1</v>
      </c>
      <c r="F1517" s="7">
        <v>150.07</v>
      </c>
      <c r="G1517">
        <v>0</v>
      </c>
      <c r="H1517" s="7">
        <v>0</v>
      </c>
    </row>
    <row r="1518" spans="1:8">
      <c r="A1518">
        <v>1</v>
      </c>
      <c r="B1518" t="s">
        <v>42</v>
      </c>
      <c r="C1518" t="s">
        <v>32</v>
      </c>
      <c r="D1518">
        <v>0</v>
      </c>
      <c r="E1518">
        <v>1</v>
      </c>
      <c r="F1518" s="7">
        <v>624.1</v>
      </c>
      <c r="G1518">
        <v>0</v>
      </c>
      <c r="H1518" s="7">
        <v>0</v>
      </c>
    </row>
    <row r="1519" spans="1:8">
      <c r="A1519">
        <v>1</v>
      </c>
      <c r="B1519" t="s">
        <v>42</v>
      </c>
      <c r="C1519" t="s">
        <v>33</v>
      </c>
      <c r="D1519">
        <v>0</v>
      </c>
      <c r="E1519">
        <v>1</v>
      </c>
      <c r="F1519" s="7">
        <v>1012.86</v>
      </c>
      <c r="G1519">
        <v>0</v>
      </c>
      <c r="H1519" s="7">
        <v>0</v>
      </c>
    </row>
    <row r="1520" spans="1:8">
      <c r="A1520">
        <v>1</v>
      </c>
      <c r="B1520" t="s">
        <v>42</v>
      </c>
      <c r="C1520" t="s">
        <v>33</v>
      </c>
      <c r="D1520">
        <v>0</v>
      </c>
      <c r="E1520">
        <v>1</v>
      </c>
      <c r="F1520" s="7">
        <v>3688.28</v>
      </c>
      <c r="G1520">
        <v>0</v>
      </c>
      <c r="H1520" s="7">
        <v>0</v>
      </c>
    </row>
    <row r="1521" spans="1:8">
      <c r="A1521">
        <v>1</v>
      </c>
      <c r="B1521" t="s">
        <v>43</v>
      </c>
      <c r="C1521" t="s">
        <v>34</v>
      </c>
      <c r="D1521">
        <v>0</v>
      </c>
      <c r="E1521">
        <v>1</v>
      </c>
      <c r="F1521" s="7">
        <v>26112.94</v>
      </c>
      <c r="G1521">
        <v>0</v>
      </c>
      <c r="H1521" s="7">
        <v>0</v>
      </c>
    </row>
    <row r="1522" spans="1:8">
      <c r="A1522">
        <v>1</v>
      </c>
      <c r="B1522" t="s">
        <v>44</v>
      </c>
      <c r="C1522" t="s">
        <v>35</v>
      </c>
      <c r="D1522">
        <v>0</v>
      </c>
      <c r="E1522">
        <v>1</v>
      </c>
      <c r="F1522" s="7">
        <v>286590.92</v>
      </c>
      <c r="G1522">
        <v>0</v>
      </c>
      <c r="H1522" s="7">
        <v>0</v>
      </c>
    </row>
    <row r="1523" spans="1:8">
      <c r="A1523">
        <v>1</v>
      </c>
      <c r="B1523" t="s">
        <v>42</v>
      </c>
      <c r="C1523" t="s">
        <v>33</v>
      </c>
      <c r="D1523">
        <v>0</v>
      </c>
      <c r="E1523">
        <v>1</v>
      </c>
      <c r="F1523" s="7">
        <v>5430.53</v>
      </c>
      <c r="G1523">
        <v>0</v>
      </c>
      <c r="H1523" s="7">
        <v>0</v>
      </c>
    </row>
    <row r="1524" spans="1:8">
      <c r="A1524">
        <v>1</v>
      </c>
      <c r="B1524" t="s">
        <v>42</v>
      </c>
      <c r="C1524" t="s">
        <v>34</v>
      </c>
      <c r="D1524">
        <v>0</v>
      </c>
      <c r="E1524">
        <v>1</v>
      </c>
      <c r="F1524" s="7">
        <v>13840.98</v>
      </c>
      <c r="G1524">
        <v>0</v>
      </c>
      <c r="H1524" s="7">
        <v>0</v>
      </c>
    </row>
    <row r="1525" spans="1:8">
      <c r="A1525">
        <v>1</v>
      </c>
      <c r="B1525" t="s">
        <v>42</v>
      </c>
      <c r="C1525" t="s">
        <v>34</v>
      </c>
      <c r="D1525">
        <v>0</v>
      </c>
      <c r="E1525">
        <v>1</v>
      </c>
      <c r="F1525" s="7">
        <v>11479.22</v>
      </c>
      <c r="G1525">
        <v>0</v>
      </c>
      <c r="H1525" s="7">
        <v>0</v>
      </c>
    </row>
    <row r="1526" spans="1:8">
      <c r="A1526">
        <v>1</v>
      </c>
      <c r="B1526" t="s">
        <v>44</v>
      </c>
      <c r="C1526" t="s">
        <v>35</v>
      </c>
      <c r="D1526">
        <v>0</v>
      </c>
      <c r="E1526">
        <v>1</v>
      </c>
      <c r="F1526" s="7">
        <v>119570.96</v>
      </c>
      <c r="G1526">
        <v>0</v>
      </c>
      <c r="H1526" s="7">
        <v>0</v>
      </c>
    </row>
    <row r="1527" spans="1:8">
      <c r="A1527">
        <v>1</v>
      </c>
      <c r="B1527" t="s">
        <v>45</v>
      </c>
      <c r="C1527" t="s">
        <v>32</v>
      </c>
      <c r="D1527">
        <v>0</v>
      </c>
      <c r="E1527">
        <v>1</v>
      </c>
      <c r="F1527" s="7">
        <v>818.99</v>
      </c>
      <c r="G1527">
        <v>0</v>
      </c>
      <c r="H1527" s="7">
        <v>0</v>
      </c>
    </row>
    <row r="1528" spans="1:8">
      <c r="A1528">
        <v>1</v>
      </c>
      <c r="B1528" t="s">
        <v>42</v>
      </c>
      <c r="C1528" t="s">
        <v>33</v>
      </c>
      <c r="D1528">
        <v>0</v>
      </c>
      <c r="E1528">
        <v>1</v>
      </c>
      <c r="F1528" s="7">
        <v>2736.66</v>
      </c>
      <c r="G1528">
        <v>0</v>
      </c>
      <c r="H1528" s="7">
        <v>0</v>
      </c>
    </row>
    <row r="1529" spans="1:8">
      <c r="A1529">
        <v>1</v>
      </c>
      <c r="B1529" t="s">
        <v>42</v>
      </c>
      <c r="C1529" t="s">
        <v>33</v>
      </c>
      <c r="D1529">
        <v>0</v>
      </c>
      <c r="E1529">
        <v>1</v>
      </c>
      <c r="F1529" s="7">
        <v>6166.35</v>
      </c>
      <c r="G1529">
        <v>0</v>
      </c>
      <c r="H1529" s="7">
        <v>0</v>
      </c>
    </row>
    <row r="1530" spans="1:8">
      <c r="A1530">
        <v>1</v>
      </c>
      <c r="B1530" t="s">
        <v>42</v>
      </c>
      <c r="C1530" t="s">
        <v>33</v>
      </c>
      <c r="D1530">
        <v>0</v>
      </c>
      <c r="E1530">
        <v>1</v>
      </c>
      <c r="F1530" s="7">
        <v>4052.14</v>
      </c>
      <c r="G1530">
        <v>0</v>
      </c>
      <c r="H1530" s="7">
        <v>0</v>
      </c>
    </row>
    <row r="1531" spans="1:8">
      <c r="A1531">
        <v>1</v>
      </c>
      <c r="B1531" t="s">
        <v>42</v>
      </c>
      <c r="C1531" t="s">
        <v>33</v>
      </c>
      <c r="D1531">
        <v>0</v>
      </c>
      <c r="E1531">
        <v>1</v>
      </c>
      <c r="F1531" s="7">
        <v>6730.59</v>
      </c>
      <c r="G1531">
        <v>0</v>
      </c>
      <c r="H1531" s="7">
        <v>0</v>
      </c>
    </row>
    <row r="1532" spans="1:8">
      <c r="A1532">
        <v>1</v>
      </c>
      <c r="B1532" t="s">
        <v>43</v>
      </c>
      <c r="C1532" t="s">
        <v>35</v>
      </c>
      <c r="D1532">
        <v>0</v>
      </c>
      <c r="E1532">
        <v>1</v>
      </c>
      <c r="F1532" s="7">
        <v>259096.62</v>
      </c>
      <c r="G1532">
        <v>0</v>
      </c>
      <c r="H1532" s="7">
        <v>0</v>
      </c>
    </row>
    <row r="1533" spans="1:8">
      <c r="A1533">
        <v>1</v>
      </c>
      <c r="B1533" t="s">
        <v>43</v>
      </c>
      <c r="C1533" t="s">
        <v>34</v>
      </c>
      <c r="D1533">
        <v>0</v>
      </c>
      <c r="E1533">
        <v>1</v>
      </c>
      <c r="F1533" s="7">
        <v>21502.38</v>
      </c>
      <c r="G1533">
        <v>0</v>
      </c>
      <c r="H1533" s="7">
        <v>0</v>
      </c>
    </row>
    <row r="1534" spans="1:8">
      <c r="A1534">
        <v>1</v>
      </c>
      <c r="B1534" t="s">
        <v>42</v>
      </c>
      <c r="C1534" t="s">
        <v>33</v>
      </c>
      <c r="D1534">
        <v>0</v>
      </c>
      <c r="E1534">
        <v>1</v>
      </c>
      <c r="F1534" s="7">
        <v>1810.88</v>
      </c>
      <c r="G1534">
        <v>0</v>
      </c>
      <c r="H1534" s="7">
        <v>0</v>
      </c>
    </row>
    <row r="1535" spans="1:8">
      <c r="A1535">
        <v>1</v>
      </c>
      <c r="B1535" t="s">
        <v>42</v>
      </c>
      <c r="C1535" t="s">
        <v>32</v>
      </c>
      <c r="D1535">
        <v>0</v>
      </c>
      <c r="E1535">
        <v>1</v>
      </c>
      <c r="F1535" s="7">
        <v>700.86</v>
      </c>
      <c r="G1535">
        <v>0</v>
      </c>
      <c r="H1535" s="7">
        <v>0</v>
      </c>
    </row>
    <row r="1536" spans="1:8">
      <c r="A1536">
        <v>1</v>
      </c>
      <c r="B1536" t="s">
        <v>45</v>
      </c>
      <c r="C1536" t="s">
        <v>33</v>
      </c>
      <c r="D1536">
        <v>0</v>
      </c>
      <c r="E1536">
        <v>1</v>
      </c>
      <c r="F1536" s="7">
        <v>7273.9</v>
      </c>
      <c r="G1536">
        <v>0</v>
      </c>
      <c r="H1536" s="7">
        <v>0</v>
      </c>
    </row>
    <row r="1537" spans="1:8">
      <c r="A1537">
        <v>1</v>
      </c>
      <c r="B1537" t="s">
        <v>42</v>
      </c>
      <c r="C1537" t="s">
        <v>33</v>
      </c>
      <c r="D1537">
        <v>0</v>
      </c>
      <c r="E1537">
        <v>1</v>
      </c>
      <c r="F1537" s="7">
        <v>4845.31</v>
      </c>
      <c r="G1537">
        <v>0</v>
      </c>
      <c r="H1537" s="7">
        <v>0</v>
      </c>
    </row>
    <row r="1538" spans="1:8">
      <c r="A1538">
        <v>1</v>
      </c>
      <c r="B1538" t="s">
        <v>42</v>
      </c>
      <c r="C1538" t="s">
        <v>33</v>
      </c>
      <c r="D1538">
        <v>0</v>
      </c>
      <c r="E1538">
        <v>1</v>
      </c>
      <c r="F1538" s="7">
        <v>1153.98</v>
      </c>
      <c r="G1538">
        <v>0</v>
      </c>
      <c r="H1538" s="7">
        <v>0</v>
      </c>
    </row>
    <row r="1539" spans="1:8">
      <c r="A1539">
        <v>1</v>
      </c>
      <c r="B1539" t="s">
        <v>42</v>
      </c>
      <c r="C1539" t="s">
        <v>33</v>
      </c>
      <c r="D1539">
        <v>0</v>
      </c>
      <c r="E1539">
        <v>1</v>
      </c>
      <c r="F1539" s="7">
        <v>1624.03</v>
      </c>
      <c r="G1539">
        <v>0</v>
      </c>
      <c r="H1539" s="7">
        <v>0</v>
      </c>
    </row>
    <row r="1540" spans="1:8">
      <c r="A1540">
        <v>1</v>
      </c>
      <c r="B1540" t="s">
        <v>42</v>
      </c>
      <c r="C1540" t="s">
        <v>33</v>
      </c>
      <c r="D1540">
        <v>0</v>
      </c>
      <c r="E1540">
        <v>1</v>
      </c>
      <c r="F1540" s="7">
        <v>8076.53</v>
      </c>
      <c r="G1540">
        <v>0</v>
      </c>
      <c r="H1540" s="7">
        <v>0</v>
      </c>
    </row>
    <row r="1541" spans="1:8">
      <c r="A1541">
        <v>1</v>
      </c>
      <c r="B1541" t="s">
        <v>42</v>
      </c>
      <c r="C1541" t="s">
        <v>33</v>
      </c>
      <c r="D1541">
        <v>0</v>
      </c>
      <c r="E1541">
        <v>1</v>
      </c>
      <c r="F1541" s="7">
        <v>1313.6</v>
      </c>
      <c r="G1541">
        <v>0</v>
      </c>
      <c r="H1541" s="7">
        <v>0</v>
      </c>
    </row>
    <row r="1542" spans="1:8">
      <c r="A1542">
        <v>1</v>
      </c>
      <c r="B1542" t="s">
        <v>42</v>
      </c>
      <c r="C1542" t="s">
        <v>33</v>
      </c>
      <c r="D1542">
        <v>0</v>
      </c>
      <c r="E1542">
        <v>1</v>
      </c>
      <c r="F1542" s="7">
        <v>6128.41</v>
      </c>
      <c r="G1542">
        <v>0</v>
      </c>
      <c r="H1542" s="7">
        <v>0</v>
      </c>
    </row>
    <row r="1543" spans="1:8">
      <c r="A1543">
        <v>1</v>
      </c>
      <c r="B1543" t="s">
        <v>42</v>
      </c>
      <c r="C1543" t="s">
        <v>34</v>
      </c>
      <c r="D1543">
        <v>0</v>
      </c>
      <c r="E1543">
        <v>1</v>
      </c>
      <c r="F1543" s="7">
        <v>11301.82</v>
      </c>
      <c r="G1543">
        <v>0</v>
      </c>
      <c r="H1543" s="7">
        <v>0</v>
      </c>
    </row>
    <row r="1544" spans="1:8">
      <c r="A1544">
        <v>1</v>
      </c>
      <c r="B1544" t="s">
        <v>42</v>
      </c>
      <c r="C1544" t="s">
        <v>33</v>
      </c>
      <c r="D1544">
        <v>0</v>
      </c>
      <c r="E1544">
        <v>1</v>
      </c>
      <c r="F1544" s="7">
        <v>4508.96</v>
      </c>
      <c r="G1544">
        <v>0</v>
      </c>
      <c r="H1544" s="7">
        <v>0</v>
      </c>
    </row>
    <row r="1545" spans="1:8">
      <c r="A1545">
        <v>1</v>
      </c>
      <c r="B1545" t="s">
        <v>42</v>
      </c>
      <c r="C1545" t="s">
        <v>33</v>
      </c>
      <c r="D1545">
        <v>0</v>
      </c>
      <c r="E1545">
        <v>1</v>
      </c>
      <c r="F1545" s="7">
        <v>2588.24</v>
      </c>
      <c r="G1545">
        <v>0</v>
      </c>
      <c r="H1545" s="7">
        <v>0</v>
      </c>
    </row>
    <row r="1546" spans="1:8">
      <c r="A1546">
        <v>1</v>
      </c>
      <c r="B1546" t="s">
        <v>42</v>
      </c>
      <c r="C1546" t="s">
        <v>32</v>
      </c>
      <c r="D1546">
        <v>0</v>
      </c>
      <c r="E1546">
        <v>1</v>
      </c>
      <c r="F1546" s="7">
        <v>909.33</v>
      </c>
      <c r="G1546">
        <v>0</v>
      </c>
      <c r="H1546" s="7">
        <v>0</v>
      </c>
    </row>
    <row r="1547" spans="1:8">
      <c r="A1547">
        <v>1</v>
      </c>
      <c r="B1547" t="s">
        <v>42</v>
      </c>
      <c r="C1547" t="s">
        <v>33</v>
      </c>
      <c r="D1547">
        <v>0</v>
      </c>
      <c r="E1547">
        <v>1</v>
      </c>
      <c r="F1547" s="7">
        <v>7123.18</v>
      </c>
      <c r="G1547">
        <v>0</v>
      </c>
      <c r="H1547" s="7">
        <v>0</v>
      </c>
    </row>
    <row r="1548" spans="1:8">
      <c r="A1548">
        <v>1</v>
      </c>
      <c r="B1548" t="s">
        <v>42</v>
      </c>
      <c r="C1548" t="s">
        <v>33</v>
      </c>
      <c r="D1548">
        <v>0</v>
      </c>
      <c r="E1548">
        <v>1</v>
      </c>
      <c r="F1548" s="7">
        <v>4449.8</v>
      </c>
      <c r="G1548">
        <v>0</v>
      </c>
      <c r="H1548" s="7">
        <v>0</v>
      </c>
    </row>
    <row r="1549" spans="1:8">
      <c r="A1549">
        <v>1</v>
      </c>
      <c r="B1549" t="s">
        <v>42</v>
      </c>
      <c r="C1549" t="s">
        <v>32</v>
      </c>
      <c r="D1549">
        <v>0</v>
      </c>
      <c r="E1549">
        <v>1</v>
      </c>
      <c r="F1549" s="7">
        <v>663.34</v>
      </c>
      <c r="G1549">
        <v>0</v>
      </c>
      <c r="H1549" s="7">
        <v>0</v>
      </c>
    </row>
    <row r="1550" spans="1:8">
      <c r="A1550">
        <v>1</v>
      </c>
      <c r="B1550" t="s">
        <v>42</v>
      </c>
      <c r="C1550" t="s">
        <v>33</v>
      </c>
      <c r="D1550">
        <v>0</v>
      </c>
      <c r="E1550">
        <v>1</v>
      </c>
      <c r="F1550" s="7">
        <v>4043.76</v>
      </c>
      <c r="G1550">
        <v>0</v>
      </c>
      <c r="H1550" s="7">
        <v>0</v>
      </c>
    </row>
    <row r="1551" spans="1:8">
      <c r="A1551">
        <v>1</v>
      </c>
      <c r="B1551" t="s">
        <v>42</v>
      </c>
      <c r="C1551" t="s">
        <v>34</v>
      </c>
      <c r="D1551">
        <v>0</v>
      </c>
      <c r="E1551">
        <v>1</v>
      </c>
      <c r="F1551" s="7">
        <v>15350.84</v>
      </c>
      <c r="G1551">
        <v>0</v>
      </c>
      <c r="H1551" s="7">
        <v>0</v>
      </c>
    </row>
    <row r="1552" spans="1:8">
      <c r="A1552">
        <v>1</v>
      </c>
      <c r="B1552" t="s">
        <v>42</v>
      </c>
      <c r="C1552" t="s">
        <v>34</v>
      </c>
      <c r="D1552">
        <v>0</v>
      </c>
      <c r="E1552">
        <v>1</v>
      </c>
      <c r="F1552" s="7">
        <v>11917.23</v>
      </c>
      <c r="G1552">
        <v>0</v>
      </c>
      <c r="H1552" s="7">
        <v>0</v>
      </c>
    </row>
    <row r="1553" spans="1:8">
      <c r="A1553">
        <v>1</v>
      </c>
      <c r="B1553" t="s">
        <v>42</v>
      </c>
      <c r="C1553" t="s">
        <v>34</v>
      </c>
      <c r="D1553">
        <v>0</v>
      </c>
      <c r="E1553">
        <v>1</v>
      </c>
      <c r="F1553" s="7">
        <v>14145.51</v>
      </c>
      <c r="G1553">
        <v>0</v>
      </c>
      <c r="H1553" s="7">
        <v>0</v>
      </c>
    </row>
    <row r="1554" spans="1:8">
      <c r="A1554">
        <v>1</v>
      </c>
      <c r="B1554" t="s">
        <v>42</v>
      </c>
      <c r="C1554" t="s">
        <v>34</v>
      </c>
      <c r="D1554">
        <v>0</v>
      </c>
      <c r="E1554">
        <v>1</v>
      </c>
      <c r="F1554" s="7">
        <v>28301.88</v>
      </c>
      <c r="G1554">
        <v>0</v>
      </c>
      <c r="H1554" s="7">
        <v>0</v>
      </c>
    </row>
    <row r="1555" spans="1:8">
      <c r="A1555">
        <v>1</v>
      </c>
      <c r="B1555" t="s">
        <v>42</v>
      </c>
      <c r="C1555" t="s">
        <v>33</v>
      </c>
      <c r="D1555">
        <v>0</v>
      </c>
      <c r="E1555">
        <v>1</v>
      </c>
      <c r="F1555" s="7">
        <v>6976.97</v>
      </c>
      <c r="G1555">
        <v>0</v>
      </c>
      <c r="H1555" s="7">
        <v>0</v>
      </c>
    </row>
    <row r="1556" spans="1:8">
      <c r="A1556">
        <v>1</v>
      </c>
      <c r="B1556" t="s">
        <v>42</v>
      </c>
      <c r="C1556" t="s">
        <v>34</v>
      </c>
      <c r="D1556">
        <v>0</v>
      </c>
      <c r="E1556">
        <v>1</v>
      </c>
      <c r="F1556" s="7">
        <v>19572.25</v>
      </c>
      <c r="G1556">
        <v>0</v>
      </c>
      <c r="H1556" s="7">
        <v>0</v>
      </c>
    </row>
    <row r="1557" spans="1:8">
      <c r="A1557">
        <v>1</v>
      </c>
      <c r="B1557" t="s">
        <v>42</v>
      </c>
      <c r="C1557" t="s">
        <v>34</v>
      </c>
      <c r="D1557">
        <v>0</v>
      </c>
      <c r="E1557">
        <v>1</v>
      </c>
      <c r="F1557" s="7">
        <v>17389.94</v>
      </c>
      <c r="G1557">
        <v>0</v>
      </c>
      <c r="H1557" s="7">
        <v>0</v>
      </c>
    </row>
    <row r="1558" spans="1:8">
      <c r="A1558">
        <v>1</v>
      </c>
      <c r="B1558" t="s">
        <v>42</v>
      </c>
      <c r="C1558" t="s">
        <v>34</v>
      </c>
      <c r="D1558">
        <v>0</v>
      </c>
      <c r="E1558">
        <v>1</v>
      </c>
      <c r="F1558" s="7">
        <v>12123.91</v>
      </c>
      <c r="G1558">
        <v>0</v>
      </c>
      <c r="H1558" s="7">
        <v>0</v>
      </c>
    </row>
    <row r="1559" spans="1:8">
      <c r="A1559">
        <v>1</v>
      </c>
      <c r="B1559" t="s">
        <v>42</v>
      </c>
      <c r="C1559" t="s">
        <v>34</v>
      </c>
      <c r="D1559">
        <v>0</v>
      </c>
      <c r="E1559">
        <v>1</v>
      </c>
      <c r="F1559" s="7">
        <v>20007.91</v>
      </c>
      <c r="G1559">
        <v>0</v>
      </c>
      <c r="H1559" s="7">
        <v>0</v>
      </c>
    </row>
    <row r="1560" spans="1:8">
      <c r="A1560">
        <v>1</v>
      </c>
      <c r="B1560" t="s">
        <v>42</v>
      </c>
      <c r="C1560" t="s">
        <v>34</v>
      </c>
      <c r="D1560">
        <v>0</v>
      </c>
      <c r="E1560">
        <v>1</v>
      </c>
      <c r="F1560" s="7">
        <v>18389.77</v>
      </c>
      <c r="G1560">
        <v>0</v>
      </c>
      <c r="H1560" s="7">
        <v>0</v>
      </c>
    </row>
    <row r="1561" spans="1:8">
      <c r="A1561">
        <v>1</v>
      </c>
      <c r="B1561" t="s">
        <v>42</v>
      </c>
      <c r="C1561" t="s">
        <v>33</v>
      </c>
      <c r="D1561">
        <v>0</v>
      </c>
      <c r="E1561">
        <v>1</v>
      </c>
      <c r="F1561" s="7">
        <v>5947.8</v>
      </c>
      <c r="G1561">
        <v>0</v>
      </c>
      <c r="H1561" s="7">
        <v>0</v>
      </c>
    </row>
    <row r="1562" spans="1:8">
      <c r="A1562">
        <v>1</v>
      </c>
      <c r="B1562" t="s">
        <v>42</v>
      </c>
      <c r="C1562" t="s">
        <v>32</v>
      </c>
      <c r="D1562">
        <v>0</v>
      </c>
      <c r="E1562">
        <v>1</v>
      </c>
      <c r="F1562" s="7">
        <v>804.16</v>
      </c>
      <c r="G1562">
        <v>0</v>
      </c>
      <c r="H1562" s="7">
        <v>0</v>
      </c>
    </row>
    <row r="1563" spans="1:8">
      <c r="A1563">
        <v>1</v>
      </c>
      <c r="B1563" t="s">
        <v>42</v>
      </c>
      <c r="C1563" t="s">
        <v>34</v>
      </c>
      <c r="D1563">
        <v>0</v>
      </c>
      <c r="E1563">
        <v>1</v>
      </c>
      <c r="F1563" s="7">
        <v>14711.9</v>
      </c>
      <c r="G1563">
        <v>0</v>
      </c>
      <c r="H1563" s="7">
        <v>0</v>
      </c>
    </row>
    <row r="1564" spans="1:8">
      <c r="A1564">
        <v>1</v>
      </c>
      <c r="B1564" t="s">
        <v>42</v>
      </c>
      <c r="C1564" t="s">
        <v>33</v>
      </c>
      <c r="D1564">
        <v>0</v>
      </c>
      <c r="E1564">
        <v>1</v>
      </c>
      <c r="F1564" s="7">
        <v>2407.47</v>
      </c>
      <c r="G1564">
        <v>0</v>
      </c>
      <c r="H1564" s="7">
        <v>0</v>
      </c>
    </row>
    <row r="1565" spans="1:8">
      <c r="A1565">
        <v>1</v>
      </c>
      <c r="B1565" t="s">
        <v>42</v>
      </c>
      <c r="C1565" t="s">
        <v>33</v>
      </c>
      <c r="D1565">
        <v>0</v>
      </c>
      <c r="E1565">
        <v>1</v>
      </c>
      <c r="F1565" s="7">
        <v>2074.51</v>
      </c>
      <c r="G1565">
        <v>0</v>
      </c>
      <c r="H1565" s="7">
        <v>0</v>
      </c>
    </row>
    <row r="1566" spans="1:8">
      <c r="A1566">
        <v>1</v>
      </c>
      <c r="B1566" t="s">
        <v>42</v>
      </c>
      <c r="C1566" t="s">
        <v>33</v>
      </c>
      <c r="D1566">
        <v>0</v>
      </c>
      <c r="E1566">
        <v>1</v>
      </c>
      <c r="F1566" s="7">
        <v>5711.01</v>
      </c>
      <c r="G1566">
        <v>0</v>
      </c>
      <c r="H1566" s="7">
        <v>0</v>
      </c>
    </row>
    <row r="1567" spans="1:8">
      <c r="A1567">
        <v>1</v>
      </c>
      <c r="B1567" t="s">
        <v>42</v>
      </c>
      <c r="C1567" t="s">
        <v>34</v>
      </c>
      <c r="D1567">
        <v>0</v>
      </c>
      <c r="E1567">
        <v>1</v>
      </c>
      <c r="F1567" s="7">
        <v>21897.3</v>
      </c>
      <c r="G1567">
        <v>0</v>
      </c>
      <c r="H1567" s="7">
        <v>0</v>
      </c>
    </row>
    <row r="1568" spans="1:8">
      <c r="A1568">
        <v>1</v>
      </c>
      <c r="B1568" t="s">
        <v>42</v>
      </c>
      <c r="C1568" t="s">
        <v>33</v>
      </c>
      <c r="D1568">
        <v>0</v>
      </c>
      <c r="E1568">
        <v>1</v>
      </c>
      <c r="F1568" s="7">
        <v>5462.01</v>
      </c>
      <c r="G1568">
        <v>0</v>
      </c>
      <c r="H1568" s="7">
        <v>0</v>
      </c>
    </row>
    <row r="1569" spans="1:8">
      <c r="A1569">
        <v>1</v>
      </c>
      <c r="B1569" t="s">
        <v>42</v>
      </c>
      <c r="C1569" t="s">
        <v>33</v>
      </c>
      <c r="D1569">
        <v>0</v>
      </c>
      <c r="E1569">
        <v>1</v>
      </c>
      <c r="F1569" s="7">
        <v>2185.54</v>
      </c>
      <c r="G1569">
        <v>0</v>
      </c>
      <c r="H1569" s="7">
        <v>0</v>
      </c>
    </row>
    <row r="1570" spans="1:8">
      <c r="A1570">
        <v>1</v>
      </c>
      <c r="B1570" t="s">
        <v>45</v>
      </c>
      <c r="C1570" t="s">
        <v>33</v>
      </c>
      <c r="D1570">
        <v>0</v>
      </c>
      <c r="E1570">
        <v>1</v>
      </c>
      <c r="F1570" s="7">
        <v>5655.43</v>
      </c>
      <c r="G1570">
        <v>0</v>
      </c>
      <c r="H1570" s="7">
        <v>0</v>
      </c>
    </row>
    <row r="1571" spans="1:8">
      <c r="A1571">
        <v>1</v>
      </c>
      <c r="B1571" t="s">
        <v>42</v>
      </c>
      <c r="C1571" t="s">
        <v>32</v>
      </c>
      <c r="D1571">
        <v>0</v>
      </c>
      <c r="E1571">
        <v>1</v>
      </c>
      <c r="F1571" s="7">
        <v>727.94</v>
      </c>
      <c r="G1571">
        <v>0</v>
      </c>
      <c r="H1571" s="7">
        <v>0</v>
      </c>
    </row>
    <row r="1572" spans="1:8">
      <c r="A1572">
        <v>1</v>
      </c>
      <c r="B1572" t="s">
        <v>42</v>
      </c>
      <c r="C1572" t="s">
        <v>33</v>
      </c>
      <c r="D1572">
        <v>0</v>
      </c>
      <c r="E1572">
        <v>1</v>
      </c>
      <c r="F1572" s="7">
        <v>7868.9</v>
      </c>
      <c r="G1572">
        <v>0</v>
      </c>
      <c r="H1572" s="7">
        <v>0</v>
      </c>
    </row>
    <row r="1573" spans="1:8">
      <c r="A1573">
        <v>1</v>
      </c>
      <c r="B1573" t="s">
        <v>42</v>
      </c>
      <c r="C1573" t="s">
        <v>33</v>
      </c>
      <c r="D1573">
        <v>0</v>
      </c>
      <c r="E1573">
        <v>1</v>
      </c>
      <c r="F1573" s="7">
        <v>4029.56</v>
      </c>
      <c r="G1573">
        <v>0</v>
      </c>
      <c r="H1573" s="7">
        <v>0</v>
      </c>
    </row>
    <row r="1574" spans="1:8">
      <c r="A1574">
        <v>1</v>
      </c>
      <c r="B1574" t="s">
        <v>45</v>
      </c>
      <c r="C1574" t="s">
        <v>33</v>
      </c>
      <c r="D1574">
        <v>0</v>
      </c>
      <c r="E1574">
        <v>1</v>
      </c>
      <c r="F1574" s="7">
        <v>2637.07</v>
      </c>
      <c r="G1574">
        <v>0</v>
      </c>
      <c r="H1574" s="7">
        <v>0</v>
      </c>
    </row>
    <row r="1575" spans="1:8">
      <c r="A1575">
        <v>1</v>
      </c>
      <c r="B1575" t="s">
        <v>42</v>
      </c>
      <c r="C1575" t="s">
        <v>33</v>
      </c>
      <c r="D1575">
        <v>0</v>
      </c>
      <c r="E1575">
        <v>1</v>
      </c>
      <c r="F1575" s="7">
        <v>3129.06</v>
      </c>
      <c r="G1575">
        <v>0</v>
      </c>
      <c r="H1575" s="7">
        <v>0</v>
      </c>
    </row>
    <row r="1576" spans="1:8">
      <c r="A1576">
        <v>1</v>
      </c>
      <c r="B1576" t="s">
        <v>42</v>
      </c>
      <c r="C1576" t="s">
        <v>33</v>
      </c>
      <c r="D1576">
        <v>0</v>
      </c>
      <c r="E1576">
        <v>1</v>
      </c>
      <c r="F1576" s="7">
        <v>6899.83</v>
      </c>
      <c r="G1576">
        <v>0</v>
      </c>
      <c r="H1576" s="7">
        <v>0</v>
      </c>
    </row>
    <row r="1577" spans="1:8">
      <c r="A1577">
        <v>1</v>
      </c>
      <c r="B1577" t="s">
        <v>46</v>
      </c>
      <c r="C1577" t="s">
        <v>34</v>
      </c>
      <c r="D1577">
        <v>0</v>
      </c>
      <c r="E1577">
        <v>1</v>
      </c>
      <c r="F1577" s="7">
        <v>38366.56</v>
      </c>
      <c r="G1577">
        <v>0</v>
      </c>
      <c r="H1577" s="7">
        <v>0</v>
      </c>
    </row>
    <row r="1578" spans="1:8">
      <c r="A1578">
        <v>1</v>
      </c>
      <c r="B1578" t="s">
        <v>42</v>
      </c>
      <c r="C1578" t="s">
        <v>33</v>
      </c>
      <c r="D1578">
        <v>0</v>
      </c>
      <c r="E1578">
        <v>1</v>
      </c>
      <c r="F1578" s="7">
        <v>6778.32</v>
      </c>
      <c r="G1578">
        <v>0</v>
      </c>
      <c r="H1578" s="7">
        <v>0</v>
      </c>
    </row>
    <row r="1579" spans="1:8">
      <c r="A1579">
        <v>1</v>
      </c>
      <c r="B1579" t="s">
        <v>46</v>
      </c>
      <c r="C1579" t="s">
        <v>34</v>
      </c>
      <c r="D1579">
        <v>0</v>
      </c>
      <c r="E1579">
        <v>1</v>
      </c>
      <c r="F1579" s="7">
        <v>96015.94</v>
      </c>
      <c r="G1579">
        <v>0</v>
      </c>
      <c r="H1579" s="7">
        <v>0</v>
      </c>
    </row>
    <row r="1580" spans="1:8">
      <c r="A1580">
        <v>1</v>
      </c>
      <c r="B1580" t="s">
        <v>42</v>
      </c>
      <c r="C1580" t="s">
        <v>33</v>
      </c>
      <c r="D1580">
        <v>0</v>
      </c>
      <c r="E1580">
        <v>1</v>
      </c>
      <c r="F1580" s="7">
        <v>2304.2</v>
      </c>
      <c r="G1580">
        <v>0</v>
      </c>
      <c r="H1580" s="7">
        <v>0</v>
      </c>
    </row>
    <row r="1581" spans="1:8">
      <c r="A1581">
        <v>1</v>
      </c>
      <c r="B1581" t="s">
        <v>42</v>
      </c>
      <c r="C1581" t="s">
        <v>33</v>
      </c>
      <c r="D1581">
        <v>0</v>
      </c>
      <c r="E1581">
        <v>1</v>
      </c>
      <c r="F1581" s="7">
        <v>5575.09</v>
      </c>
      <c r="G1581">
        <v>0</v>
      </c>
      <c r="H1581" s="7">
        <v>0</v>
      </c>
    </row>
    <row r="1582" spans="1:8">
      <c r="A1582">
        <v>1</v>
      </c>
      <c r="B1582" t="s">
        <v>42</v>
      </c>
      <c r="C1582" t="s">
        <v>33</v>
      </c>
      <c r="D1582">
        <v>0</v>
      </c>
      <c r="E1582">
        <v>1</v>
      </c>
      <c r="F1582" s="7">
        <v>1667.88</v>
      </c>
      <c r="G1582">
        <v>0</v>
      </c>
      <c r="H1582" s="7">
        <v>0</v>
      </c>
    </row>
    <row r="1583" spans="1:8">
      <c r="A1583">
        <v>1</v>
      </c>
      <c r="B1583" t="s">
        <v>42</v>
      </c>
      <c r="C1583" t="s">
        <v>34</v>
      </c>
      <c r="D1583">
        <v>0</v>
      </c>
      <c r="E1583">
        <v>1</v>
      </c>
      <c r="F1583" s="7">
        <v>24659.46</v>
      </c>
      <c r="G1583">
        <v>0</v>
      </c>
      <c r="H1583" s="7">
        <v>0</v>
      </c>
    </row>
    <row r="1584" spans="1:8">
      <c r="A1584">
        <v>1</v>
      </c>
      <c r="B1584" t="s">
        <v>46</v>
      </c>
      <c r="C1584" t="s">
        <v>35</v>
      </c>
      <c r="D1584">
        <v>0</v>
      </c>
      <c r="E1584">
        <v>1</v>
      </c>
      <c r="F1584" s="7">
        <v>221557.88</v>
      </c>
      <c r="G1584">
        <v>0</v>
      </c>
      <c r="H1584" s="7">
        <v>0</v>
      </c>
    </row>
    <row r="1585" spans="1:8">
      <c r="A1585">
        <v>1</v>
      </c>
      <c r="B1585" t="s">
        <v>42</v>
      </c>
      <c r="C1585" t="s">
        <v>33</v>
      </c>
      <c r="D1585">
        <v>0</v>
      </c>
      <c r="E1585">
        <v>1</v>
      </c>
      <c r="F1585" s="7">
        <v>1117.17</v>
      </c>
      <c r="G1585">
        <v>0</v>
      </c>
      <c r="H1585" s="7">
        <v>0</v>
      </c>
    </row>
    <row r="1586" spans="1:8">
      <c r="A1586">
        <v>1</v>
      </c>
      <c r="B1586" t="s">
        <v>42</v>
      </c>
      <c r="C1586" t="s">
        <v>33</v>
      </c>
      <c r="D1586">
        <v>0</v>
      </c>
      <c r="E1586">
        <v>1</v>
      </c>
      <c r="F1586" s="7">
        <v>7731.23</v>
      </c>
      <c r="G1586">
        <v>0</v>
      </c>
      <c r="H1586" s="7">
        <v>0</v>
      </c>
    </row>
    <row r="1587" spans="1:8">
      <c r="A1587">
        <v>1</v>
      </c>
      <c r="B1587" t="s">
        <v>44</v>
      </c>
      <c r="C1587" t="s">
        <v>34</v>
      </c>
      <c r="D1587">
        <v>0</v>
      </c>
      <c r="E1587">
        <v>1</v>
      </c>
      <c r="F1587" s="7">
        <v>69490.69</v>
      </c>
      <c r="G1587">
        <v>0</v>
      </c>
      <c r="H1587" s="7">
        <v>0</v>
      </c>
    </row>
    <row r="1588" spans="1:8">
      <c r="A1588">
        <v>1</v>
      </c>
      <c r="B1588" t="s">
        <v>42</v>
      </c>
      <c r="C1588" t="s">
        <v>33</v>
      </c>
      <c r="D1588">
        <v>0</v>
      </c>
      <c r="E1588">
        <v>1</v>
      </c>
      <c r="F1588" s="7">
        <v>5437.85</v>
      </c>
      <c r="G1588">
        <v>0</v>
      </c>
      <c r="H1588" s="7">
        <v>0</v>
      </c>
    </row>
    <row r="1589" spans="1:8">
      <c r="A1589">
        <v>1</v>
      </c>
      <c r="B1589" t="s">
        <v>42</v>
      </c>
      <c r="C1589" t="s">
        <v>33</v>
      </c>
      <c r="D1589">
        <v>0</v>
      </c>
      <c r="E1589">
        <v>1</v>
      </c>
      <c r="F1589" s="7">
        <v>3984.3</v>
      </c>
      <c r="G1589">
        <v>0</v>
      </c>
      <c r="H1589" s="7">
        <v>0</v>
      </c>
    </row>
    <row r="1590" spans="1:8">
      <c r="A1590">
        <v>1</v>
      </c>
      <c r="B1590" t="s">
        <v>42</v>
      </c>
      <c r="C1590" t="s">
        <v>33</v>
      </c>
      <c r="D1590">
        <v>0</v>
      </c>
      <c r="E1590">
        <v>1</v>
      </c>
      <c r="F1590" s="7">
        <v>5630.13</v>
      </c>
      <c r="G1590">
        <v>0</v>
      </c>
      <c r="H1590" s="7">
        <v>0</v>
      </c>
    </row>
    <row r="1591" spans="1:8">
      <c r="A1591">
        <v>1</v>
      </c>
      <c r="B1591" t="s">
        <v>42</v>
      </c>
      <c r="C1591" t="s">
        <v>33</v>
      </c>
      <c r="D1591">
        <v>0</v>
      </c>
      <c r="E1591">
        <v>1</v>
      </c>
      <c r="F1591" s="7">
        <v>3399.78</v>
      </c>
      <c r="G1591">
        <v>0</v>
      </c>
      <c r="H1591" s="7">
        <v>0</v>
      </c>
    </row>
    <row r="1592" spans="1:8">
      <c r="A1592">
        <v>1</v>
      </c>
      <c r="B1592" t="s">
        <v>42</v>
      </c>
      <c r="C1592" t="s">
        <v>33</v>
      </c>
      <c r="D1592">
        <v>0</v>
      </c>
      <c r="E1592">
        <v>1</v>
      </c>
      <c r="F1592" s="7">
        <v>7883.75</v>
      </c>
      <c r="G1592">
        <v>0</v>
      </c>
      <c r="H1592" s="7">
        <v>0</v>
      </c>
    </row>
    <row r="1593" spans="1:8">
      <c r="A1593">
        <v>1</v>
      </c>
      <c r="B1593" t="s">
        <v>42</v>
      </c>
      <c r="C1593" t="s">
        <v>32</v>
      </c>
      <c r="D1593">
        <v>0</v>
      </c>
      <c r="E1593">
        <v>1</v>
      </c>
      <c r="F1593" s="7">
        <v>635.55</v>
      </c>
      <c r="G1593">
        <v>0</v>
      </c>
      <c r="H1593" s="7">
        <v>0</v>
      </c>
    </row>
    <row r="1594" spans="1:8">
      <c r="A1594">
        <v>1</v>
      </c>
      <c r="B1594" t="s">
        <v>42</v>
      </c>
      <c r="C1594" t="s">
        <v>33</v>
      </c>
      <c r="D1594">
        <v>0</v>
      </c>
      <c r="E1594">
        <v>1</v>
      </c>
      <c r="F1594" s="7">
        <v>2248.26</v>
      </c>
      <c r="G1594">
        <v>0</v>
      </c>
      <c r="H1594" s="7">
        <v>0</v>
      </c>
    </row>
    <row r="1595" spans="1:8">
      <c r="A1595">
        <v>1</v>
      </c>
      <c r="B1595" t="s">
        <v>42</v>
      </c>
      <c r="C1595" t="s">
        <v>33</v>
      </c>
      <c r="D1595">
        <v>0</v>
      </c>
      <c r="E1595">
        <v>1</v>
      </c>
      <c r="F1595" s="7">
        <v>9261.94</v>
      </c>
      <c r="G1595">
        <v>0</v>
      </c>
      <c r="H1595" s="7">
        <v>0</v>
      </c>
    </row>
    <row r="1596" spans="1:8">
      <c r="A1596">
        <v>1</v>
      </c>
      <c r="B1596" t="s">
        <v>42</v>
      </c>
      <c r="C1596" t="s">
        <v>33</v>
      </c>
      <c r="D1596">
        <v>0</v>
      </c>
      <c r="E1596">
        <v>1</v>
      </c>
      <c r="F1596" s="7">
        <v>9614.73</v>
      </c>
      <c r="G1596">
        <v>0</v>
      </c>
      <c r="H1596" s="7">
        <v>0</v>
      </c>
    </row>
    <row r="1597" spans="1:8">
      <c r="A1597">
        <v>1</v>
      </c>
      <c r="B1597" t="s">
        <v>44</v>
      </c>
      <c r="C1597" t="s">
        <v>34</v>
      </c>
      <c r="D1597">
        <v>0</v>
      </c>
      <c r="E1597">
        <v>1</v>
      </c>
      <c r="F1597" s="7">
        <v>30308.45</v>
      </c>
      <c r="G1597">
        <v>0</v>
      </c>
      <c r="H1597" s="7">
        <v>0</v>
      </c>
    </row>
    <row r="1598" spans="1:8">
      <c r="A1598">
        <v>1</v>
      </c>
      <c r="B1598" t="s">
        <v>42</v>
      </c>
      <c r="C1598" t="s">
        <v>33</v>
      </c>
      <c r="D1598">
        <v>0</v>
      </c>
      <c r="E1598">
        <v>1</v>
      </c>
      <c r="F1598" s="7">
        <v>1012.84</v>
      </c>
      <c r="G1598">
        <v>0</v>
      </c>
      <c r="H1598" s="7">
        <v>0</v>
      </c>
    </row>
    <row r="1599" spans="1:8">
      <c r="A1599">
        <v>1</v>
      </c>
      <c r="B1599" t="s">
        <v>42</v>
      </c>
      <c r="C1599" t="s">
        <v>33</v>
      </c>
      <c r="D1599">
        <v>0</v>
      </c>
      <c r="E1599">
        <v>1</v>
      </c>
      <c r="F1599" s="7">
        <v>6534.05</v>
      </c>
      <c r="G1599">
        <v>0</v>
      </c>
      <c r="H1599" s="7">
        <v>0</v>
      </c>
    </row>
    <row r="1600" spans="1:8">
      <c r="A1600">
        <v>1</v>
      </c>
      <c r="B1600" t="s">
        <v>42</v>
      </c>
      <c r="C1600" t="s">
        <v>33</v>
      </c>
      <c r="D1600">
        <v>0</v>
      </c>
      <c r="E1600">
        <v>1</v>
      </c>
      <c r="F1600" s="7">
        <v>9460.66</v>
      </c>
      <c r="G1600">
        <v>0</v>
      </c>
      <c r="H1600" s="7">
        <v>0</v>
      </c>
    </row>
    <row r="1601" spans="1:8">
      <c r="A1601">
        <v>1</v>
      </c>
      <c r="B1601" t="s">
        <v>42</v>
      </c>
      <c r="C1601" t="s">
        <v>33</v>
      </c>
      <c r="D1601">
        <v>0</v>
      </c>
      <c r="E1601">
        <v>1</v>
      </c>
      <c r="F1601" s="7">
        <v>2552.79</v>
      </c>
      <c r="G1601">
        <v>0</v>
      </c>
      <c r="H1601" s="7">
        <v>0</v>
      </c>
    </row>
    <row r="1602" spans="1:8">
      <c r="A1602">
        <v>1</v>
      </c>
      <c r="B1602" t="s">
        <v>42</v>
      </c>
      <c r="C1602" t="s">
        <v>33</v>
      </c>
      <c r="D1602">
        <v>0</v>
      </c>
      <c r="E1602">
        <v>1</v>
      </c>
      <c r="F1602" s="7">
        <v>5912.4</v>
      </c>
      <c r="G1602">
        <v>0</v>
      </c>
      <c r="H1602" s="7">
        <v>0</v>
      </c>
    </row>
    <row r="1603" spans="1:8">
      <c r="A1603">
        <v>1</v>
      </c>
      <c r="B1603" t="s">
        <v>42</v>
      </c>
      <c r="C1603" t="s">
        <v>33</v>
      </c>
      <c r="D1603">
        <v>0</v>
      </c>
      <c r="E1603">
        <v>1</v>
      </c>
      <c r="F1603" s="7">
        <v>8009.83</v>
      </c>
      <c r="G1603">
        <v>0</v>
      </c>
      <c r="H1603" s="7">
        <v>0</v>
      </c>
    </row>
    <row r="1604" spans="1:8">
      <c r="A1604">
        <v>1</v>
      </c>
      <c r="B1604" t="s">
        <v>42</v>
      </c>
      <c r="C1604" t="s">
        <v>33</v>
      </c>
      <c r="D1604">
        <v>0</v>
      </c>
      <c r="E1604">
        <v>1</v>
      </c>
      <c r="F1604" s="7">
        <v>8625.97</v>
      </c>
      <c r="G1604">
        <v>0</v>
      </c>
      <c r="H1604" s="7">
        <v>0</v>
      </c>
    </row>
    <row r="1605" spans="1:8">
      <c r="A1605">
        <v>1</v>
      </c>
      <c r="B1605" t="s">
        <v>43</v>
      </c>
      <c r="C1605" t="s">
        <v>35</v>
      </c>
      <c r="D1605">
        <v>0</v>
      </c>
      <c r="E1605">
        <v>1</v>
      </c>
      <c r="F1605" s="7">
        <v>244964.08</v>
      </c>
      <c r="G1605">
        <v>0</v>
      </c>
      <c r="H1605" s="7">
        <v>0</v>
      </c>
    </row>
    <row r="1606" spans="1:8">
      <c r="A1606">
        <v>1</v>
      </c>
      <c r="B1606" t="s">
        <v>42</v>
      </c>
      <c r="C1606" t="s">
        <v>33</v>
      </c>
      <c r="D1606">
        <v>0</v>
      </c>
      <c r="E1606">
        <v>1</v>
      </c>
      <c r="F1606" s="7">
        <v>5663.87</v>
      </c>
      <c r="G1606">
        <v>0</v>
      </c>
      <c r="H1606" s="7">
        <v>0</v>
      </c>
    </row>
    <row r="1607" spans="1:8">
      <c r="A1607">
        <v>1</v>
      </c>
      <c r="B1607" t="s">
        <v>42</v>
      </c>
      <c r="C1607" t="s">
        <v>33</v>
      </c>
      <c r="D1607">
        <v>0</v>
      </c>
      <c r="E1607">
        <v>1</v>
      </c>
      <c r="F1607" s="7">
        <v>1892.34</v>
      </c>
      <c r="G1607">
        <v>0</v>
      </c>
      <c r="H1607" s="7">
        <v>0</v>
      </c>
    </row>
    <row r="1608" spans="1:8">
      <c r="A1608">
        <v>1</v>
      </c>
      <c r="B1608" t="s">
        <v>42</v>
      </c>
      <c r="C1608" t="s">
        <v>32</v>
      </c>
      <c r="D1608">
        <v>0</v>
      </c>
      <c r="E1608">
        <v>1</v>
      </c>
      <c r="F1608" s="7">
        <v>561.01</v>
      </c>
      <c r="G1608">
        <v>0</v>
      </c>
      <c r="H1608" s="7">
        <v>0</v>
      </c>
    </row>
    <row r="1609" spans="1:8">
      <c r="A1609">
        <v>1</v>
      </c>
      <c r="B1609" t="s">
        <v>42</v>
      </c>
      <c r="C1609" t="s">
        <v>33</v>
      </c>
      <c r="D1609">
        <v>0</v>
      </c>
      <c r="E1609">
        <v>1</v>
      </c>
      <c r="F1609" s="7">
        <v>3218.06</v>
      </c>
      <c r="G1609">
        <v>0</v>
      </c>
      <c r="H1609" s="7">
        <v>0</v>
      </c>
    </row>
    <row r="1610" spans="1:8">
      <c r="A1610">
        <v>1</v>
      </c>
      <c r="B1610" t="s">
        <v>42</v>
      </c>
      <c r="C1610" t="s">
        <v>33</v>
      </c>
      <c r="D1610">
        <v>0</v>
      </c>
      <c r="E1610">
        <v>1</v>
      </c>
      <c r="F1610" s="7">
        <v>9731.47</v>
      </c>
      <c r="G1610">
        <v>0</v>
      </c>
      <c r="H1610" s="7">
        <v>0</v>
      </c>
    </row>
    <row r="1611" spans="1:8">
      <c r="A1611">
        <v>1</v>
      </c>
      <c r="B1611" t="s">
        <v>42</v>
      </c>
      <c r="C1611" t="s">
        <v>33</v>
      </c>
      <c r="D1611">
        <v>0</v>
      </c>
      <c r="E1611">
        <v>1</v>
      </c>
      <c r="F1611" s="7">
        <v>4018.12</v>
      </c>
      <c r="G1611">
        <v>0</v>
      </c>
      <c r="H1611" s="7">
        <v>0</v>
      </c>
    </row>
    <row r="1612" spans="1:8">
      <c r="A1612">
        <v>1</v>
      </c>
      <c r="B1612" t="s">
        <v>42</v>
      </c>
      <c r="C1612" t="s">
        <v>33</v>
      </c>
      <c r="D1612">
        <v>0</v>
      </c>
      <c r="E1612">
        <v>1</v>
      </c>
      <c r="F1612" s="7">
        <v>6376.99</v>
      </c>
      <c r="G1612">
        <v>0</v>
      </c>
      <c r="H1612" s="7">
        <v>0</v>
      </c>
    </row>
    <row r="1613" spans="1:8">
      <c r="A1613">
        <v>1</v>
      </c>
      <c r="B1613" t="s">
        <v>42</v>
      </c>
      <c r="C1613" t="s">
        <v>33</v>
      </c>
      <c r="D1613">
        <v>0</v>
      </c>
      <c r="E1613">
        <v>1</v>
      </c>
      <c r="F1613" s="7">
        <v>5983.88</v>
      </c>
      <c r="G1613">
        <v>0</v>
      </c>
      <c r="H1613" s="7">
        <v>0</v>
      </c>
    </row>
    <row r="1614" spans="1:8">
      <c r="A1614">
        <v>1</v>
      </c>
      <c r="B1614" t="s">
        <v>42</v>
      </c>
      <c r="C1614" t="s">
        <v>32</v>
      </c>
      <c r="D1614">
        <v>0</v>
      </c>
      <c r="E1614">
        <v>1</v>
      </c>
      <c r="F1614" s="7">
        <v>280.59</v>
      </c>
      <c r="G1614">
        <v>0</v>
      </c>
      <c r="H1614" s="7">
        <v>0</v>
      </c>
    </row>
    <row r="1615" spans="1:8">
      <c r="A1615">
        <v>1</v>
      </c>
      <c r="B1615" t="s">
        <v>42</v>
      </c>
      <c r="C1615" t="s">
        <v>33</v>
      </c>
      <c r="D1615">
        <v>0</v>
      </c>
      <c r="E1615">
        <v>1</v>
      </c>
      <c r="F1615" s="7">
        <v>5263.67</v>
      </c>
      <c r="G1615">
        <v>0</v>
      </c>
      <c r="H1615" s="7">
        <v>0</v>
      </c>
    </row>
    <row r="1616" spans="1:8">
      <c r="A1616">
        <v>1</v>
      </c>
      <c r="B1616" t="s">
        <v>46</v>
      </c>
      <c r="C1616" t="s">
        <v>35</v>
      </c>
      <c r="D1616">
        <v>0</v>
      </c>
      <c r="E1616">
        <v>1</v>
      </c>
      <c r="F1616" s="7">
        <v>176370.68</v>
      </c>
      <c r="G1616">
        <v>0</v>
      </c>
      <c r="H1616" s="7">
        <v>0</v>
      </c>
    </row>
    <row r="1617" spans="1:8">
      <c r="A1617">
        <v>1</v>
      </c>
      <c r="B1617" t="s">
        <v>46</v>
      </c>
      <c r="C1617" t="s">
        <v>34</v>
      </c>
      <c r="D1617">
        <v>0</v>
      </c>
      <c r="E1617">
        <v>1</v>
      </c>
      <c r="F1617" s="7">
        <v>62783.13</v>
      </c>
      <c r="G1617">
        <v>0</v>
      </c>
      <c r="H1617" s="7">
        <v>0</v>
      </c>
    </row>
    <row r="1618" spans="1:8">
      <c r="A1618">
        <v>1</v>
      </c>
      <c r="B1618" t="s">
        <v>46</v>
      </c>
      <c r="C1618" t="s">
        <v>34</v>
      </c>
      <c r="D1618">
        <v>0</v>
      </c>
      <c r="E1618">
        <v>1</v>
      </c>
      <c r="F1618" s="7">
        <v>90956.1</v>
      </c>
      <c r="G1618">
        <v>0</v>
      </c>
      <c r="H1618" s="7">
        <v>0</v>
      </c>
    </row>
    <row r="1619" spans="1:8">
      <c r="A1619">
        <v>1</v>
      </c>
      <c r="B1619" t="s">
        <v>46</v>
      </c>
      <c r="C1619" t="s">
        <v>35</v>
      </c>
      <c r="D1619">
        <v>0</v>
      </c>
      <c r="E1619">
        <v>1</v>
      </c>
      <c r="F1619" s="7">
        <v>120556.62</v>
      </c>
      <c r="G1619">
        <v>0</v>
      </c>
      <c r="H1619" s="7">
        <v>0</v>
      </c>
    </row>
    <row r="1620" spans="1:8">
      <c r="A1620">
        <v>1</v>
      </c>
      <c r="B1620" t="s">
        <v>46</v>
      </c>
      <c r="C1620" t="s">
        <v>35</v>
      </c>
      <c r="D1620">
        <v>0</v>
      </c>
      <c r="E1620">
        <v>1</v>
      </c>
      <c r="F1620" s="7">
        <v>475857.13</v>
      </c>
      <c r="G1620">
        <v>0</v>
      </c>
      <c r="H1620" s="7">
        <v>0</v>
      </c>
    </row>
    <row r="1621" spans="1:8">
      <c r="A1621">
        <v>1</v>
      </c>
      <c r="B1621" t="s">
        <v>46</v>
      </c>
      <c r="C1621" t="s">
        <v>35</v>
      </c>
      <c r="D1621">
        <v>0</v>
      </c>
      <c r="E1621">
        <v>1</v>
      </c>
      <c r="F1621" s="7">
        <v>239510.08</v>
      </c>
      <c r="G1621">
        <v>0</v>
      </c>
      <c r="H1621" s="7">
        <v>0</v>
      </c>
    </row>
    <row r="1622" spans="1:8">
      <c r="A1622">
        <v>1</v>
      </c>
      <c r="B1622" t="s">
        <v>46</v>
      </c>
      <c r="C1622" t="s">
        <v>34</v>
      </c>
      <c r="D1622">
        <v>0</v>
      </c>
      <c r="E1622">
        <v>1</v>
      </c>
      <c r="F1622" s="7">
        <v>50938.65</v>
      </c>
      <c r="G1622">
        <v>0</v>
      </c>
      <c r="H1622" s="7">
        <v>0</v>
      </c>
    </row>
    <row r="1623" spans="1:8">
      <c r="A1623">
        <v>1</v>
      </c>
      <c r="B1623" t="s">
        <v>46</v>
      </c>
      <c r="C1623" t="s">
        <v>35</v>
      </c>
      <c r="D1623">
        <v>0</v>
      </c>
      <c r="E1623">
        <v>1</v>
      </c>
      <c r="F1623" s="7">
        <v>288438</v>
      </c>
      <c r="G1623">
        <v>0</v>
      </c>
      <c r="H1623" s="7">
        <v>0</v>
      </c>
    </row>
    <row r="1624" spans="1:8">
      <c r="A1624">
        <v>1</v>
      </c>
      <c r="B1624" t="s">
        <v>42</v>
      </c>
      <c r="C1624" t="s">
        <v>34</v>
      </c>
      <c r="D1624">
        <v>0</v>
      </c>
      <c r="E1624">
        <v>1</v>
      </c>
      <c r="F1624" s="7">
        <v>10349.31</v>
      </c>
      <c r="G1624">
        <v>0</v>
      </c>
      <c r="H1624" s="7">
        <v>0</v>
      </c>
    </row>
    <row r="1625" spans="1:8">
      <c r="A1625">
        <v>1</v>
      </c>
      <c r="B1625" t="s">
        <v>42</v>
      </c>
      <c r="C1625" t="s">
        <v>33</v>
      </c>
      <c r="D1625">
        <v>0</v>
      </c>
      <c r="E1625">
        <v>1</v>
      </c>
      <c r="F1625" s="7">
        <v>7672.12</v>
      </c>
      <c r="G1625">
        <v>0</v>
      </c>
      <c r="H1625" s="7">
        <v>0</v>
      </c>
    </row>
    <row r="1626" spans="1:8">
      <c r="A1626">
        <v>1</v>
      </c>
      <c r="B1626" t="s">
        <v>42</v>
      </c>
      <c r="C1626" t="s">
        <v>33</v>
      </c>
      <c r="D1626">
        <v>0</v>
      </c>
      <c r="E1626">
        <v>1</v>
      </c>
      <c r="F1626" s="7">
        <v>1203.13</v>
      </c>
      <c r="G1626">
        <v>0</v>
      </c>
      <c r="H1626" s="7">
        <v>0</v>
      </c>
    </row>
    <row r="1627" spans="1:8">
      <c r="A1627">
        <v>1</v>
      </c>
      <c r="B1627" t="s">
        <v>42</v>
      </c>
      <c r="C1627" t="s">
        <v>33</v>
      </c>
      <c r="D1627">
        <v>0</v>
      </c>
      <c r="E1627">
        <v>1</v>
      </c>
      <c r="F1627" s="7">
        <v>1635.86</v>
      </c>
      <c r="G1627">
        <v>0</v>
      </c>
      <c r="H1627" s="7">
        <v>0</v>
      </c>
    </row>
    <row r="1628" spans="1:8">
      <c r="A1628">
        <v>1</v>
      </c>
      <c r="B1628" t="s">
        <v>42</v>
      </c>
      <c r="C1628" t="s">
        <v>33</v>
      </c>
      <c r="D1628">
        <v>0</v>
      </c>
      <c r="E1628">
        <v>1</v>
      </c>
      <c r="F1628" s="7">
        <v>5072.52</v>
      </c>
      <c r="G1628">
        <v>0</v>
      </c>
      <c r="H1628" s="7">
        <v>0</v>
      </c>
    </row>
    <row r="1629" spans="1:8">
      <c r="A1629">
        <v>1</v>
      </c>
      <c r="B1629" t="s">
        <v>42</v>
      </c>
      <c r="C1629" t="s">
        <v>33</v>
      </c>
      <c r="D1629">
        <v>0</v>
      </c>
      <c r="E1629">
        <v>1</v>
      </c>
      <c r="F1629" s="7">
        <v>3176.52</v>
      </c>
      <c r="G1629">
        <v>0</v>
      </c>
      <c r="H1629" s="7">
        <v>0</v>
      </c>
    </row>
    <row r="1630" spans="1:8">
      <c r="A1630">
        <v>1</v>
      </c>
      <c r="B1630" t="s">
        <v>42</v>
      </c>
      <c r="C1630" t="s">
        <v>33</v>
      </c>
      <c r="D1630">
        <v>0</v>
      </c>
      <c r="E1630">
        <v>1</v>
      </c>
      <c r="F1630" s="7">
        <v>2891.7</v>
      </c>
      <c r="G1630">
        <v>0</v>
      </c>
      <c r="H1630" s="7">
        <v>0</v>
      </c>
    </row>
    <row r="1631" spans="1:8">
      <c r="A1631">
        <v>1</v>
      </c>
      <c r="B1631" t="s">
        <v>42</v>
      </c>
      <c r="C1631" t="s">
        <v>33</v>
      </c>
      <c r="D1631">
        <v>0</v>
      </c>
      <c r="E1631">
        <v>1</v>
      </c>
      <c r="F1631" s="7">
        <v>1557.98</v>
      </c>
      <c r="G1631">
        <v>0</v>
      </c>
      <c r="H1631" s="7">
        <v>0</v>
      </c>
    </row>
    <row r="1632" spans="1:8">
      <c r="A1632">
        <v>1</v>
      </c>
      <c r="B1632" t="s">
        <v>42</v>
      </c>
      <c r="C1632" t="s">
        <v>34</v>
      </c>
      <c r="D1632">
        <v>0</v>
      </c>
      <c r="E1632">
        <v>1</v>
      </c>
      <c r="F1632" s="7">
        <v>19316.5</v>
      </c>
      <c r="G1632">
        <v>0</v>
      </c>
      <c r="H1632" s="7">
        <v>0</v>
      </c>
    </row>
    <row r="1633" spans="1:8">
      <c r="A1633">
        <v>1</v>
      </c>
      <c r="B1633" t="s">
        <v>42</v>
      </c>
      <c r="C1633" t="s">
        <v>33</v>
      </c>
      <c r="D1633">
        <v>0</v>
      </c>
      <c r="E1633">
        <v>1</v>
      </c>
      <c r="F1633" s="7">
        <v>8212.99</v>
      </c>
      <c r="G1633">
        <v>0</v>
      </c>
      <c r="H1633" s="7">
        <v>0</v>
      </c>
    </row>
    <row r="1634" spans="1:8">
      <c r="A1634">
        <v>1</v>
      </c>
      <c r="B1634" t="s">
        <v>42</v>
      </c>
      <c r="C1634" t="s">
        <v>33</v>
      </c>
      <c r="D1634">
        <v>0</v>
      </c>
      <c r="E1634">
        <v>1</v>
      </c>
      <c r="F1634" s="7">
        <v>5284.56</v>
      </c>
      <c r="G1634">
        <v>0</v>
      </c>
      <c r="H1634" s="7">
        <v>0</v>
      </c>
    </row>
    <row r="1635" spans="1:8">
      <c r="A1635">
        <v>1</v>
      </c>
      <c r="B1635" t="s">
        <v>42</v>
      </c>
      <c r="C1635" t="s">
        <v>34</v>
      </c>
      <c r="D1635">
        <v>0</v>
      </c>
      <c r="E1635">
        <v>1</v>
      </c>
      <c r="F1635" s="7">
        <v>16265.77</v>
      </c>
      <c r="G1635">
        <v>0</v>
      </c>
      <c r="H1635" s="7">
        <v>0</v>
      </c>
    </row>
    <row r="1636" spans="1:8">
      <c r="A1636">
        <v>1</v>
      </c>
      <c r="B1636" t="s">
        <v>42</v>
      </c>
      <c r="C1636" t="s">
        <v>34</v>
      </c>
      <c r="D1636">
        <v>0</v>
      </c>
      <c r="E1636">
        <v>1</v>
      </c>
      <c r="F1636" s="7">
        <v>14054.64</v>
      </c>
      <c r="G1636">
        <v>0</v>
      </c>
      <c r="H1636" s="7">
        <v>0</v>
      </c>
    </row>
    <row r="1637" spans="1:8">
      <c r="A1637">
        <v>1</v>
      </c>
      <c r="B1637" t="s">
        <v>42</v>
      </c>
      <c r="C1637" t="s">
        <v>34</v>
      </c>
      <c r="D1637">
        <v>0</v>
      </c>
      <c r="E1637">
        <v>1</v>
      </c>
      <c r="F1637" s="7">
        <v>11334.96</v>
      </c>
      <c r="G1637">
        <v>0</v>
      </c>
      <c r="H1637" s="7">
        <v>0</v>
      </c>
    </row>
    <row r="1638" spans="1:8">
      <c r="A1638">
        <v>1</v>
      </c>
      <c r="B1638" t="s">
        <v>42</v>
      </c>
      <c r="C1638" t="s">
        <v>34</v>
      </c>
      <c r="D1638">
        <v>0</v>
      </c>
      <c r="E1638">
        <v>1</v>
      </c>
      <c r="F1638" s="7">
        <v>12445.65</v>
      </c>
      <c r="G1638">
        <v>0</v>
      </c>
      <c r="H1638" s="7">
        <v>0</v>
      </c>
    </row>
    <row r="1639" spans="1:8">
      <c r="A1639">
        <v>1</v>
      </c>
      <c r="B1639" t="s">
        <v>42</v>
      </c>
      <c r="C1639" t="s">
        <v>32</v>
      </c>
      <c r="D1639">
        <v>0</v>
      </c>
      <c r="E1639">
        <v>1</v>
      </c>
      <c r="F1639" s="7">
        <v>42</v>
      </c>
      <c r="G1639">
        <v>0</v>
      </c>
      <c r="H1639" s="7">
        <v>0</v>
      </c>
    </row>
    <row r="1640" spans="1:8">
      <c r="A1640">
        <v>1</v>
      </c>
      <c r="B1640" t="s">
        <v>42</v>
      </c>
      <c r="C1640" t="s">
        <v>34</v>
      </c>
      <c r="D1640">
        <v>0</v>
      </c>
      <c r="E1640">
        <v>1</v>
      </c>
      <c r="F1640" s="7">
        <v>10685.2</v>
      </c>
      <c r="G1640">
        <v>0</v>
      </c>
      <c r="H1640" s="7">
        <v>0</v>
      </c>
    </row>
    <row r="1641" spans="1:8">
      <c r="A1641">
        <v>1</v>
      </c>
      <c r="B1641" t="s">
        <v>42</v>
      </c>
      <c r="C1641" t="s">
        <v>33</v>
      </c>
      <c r="D1641">
        <v>0</v>
      </c>
      <c r="E1641">
        <v>1</v>
      </c>
      <c r="F1641" s="7">
        <v>5778.99</v>
      </c>
      <c r="G1641">
        <v>0</v>
      </c>
      <c r="H1641" s="7">
        <v>0</v>
      </c>
    </row>
    <row r="1642" spans="1:8">
      <c r="A1642">
        <v>1</v>
      </c>
      <c r="B1642" t="s">
        <v>42</v>
      </c>
      <c r="C1642" t="s">
        <v>33</v>
      </c>
      <c r="D1642">
        <v>0</v>
      </c>
      <c r="E1642">
        <v>1</v>
      </c>
      <c r="F1642" s="7">
        <v>7366.3</v>
      </c>
      <c r="G1642">
        <v>0</v>
      </c>
      <c r="H1642" s="7">
        <v>0</v>
      </c>
    </row>
    <row r="1643" spans="1:8">
      <c r="A1643">
        <v>1</v>
      </c>
      <c r="B1643" t="s">
        <v>42</v>
      </c>
      <c r="C1643" t="s">
        <v>34</v>
      </c>
      <c r="D1643">
        <v>0</v>
      </c>
      <c r="E1643">
        <v>1</v>
      </c>
      <c r="F1643" s="7">
        <v>10810.73</v>
      </c>
      <c r="G1643">
        <v>0</v>
      </c>
      <c r="H1643" s="7">
        <v>0</v>
      </c>
    </row>
    <row r="1644" spans="1:8">
      <c r="A1644">
        <v>1</v>
      </c>
      <c r="B1644" t="s">
        <v>42</v>
      </c>
      <c r="C1644" t="s">
        <v>33</v>
      </c>
      <c r="D1644">
        <v>0</v>
      </c>
      <c r="E1644">
        <v>1</v>
      </c>
      <c r="F1644" s="7">
        <v>5935.34</v>
      </c>
      <c r="G1644">
        <v>0</v>
      </c>
      <c r="H1644" s="7">
        <v>0</v>
      </c>
    </row>
    <row r="1645" spans="1:8">
      <c r="A1645">
        <v>1</v>
      </c>
      <c r="B1645" t="s">
        <v>42</v>
      </c>
      <c r="C1645" t="s">
        <v>33</v>
      </c>
      <c r="D1645">
        <v>0</v>
      </c>
      <c r="E1645">
        <v>1</v>
      </c>
      <c r="F1645" s="7">
        <v>8539.76</v>
      </c>
      <c r="G1645">
        <v>0</v>
      </c>
      <c r="H1645" s="7">
        <v>0</v>
      </c>
    </row>
    <row r="1646" spans="1:8">
      <c r="A1646">
        <v>1</v>
      </c>
      <c r="B1646" t="s">
        <v>45</v>
      </c>
      <c r="C1646" t="s">
        <v>33</v>
      </c>
      <c r="D1646">
        <v>0</v>
      </c>
      <c r="E1646">
        <v>1</v>
      </c>
      <c r="F1646" s="7">
        <v>1703.38</v>
      </c>
      <c r="G1646">
        <v>0</v>
      </c>
      <c r="H1646" s="7">
        <v>0</v>
      </c>
    </row>
    <row r="1647" spans="1:8">
      <c r="A1647">
        <v>1</v>
      </c>
      <c r="B1647" t="s">
        <v>42</v>
      </c>
      <c r="C1647" t="s">
        <v>33</v>
      </c>
      <c r="D1647">
        <v>0</v>
      </c>
      <c r="E1647">
        <v>1</v>
      </c>
      <c r="F1647" s="7">
        <v>7566.04</v>
      </c>
      <c r="G1647">
        <v>0</v>
      </c>
      <c r="H1647" s="7">
        <v>0</v>
      </c>
    </row>
    <row r="1648" spans="1:8">
      <c r="A1648">
        <v>1</v>
      </c>
      <c r="B1648" t="s">
        <v>42</v>
      </c>
      <c r="C1648" t="s">
        <v>32</v>
      </c>
      <c r="D1648">
        <v>0</v>
      </c>
      <c r="E1648">
        <v>1</v>
      </c>
      <c r="F1648" s="7">
        <v>186.33</v>
      </c>
      <c r="G1648">
        <v>0</v>
      </c>
      <c r="H1648" s="7">
        <v>0</v>
      </c>
    </row>
    <row r="1649" spans="1:8">
      <c r="A1649">
        <v>1</v>
      </c>
      <c r="B1649" t="s">
        <v>42</v>
      </c>
      <c r="C1649" t="s">
        <v>34</v>
      </c>
      <c r="D1649">
        <v>0</v>
      </c>
      <c r="E1649">
        <v>1</v>
      </c>
      <c r="F1649" s="7">
        <v>10425.95</v>
      </c>
      <c r="G1649">
        <v>0</v>
      </c>
      <c r="H1649" s="7">
        <v>0</v>
      </c>
    </row>
    <row r="1650" spans="1:8">
      <c r="A1650">
        <v>1</v>
      </c>
      <c r="B1650" t="s">
        <v>42</v>
      </c>
      <c r="C1650" t="s">
        <v>33</v>
      </c>
      <c r="D1650">
        <v>0</v>
      </c>
      <c r="E1650">
        <v>1</v>
      </c>
      <c r="F1650" s="7">
        <v>4764.33</v>
      </c>
      <c r="G1650">
        <v>0</v>
      </c>
      <c r="H1650" s="7">
        <v>0</v>
      </c>
    </row>
    <row r="1651" spans="1:8">
      <c r="A1651">
        <v>1</v>
      </c>
      <c r="B1651" t="s">
        <v>42</v>
      </c>
      <c r="C1651" t="s">
        <v>33</v>
      </c>
      <c r="D1651">
        <v>0</v>
      </c>
      <c r="E1651">
        <v>1</v>
      </c>
      <c r="F1651" s="7">
        <v>9632.45</v>
      </c>
      <c r="G1651">
        <v>0</v>
      </c>
      <c r="H1651" s="7">
        <v>0</v>
      </c>
    </row>
    <row r="1652" spans="1:8">
      <c r="A1652">
        <v>1</v>
      </c>
      <c r="B1652" t="s">
        <v>42</v>
      </c>
      <c r="C1652" t="s">
        <v>33</v>
      </c>
      <c r="D1652">
        <v>0</v>
      </c>
      <c r="E1652">
        <v>1</v>
      </c>
      <c r="F1652" s="7">
        <v>1573.42</v>
      </c>
      <c r="G1652">
        <v>0</v>
      </c>
      <c r="H1652" s="7">
        <v>0</v>
      </c>
    </row>
    <row r="1653" spans="1:8">
      <c r="A1653">
        <v>1</v>
      </c>
      <c r="B1653" t="s">
        <v>42</v>
      </c>
      <c r="C1653" t="s">
        <v>33</v>
      </c>
      <c r="D1653">
        <v>0</v>
      </c>
      <c r="E1653">
        <v>1</v>
      </c>
      <c r="F1653" s="7">
        <v>9125.93</v>
      </c>
      <c r="G1653">
        <v>0</v>
      </c>
      <c r="H1653" s="7">
        <v>0</v>
      </c>
    </row>
    <row r="1654" spans="1:8">
      <c r="A1654">
        <v>1</v>
      </c>
      <c r="B1654" t="s">
        <v>43</v>
      </c>
      <c r="C1654" t="s">
        <v>35</v>
      </c>
      <c r="D1654">
        <v>0</v>
      </c>
      <c r="E1654">
        <v>1</v>
      </c>
      <c r="F1654" s="7">
        <v>119352.09</v>
      </c>
      <c r="G1654">
        <v>0</v>
      </c>
      <c r="H1654" s="7">
        <v>0</v>
      </c>
    </row>
    <row r="1655" spans="1:8">
      <c r="A1655">
        <v>1</v>
      </c>
      <c r="B1655" t="s">
        <v>43</v>
      </c>
      <c r="C1655" t="s">
        <v>35</v>
      </c>
      <c r="D1655">
        <v>0</v>
      </c>
      <c r="E1655">
        <v>1</v>
      </c>
      <c r="F1655" s="7">
        <v>221452.04</v>
      </c>
      <c r="G1655">
        <v>0</v>
      </c>
      <c r="H1655" s="7">
        <v>0</v>
      </c>
    </row>
    <row r="1656" spans="1:8">
      <c r="A1656">
        <v>1</v>
      </c>
      <c r="B1656" t="s">
        <v>43</v>
      </c>
      <c r="C1656" t="s">
        <v>35</v>
      </c>
      <c r="D1656">
        <v>0</v>
      </c>
      <c r="E1656">
        <v>1</v>
      </c>
      <c r="F1656" s="7">
        <v>354832.51</v>
      </c>
      <c r="G1656">
        <v>0</v>
      </c>
      <c r="H1656" s="7">
        <v>0</v>
      </c>
    </row>
    <row r="1657" spans="1:8">
      <c r="A1657">
        <v>1</v>
      </c>
      <c r="B1657" t="s">
        <v>42</v>
      </c>
      <c r="C1657" t="s">
        <v>33</v>
      </c>
      <c r="D1657">
        <v>0</v>
      </c>
      <c r="E1657">
        <v>1</v>
      </c>
      <c r="F1657" s="7">
        <v>3677.29</v>
      </c>
      <c r="G1657">
        <v>0</v>
      </c>
      <c r="H1657" s="7">
        <v>0</v>
      </c>
    </row>
    <row r="1658" spans="1:8">
      <c r="A1658">
        <v>1</v>
      </c>
      <c r="B1658" t="s">
        <v>42</v>
      </c>
      <c r="C1658" t="s">
        <v>34</v>
      </c>
      <c r="D1658">
        <v>0</v>
      </c>
      <c r="E1658">
        <v>1</v>
      </c>
      <c r="F1658" s="7">
        <v>16749.98</v>
      </c>
      <c r="G1658">
        <v>0</v>
      </c>
      <c r="H1658" s="7">
        <v>0</v>
      </c>
    </row>
    <row r="1659" spans="1:8">
      <c r="A1659">
        <v>1</v>
      </c>
      <c r="B1659" t="s">
        <v>42</v>
      </c>
      <c r="C1659" t="s">
        <v>34</v>
      </c>
      <c r="D1659">
        <v>0</v>
      </c>
      <c r="E1659">
        <v>1</v>
      </c>
      <c r="F1659" s="7">
        <v>10142.56</v>
      </c>
      <c r="G1659">
        <v>0</v>
      </c>
      <c r="H1659" s="7">
        <v>0</v>
      </c>
    </row>
    <row r="1660" spans="1:8">
      <c r="A1660">
        <v>1</v>
      </c>
      <c r="B1660" t="s">
        <v>43</v>
      </c>
      <c r="C1660" t="s">
        <v>35</v>
      </c>
      <c r="D1660">
        <v>0</v>
      </c>
      <c r="E1660">
        <v>1</v>
      </c>
      <c r="F1660" s="7">
        <v>182385.22</v>
      </c>
      <c r="G1660">
        <v>0</v>
      </c>
      <c r="H1660" s="7">
        <v>0</v>
      </c>
    </row>
    <row r="1661" spans="1:8">
      <c r="A1661">
        <v>1</v>
      </c>
      <c r="B1661" t="s">
        <v>42</v>
      </c>
      <c r="C1661" t="s">
        <v>33</v>
      </c>
      <c r="D1661">
        <v>0</v>
      </c>
      <c r="E1661">
        <v>1</v>
      </c>
      <c r="F1661" s="7">
        <v>4448.53</v>
      </c>
      <c r="G1661">
        <v>0</v>
      </c>
      <c r="H1661" s="7">
        <v>0</v>
      </c>
    </row>
    <row r="1662" spans="1:8">
      <c r="A1662">
        <v>1</v>
      </c>
      <c r="B1662" t="s">
        <v>46</v>
      </c>
      <c r="C1662" t="s">
        <v>34</v>
      </c>
      <c r="D1662">
        <v>0</v>
      </c>
      <c r="E1662">
        <v>1</v>
      </c>
      <c r="F1662" s="7">
        <v>58408.09</v>
      </c>
      <c r="G1662">
        <v>0</v>
      </c>
      <c r="H1662" s="7">
        <v>0</v>
      </c>
    </row>
    <row r="1663" spans="1:8">
      <c r="A1663">
        <v>1</v>
      </c>
      <c r="B1663" t="s">
        <v>42</v>
      </c>
      <c r="C1663" t="s">
        <v>32</v>
      </c>
      <c r="D1663">
        <v>0</v>
      </c>
      <c r="E1663">
        <v>1</v>
      </c>
      <c r="F1663" s="7">
        <v>141.87</v>
      </c>
      <c r="G1663">
        <v>0</v>
      </c>
      <c r="H1663" s="7">
        <v>0</v>
      </c>
    </row>
    <row r="1664" spans="1:8">
      <c r="A1664">
        <v>1</v>
      </c>
      <c r="B1664" t="s">
        <v>42</v>
      </c>
      <c r="C1664" t="s">
        <v>32</v>
      </c>
      <c r="D1664">
        <v>0</v>
      </c>
      <c r="E1664">
        <v>1</v>
      </c>
      <c r="F1664" s="7">
        <v>793.64</v>
      </c>
      <c r="G1664">
        <v>0</v>
      </c>
      <c r="H1664" s="7">
        <v>0</v>
      </c>
    </row>
    <row r="1665" spans="1:8">
      <c r="A1665">
        <v>1</v>
      </c>
      <c r="B1665" t="s">
        <v>44</v>
      </c>
      <c r="C1665" t="s">
        <v>34</v>
      </c>
      <c r="D1665">
        <v>0</v>
      </c>
      <c r="E1665">
        <v>1</v>
      </c>
      <c r="F1665" s="7">
        <v>98247.27</v>
      </c>
      <c r="G1665">
        <v>0</v>
      </c>
      <c r="H1665" s="7">
        <v>0</v>
      </c>
    </row>
    <row r="1666" spans="1:8">
      <c r="A1666">
        <v>1</v>
      </c>
      <c r="B1666" t="s">
        <v>42</v>
      </c>
      <c r="C1666" t="s">
        <v>33</v>
      </c>
      <c r="D1666">
        <v>0</v>
      </c>
      <c r="E1666">
        <v>1</v>
      </c>
      <c r="F1666" s="7">
        <v>7315.54</v>
      </c>
      <c r="G1666">
        <v>0</v>
      </c>
      <c r="H1666" s="7">
        <v>0</v>
      </c>
    </row>
    <row r="1667" spans="1:8">
      <c r="A1667">
        <v>1</v>
      </c>
      <c r="B1667" t="s">
        <v>42</v>
      </c>
      <c r="C1667" t="s">
        <v>33</v>
      </c>
      <c r="D1667">
        <v>0</v>
      </c>
      <c r="E1667">
        <v>1</v>
      </c>
      <c r="F1667" s="7">
        <v>3599.77</v>
      </c>
      <c r="G1667">
        <v>0</v>
      </c>
      <c r="H1667" s="7">
        <v>0</v>
      </c>
    </row>
    <row r="1668" spans="1:8">
      <c r="A1668">
        <v>1</v>
      </c>
      <c r="B1668" t="s">
        <v>42</v>
      </c>
      <c r="C1668" t="s">
        <v>33</v>
      </c>
      <c r="D1668">
        <v>0</v>
      </c>
      <c r="E1668">
        <v>1</v>
      </c>
      <c r="F1668" s="7">
        <v>6831.38</v>
      </c>
      <c r="G1668">
        <v>0</v>
      </c>
      <c r="H1668" s="7">
        <v>0</v>
      </c>
    </row>
    <row r="1669" spans="1:8">
      <c r="A1669">
        <v>1</v>
      </c>
      <c r="B1669" t="s">
        <v>42</v>
      </c>
      <c r="C1669" t="s">
        <v>33</v>
      </c>
      <c r="D1669">
        <v>0</v>
      </c>
      <c r="E1669">
        <v>1</v>
      </c>
      <c r="F1669" s="7">
        <v>2419.45</v>
      </c>
      <c r="G1669">
        <v>0</v>
      </c>
      <c r="H1669" s="7">
        <v>0</v>
      </c>
    </row>
    <row r="1670" spans="1:8">
      <c r="A1670">
        <v>1</v>
      </c>
      <c r="B1670" t="s">
        <v>44</v>
      </c>
      <c r="C1670" t="s">
        <v>34</v>
      </c>
      <c r="D1670">
        <v>0</v>
      </c>
      <c r="E1670">
        <v>1</v>
      </c>
      <c r="F1670" s="7">
        <v>94740.26</v>
      </c>
      <c r="G1670">
        <v>0</v>
      </c>
      <c r="H1670" s="7">
        <v>0</v>
      </c>
    </row>
    <row r="1671" spans="1:8">
      <c r="A1671">
        <v>1</v>
      </c>
      <c r="B1671" t="s">
        <v>42</v>
      </c>
      <c r="C1671" t="s">
        <v>33</v>
      </c>
      <c r="D1671">
        <v>0</v>
      </c>
      <c r="E1671">
        <v>1</v>
      </c>
      <c r="F1671" s="7">
        <v>6577.3</v>
      </c>
      <c r="G1671">
        <v>0</v>
      </c>
      <c r="H1671" s="7">
        <v>0</v>
      </c>
    </row>
    <row r="1672" spans="1:8">
      <c r="A1672">
        <v>1</v>
      </c>
      <c r="B1672" t="s">
        <v>42</v>
      </c>
      <c r="C1672" t="s">
        <v>34</v>
      </c>
      <c r="D1672">
        <v>0</v>
      </c>
      <c r="E1672">
        <v>1</v>
      </c>
      <c r="F1672" s="7">
        <v>12429.59</v>
      </c>
      <c r="G1672">
        <v>0</v>
      </c>
      <c r="H1672" s="7">
        <v>0</v>
      </c>
    </row>
    <row r="1673" spans="1:8">
      <c r="A1673">
        <v>1</v>
      </c>
      <c r="B1673" t="s">
        <v>45</v>
      </c>
      <c r="C1673" t="s">
        <v>33</v>
      </c>
      <c r="D1673">
        <v>0</v>
      </c>
      <c r="E1673">
        <v>1</v>
      </c>
      <c r="F1673" s="7">
        <v>6522.37</v>
      </c>
      <c r="G1673">
        <v>0</v>
      </c>
      <c r="H1673" s="7">
        <v>0</v>
      </c>
    </row>
    <row r="1674" spans="1:8">
      <c r="A1674">
        <v>1</v>
      </c>
      <c r="B1674" t="s">
        <v>42</v>
      </c>
      <c r="C1674" t="s">
        <v>34</v>
      </c>
      <c r="D1674">
        <v>0</v>
      </c>
      <c r="E1674">
        <v>1</v>
      </c>
      <c r="F1674" s="7">
        <v>12762.36</v>
      </c>
      <c r="G1674">
        <v>0</v>
      </c>
      <c r="H1674" s="7">
        <v>0</v>
      </c>
    </row>
    <row r="1675" spans="1:8">
      <c r="A1675">
        <v>1</v>
      </c>
      <c r="B1675" t="s">
        <v>42</v>
      </c>
      <c r="C1675" t="s">
        <v>34</v>
      </c>
      <c r="D1675">
        <v>0</v>
      </c>
      <c r="E1675">
        <v>1</v>
      </c>
      <c r="F1675" s="7">
        <v>11287.39</v>
      </c>
      <c r="G1675">
        <v>0</v>
      </c>
      <c r="H1675" s="7">
        <v>0</v>
      </c>
    </row>
    <row r="1676" spans="1:8">
      <c r="A1676">
        <v>1</v>
      </c>
      <c r="B1676" t="s">
        <v>42</v>
      </c>
      <c r="C1676" t="s">
        <v>34</v>
      </c>
      <c r="D1676">
        <v>0</v>
      </c>
      <c r="E1676">
        <v>1</v>
      </c>
      <c r="F1676" s="7">
        <v>10884.19</v>
      </c>
      <c r="G1676">
        <v>0</v>
      </c>
      <c r="H1676" s="7">
        <v>0</v>
      </c>
    </row>
    <row r="1677" spans="1:8">
      <c r="A1677">
        <v>1</v>
      </c>
      <c r="B1677" t="s">
        <v>42</v>
      </c>
      <c r="C1677" t="s">
        <v>33</v>
      </c>
      <c r="D1677">
        <v>0</v>
      </c>
      <c r="E1677">
        <v>1</v>
      </c>
      <c r="F1677" s="7">
        <v>1592.5</v>
      </c>
      <c r="G1677">
        <v>0</v>
      </c>
      <c r="H1677" s="7">
        <v>0</v>
      </c>
    </row>
    <row r="1678" spans="1:8">
      <c r="A1678">
        <v>1</v>
      </c>
      <c r="B1678" t="s">
        <v>42</v>
      </c>
      <c r="C1678" t="s">
        <v>34</v>
      </c>
      <c r="D1678">
        <v>0</v>
      </c>
      <c r="E1678">
        <v>1</v>
      </c>
      <c r="F1678" s="7">
        <v>15751.26</v>
      </c>
      <c r="G1678">
        <v>0</v>
      </c>
      <c r="H1678" s="7">
        <v>0</v>
      </c>
    </row>
    <row r="1679" spans="1:8">
      <c r="A1679">
        <v>1</v>
      </c>
      <c r="B1679" t="s">
        <v>42</v>
      </c>
      <c r="C1679" t="s">
        <v>32</v>
      </c>
      <c r="D1679">
        <v>0</v>
      </c>
      <c r="E1679">
        <v>1</v>
      </c>
      <c r="F1679" s="7">
        <v>351.26</v>
      </c>
      <c r="G1679">
        <v>0</v>
      </c>
      <c r="H1679" s="7">
        <v>0</v>
      </c>
    </row>
    <row r="1680" spans="1:8">
      <c r="A1680">
        <v>1</v>
      </c>
      <c r="B1680" t="s">
        <v>42</v>
      </c>
      <c r="C1680" t="s">
        <v>33</v>
      </c>
      <c r="D1680">
        <v>0</v>
      </c>
      <c r="E1680">
        <v>1</v>
      </c>
      <c r="F1680" s="7">
        <v>3734.21</v>
      </c>
      <c r="G1680">
        <v>0</v>
      </c>
      <c r="H1680" s="7">
        <v>0</v>
      </c>
    </row>
    <row r="1681" spans="1:8">
      <c r="A1681">
        <v>1</v>
      </c>
      <c r="B1681" t="s">
        <v>42</v>
      </c>
      <c r="C1681" t="s">
        <v>33</v>
      </c>
      <c r="D1681">
        <v>0</v>
      </c>
      <c r="E1681">
        <v>1</v>
      </c>
      <c r="F1681" s="7">
        <v>8403.66</v>
      </c>
      <c r="G1681">
        <v>0</v>
      </c>
      <c r="H1681" s="7">
        <v>0</v>
      </c>
    </row>
    <row r="1682" spans="1:8">
      <c r="A1682">
        <v>1</v>
      </c>
      <c r="B1682" t="s">
        <v>42</v>
      </c>
      <c r="C1682" t="s">
        <v>33</v>
      </c>
      <c r="D1682">
        <v>0</v>
      </c>
      <c r="E1682">
        <v>1</v>
      </c>
      <c r="F1682" s="7">
        <v>9945.01</v>
      </c>
      <c r="G1682">
        <v>0</v>
      </c>
      <c r="H1682" s="7">
        <v>0</v>
      </c>
    </row>
    <row r="1683" spans="1:8">
      <c r="A1683">
        <v>1</v>
      </c>
      <c r="B1683" t="s">
        <v>42</v>
      </c>
      <c r="C1683" t="s">
        <v>34</v>
      </c>
      <c r="D1683">
        <v>0</v>
      </c>
      <c r="E1683">
        <v>1</v>
      </c>
      <c r="F1683" s="7">
        <v>12491.01</v>
      </c>
      <c r="G1683">
        <v>0</v>
      </c>
      <c r="H1683" s="7">
        <v>0</v>
      </c>
    </row>
    <row r="1684" spans="1:8">
      <c r="A1684">
        <v>1</v>
      </c>
      <c r="B1684" t="s">
        <v>42</v>
      </c>
      <c r="C1684" t="s">
        <v>33</v>
      </c>
      <c r="D1684">
        <v>0</v>
      </c>
      <c r="E1684">
        <v>1</v>
      </c>
      <c r="F1684" s="7">
        <v>7889.84</v>
      </c>
      <c r="G1684">
        <v>0</v>
      </c>
      <c r="H1684" s="7">
        <v>0</v>
      </c>
    </row>
    <row r="1685" spans="1:8">
      <c r="A1685">
        <v>1</v>
      </c>
      <c r="B1685" t="s">
        <v>42</v>
      </c>
      <c r="C1685" t="s">
        <v>33</v>
      </c>
      <c r="D1685">
        <v>0</v>
      </c>
      <c r="E1685">
        <v>1</v>
      </c>
      <c r="F1685" s="7">
        <v>5169.09</v>
      </c>
      <c r="G1685">
        <v>0</v>
      </c>
      <c r="H1685" s="7">
        <v>0</v>
      </c>
    </row>
    <row r="1686" spans="1:8">
      <c r="A1686">
        <v>1</v>
      </c>
      <c r="B1686" t="s">
        <v>42</v>
      </c>
      <c r="C1686" t="s">
        <v>34</v>
      </c>
      <c r="D1686">
        <v>0</v>
      </c>
      <c r="E1686">
        <v>1</v>
      </c>
      <c r="F1686" s="7">
        <v>13496.51</v>
      </c>
      <c r="G1686">
        <v>0</v>
      </c>
      <c r="H1686" s="7">
        <v>0</v>
      </c>
    </row>
    <row r="1687" spans="1:8">
      <c r="A1687">
        <v>1</v>
      </c>
      <c r="B1687" t="s">
        <v>45</v>
      </c>
      <c r="C1687" t="s">
        <v>33</v>
      </c>
      <c r="D1687">
        <v>0</v>
      </c>
      <c r="E1687">
        <v>1</v>
      </c>
      <c r="F1687" s="7">
        <v>3548.72</v>
      </c>
      <c r="G1687">
        <v>0</v>
      </c>
      <c r="H1687" s="7">
        <v>0</v>
      </c>
    </row>
    <row r="1688" spans="1:8">
      <c r="A1688">
        <v>1</v>
      </c>
      <c r="B1688" t="s">
        <v>42</v>
      </c>
      <c r="C1688" t="s">
        <v>33</v>
      </c>
      <c r="D1688">
        <v>0</v>
      </c>
      <c r="E1688">
        <v>1</v>
      </c>
      <c r="F1688" s="7">
        <v>9273.52</v>
      </c>
      <c r="G1688">
        <v>0</v>
      </c>
      <c r="H1688" s="7">
        <v>0</v>
      </c>
    </row>
    <row r="1689" spans="1:8">
      <c r="A1689">
        <v>1</v>
      </c>
      <c r="B1689" t="s">
        <v>42</v>
      </c>
      <c r="C1689" t="s">
        <v>33</v>
      </c>
      <c r="D1689">
        <v>0</v>
      </c>
      <c r="E1689">
        <v>1</v>
      </c>
      <c r="F1689" s="7">
        <v>4522.66</v>
      </c>
      <c r="G1689">
        <v>0</v>
      </c>
      <c r="H1689" s="7">
        <v>0</v>
      </c>
    </row>
    <row r="1690" spans="1:8">
      <c r="A1690">
        <v>1</v>
      </c>
      <c r="B1690" t="s">
        <v>42</v>
      </c>
      <c r="C1690" t="s">
        <v>32</v>
      </c>
      <c r="D1690">
        <v>0</v>
      </c>
      <c r="E1690">
        <v>1</v>
      </c>
      <c r="F1690" s="7">
        <v>997.34</v>
      </c>
      <c r="G1690">
        <v>0</v>
      </c>
      <c r="H1690" s="7">
        <v>0</v>
      </c>
    </row>
    <row r="1691" spans="1:8">
      <c r="A1691">
        <v>1</v>
      </c>
      <c r="B1691" t="s">
        <v>42</v>
      </c>
      <c r="C1691" t="s">
        <v>33</v>
      </c>
      <c r="D1691">
        <v>0</v>
      </c>
      <c r="E1691">
        <v>1</v>
      </c>
      <c r="F1691" s="7">
        <v>3041.43</v>
      </c>
      <c r="G1691">
        <v>0</v>
      </c>
      <c r="H1691" s="7">
        <v>0</v>
      </c>
    </row>
    <row r="1692" spans="1:8">
      <c r="A1692">
        <v>1</v>
      </c>
      <c r="B1692" t="s">
        <v>42</v>
      </c>
      <c r="C1692" t="s">
        <v>32</v>
      </c>
      <c r="D1692">
        <v>0</v>
      </c>
      <c r="E1692">
        <v>1</v>
      </c>
      <c r="F1692" s="7">
        <v>698.41</v>
      </c>
      <c r="G1692">
        <v>0</v>
      </c>
      <c r="H1692" s="7">
        <v>0</v>
      </c>
    </row>
    <row r="1693" spans="1:8">
      <c r="A1693">
        <v>1</v>
      </c>
      <c r="B1693" t="s">
        <v>42</v>
      </c>
      <c r="C1693" t="s">
        <v>33</v>
      </c>
      <c r="D1693">
        <v>0</v>
      </c>
      <c r="E1693">
        <v>1</v>
      </c>
      <c r="F1693" s="7">
        <v>7269.74</v>
      </c>
      <c r="G1693">
        <v>0</v>
      </c>
      <c r="H1693" s="7">
        <v>0</v>
      </c>
    </row>
    <row r="1694" spans="1:8">
      <c r="A1694">
        <v>1</v>
      </c>
      <c r="B1694" t="s">
        <v>42</v>
      </c>
      <c r="C1694" t="s">
        <v>33</v>
      </c>
      <c r="D1694">
        <v>0</v>
      </c>
      <c r="E1694">
        <v>1</v>
      </c>
      <c r="F1694" s="7">
        <v>8329.3</v>
      </c>
      <c r="G1694">
        <v>0</v>
      </c>
      <c r="H1694" s="7">
        <v>0</v>
      </c>
    </row>
    <row r="1695" spans="1:8">
      <c r="A1695">
        <v>1</v>
      </c>
      <c r="B1695" t="s">
        <v>42</v>
      </c>
      <c r="C1695" t="s">
        <v>33</v>
      </c>
      <c r="D1695">
        <v>0</v>
      </c>
      <c r="E1695">
        <v>1</v>
      </c>
      <c r="F1695" s="7">
        <v>2312.71</v>
      </c>
      <c r="G1695">
        <v>0</v>
      </c>
      <c r="H1695" s="7">
        <v>0</v>
      </c>
    </row>
    <row r="1696" spans="1:8">
      <c r="A1696">
        <v>1</v>
      </c>
      <c r="B1696" t="s">
        <v>42</v>
      </c>
      <c r="C1696" t="s">
        <v>33</v>
      </c>
      <c r="D1696">
        <v>0</v>
      </c>
      <c r="E1696">
        <v>1</v>
      </c>
      <c r="F1696" s="7">
        <v>7550.29</v>
      </c>
      <c r="G1696">
        <v>0</v>
      </c>
      <c r="H1696" s="7">
        <v>0</v>
      </c>
    </row>
    <row r="1697" spans="1:8">
      <c r="A1697">
        <v>1</v>
      </c>
      <c r="B1697" t="s">
        <v>42</v>
      </c>
      <c r="C1697" t="s">
        <v>34</v>
      </c>
      <c r="D1697">
        <v>0</v>
      </c>
      <c r="E1697">
        <v>1</v>
      </c>
      <c r="F1697" s="7">
        <v>17396.31</v>
      </c>
      <c r="G1697">
        <v>0</v>
      </c>
      <c r="H1697" s="7">
        <v>0</v>
      </c>
    </row>
    <row r="1698" spans="1:8">
      <c r="A1698">
        <v>1</v>
      </c>
      <c r="B1698" t="s">
        <v>42</v>
      </c>
      <c r="C1698" t="s">
        <v>33</v>
      </c>
      <c r="D1698">
        <v>0</v>
      </c>
      <c r="E1698">
        <v>1</v>
      </c>
      <c r="F1698" s="7">
        <v>3876.42</v>
      </c>
      <c r="G1698">
        <v>0</v>
      </c>
      <c r="H1698" s="7">
        <v>0</v>
      </c>
    </row>
    <row r="1699" spans="1:8">
      <c r="A1699">
        <v>1</v>
      </c>
      <c r="B1699" t="s">
        <v>42</v>
      </c>
      <c r="C1699" t="s">
        <v>33</v>
      </c>
      <c r="D1699">
        <v>0</v>
      </c>
      <c r="E1699">
        <v>1</v>
      </c>
      <c r="F1699" s="7">
        <v>3835.42</v>
      </c>
      <c r="G1699">
        <v>0</v>
      </c>
      <c r="H1699" s="7">
        <v>0</v>
      </c>
    </row>
    <row r="1700" spans="1:8">
      <c r="A1700">
        <v>1</v>
      </c>
      <c r="B1700" t="s">
        <v>42</v>
      </c>
      <c r="C1700" t="s">
        <v>34</v>
      </c>
      <c r="D1700">
        <v>0</v>
      </c>
      <c r="E1700">
        <v>1</v>
      </c>
      <c r="F1700" s="7">
        <v>18792.11</v>
      </c>
      <c r="G1700">
        <v>0</v>
      </c>
      <c r="H1700" s="7">
        <v>0</v>
      </c>
    </row>
    <row r="1701" spans="1:8">
      <c r="A1701">
        <v>1</v>
      </c>
      <c r="B1701" t="s">
        <v>42</v>
      </c>
      <c r="C1701" t="s">
        <v>32</v>
      </c>
      <c r="D1701">
        <v>0</v>
      </c>
      <c r="E1701">
        <v>1</v>
      </c>
      <c r="F1701" s="7">
        <v>27.55</v>
      </c>
      <c r="G1701">
        <v>0</v>
      </c>
      <c r="H1701" s="7">
        <v>0</v>
      </c>
    </row>
    <row r="1702" spans="1:8">
      <c r="A1702">
        <v>1</v>
      </c>
      <c r="B1702" t="s">
        <v>46</v>
      </c>
      <c r="C1702" t="s">
        <v>35</v>
      </c>
      <c r="D1702">
        <v>0</v>
      </c>
      <c r="E1702">
        <v>1</v>
      </c>
      <c r="F1702" s="7">
        <v>218753.79</v>
      </c>
      <c r="G1702">
        <v>0</v>
      </c>
      <c r="H1702" s="7">
        <v>0</v>
      </c>
    </row>
    <row r="1703" spans="1:8">
      <c r="A1703">
        <v>1</v>
      </c>
      <c r="B1703" t="s">
        <v>46</v>
      </c>
      <c r="C1703" t="s">
        <v>34</v>
      </c>
      <c r="D1703">
        <v>0</v>
      </c>
      <c r="E1703">
        <v>1</v>
      </c>
      <c r="F1703" s="7">
        <v>42963.87</v>
      </c>
      <c r="G1703">
        <v>0</v>
      </c>
      <c r="H1703" s="7">
        <v>0</v>
      </c>
    </row>
    <row r="1704" spans="1:8">
      <c r="A1704">
        <v>1</v>
      </c>
      <c r="B1704" t="s">
        <v>46</v>
      </c>
      <c r="C1704" t="s">
        <v>34</v>
      </c>
      <c r="D1704">
        <v>0</v>
      </c>
      <c r="E1704">
        <v>1</v>
      </c>
      <c r="F1704" s="7">
        <v>92184.04</v>
      </c>
      <c r="G1704">
        <v>0</v>
      </c>
      <c r="H1704" s="7">
        <v>0</v>
      </c>
    </row>
    <row r="1705" spans="1:8">
      <c r="A1705">
        <v>1</v>
      </c>
      <c r="B1705" t="s">
        <v>46</v>
      </c>
      <c r="C1705" t="s">
        <v>35</v>
      </c>
      <c r="D1705">
        <v>0</v>
      </c>
      <c r="E1705">
        <v>1</v>
      </c>
      <c r="F1705" s="7">
        <v>669936.4</v>
      </c>
      <c r="G1705">
        <v>0</v>
      </c>
      <c r="H1705" s="7">
        <v>0</v>
      </c>
    </row>
    <row r="1706" spans="1:8">
      <c r="A1706">
        <v>1</v>
      </c>
      <c r="B1706" t="s">
        <v>46</v>
      </c>
      <c r="C1706" t="s">
        <v>34</v>
      </c>
      <c r="D1706">
        <v>0</v>
      </c>
      <c r="E1706">
        <v>1</v>
      </c>
      <c r="F1706" s="7">
        <v>43198.52</v>
      </c>
      <c r="G1706">
        <v>0</v>
      </c>
      <c r="H1706" s="7">
        <v>0</v>
      </c>
    </row>
    <row r="1707" spans="1:8">
      <c r="A1707">
        <v>1</v>
      </c>
      <c r="B1707" t="s">
        <v>46</v>
      </c>
      <c r="C1707" t="s">
        <v>35</v>
      </c>
      <c r="D1707">
        <v>0</v>
      </c>
      <c r="E1707">
        <v>1</v>
      </c>
      <c r="F1707" s="7">
        <v>171683.57</v>
      </c>
      <c r="G1707">
        <v>0</v>
      </c>
      <c r="H1707" s="7">
        <v>0</v>
      </c>
    </row>
    <row r="1708" spans="1:8">
      <c r="A1708">
        <v>1</v>
      </c>
      <c r="B1708" t="s">
        <v>46</v>
      </c>
      <c r="C1708" t="s">
        <v>34</v>
      </c>
      <c r="D1708">
        <v>0</v>
      </c>
      <c r="E1708">
        <v>1</v>
      </c>
      <c r="F1708" s="7">
        <v>34784.78</v>
      </c>
      <c r="G1708">
        <v>0</v>
      </c>
      <c r="H1708" s="7">
        <v>0</v>
      </c>
    </row>
    <row r="1709" spans="1:8">
      <c r="A1709">
        <v>1</v>
      </c>
      <c r="B1709" t="s">
        <v>46</v>
      </c>
      <c r="C1709" t="s">
        <v>35</v>
      </c>
      <c r="D1709">
        <v>0</v>
      </c>
      <c r="E1709">
        <v>1</v>
      </c>
      <c r="F1709" s="7">
        <v>521419.58</v>
      </c>
      <c r="G1709">
        <v>0</v>
      </c>
      <c r="H1709" s="7">
        <v>0</v>
      </c>
    </row>
    <row r="1710" spans="1:8">
      <c r="A1710">
        <v>1</v>
      </c>
      <c r="B1710" t="s">
        <v>46</v>
      </c>
      <c r="C1710" t="s">
        <v>35</v>
      </c>
      <c r="D1710">
        <v>0</v>
      </c>
      <c r="E1710">
        <v>1</v>
      </c>
      <c r="F1710" s="7">
        <v>209859.04</v>
      </c>
      <c r="G1710">
        <v>0</v>
      </c>
      <c r="H1710" s="7">
        <v>0</v>
      </c>
    </row>
    <row r="1711" spans="1:8">
      <c r="A1711">
        <v>1</v>
      </c>
      <c r="B1711" t="s">
        <v>46</v>
      </c>
      <c r="C1711" t="s">
        <v>34</v>
      </c>
      <c r="D1711">
        <v>0</v>
      </c>
      <c r="E1711">
        <v>1</v>
      </c>
      <c r="F1711" s="7">
        <v>61650.32</v>
      </c>
      <c r="G1711">
        <v>0</v>
      </c>
      <c r="H1711" s="7">
        <v>0</v>
      </c>
    </row>
    <row r="1712" spans="1:8">
      <c r="A1712">
        <v>1</v>
      </c>
      <c r="B1712" t="s">
        <v>46</v>
      </c>
      <c r="C1712" t="s">
        <v>35</v>
      </c>
      <c r="D1712">
        <v>0</v>
      </c>
      <c r="E1712">
        <v>1</v>
      </c>
      <c r="F1712" s="7">
        <v>235362.23</v>
      </c>
      <c r="G1712">
        <v>0</v>
      </c>
      <c r="H1712" s="7">
        <v>0</v>
      </c>
    </row>
    <row r="1713" spans="1:8">
      <c r="A1713">
        <v>1</v>
      </c>
      <c r="B1713" t="s">
        <v>46</v>
      </c>
      <c r="C1713" t="s">
        <v>35</v>
      </c>
      <c r="D1713">
        <v>0</v>
      </c>
      <c r="E1713">
        <v>1</v>
      </c>
      <c r="F1713" s="7">
        <v>327686.42</v>
      </c>
      <c r="G1713">
        <v>0</v>
      </c>
      <c r="H1713" s="7">
        <v>0</v>
      </c>
    </row>
    <row r="1714" spans="1:8">
      <c r="A1714">
        <v>1</v>
      </c>
      <c r="B1714" t="s">
        <v>46</v>
      </c>
      <c r="C1714" t="s">
        <v>35</v>
      </c>
      <c r="D1714">
        <v>0</v>
      </c>
      <c r="E1714">
        <v>1</v>
      </c>
      <c r="F1714" s="7">
        <v>348463.93</v>
      </c>
      <c r="G1714">
        <v>0</v>
      </c>
      <c r="H1714" s="7">
        <v>0</v>
      </c>
    </row>
    <row r="1715" spans="1:8">
      <c r="A1715">
        <v>1</v>
      </c>
      <c r="B1715" t="s">
        <v>46</v>
      </c>
      <c r="C1715" t="s">
        <v>35</v>
      </c>
      <c r="D1715">
        <v>0</v>
      </c>
      <c r="E1715">
        <v>1</v>
      </c>
      <c r="F1715" s="7">
        <v>137209.38</v>
      </c>
      <c r="G1715">
        <v>0</v>
      </c>
      <c r="H1715" s="7">
        <v>0</v>
      </c>
    </row>
    <row r="1716" spans="1:8">
      <c r="A1716">
        <v>1</v>
      </c>
      <c r="B1716" t="s">
        <v>46</v>
      </c>
      <c r="C1716" t="s">
        <v>35</v>
      </c>
      <c r="D1716">
        <v>0</v>
      </c>
      <c r="E1716">
        <v>1</v>
      </c>
      <c r="F1716" s="7">
        <v>279846.24</v>
      </c>
      <c r="G1716">
        <v>0</v>
      </c>
      <c r="H1716" s="7">
        <v>0</v>
      </c>
    </row>
    <row r="1717" spans="1:8">
      <c r="A1717">
        <v>1</v>
      </c>
      <c r="B1717" t="s">
        <v>46</v>
      </c>
      <c r="C1717" t="s">
        <v>35</v>
      </c>
      <c r="D1717">
        <v>0</v>
      </c>
      <c r="E1717">
        <v>1</v>
      </c>
      <c r="F1717" s="7">
        <v>159270.52</v>
      </c>
      <c r="G1717">
        <v>0</v>
      </c>
      <c r="H1717" s="7">
        <v>0</v>
      </c>
    </row>
    <row r="1718" spans="1:8">
      <c r="A1718">
        <v>1</v>
      </c>
      <c r="B1718" t="s">
        <v>46</v>
      </c>
      <c r="C1718" t="s">
        <v>34</v>
      </c>
      <c r="D1718">
        <v>0</v>
      </c>
      <c r="E1718">
        <v>1</v>
      </c>
      <c r="F1718" s="7">
        <v>19872.97</v>
      </c>
      <c r="G1718">
        <v>0</v>
      </c>
      <c r="H1718" s="7">
        <v>0</v>
      </c>
    </row>
    <row r="1719" spans="1:8">
      <c r="A1719">
        <v>1</v>
      </c>
      <c r="B1719" t="s">
        <v>46</v>
      </c>
      <c r="C1719" t="s">
        <v>35</v>
      </c>
      <c r="D1719">
        <v>0</v>
      </c>
      <c r="E1719">
        <v>1</v>
      </c>
      <c r="F1719" s="7">
        <v>203283.36</v>
      </c>
      <c r="G1719">
        <v>0</v>
      </c>
      <c r="H1719" s="7">
        <v>0</v>
      </c>
    </row>
    <row r="1720" spans="1:8">
      <c r="A1720">
        <v>1</v>
      </c>
      <c r="B1720" t="s">
        <v>46</v>
      </c>
      <c r="C1720" t="s">
        <v>34</v>
      </c>
      <c r="D1720">
        <v>0</v>
      </c>
      <c r="E1720">
        <v>1</v>
      </c>
      <c r="F1720" s="7">
        <v>37475.31</v>
      </c>
      <c r="G1720">
        <v>0</v>
      </c>
      <c r="H1720" s="7">
        <v>0</v>
      </c>
    </row>
    <row r="1721" spans="1:8">
      <c r="A1721">
        <v>1</v>
      </c>
      <c r="B1721" t="s">
        <v>46</v>
      </c>
      <c r="C1721" t="s">
        <v>35</v>
      </c>
      <c r="D1721">
        <v>0</v>
      </c>
      <c r="E1721">
        <v>1</v>
      </c>
      <c r="F1721" s="7">
        <v>151764.65</v>
      </c>
      <c r="G1721">
        <v>0</v>
      </c>
      <c r="H1721" s="7">
        <v>0</v>
      </c>
    </row>
    <row r="1722" spans="1:8">
      <c r="A1722">
        <v>1</v>
      </c>
      <c r="B1722" t="s">
        <v>46</v>
      </c>
      <c r="C1722" t="s">
        <v>34</v>
      </c>
      <c r="D1722">
        <v>0</v>
      </c>
      <c r="E1722">
        <v>1</v>
      </c>
      <c r="F1722" s="7">
        <v>72311.62</v>
      </c>
      <c r="G1722">
        <v>0</v>
      </c>
      <c r="H1722" s="7">
        <v>0</v>
      </c>
    </row>
    <row r="1723" spans="1:8">
      <c r="A1723">
        <v>1</v>
      </c>
      <c r="B1723" t="s">
        <v>46</v>
      </c>
      <c r="C1723" t="s">
        <v>35</v>
      </c>
      <c r="D1723">
        <v>0</v>
      </c>
      <c r="E1723">
        <v>1</v>
      </c>
      <c r="F1723" s="7">
        <v>198443.49</v>
      </c>
      <c r="G1723">
        <v>0</v>
      </c>
      <c r="H1723" s="7">
        <v>0</v>
      </c>
    </row>
    <row r="1724" spans="1:8">
      <c r="A1724">
        <v>1</v>
      </c>
      <c r="B1724" t="s">
        <v>46</v>
      </c>
      <c r="C1724" t="s">
        <v>35</v>
      </c>
      <c r="D1724">
        <v>0</v>
      </c>
      <c r="E1724">
        <v>1</v>
      </c>
      <c r="F1724" s="7">
        <v>532111.14</v>
      </c>
      <c r="G1724">
        <v>0</v>
      </c>
      <c r="H1724" s="7">
        <v>0</v>
      </c>
    </row>
    <row r="1725" spans="1:8">
      <c r="A1725">
        <v>1</v>
      </c>
      <c r="B1725" t="s">
        <v>46</v>
      </c>
      <c r="C1725" t="s">
        <v>35</v>
      </c>
      <c r="D1725">
        <v>0</v>
      </c>
      <c r="E1725">
        <v>1</v>
      </c>
      <c r="F1725" s="7">
        <v>839300.36</v>
      </c>
      <c r="G1725">
        <v>0</v>
      </c>
      <c r="H1725" s="7">
        <v>0</v>
      </c>
    </row>
    <row r="1726" spans="1:8">
      <c r="A1726">
        <v>1</v>
      </c>
      <c r="B1726" t="s">
        <v>46</v>
      </c>
      <c r="C1726" t="s">
        <v>34</v>
      </c>
      <c r="D1726">
        <v>0</v>
      </c>
      <c r="E1726">
        <v>1</v>
      </c>
      <c r="F1726" s="7">
        <v>11436.9</v>
      </c>
      <c r="G1726">
        <v>0</v>
      </c>
      <c r="H1726" s="7">
        <v>0</v>
      </c>
    </row>
    <row r="1727" spans="1:8">
      <c r="A1727">
        <v>1</v>
      </c>
      <c r="B1727" t="s">
        <v>46</v>
      </c>
      <c r="C1727" t="s">
        <v>34</v>
      </c>
      <c r="D1727">
        <v>0</v>
      </c>
      <c r="E1727">
        <v>1</v>
      </c>
      <c r="F1727" s="7">
        <v>37554.62</v>
      </c>
      <c r="G1727">
        <v>0</v>
      </c>
      <c r="H1727" s="7">
        <v>0</v>
      </c>
    </row>
    <row r="1728" spans="1:8">
      <c r="A1728">
        <v>1</v>
      </c>
      <c r="B1728" t="s">
        <v>46</v>
      </c>
      <c r="C1728" t="s">
        <v>34</v>
      </c>
      <c r="D1728">
        <v>0</v>
      </c>
      <c r="E1728">
        <v>1</v>
      </c>
      <c r="F1728" s="7">
        <v>33499.16</v>
      </c>
      <c r="G1728">
        <v>0</v>
      </c>
      <c r="H1728" s="7">
        <v>0</v>
      </c>
    </row>
    <row r="1729" spans="1:8">
      <c r="A1729">
        <v>1</v>
      </c>
      <c r="B1729" t="s">
        <v>46</v>
      </c>
      <c r="C1729" t="s">
        <v>35</v>
      </c>
      <c r="D1729">
        <v>0</v>
      </c>
      <c r="E1729">
        <v>1</v>
      </c>
      <c r="F1729" s="7">
        <v>283308</v>
      </c>
      <c r="G1729">
        <v>0</v>
      </c>
      <c r="H1729" s="7">
        <v>0</v>
      </c>
    </row>
    <row r="1730" spans="1:8">
      <c r="A1730">
        <v>1</v>
      </c>
      <c r="B1730" t="s">
        <v>46</v>
      </c>
      <c r="C1730" t="s">
        <v>35</v>
      </c>
      <c r="D1730">
        <v>0</v>
      </c>
      <c r="E1730">
        <v>1</v>
      </c>
      <c r="F1730" s="7">
        <v>147844.59</v>
      </c>
      <c r="G1730">
        <v>0</v>
      </c>
      <c r="H1730" s="7">
        <v>0</v>
      </c>
    </row>
    <row r="1731" spans="1:8">
      <c r="A1731">
        <v>1</v>
      </c>
      <c r="B1731" t="s">
        <v>46</v>
      </c>
      <c r="C1731" t="s">
        <v>34</v>
      </c>
      <c r="D1731">
        <v>0</v>
      </c>
      <c r="E1731">
        <v>1</v>
      </c>
      <c r="F1731" s="7">
        <v>65525.9</v>
      </c>
      <c r="G1731">
        <v>0</v>
      </c>
      <c r="H1731" s="7">
        <v>0</v>
      </c>
    </row>
    <row r="1732" spans="1:8">
      <c r="A1732">
        <v>1</v>
      </c>
      <c r="B1732" t="s">
        <v>46</v>
      </c>
      <c r="C1732" t="s">
        <v>34</v>
      </c>
      <c r="D1732">
        <v>0</v>
      </c>
      <c r="E1732">
        <v>1</v>
      </c>
      <c r="F1732" s="7">
        <v>10844.67</v>
      </c>
      <c r="G1732">
        <v>0</v>
      </c>
      <c r="H1732" s="7">
        <v>0</v>
      </c>
    </row>
    <row r="1733" spans="1:8">
      <c r="A1733">
        <v>1</v>
      </c>
      <c r="B1733" t="s">
        <v>46</v>
      </c>
      <c r="C1733" t="s">
        <v>35</v>
      </c>
      <c r="D1733">
        <v>0</v>
      </c>
      <c r="E1733">
        <v>1</v>
      </c>
      <c r="F1733" s="7">
        <v>455440.65</v>
      </c>
      <c r="G1733">
        <v>0</v>
      </c>
      <c r="H1733" s="7">
        <v>0</v>
      </c>
    </row>
    <row r="1734" spans="1:8">
      <c r="A1734">
        <v>1</v>
      </c>
      <c r="B1734" t="s">
        <v>46</v>
      </c>
      <c r="C1734" t="s">
        <v>35</v>
      </c>
      <c r="D1734">
        <v>0</v>
      </c>
      <c r="E1734">
        <v>1</v>
      </c>
      <c r="F1734" s="7">
        <v>135327.21</v>
      </c>
      <c r="G1734">
        <v>0</v>
      </c>
      <c r="H1734" s="7">
        <v>0</v>
      </c>
    </row>
    <row r="1735" spans="1:8">
      <c r="A1735">
        <v>1</v>
      </c>
      <c r="B1735" t="s">
        <v>46</v>
      </c>
      <c r="C1735" t="s">
        <v>35</v>
      </c>
      <c r="D1735">
        <v>0</v>
      </c>
      <c r="E1735">
        <v>1</v>
      </c>
      <c r="F1735" s="7">
        <v>211094.41</v>
      </c>
      <c r="G1735">
        <v>0</v>
      </c>
      <c r="H1735" s="7">
        <v>0</v>
      </c>
    </row>
    <row r="1736" spans="1:8">
      <c r="A1736">
        <v>1</v>
      </c>
      <c r="B1736" t="s">
        <v>46</v>
      </c>
      <c r="C1736" t="s">
        <v>35</v>
      </c>
      <c r="D1736">
        <v>0</v>
      </c>
      <c r="E1736">
        <v>1</v>
      </c>
      <c r="F1736" s="7">
        <v>189595.83</v>
      </c>
      <c r="G1736">
        <v>0</v>
      </c>
      <c r="H1736" s="7">
        <v>0</v>
      </c>
    </row>
    <row r="1737" spans="1:8">
      <c r="A1737">
        <v>1</v>
      </c>
      <c r="B1737" t="s">
        <v>46</v>
      </c>
      <c r="C1737" t="s">
        <v>34</v>
      </c>
      <c r="D1737">
        <v>0</v>
      </c>
      <c r="E1737">
        <v>1</v>
      </c>
      <c r="F1737" s="7">
        <v>66413.56</v>
      </c>
      <c r="G1737">
        <v>0</v>
      </c>
      <c r="H1737" s="7">
        <v>0</v>
      </c>
    </row>
    <row r="1738" spans="1:8">
      <c r="A1738">
        <v>1</v>
      </c>
      <c r="B1738" t="s">
        <v>42</v>
      </c>
      <c r="C1738" t="s">
        <v>33</v>
      </c>
      <c r="D1738">
        <v>0</v>
      </c>
      <c r="E1738">
        <v>1</v>
      </c>
      <c r="F1738" s="7">
        <v>4552.47</v>
      </c>
      <c r="G1738">
        <v>0</v>
      </c>
      <c r="H1738" s="7">
        <v>0</v>
      </c>
    </row>
    <row r="1739" spans="1:8">
      <c r="A1739">
        <v>1</v>
      </c>
      <c r="B1739" t="s">
        <v>45</v>
      </c>
      <c r="C1739" t="s">
        <v>33</v>
      </c>
      <c r="D1739">
        <v>0</v>
      </c>
      <c r="E1739">
        <v>1</v>
      </c>
      <c r="F1739" s="7">
        <v>1285.04</v>
      </c>
      <c r="G1739">
        <v>0</v>
      </c>
      <c r="H1739" s="7">
        <v>0</v>
      </c>
    </row>
    <row r="1740" spans="1:8">
      <c r="A1740">
        <v>1</v>
      </c>
      <c r="B1740" t="s">
        <v>42</v>
      </c>
      <c r="C1740" t="s">
        <v>33</v>
      </c>
      <c r="D1740">
        <v>0</v>
      </c>
      <c r="E1740">
        <v>1</v>
      </c>
      <c r="F1740" s="7">
        <v>7627.89</v>
      </c>
      <c r="G1740">
        <v>0</v>
      </c>
      <c r="H1740" s="7">
        <v>0</v>
      </c>
    </row>
    <row r="1741" spans="1:8">
      <c r="A1741">
        <v>1</v>
      </c>
      <c r="B1741" t="s">
        <v>42</v>
      </c>
      <c r="C1741" t="s">
        <v>32</v>
      </c>
      <c r="D1741">
        <v>0</v>
      </c>
      <c r="E1741">
        <v>1</v>
      </c>
      <c r="F1741" s="7">
        <v>846.91</v>
      </c>
      <c r="G1741">
        <v>0</v>
      </c>
      <c r="H1741" s="7">
        <v>0</v>
      </c>
    </row>
    <row r="1742" spans="1:8">
      <c r="A1742">
        <v>1</v>
      </c>
      <c r="B1742" t="s">
        <v>43</v>
      </c>
      <c r="C1742" t="s">
        <v>35</v>
      </c>
      <c r="D1742">
        <v>0</v>
      </c>
      <c r="E1742">
        <v>1</v>
      </c>
      <c r="F1742" s="7">
        <v>206336.47</v>
      </c>
      <c r="G1742">
        <v>0</v>
      </c>
      <c r="H1742" s="7">
        <v>0</v>
      </c>
    </row>
    <row r="1743" spans="1:8">
      <c r="A1743">
        <v>1</v>
      </c>
      <c r="B1743" t="s">
        <v>42</v>
      </c>
      <c r="C1743" t="s">
        <v>32</v>
      </c>
      <c r="D1743">
        <v>0</v>
      </c>
      <c r="E1743">
        <v>1</v>
      </c>
      <c r="F1743" s="7">
        <v>689.85</v>
      </c>
      <c r="G1743">
        <v>0</v>
      </c>
      <c r="H1743" s="7">
        <v>0</v>
      </c>
    </row>
    <row r="1744" spans="1:8">
      <c r="A1744">
        <v>1</v>
      </c>
      <c r="B1744" t="s">
        <v>45</v>
      </c>
      <c r="C1744" t="s">
        <v>33</v>
      </c>
      <c r="D1744">
        <v>0</v>
      </c>
      <c r="E1744">
        <v>1</v>
      </c>
      <c r="F1744" s="7">
        <v>9837.13</v>
      </c>
      <c r="G1744">
        <v>0</v>
      </c>
      <c r="H1744" s="7">
        <v>0</v>
      </c>
    </row>
    <row r="1745" spans="1:8">
      <c r="A1745">
        <v>1</v>
      </c>
      <c r="B1745" t="s">
        <v>42</v>
      </c>
      <c r="C1745" t="s">
        <v>33</v>
      </c>
      <c r="D1745">
        <v>0</v>
      </c>
      <c r="E1745">
        <v>1</v>
      </c>
      <c r="F1745" s="7">
        <v>9463.48</v>
      </c>
      <c r="G1745">
        <v>0</v>
      </c>
      <c r="H1745" s="7">
        <v>0</v>
      </c>
    </row>
    <row r="1746" spans="1:8">
      <c r="A1746">
        <v>1</v>
      </c>
      <c r="B1746" t="s">
        <v>42</v>
      </c>
      <c r="C1746" t="s">
        <v>33</v>
      </c>
      <c r="D1746">
        <v>0</v>
      </c>
      <c r="E1746">
        <v>1</v>
      </c>
      <c r="F1746" s="7">
        <v>6456.26</v>
      </c>
      <c r="G1746">
        <v>0</v>
      </c>
      <c r="H1746" s="7">
        <v>0</v>
      </c>
    </row>
    <row r="1747" spans="1:8">
      <c r="A1747">
        <v>1</v>
      </c>
      <c r="B1747" t="s">
        <v>44</v>
      </c>
      <c r="C1747" t="s">
        <v>34</v>
      </c>
      <c r="D1747">
        <v>0</v>
      </c>
      <c r="E1747">
        <v>1</v>
      </c>
      <c r="F1747" s="7">
        <v>96833.52</v>
      </c>
      <c r="G1747">
        <v>0</v>
      </c>
      <c r="H1747" s="7">
        <v>0</v>
      </c>
    </row>
    <row r="1748" spans="1:8">
      <c r="A1748">
        <v>1</v>
      </c>
      <c r="B1748" t="s">
        <v>42</v>
      </c>
      <c r="C1748" t="s">
        <v>33</v>
      </c>
      <c r="D1748">
        <v>0</v>
      </c>
      <c r="E1748">
        <v>1</v>
      </c>
      <c r="F1748" s="7">
        <v>1146.72</v>
      </c>
      <c r="G1748">
        <v>0</v>
      </c>
      <c r="H1748" s="7">
        <v>0</v>
      </c>
    </row>
    <row r="1749" spans="1:8">
      <c r="A1749">
        <v>1</v>
      </c>
      <c r="B1749" t="s">
        <v>42</v>
      </c>
      <c r="C1749" t="s">
        <v>34</v>
      </c>
      <c r="D1749">
        <v>0</v>
      </c>
      <c r="E1749">
        <v>1</v>
      </c>
      <c r="F1749" s="7">
        <v>13812.23</v>
      </c>
      <c r="G1749">
        <v>0</v>
      </c>
      <c r="H1749" s="7">
        <v>0</v>
      </c>
    </row>
    <row r="1750" spans="1:8">
      <c r="A1750">
        <v>1</v>
      </c>
      <c r="B1750" t="s">
        <v>44</v>
      </c>
      <c r="C1750" t="s">
        <v>35</v>
      </c>
      <c r="D1750">
        <v>0</v>
      </c>
      <c r="E1750">
        <v>1</v>
      </c>
      <c r="F1750" s="7">
        <v>332573.12</v>
      </c>
      <c r="G1750">
        <v>0</v>
      </c>
      <c r="H1750" s="7">
        <v>0</v>
      </c>
    </row>
    <row r="1751" spans="1:8">
      <c r="A1751">
        <v>1</v>
      </c>
      <c r="B1751" t="s">
        <v>42</v>
      </c>
      <c r="C1751" t="s">
        <v>34</v>
      </c>
      <c r="D1751">
        <v>0</v>
      </c>
      <c r="E1751">
        <v>1</v>
      </c>
      <c r="F1751" s="7">
        <v>13812.46</v>
      </c>
      <c r="G1751">
        <v>0</v>
      </c>
      <c r="H1751" s="7">
        <v>0</v>
      </c>
    </row>
    <row r="1752" spans="1:8">
      <c r="A1752">
        <v>1</v>
      </c>
      <c r="B1752" t="s">
        <v>45</v>
      </c>
      <c r="C1752" t="s">
        <v>33</v>
      </c>
      <c r="D1752">
        <v>0</v>
      </c>
      <c r="E1752">
        <v>1</v>
      </c>
      <c r="F1752" s="7">
        <v>6159.72</v>
      </c>
      <c r="G1752">
        <v>0</v>
      </c>
      <c r="H1752" s="7">
        <v>0</v>
      </c>
    </row>
    <row r="1753" spans="1:8">
      <c r="A1753">
        <v>1</v>
      </c>
      <c r="B1753" t="s">
        <v>45</v>
      </c>
      <c r="C1753" t="s">
        <v>34</v>
      </c>
      <c r="D1753">
        <v>0</v>
      </c>
      <c r="E1753">
        <v>1</v>
      </c>
      <c r="F1753" s="7">
        <v>11711.1</v>
      </c>
      <c r="G1753">
        <v>0</v>
      </c>
      <c r="H1753" s="7">
        <v>0</v>
      </c>
    </row>
    <row r="1754" spans="1:8">
      <c r="A1754">
        <v>1</v>
      </c>
      <c r="B1754" t="s">
        <v>42</v>
      </c>
      <c r="C1754" t="s">
        <v>33</v>
      </c>
      <c r="D1754">
        <v>0</v>
      </c>
      <c r="E1754">
        <v>1</v>
      </c>
      <c r="F1754" s="7">
        <v>5881.78</v>
      </c>
      <c r="G1754">
        <v>0</v>
      </c>
      <c r="H1754" s="7">
        <v>0</v>
      </c>
    </row>
    <row r="1755" spans="1:8">
      <c r="A1755">
        <v>1</v>
      </c>
      <c r="B1755" t="s">
        <v>42</v>
      </c>
      <c r="C1755" t="s">
        <v>33</v>
      </c>
      <c r="D1755">
        <v>0</v>
      </c>
      <c r="E1755">
        <v>1</v>
      </c>
      <c r="F1755" s="7">
        <v>1461.06</v>
      </c>
      <c r="G1755">
        <v>0</v>
      </c>
      <c r="H1755" s="7">
        <v>0</v>
      </c>
    </row>
    <row r="1756" spans="1:8">
      <c r="A1756">
        <v>1</v>
      </c>
      <c r="B1756" t="s">
        <v>45</v>
      </c>
      <c r="C1756" t="s">
        <v>33</v>
      </c>
      <c r="D1756">
        <v>0</v>
      </c>
      <c r="E1756">
        <v>1</v>
      </c>
      <c r="F1756" s="7">
        <v>4242.85</v>
      </c>
      <c r="G1756">
        <v>0</v>
      </c>
      <c r="H1756" s="7">
        <v>0</v>
      </c>
    </row>
    <row r="1757" spans="1:8">
      <c r="A1757">
        <v>1</v>
      </c>
      <c r="B1757" t="s">
        <v>42</v>
      </c>
      <c r="C1757" t="s">
        <v>33</v>
      </c>
      <c r="D1757">
        <v>0</v>
      </c>
      <c r="E1757">
        <v>1</v>
      </c>
      <c r="F1757" s="7">
        <v>2724.24</v>
      </c>
      <c r="G1757">
        <v>0</v>
      </c>
      <c r="H1757" s="7">
        <v>0</v>
      </c>
    </row>
    <row r="1758" spans="1:8">
      <c r="A1758">
        <v>1</v>
      </c>
      <c r="B1758" t="s">
        <v>45</v>
      </c>
      <c r="C1758" t="s">
        <v>33</v>
      </c>
      <c r="D1758">
        <v>0</v>
      </c>
      <c r="E1758">
        <v>1</v>
      </c>
      <c r="F1758" s="7">
        <v>2344.79</v>
      </c>
      <c r="G1758">
        <v>0</v>
      </c>
      <c r="H1758" s="7">
        <v>0</v>
      </c>
    </row>
    <row r="1759" spans="1:8">
      <c r="A1759">
        <v>1</v>
      </c>
      <c r="B1759" t="s">
        <v>42</v>
      </c>
      <c r="C1759" t="s">
        <v>33</v>
      </c>
      <c r="D1759">
        <v>0</v>
      </c>
      <c r="E1759">
        <v>1</v>
      </c>
      <c r="F1759" s="7">
        <v>8525.08</v>
      </c>
      <c r="G1759">
        <v>0</v>
      </c>
      <c r="H1759" s="7">
        <v>0</v>
      </c>
    </row>
    <row r="1760" spans="1:8">
      <c r="A1760">
        <v>1</v>
      </c>
      <c r="B1760" t="s">
        <v>42</v>
      </c>
      <c r="C1760" t="s">
        <v>34</v>
      </c>
      <c r="D1760">
        <v>0</v>
      </c>
      <c r="E1760">
        <v>1</v>
      </c>
      <c r="F1760" s="7">
        <v>15640.06</v>
      </c>
      <c r="G1760">
        <v>0</v>
      </c>
      <c r="H1760" s="7">
        <v>0</v>
      </c>
    </row>
    <row r="1761" spans="1:8">
      <c r="A1761">
        <v>1</v>
      </c>
      <c r="B1761" t="s">
        <v>45</v>
      </c>
      <c r="C1761" t="s">
        <v>33</v>
      </c>
      <c r="D1761">
        <v>0</v>
      </c>
      <c r="E1761">
        <v>1</v>
      </c>
      <c r="F1761" s="7">
        <v>1533.55</v>
      </c>
      <c r="G1761">
        <v>0</v>
      </c>
      <c r="H1761" s="7">
        <v>0</v>
      </c>
    </row>
    <row r="1762" spans="1:8">
      <c r="A1762">
        <v>1</v>
      </c>
      <c r="B1762" t="s">
        <v>45</v>
      </c>
      <c r="C1762" t="s">
        <v>33</v>
      </c>
      <c r="D1762">
        <v>0</v>
      </c>
      <c r="E1762">
        <v>1</v>
      </c>
      <c r="F1762" s="7">
        <v>3256.43</v>
      </c>
      <c r="G1762">
        <v>0</v>
      </c>
      <c r="H1762" s="7">
        <v>0</v>
      </c>
    </row>
    <row r="1763" spans="1:8">
      <c r="A1763">
        <v>1</v>
      </c>
      <c r="B1763" t="s">
        <v>42</v>
      </c>
      <c r="C1763" t="s">
        <v>33</v>
      </c>
      <c r="D1763">
        <v>0</v>
      </c>
      <c r="E1763">
        <v>1</v>
      </c>
      <c r="F1763" s="7">
        <v>4591.98</v>
      </c>
      <c r="G1763">
        <v>0</v>
      </c>
      <c r="H1763" s="7">
        <v>0</v>
      </c>
    </row>
    <row r="1764" spans="1:8">
      <c r="A1764">
        <v>1</v>
      </c>
      <c r="B1764" t="s">
        <v>42</v>
      </c>
      <c r="C1764" t="s">
        <v>33</v>
      </c>
      <c r="D1764">
        <v>0</v>
      </c>
      <c r="E1764">
        <v>1</v>
      </c>
      <c r="F1764" s="7">
        <v>5567.55</v>
      </c>
      <c r="G1764">
        <v>0</v>
      </c>
      <c r="H1764" s="7">
        <v>0</v>
      </c>
    </row>
    <row r="1765" spans="1:8">
      <c r="A1765">
        <v>1</v>
      </c>
      <c r="B1765" t="s">
        <v>42</v>
      </c>
      <c r="C1765" t="s">
        <v>33</v>
      </c>
      <c r="D1765">
        <v>0</v>
      </c>
      <c r="E1765">
        <v>1</v>
      </c>
      <c r="F1765" s="7">
        <v>4213.36</v>
      </c>
      <c r="G1765">
        <v>0</v>
      </c>
      <c r="H1765" s="7">
        <v>0</v>
      </c>
    </row>
    <row r="1766" spans="1:8">
      <c r="A1766">
        <v>1</v>
      </c>
      <c r="B1766" t="s">
        <v>42</v>
      </c>
      <c r="C1766" t="s">
        <v>33</v>
      </c>
      <c r="D1766">
        <v>0</v>
      </c>
      <c r="E1766">
        <v>1</v>
      </c>
      <c r="F1766" s="7">
        <v>3970.45</v>
      </c>
      <c r="G1766">
        <v>0</v>
      </c>
      <c r="H1766" s="7">
        <v>0</v>
      </c>
    </row>
    <row r="1767" spans="1:8">
      <c r="A1767">
        <v>1</v>
      </c>
      <c r="B1767" t="s">
        <v>45</v>
      </c>
      <c r="C1767" t="s">
        <v>33</v>
      </c>
      <c r="D1767">
        <v>0</v>
      </c>
      <c r="E1767">
        <v>1</v>
      </c>
      <c r="F1767" s="7">
        <v>4497.03</v>
      </c>
      <c r="G1767">
        <v>0</v>
      </c>
      <c r="H1767" s="7">
        <v>0</v>
      </c>
    </row>
    <row r="1768" spans="1:8">
      <c r="A1768">
        <v>1</v>
      </c>
      <c r="B1768" t="s">
        <v>43</v>
      </c>
      <c r="C1768" t="s">
        <v>35</v>
      </c>
      <c r="D1768">
        <v>0</v>
      </c>
      <c r="E1768">
        <v>1</v>
      </c>
      <c r="F1768" s="7">
        <v>301706.01</v>
      </c>
      <c r="G1768">
        <v>0</v>
      </c>
      <c r="H1768" s="7">
        <v>0</v>
      </c>
    </row>
    <row r="1769" spans="1:8">
      <c r="A1769">
        <v>1</v>
      </c>
      <c r="B1769" t="s">
        <v>42</v>
      </c>
      <c r="C1769" t="s">
        <v>33</v>
      </c>
      <c r="D1769">
        <v>0</v>
      </c>
      <c r="E1769">
        <v>1</v>
      </c>
      <c r="F1769" s="7">
        <v>3065.41</v>
      </c>
      <c r="G1769">
        <v>0</v>
      </c>
      <c r="H1769" s="7">
        <v>0</v>
      </c>
    </row>
    <row r="1770" spans="1:8">
      <c r="A1770">
        <v>1</v>
      </c>
      <c r="B1770" t="s">
        <v>43</v>
      </c>
      <c r="C1770" t="s">
        <v>35</v>
      </c>
      <c r="D1770">
        <v>0</v>
      </c>
      <c r="E1770">
        <v>1</v>
      </c>
      <c r="F1770" s="7">
        <v>229316.19</v>
      </c>
      <c r="G1770">
        <v>0</v>
      </c>
      <c r="H1770" s="7">
        <v>0</v>
      </c>
    </row>
    <row r="1771" spans="1:8">
      <c r="A1771">
        <v>1</v>
      </c>
      <c r="B1771" t="s">
        <v>45</v>
      </c>
      <c r="C1771" t="s">
        <v>33</v>
      </c>
      <c r="D1771">
        <v>0</v>
      </c>
      <c r="E1771">
        <v>1</v>
      </c>
      <c r="F1771" s="7">
        <v>1898.84</v>
      </c>
      <c r="G1771">
        <v>0</v>
      </c>
      <c r="H1771" s="7">
        <v>0</v>
      </c>
    </row>
    <row r="1772" spans="1:8">
      <c r="A1772">
        <v>1</v>
      </c>
      <c r="B1772" t="s">
        <v>42</v>
      </c>
      <c r="C1772" t="s">
        <v>32</v>
      </c>
      <c r="D1772">
        <v>0</v>
      </c>
      <c r="E1772">
        <v>1</v>
      </c>
      <c r="F1772" s="7">
        <v>652.67</v>
      </c>
      <c r="G1772">
        <v>0</v>
      </c>
      <c r="H1772" s="7">
        <v>0</v>
      </c>
    </row>
    <row r="1773" spans="1:8">
      <c r="A1773">
        <v>1</v>
      </c>
      <c r="B1773" t="s">
        <v>42</v>
      </c>
      <c r="C1773" t="s">
        <v>33</v>
      </c>
      <c r="D1773">
        <v>0</v>
      </c>
      <c r="E1773">
        <v>1</v>
      </c>
      <c r="F1773" s="7">
        <v>1795.14</v>
      </c>
      <c r="G1773">
        <v>0</v>
      </c>
      <c r="H1773" s="7">
        <v>0</v>
      </c>
    </row>
    <row r="1774" spans="1:8">
      <c r="A1774">
        <v>1</v>
      </c>
      <c r="B1774" t="s">
        <v>42</v>
      </c>
      <c r="C1774" t="s">
        <v>33</v>
      </c>
      <c r="D1774">
        <v>0</v>
      </c>
      <c r="E1774">
        <v>1</v>
      </c>
      <c r="F1774" s="7">
        <v>5088.99</v>
      </c>
      <c r="G1774">
        <v>0</v>
      </c>
      <c r="H1774" s="7">
        <v>0</v>
      </c>
    </row>
    <row r="1775" spans="1:8">
      <c r="A1775">
        <v>1</v>
      </c>
      <c r="B1775" t="s">
        <v>42</v>
      </c>
      <c r="C1775" t="s">
        <v>33</v>
      </c>
      <c r="D1775">
        <v>0</v>
      </c>
      <c r="E1775">
        <v>1</v>
      </c>
      <c r="F1775" s="7">
        <v>9305.93</v>
      </c>
      <c r="G1775">
        <v>0</v>
      </c>
      <c r="H1775" s="7">
        <v>0</v>
      </c>
    </row>
    <row r="1776" spans="1:8">
      <c r="A1776">
        <v>1</v>
      </c>
      <c r="B1776" t="s">
        <v>43</v>
      </c>
      <c r="C1776" t="s">
        <v>35</v>
      </c>
      <c r="D1776">
        <v>0</v>
      </c>
      <c r="E1776">
        <v>1</v>
      </c>
      <c r="F1776" s="7">
        <v>498178.68</v>
      </c>
      <c r="G1776">
        <v>0</v>
      </c>
      <c r="H1776" s="7">
        <v>0</v>
      </c>
    </row>
    <row r="1777" spans="1:8">
      <c r="A1777">
        <v>1</v>
      </c>
      <c r="B1777" t="s">
        <v>42</v>
      </c>
      <c r="C1777" t="s">
        <v>33</v>
      </c>
      <c r="D1777">
        <v>0</v>
      </c>
      <c r="E1777">
        <v>1</v>
      </c>
      <c r="F1777" s="7">
        <v>1897.66</v>
      </c>
      <c r="G1777">
        <v>0</v>
      </c>
      <c r="H1777" s="7">
        <v>0</v>
      </c>
    </row>
    <row r="1778" spans="1:8">
      <c r="A1778">
        <v>1</v>
      </c>
      <c r="B1778" t="s">
        <v>42</v>
      </c>
      <c r="C1778" t="s">
        <v>33</v>
      </c>
      <c r="D1778">
        <v>0</v>
      </c>
      <c r="E1778">
        <v>1</v>
      </c>
      <c r="F1778" s="7">
        <v>1033.44</v>
      </c>
      <c r="G1778">
        <v>0</v>
      </c>
      <c r="H1778" s="7">
        <v>0</v>
      </c>
    </row>
    <row r="1779" spans="1:8">
      <c r="A1779">
        <v>1</v>
      </c>
      <c r="B1779" t="s">
        <v>42</v>
      </c>
      <c r="C1779" t="s">
        <v>33</v>
      </c>
      <c r="D1779">
        <v>0</v>
      </c>
      <c r="E1779">
        <v>1</v>
      </c>
      <c r="F1779" s="7">
        <v>1252.27</v>
      </c>
      <c r="G1779">
        <v>0</v>
      </c>
      <c r="H1779" s="7">
        <v>0</v>
      </c>
    </row>
    <row r="1780" spans="1:8">
      <c r="A1780">
        <v>1</v>
      </c>
      <c r="B1780" t="s">
        <v>42</v>
      </c>
      <c r="C1780" t="s">
        <v>33</v>
      </c>
      <c r="D1780">
        <v>0</v>
      </c>
      <c r="E1780">
        <v>1</v>
      </c>
      <c r="F1780" s="7">
        <v>4911.89</v>
      </c>
      <c r="G1780">
        <v>0</v>
      </c>
      <c r="H1780" s="7">
        <v>0</v>
      </c>
    </row>
    <row r="1781" spans="1:8">
      <c r="A1781">
        <v>1</v>
      </c>
      <c r="B1781" t="s">
        <v>45</v>
      </c>
      <c r="C1781" t="s">
        <v>33</v>
      </c>
      <c r="D1781">
        <v>0</v>
      </c>
      <c r="E1781">
        <v>1</v>
      </c>
      <c r="F1781" s="7">
        <v>9755.38</v>
      </c>
      <c r="G1781">
        <v>0</v>
      </c>
      <c r="H1781" s="7">
        <v>0</v>
      </c>
    </row>
    <row r="1782" spans="1:8">
      <c r="A1782">
        <v>1</v>
      </c>
      <c r="B1782" t="s">
        <v>43</v>
      </c>
      <c r="C1782" t="s">
        <v>35</v>
      </c>
      <c r="D1782">
        <v>0</v>
      </c>
      <c r="E1782">
        <v>1</v>
      </c>
      <c r="F1782" s="7">
        <v>300932.58</v>
      </c>
      <c r="G1782">
        <v>0</v>
      </c>
      <c r="H1782" s="7">
        <v>0</v>
      </c>
    </row>
    <row r="1783" spans="1:8">
      <c r="A1783">
        <v>1</v>
      </c>
      <c r="B1783" t="s">
        <v>43</v>
      </c>
      <c r="C1783" t="s">
        <v>34</v>
      </c>
      <c r="D1783">
        <v>0</v>
      </c>
      <c r="E1783">
        <v>1</v>
      </c>
      <c r="F1783" s="7">
        <v>47940.14</v>
      </c>
      <c r="G1783">
        <v>0</v>
      </c>
      <c r="H1783" s="7">
        <v>0</v>
      </c>
    </row>
    <row r="1784" spans="1:8">
      <c r="A1784">
        <v>1</v>
      </c>
      <c r="B1784" t="s">
        <v>43</v>
      </c>
      <c r="C1784" t="s">
        <v>35</v>
      </c>
      <c r="D1784">
        <v>0</v>
      </c>
      <c r="E1784">
        <v>1</v>
      </c>
      <c r="F1784" s="7">
        <v>118365.47</v>
      </c>
      <c r="G1784">
        <v>0</v>
      </c>
      <c r="H1784" s="7">
        <v>0</v>
      </c>
    </row>
    <row r="1785" spans="1:8">
      <c r="A1785">
        <v>1</v>
      </c>
      <c r="B1785" t="s">
        <v>43</v>
      </c>
      <c r="C1785" t="s">
        <v>34</v>
      </c>
      <c r="D1785">
        <v>0</v>
      </c>
      <c r="E1785">
        <v>1</v>
      </c>
      <c r="F1785" s="7">
        <v>16626.81</v>
      </c>
      <c r="G1785">
        <v>0</v>
      </c>
      <c r="H1785" s="7">
        <v>0</v>
      </c>
    </row>
    <row r="1786" spans="1:8">
      <c r="A1786">
        <v>1</v>
      </c>
      <c r="B1786" t="s">
        <v>43</v>
      </c>
      <c r="C1786" t="s">
        <v>34</v>
      </c>
      <c r="D1786">
        <v>0</v>
      </c>
      <c r="E1786">
        <v>1</v>
      </c>
      <c r="F1786" s="7">
        <v>96757.4</v>
      </c>
      <c r="G1786">
        <v>0</v>
      </c>
      <c r="H1786" s="7">
        <v>0</v>
      </c>
    </row>
    <row r="1787" spans="1:8">
      <c r="A1787">
        <v>1</v>
      </c>
      <c r="B1787" t="s">
        <v>43</v>
      </c>
      <c r="C1787" t="s">
        <v>35</v>
      </c>
      <c r="D1787">
        <v>0</v>
      </c>
      <c r="E1787">
        <v>1</v>
      </c>
      <c r="F1787" s="7">
        <v>297448.33</v>
      </c>
      <c r="G1787">
        <v>0</v>
      </c>
      <c r="H1787" s="7">
        <v>0</v>
      </c>
    </row>
    <row r="1788" spans="1:8">
      <c r="A1788">
        <v>1</v>
      </c>
      <c r="B1788" t="s">
        <v>43</v>
      </c>
      <c r="C1788" t="s">
        <v>35</v>
      </c>
      <c r="D1788">
        <v>0</v>
      </c>
      <c r="E1788">
        <v>1</v>
      </c>
      <c r="F1788" s="7">
        <v>287509.05</v>
      </c>
      <c r="G1788">
        <v>0</v>
      </c>
      <c r="H1788" s="7">
        <v>0</v>
      </c>
    </row>
    <row r="1789" spans="1:8">
      <c r="A1789">
        <v>1</v>
      </c>
      <c r="B1789" t="s">
        <v>43</v>
      </c>
      <c r="C1789" t="s">
        <v>36</v>
      </c>
      <c r="D1789">
        <v>0</v>
      </c>
      <c r="E1789">
        <v>1</v>
      </c>
      <c r="F1789" s="7">
        <v>1212719.61</v>
      </c>
      <c r="G1789">
        <v>0</v>
      </c>
      <c r="H1789" s="7">
        <v>0</v>
      </c>
    </row>
    <row r="1790" spans="1:8">
      <c r="A1790">
        <v>1</v>
      </c>
      <c r="B1790" t="s">
        <v>43</v>
      </c>
      <c r="C1790" t="s">
        <v>35</v>
      </c>
      <c r="D1790">
        <v>0</v>
      </c>
      <c r="E1790">
        <v>1</v>
      </c>
      <c r="F1790" s="7">
        <v>210650.2</v>
      </c>
      <c r="G1790">
        <v>0</v>
      </c>
      <c r="H1790" s="7">
        <v>0</v>
      </c>
    </row>
    <row r="1791" spans="1:8">
      <c r="A1791">
        <v>1</v>
      </c>
      <c r="B1791" t="s">
        <v>43</v>
      </c>
      <c r="C1791" t="s">
        <v>36</v>
      </c>
      <c r="D1791">
        <v>0</v>
      </c>
      <c r="E1791">
        <v>1</v>
      </c>
      <c r="F1791" s="7">
        <v>1636507.63</v>
      </c>
      <c r="G1791">
        <v>0</v>
      </c>
      <c r="H1791" s="7">
        <v>0</v>
      </c>
    </row>
    <row r="1792" spans="1:8">
      <c r="A1792">
        <v>1</v>
      </c>
      <c r="B1792" t="s">
        <v>43</v>
      </c>
      <c r="C1792" t="s">
        <v>35</v>
      </c>
      <c r="D1792">
        <v>0</v>
      </c>
      <c r="E1792">
        <v>1</v>
      </c>
      <c r="F1792" s="7">
        <v>651387.84</v>
      </c>
      <c r="G1792">
        <v>0</v>
      </c>
      <c r="H1792" s="7">
        <v>0</v>
      </c>
    </row>
    <row r="1793" spans="1:8">
      <c r="A1793">
        <v>1</v>
      </c>
      <c r="B1793" t="s">
        <v>43</v>
      </c>
      <c r="C1793" t="s">
        <v>35</v>
      </c>
      <c r="D1793">
        <v>0</v>
      </c>
      <c r="E1793">
        <v>1</v>
      </c>
      <c r="F1793" s="7">
        <v>548288.31</v>
      </c>
      <c r="G1793">
        <v>0</v>
      </c>
      <c r="H1793" s="7">
        <v>0</v>
      </c>
    </row>
    <row r="1794" spans="1:8">
      <c r="A1794">
        <v>1</v>
      </c>
      <c r="B1794" t="s">
        <v>43</v>
      </c>
      <c r="C1794" t="s">
        <v>36</v>
      </c>
      <c r="D1794">
        <v>0</v>
      </c>
      <c r="E1794">
        <v>1</v>
      </c>
      <c r="F1794" s="7">
        <v>2107293.71</v>
      </c>
      <c r="G1794">
        <v>0</v>
      </c>
      <c r="H1794" s="7">
        <v>0</v>
      </c>
    </row>
    <row r="1795" spans="1:8">
      <c r="A1795">
        <v>1</v>
      </c>
      <c r="B1795" t="s">
        <v>43</v>
      </c>
      <c r="C1795" t="s">
        <v>36</v>
      </c>
      <c r="D1795">
        <v>0</v>
      </c>
      <c r="E1795">
        <v>1</v>
      </c>
      <c r="F1795" s="7">
        <v>1918461.7</v>
      </c>
      <c r="G1795">
        <v>0</v>
      </c>
      <c r="H1795" s="7">
        <v>0</v>
      </c>
    </row>
    <row r="1796" spans="1:8">
      <c r="A1796">
        <v>1</v>
      </c>
      <c r="B1796" t="s">
        <v>43</v>
      </c>
      <c r="C1796" t="s">
        <v>35</v>
      </c>
      <c r="D1796">
        <v>0</v>
      </c>
      <c r="E1796">
        <v>1</v>
      </c>
      <c r="F1796" s="7">
        <v>291753.7</v>
      </c>
      <c r="G1796">
        <v>0</v>
      </c>
      <c r="H1796" s="7">
        <v>0</v>
      </c>
    </row>
    <row r="1797" spans="1:8">
      <c r="A1797">
        <v>1</v>
      </c>
      <c r="B1797" t="s">
        <v>43</v>
      </c>
      <c r="C1797" t="s">
        <v>35</v>
      </c>
      <c r="D1797">
        <v>0</v>
      </c>
      <c r="E1797">
        <v>1</v>
      </c>
      <c r="F1797" s="7">
        <v>556542.19</v>
      </c>
      <c r="G1797">
        <v>0</v>
      </c>
      <c r="H1797" s="7">
        <v>0</v>
      </c>
    </row>
    <row r="1798" spans="1:8">
      <c r="A1798">
        <v>1</v>
      </c>
      <c r="B1798" t="s">
        <v>45</v>
      </c>
      <c r="C1798" t="s">
        <v>32</v>
      </c>
      <c r="D1798">
        <v>0</v>
      </c>
      <c r="E1798">
        <v>1</v>
      </c>
      <c r="F1798" s="7">
        <v>588.33</v>
      </c>
      <c r="G1798">
        <v>0</v>
      </c>
      <c r="H1798" s="7">
        <v>0</v>
      </c>
    </row>
    <row r="1799" spans="1:8">
      <c r="A1799">
        <v>1</v>
      </c>
      <c r="B1799" t="s">
        <v>42</v>
      </c>
      <c r="C1799" t="s">
        <v>33</v>
      </c>
      <c r="D1799">
        <v>0</v>
      </c>
      <c r="E1799">
        <v>1</v>
      </c>
      <c r="F1799" s="7">
        <v>3559.49</v>
      </c>
      <c r="G1799">
        <v>0</v>
      </c>
      <c r="H1799" s="7">
        <v>0</v>
      </c>
    </row>
    <row r="1800" spans="1:8">
      <c r="A1800">
        <v>1</v>
      </c>
      <c r="B1800" t="s">
        <v>42</v>
      </c>
      <c r="C1800" t="s">
        <v>33</v>
      </c>
      <c r="D1800">
        <v>0</v>
      </c>
      <c r="E1800">
        <v>1</v>
      </c>
      <c r="F1800" s="7">
        <v>2488.09</v>
      </c>
      <c r="G1800">
        <v>0</v>
      </c>
      <c r="H1800" s="7">
        <v>0</v>
      </c>
    </row>
    <row r="1801" spans="1:8">
      <c r="A1801">
        <v>1</v>
      </c>
      <c r="B1801" t="s">
        <v>42</v>
      </c>
      <c r="C1801" t="s">
        <v>32</v>
      </c>
      <c r="D1801">
        <v>0</v>
      </c>
      <c r="E1801">
        <v>1</v>
      </c>
      <c r="F1801" s="7">
        <v>353.9</v>
      </c>
      <c r="G1801">
        <v>0</v>
      </c>
      <c r="H1801" s="7">
        <v>0</v>
      </c>
    </row>
    <row r="1802" spans="1:8">
      <c r="A1802">
        <v>1</v>
      </c>
      <c r="B1802" t="s">
        <v>42</v>
      </c>
      <c r="C1802" t="s">
        <v>33</v>
      </c>
      <c r="D1802">
        <v>0</v>
      </c>
      <c r="E1802">
        <v>1</v>
      </c>
      <c r="F1802" s="7">
        <v>8440.86</v>
      </c>
      <c r="G1802">
        <v>0</v>
      </c>
      <c r="H1802" s="7">
        <v>0</v>
      </c>
    </row>
    <row r="1803" spans="1:8">
      <c r="A1803">
        <v>1</v>
      </c>
      <c r="B1803" t="s">
        <v>42</v>
      </c>
      <c r="C1803" t="s">
        <v>33</v>
      </c>
      <c r="D1803">
        <v>0</v>
      </c>
      <c r="E1803">
        <v>1</v>
      </c>
      <c r="F1803" s="7">
        <v>9160.94</v>
      </c>
      <c r="G1803">
        <v>0</v>
      </c>
      <c r="H1803" s="7">
        <v>0</v>
      </c>
    </row>
    <row r="1804" spans="1:8">
      <c r="A1804">
        <v>1</v>
      </c>
      <c r="B1804" t="s">
        <v>42</v>
      </c>
      <c r="C1804" t="s">
        <v>34</v>
      </c>
      <c r="D1804">
        <v>0</v>
      </c>
      <c r="E1804">
        <v>1</v>
      </c>
      <c r="F1804" s="7">
        <v>11063.08</v>
      </c>
      <c r="G1804">
        <v>0</v>
      </c>
      <c r="H1804" s="7">
        <v>0</v>
      </c>
    </row>
    <row r="1805" spans="1:8">
      <c r="A1805">
        <v>1</v>
      </c>
      <c r="B1805" t="s">
        <v>42</v>
      </c>
      <c r="C1805" t="s">
        <v>34</v>
      </c>
      <c r="D1805">
        <v>0</v>
      </c>
      <c r="E1805">
        <v>1</v>
      </c>
      <c r="F1805" s="7">
        <v>18392.23</v>
      </c>
      <c r="G1805">
        <v>0</v>
      </c>
      <c r="H1805" s="7">
        <v>0</v>
      </c>
    </row>
    <row r="1806" spans="1:8">
      <c r="A1806">
        <v>1</v>
      </c>
      <c r="B1806" t="s">
        <v>42</v>
      </c>
      <c r="C1806" t="s">
        <v>33</v>
      </c>
      <c r="D1806">
        <v>0</v>
      </c>
      <c r="E1806">
        <v>1</v>
      </c>
      <c r="F1806" s="7">
        <v>2357.63</v>
      </c>
      <c r="G1806">
        <v>0</v>
      </c>
      <c r="H1806" s="7">
        <v>0</v>
      </c>
    </row>
    <row r="1807" spans="1:8">
      <c r="A1807">
        <v>1</v>
      </c>
      <c r="B1807" t="s">
        <v>42</v>
      </c>
      <c r="C1807" t="s">
        <v>33</v>
      </c>
      <c r="D1807">
        <v>0</v>
      </c>
      <c r="E1807">
        <v>1</v>
      </c>
      <c r="F1807" s="7">
        <v>5157.05</v>
      </c>
      <c r="G1807">
        <v>0</v>
      </c>
      <c r="H1807" s="7">
        <v>0</v>
      </c>
    </row>
    <row r="1808" spans="1:8">
      <c r="A1808">
        <v>1</v>
      </c>
      <c r="B1808" t="s">
        <v>42</v>
      </c>
      <c r="C1808" t="s">
        <v>33</v>
      </c>
      <c r="D1808">
        <v>0</v>
      </c>
      <c r="E1808">
        <v>1</v>
      </c>
      <c r="F1808" s="7">
        <v>5746.44</v>
      </c>
      <c r="G1808">
        <v>0</v>
      </c>
      <c r="H1808" s="7">
        <v>0</v>
      </c>
    </row>
    <row r="1809" spans="1:8">
      <c r="A1809">
        <v>1</v>
      </c>
      <c r="B1809" t="s">
        <v>42</v>
      </c>
      <c r="C1809" t="s">
        <v>33</v>
      </c>
      <c r="D1809">
        <v>0</v>
      </c>
      <c r="E1809">
        <v>1</v>
      </c>
      <c r="F1809" s="7">
        <v>5607.36</v>
      </c>
      <c r="G1809">
        <v>0</v>
      </c>
      <c r="H1809" s="7">
        <v>0</v>
      </c>
    </row>
    <row r="1810" spans="1:8">
      <c r="A1810">
        <v>1</v>
      </c>
      <c r="B1810" t="s">
        <v>42</v>
      </c>
      <c r="C1810" t="s">
        <v>33</v>
      </c>
      <c r="D1810">
        <v>0</v>
      </c>
      <c r="E1810">
        <v>1</v>
      </c>
      <c r="F1810" s="7">
        <v>6360.79</v>
      </c>
      <c r="G1810">
        <v>0</v>
      </c>
      <c r="H1810" s="7">
        <v>0</v>
      </c>
    </row>
    <row r="1811" spans="1:8">
      <c r="A1811">
        <v>1</v>
      </c>
      <c r="B1811" t="s">
        <v>46</v>
      </c>
      <c r="C1811" t="s">
        <v>34</v>
      </c>
      <c r="D1811">
        <v>0</v>
      </c>
      <c r="E1811">
        <v>1</v>
      </c>
      <c r="F1811" s="7">
        <v>67200.07</v>
      </c>
      <c r="G1811">
        <v>0</v>
      </c>
      <c r="H1811" s="7">
        <v>0</v>
      </c>
    </row>
    <row r="1812" spans="1:8">
      <c r="A1812">
        <v>1</v>
      </c>
      <c r="B1812" t="s">
        <v>42</v>
      </c>
      <c r="C1812" t="s">
        <v>33</v>
      </c>
      <c r="D1812">
        <v>0</v>
      </c>
      <c r="E1812">
        <v>1</v>
      </c>
      <c r="F1812" s="7">
        <v>2453.34</v>
      </c>
      <c r="G1812">
        <v>0</v>
      </c>
      <c r="H1812" s="7">
        <v>0</v>
      </c>
    </row>
    <row r="1813" spans="1:8">
      <c r="A1813">
        <v>1</v>
      </c>
      <c r="B1813" t="s">
        <v>42</v>
      </c>
      <c r="C1813" t="s">
        <v>32</v>
      </c>
      <c r="D1813">
        <v>0</v>
      </c>
      <c r="E1813">
        <v>1</v>
      </c>
      <c r="F1813" s="7">
        <v>79.26</v>
      </c>
      <c r="G1813">
        <v>0</v>
      </c>
      <c r="H1813" s="7">
        <v>0</v>
      </c>
    </row>
    <row r="1814" spans="1:8">
      <c r="A1814">
        <v>1</v>
      </c>
      <c r="B1814" t="s">
        <v>42</v>
      </c>
      <c r="C1814" t="s">
        <v>33</v>
      </c>
      <c r="D1814">
        <v>0</v>
      </c>
      <c r="E1814">
        <v>1</v>
      </c>
      <c r="F1814" s="7">
        <v>3758.16</v>
      </c>
      <c r="G1814">
        <v>0</v>
      </c>
      <c r="H1814" s="7">
        <v>0</v>
      </c>
    </row>
    <row r="1815" spans="1:8">
      <c r="A1815">
        <v>1</v>
      </c>
      <c r="B1815" t="s">
        <v>42</v>
      </c>
      <c r="C1815" t="s">
        <v>34</v>
      </c>
      <c r="D1815">
        <v>0</v>
      </c>
      <c r="E1815">
        <v>1</v>
      </c>
      <c r="F1815" s="7">
        <v>24495.45</v>
      </c>
      <c r="G1815">
        <v>0</v>
      </c>
      <c r="H1815" s="7">
        <v>0</v>
      </c>
    </row>
    <row r="1816" spans="1:8">
      <c r="A1816">
        <v>1</v>
      </c>
      <c r="B1816" t="s">
        <v>42</v>
      </c>
      <c r="C1816" t="s">
        <v>33</v>
      </c>
      <c r="D1816">
        <v>0</v>
      </c>
      <c r="E1816">
        <v>1</v>
      </c>
      <c r="F1816" s="7">
        <v>1284.49</v>
      </c>
      <c r="G1816">
        <v>0</v>
      </c>
      <c r="H1816" s="7">
        <v>0</v>
      </c>
    </row>
    <row r="1817" spans="1:8">
      <c r="A1817">
        <v>1</v>
      </c>
      <c r="B1817" t="s">
        <v>42</v>
      </c>
      <c r="C1817" t="s">
        <v>33</v>
      </c>
      <c r="D1817">
        <v>0</v>
      </c>
      <c r="E1817">
        <v>1</v>
      </c>
      <c r="F1817" s="7">
        <v>3283.87</v>
      </c>
      <c r="G1817">
        <v>0</v>
      </c>
      <c r="H1817" s="7">
        <v>0</v>
      </c>
    </row>
    <row r="1818" spans="1:8">
      <c r="A1818">
        <v>1</v>
      </c>
      <c r="B1818" t="s">
        <v>43</v>
      </c>
      <c r="C1818" t="s">
        <v>34</v>
      </c>
      <c r="D1818">
        <v>0</v>
      </c>
      <c r="E1818">
        <v>1</v>
      </c>
      <c r="F1818" s="7">
        <v>42136.28</v>
      </c>
      <c r="G1818">
        <v>0</v>
      </c>
      <c r="H1818" s="7">
        <v>0</v>
      </c>
    </row>
    <row r="1819" spans="1:8">
      <c r="A1819">
        <v>1</v>
      </c>
      <c r="B1819" t="s">
        <v>43</v>
      </c>
      <c r="C1819" t="s">
        <v>34</v>
      </c>
      <c r="D1819">
        <v>0</v>
      </c>
      <c r="E1819">
        <v>1</v>
      </c>
      <c r="F1819" s="7">
        <v>27008.84</v>
      </c>
      <c r="G1819">
        <v>0</v>
      </c>
      <c r="H1819" s="7">
        <v>0</v>
      </c>
    </row>
    <row r="1820" spans="1:8">
      <c r="A1820">
        <v>1</v>
      </c>
      <c r="B1820" t="s">
        <v>43</v>
      </c>
      <c r="C1820" t="s">
        <v>35</v>
      </c>
      <c r="D1820">
        <v>0</v>
      </c>
      <c r="E1820">
        <v>1</v>
      </c>
      <c r="F1820" s="7">
        <v>331545.25</v>
      </c>
      <c r="G1820">
        <v>0</v>
      </c>
      <c r="H1820" s="7">
        <v>0</v>
      </c>
    </row>
    <row r="1821" spans="1:8">
      <c r="A1821">
        <v>1</v>
      </c>
      <c r="B1821" t="s">
        <v>43</v>
      </c>
      <c r="C1821" t="s">
        <v>34</v>
      </c>
      <c r="D1821">
        <v>0</v>
      </c>
      <c r="E1821">
        <v>1</v>
      </c>
      <c r="F1821" s="7">
        <v>42529.28</v>
      </c>
      <c r="G1821">
        <v>0</v>
      </c>
      <c r="H1821" s="7">
        <v>0</v>
      </c>
    </row>
    <row r="1822" spans="1:8">
      <c r="A1822">
        <v>1</v>
      </c>
      <c r="B1822" t="s">
        <v>43</v>
      </c>
      <c r="C1822" t="s">
        <v>35</v>
      </c>
      <c r="D1822">
        <v>0</v>
      </c>
      <c r="E1822">
        <v>1</v>
      </c>
      <c r="F1822" s="7">
        <v>252129.73</v>
      </c>
      <c r="G1822">
        <v>0</v>
      </c>
      <c r="H1822" s="7">
        <v>0</v>
      </c>
    </row>
    <row r="1823" spans="1:8">
      <c r="A1823">
        <v>1</v>
      </c>
      <c r="B1823" t="s">
        <v>43</v>
      </c>
      <c r="C1823" t="s">
        <v>35</v>
      </c>
      <c r="D1823">
        <v>0</v>
      </c>
      <c r="E1823">
        <v>1</v>
      </c>
      <c r="F1823" s="7">
        <v>473469.94</v>
      </c>
      <c r="G1823">
        <v>0</v>
      </c>
      <c r="H1823" s="7">
        <v>0</v>
      </c>
    </row>
    <row r="1824" spans="1:8">
      <c r="A1824">
        <v>1</v>
      </c>
      <c r="B1824" t="s">
        <v>43</v>
      </c>
      <c r="C1824" t="s">
        <v>36</v>
      </c>
      <c r="D1824">
        <v>0</v>
      </c>
      <c r="E1824">
        <v>1</v>
      </c>
      <c r="F1824" s="7">
        <v>2317408.88</v>
      </c>
      <c r="G1824">
        <v>0</v>
      </c>
      <c r="H1824" s="7">
        <v>0</v>
      </c>
    </row>
    <row r="1825" spans="1:8">
      <c r="A1825">
        <v>1</v>
      </c>
      <c r="B1825" t="s">
        <v>43</v>
      </c>
      <c r="C1825" t="s">
        <v>35</v>
      </c>
      <c r="D1825">
        <v>0</v>
      </c>
      <c r="E1825">
        <v>1</v>
      </c>
      <c r="F1825" s="7">
        <v>864389.49</v>
      </c>
      <c r="G1825">
        <v>0</v>
      </c>
      <c r="H1825" s="7">
        <v>0</v>
      </c>
    </row>
    <row r="1826" spans="1:8">
      <c r="A1826">
        <v>1</v>
      </c>
      <c r="B1826" t="s">
        <v>43</v>
      </c>
      <c r="C1826" t="s">
        <v>35</v>
      </c>
      <c r="D1826">
        <v>0</v>
      </c>
      <c r="E1826">
        <v>1</v>
      </c>
      <c r="F1826" s="7">
        <v>276094.92</v>
      </c>
      <c r="G1826">
        <v>0</v>
      </c>
      <c r="H1826" s="7">
        <v>0</v>
      </c>
    </row>
    <row r="1827" spans="1:8">
      <c r="A1827">
        <v>1</v>
      </c>
      <c r="B1827" t="s">
        <v>43</v>
      </c>
      <c r="C1827" t="s">
        <v>35</v>
      </c>
      <c r="D1827">
        <v>0</v>
      </c>
      <c r="E1827">
        <v>1</v>
      </c>
      <c r="F1827" s="7">
        <v>132355.33</v>
      </c>
      <c r="G1827">
        <v>0</v>
      </c>
      <c r="H1827" s="7">
        <v>0</v>
      </c>
    </row>
    <row r="1828" spans="1:8">
      <c r="A1828">
        <v>1</v>
      </c>
      <c r="B1828" t="s">
        <v>43</v>
      </c>
      <c r="C1828" t="s">
        <v>35</v>
      </c>
      <c r="D1828">
        <v>0</v>
      </c>
      <c r="E1828">
        <v>1</v>
      </c>
      <c r="F1828" s="7">
        <v>169106.97</v>
      </c>
      <c r="G1828">
        <v>0</v>
      </c>
      <c r="H1828" s="7">
        <v>0</v>
      </c>
    </row>
    <row r="1829" spans="1:8">
      <c r="A1829">
        <v>1</v>
      </c>
      <c r="B1829" t="s">
        <v>43</v>
      </c>
      <c r="C1829" t="s">
        <v>36</v>
      </c>
      <c r="D1829">
        <v>0</v>
      </c>
      <c r="E1829">
        <v>1</v>
      </c>
      <c r="F1829" s="7">
        <v>2604219.11</v>
      </c>
      <c r="G1829">
        <v>0</v>
      </c>
      <c r="H1829" s="7">
        <v>0</v>
      </c>
    </row>
    <row r="1830" spans="1:8">
      <c r="A1830">
        <v>1</v>
      </c>
      <c r="B1830" t="s">
        <v>43</v>
      </c>
      <c r="C1830" t="s">
        <v>35</v>
      </c>
      <c r="D1830">
        <v>0</v>
      </c>
      <c r="E1830">
        <v>1</v>
      </c>
      <c r="F1830" s="7">
        <v>249740.75</v>
      </c>
      <c r="G1830">
        <v>0</v>
      </c>
      <c r="H1830" s="7">
        <v>0</v>
      </c>
    </row>
    <row r="1831" spans="1:8">
      <c r="A1831">
        <v>1</v>
      </c>
      <c r="B1831" t="s">
        <v>42</v>
      </c>
      <c r="C1831" t="s">
        <v>33</v>
      </c>
      <c r="D1831">
        <v>0</v>
      </c>
      <c r="E1831">
        <v>1</v>
      </c>
      <c r="F1831" s="7">
        <v>7977.96</v>
      </c>
      <c r="G1831">
        <v>0</v>
      </c>
      <c r="H1831" s="7">
        <v>0</v>
      </c>
    </row>
    <row r="1832" spans="1:8">
      <c r="A1832">
        <v>1</v>
      </c>
      <c r="B1832" t="s">
        <v>42</v>
      </c>
      <c r="C1832" t="s">
        <v>33</v>
      </c>
      <c r="D1832">
        <v>0</v>
      </c>
      <c r="E1832">
        <v>1</v>
      </c>
      <c r="F1832" s="7">
        <v>7848.22</v>
      </c>
      <c r="G1832">
        <v>0</v>
      </c>
      <c r="H1832" s="7">
        <v>0</v>
      </c>
    </row>
    <row r="1833" spans="1:8">
      <c r="A1833">
        <v>1</v>
      </c>
      <c r="B1833" t="s">
        <v>42</v>
      </c>
      <c r="C1833" t="s">
        <v>33</v>
      </c>
      <c r="D1833">
        <v>0</v>
      </c>
      <c r="E1833">
        <v>1</v>
      </c>
      <c r="F1833" s="7">
        <v>7625.73</v>
      </c>
      <c r="G1833">
        <v>0</v>
      </c>
      <c r="H1833" s="7">
        <v>0</v>
      </c>
    </row>
    <row r="1834" spans="1:8">
      <c r="A1834">
        <v>1</v>
      </c>
      <c r="B1834" t="s">
        <v>42</v>
      </c>
      <c r="C1834" t="s">
        <v>33</v>
      </c>
      <c r="D1834">
        <v>0</v>
      </c>
      <c r="E1834">
        <v>1</v>
      </c>
      <c r="F1834" s="7">
        <v>3499.43</v>
      </c>
      <c r="G1834">
        <v>0</v>
      </c>
      <c r="H1834" s="7">
        <v>0</v>
      </c>
    </row>
    <row r="1835" spans="1:8">
      <c r="A1835">
        <v>1</v>
      </c>
      <c r="B1835" t="s">
        <v>45</v>
      </c>
      <c r="C1835" t="s">
        <v>32</v>
      </c>
      <c r="D1835">
        <v>0</v>
      </c>
      <c r="E1835">
        <v>1</v>
      </c>
      <c r="F1835" s="7">
        <v>642.26</v>
      </c>
      <c r="G1835">
        <v>0</v>
      </c>
      <c r="H1835" s="7">
        <v>0</v>
      </c>
    </row>
    <row r="1836" spans="1:8">
      <c r="A1836">
        <v>1</v>
      </c>
      <c r="B1836" t="s">
        <v>44</v>
      </c>
      <c r="C1836" t="s">
        <v>34</v>
      </c>
      <c r="D1836">
        <v>0</v>
      </c>
      <c r="E1836">
        <v>1</v>
      </c>
      <c r="F1836" s="7">
        <v>41295.56</v>
      </c>
      <c r="G1836">
        <v>0</v>
      </c>
      <c r="H1836" s="7">
        <v>0</v>
      </c>
    </row>
    <row r="1837" spans="1:8">
      <c r="A1837">
        <v>1</v>
      </c>
      <c r="B1837" t="s">
        <v>44</v>
      </c>
      <c r="C1837" t="s">
        <v>34</v>
      </c>
      <c r="D1837">
        <v>0</v>
      </c>
      <c r="E1837">
        <v>1</v>
      </c>
      <c r="F1837" s="7">
        <v>13576.03</v>
      </c>
      <c r="G1837">
        <v>0</v>
      </c>
      <c r="H1837" s="7">
        <v>0</v>
      </c>
    </row>
    <row r="1838" spans="1:8">
      <c r="A1838">
        <v>1</v>
      </c>
      <c r="B1838" t="s">
        <v>44</v>
      </c>
      <c r="C1838" t="s">
        <v>34</v>
      </c>
      <c r="D1838">
        <v>0</v>
      </c>
      <c r="E1838">
        <v>1</v>
      </c>
      <c r="F1838" s="7">
        <v>29572.74</v>
      </c>
      <c r="G1838">
        <v>0</v>
      </c>
      <c r="H1838" s="7">
        <v>0</v>
      </c>
    </row>
    <row r="1839" spans="1:8">
      <c r="A1839">
        <v>1</v>
      </c>
      <c r="B1839" t="s">
        <v>44</v>
      </c>
      <c r="C1839" t="s">
        <v>34</v>
      </c>
      <c r="D1839">
        <v>0</v>
      </c>
      <c r="E1839">
        <v>1</v>
      </c>
      <c r="F1839" s="7">
        <v>53569.21</v>
      </c>
      <c r="G1839">
        <v>0</v>
      </c>
      <c r="H1839" s="7">
        <v>0</v>
      </c>
    </row>
    <row r="1840" spans="1:8">
      <c r="A1840">
        <v>1</v>
      </c>
      <c r="B1840" t="s">
        <v>44</v>
      </c>
      <c r="C1840" t="s">
        <v>35</v>
      </c>
      <c r="D1840">
        <v>0</v>
      </c>
      <c r="E1840">
        <v>1</v>
      </c>
      <c r="F1840" s="7">
        <v>139247.62</v>
      </c>
      <c r="G1840">
        <v>0</v>
      </c>
      <c r="H1840" s="7">
        <v>0</v>
      </c>
    </row>
    <row r="1841" spans="1:8">
      <c r="A1841">
        <v>1</v>
      </c>
      <c r="B1841" t="s">
        <v>44</v>
      </c>
      <c r="C1841" t="s">
        <v>34</v>
      </c>
      <c r="D1841">
        <v>0</v>
      </c>
      <c r="E1841">
        <v>1</v>
      </c>
      <c r="F1841" s="7">
        <v>60360.45</v>
      </c>
      <c r="G1841">
        <v>0</v>
      </c>
      <c r="H1841" s="7">
        <v>0</v>
      </c>
    </row>
    <row r="1842" spans="1:8">
      <c r="A1842">
        <v>1</v>
      </c>
      <c r="B1842" t="s">
        <v>44</v>
      </c>
      <c r="C1842" t="s">
        <v>35</v>
      </c>
      <c r="D1842">
        <v>0</v>
      </c>
      <c r="E1842">
        <v>1</v>
      </c>
      <c r="F1842" s="7">
        <v>161795.9</v>
      </c>
      <c r="G1842">
        <v>0</v>
      </c>
      <c r="H1842" s="7">
        <v>0</v>
      </c>
    </row>
    <row r="1843" spans="1:8">
      <c r="A1843">
        <v>1</v>
      </c>
      <c r="B1843" t="s">
        <v>44</v>
      </c>
      <c r="C1843" t="s">
        <v>35</v>
      </c>
      <c r="D1843">
        <v>0</v>
      </c>
      <c r="E1843">
        <v>1</v>
      </c>
      <c r="F1843" s="7">
        <v>607537.17</v>
      </c>
      <c r="G1843">
        <v>0</v>
      </c>
      <c r="H1843" s="7">
        <v>0</v>
      </c>
    </row>
    <row r="1844" spans="1:8">
      <c r="A1844">
        <v>1</v>
      </c>
      <c r="B1844" t="s">
        <v>44</v>
      </c>
      <c r="C1844" t="s">
        <v>35</v>
      </c>
      <c r="D1844">
        <v>0</v>
      </c>
      <c r="E1844">
        <v>1</v>
      </c>
      <c r="F1844" s="7">
        <v>254399.35</v>
      </c>
      <c r="G1844">
        <v>0</v>
      </c>
      <c r="H1844" s="7">
        <v>0</v>
      </c>
    </row>
    <row r="1845" spans="1:8">
      <c r="A1845">
        <v>1</v>
      </c>
      <c r="B1845" t="s">
        <v>44</v>
      </c>
      <c r="C1845" t="s">
        <v>35</v>
      </c>
      <c r="D1845">
        <v>0</v>
      </c>
      <c r="E1845">
        <v>1</v>
      </c>
      <c r="F1845" s="7">
        <v>427823.47</v>
      </c>
      <c r="G1845">
        <v>0</v>
      </c>
      <c r="H1845" s="7">
        <v>0</v>
      </c>
    </row>
    <row r="1846" spans="1:8">
      <c r="A1846">
        <v>1</v>
      </c>
      <c r="B1846" t="s">
        <v>44</v>
      </c>
      <c r="C1846" t="s">
        <v>34</v>
      </c>
      <c r="D1846">
        <v>0</v>
      </c>
      <c r="E1846">
        <v>1</v>
      </c>
      <c r="F1846" s="7">
        <v>16662.21</v>
      </c>
      <c r="G1846">
        <v>0</v>
      </c>
      <c r="H1846" s="7">
        <v>0</v>
      </c>
    </row>
    <row r="1847" spans="1:8">
      <c r="A1847">
        <v>1</v>
      </c>
      <c r="B1847" t="s">
        <v>44</v>
      </c>
      <c r="C1847" t="s">
        <v>35</v>
      </c>
      <c r="D1847">
        <v>0</v>
      </c>
      <c r="E1847">
        <v>1</v>
      </c>
      <c r="F1847" s="7">
        <v>173570.67</v>
      </c>
      <c r="G1847">
        <v>0</v>
      </c>
      <c r="H1847" s="7">
        <v>0</v>
      </c>
    </row>
    <row r="1848" spans="1:8">
      <c r="A1848">
        <v>1</v>
      </c>
      <c r="B1848" t="s">
        <v>44</v>
      </c>
      <c r="C1848" t="s">
        <v>34</v>
      </c>
      <c r="D1848">
        <v>0</v>
      </c>
      <c r="E1848">
        <v>1</v>
      </c>
      <c r="F1848" s="7">
        <v>54684.17</v>
      </c>
      <c r="G1848">
        <v>0</v>
      </c>
      <c r="H1848" s="7">
        <v>0</v>
      </c>
    </row>
    <row r="1849" spans="1:8">
      <c r="A1849">
        <v>1</v>
      </c>
      <c r="B1849" t="s">
        <v>44</v>
      </c>
      <c r="C1849" t="s">
        <v>34</v>
      </c>
      <c r="D1849">
        <v>0</v>
      </c>
      <c r="E1849">
        <v>1</v>
      </c>
      <c r="F1849" s="7">
        <v>87963.9</v>
      </c>
      <c r="G1849">
        <v>0</v>
      </c>
      <c r="H1849" s="7">
        <v>0</v>
      </c>
    </row>
    <row r="1850" spans="1:8">
      <c r="A1850">
        <v>1</v>
      </c>
      <c r="B1850" t="s">
        <v>44</v>
      </c>
      <c r="C1850" t="s">
        <v>35</v>
      </c>
      <c r="D1850">
        <v>0</v>
      </c>
      <c r="E1850">
        <v>1</v>
      </c>
      <c r="F1850" s="7">
        <v>565349.9</v>
      </c>
      <c r="G1850">
        <v>0</v>
      </c>
      <c r="H1850" s="7">
        <v>0</v>
      </c>
    </row>
    <row r="1851" spans="1:8">
      <c r="A1851">
        <v>1</v>
      </c>
      <c r="B1851" t="s">
        <v>44</v>
      </c>
      <c r="C1851" t="s">
        <v>34</v>
      </c>
      <c r="D1851">
        <v>0</v>
      </c>
      <c r="E1851">
        <v>1</v>
      </c>
      <c r="F1851" s="7">
        <v>94527.39</v>
      </c>
      <c r="G1851">
        <v>0</v>
      </c>
      <c r="H1851" s="7">
        <v>0</v>
      </c>
    </row>
    <row r="1852" spans="1:8">
      <c r="A1852">
        <v>1</v>
      </c>
      <c r="B1852" t="s">
        <v>44</v>
      </c>
      <c r="C1852" t="s">
        <v>35</v>
      </c>
      <c r="D1852">
        <v>0</v>
      </c>
      <c r="E1852">
        <v>1</v>
      </c>
      <c r="F1852" s="7">
        <v>315552.62</v>
      </c>
      <c r="G1852">
        <v>0</v>
      </c>
      <c r="H1852" s="7">
        <v>0</v>
      </c>
    </row>
    <row r="1853" spans="1:8">
      <c r="A1853">
        <v>1</v>
      </c>
      <c r="B1853" t="s">
        <v>44</v>
      </c>
      <c r="C1853" t="s">
        <v>34</v>
      </c>
      <c r="D1853">
        <v>0</v>
      </c>
      <c r="E1853">
        <v>1</v>
      </c>
      <c r="F1853" s="7">
        <v>48169.69</v>
      </c>
      <c r="G1853">
        <v>0</v>
      </c>
      <c r="H1853" s="7">
        <v>0</v>
      </c>
    </row>
    <row r="1854" spans="1:8">
      <c r="A1854">
        <v>1</v>
      </c>
      <c r="B1854" t="s">
        <v>44</v>
      </c>
      <c r="C1854" t="s">
        <v>35</v>
      </c>
      <c r="D1854">
        <v>0</v>
      </c>
      <c r="E1854">
        <v>1</v>
      </c>
      <c r="F1854" s="7">
        <v>118753.07</v>
      </c>
      <c r="G1854">
        <v>0</v>
      </c>
      <c r="H1854" s="7">
        <v>0</v>
      </c>
    </row>
    <row r="1855" spans="1:8">
      <c r="A1855">
        <v>1</v>
      </c>
      <c r="B1855" t="s">
        <v>44</v>
      </c>
      <c r="C1855" t="s">
        <v>35</v>
      </c>
      <c r="D1855">
        <v>0</v>
      </c>
      <c r="E1855">
        <v>1</v>
      </c>
      <c r="F1855" s="7">
        <v>106705.8</v>
      </c>
      <c r="G1855">
        <v>0</v>
      </c>
      <c r="H1855" s="7">
        <v>0</v>
      </c>
    </row>
    <row r="1856" spans="1:8">
      <c r="A1856">
        <v>1</v>
      </c>
      <c r="B1856" t="s">
        <v>44</v>
      </c>
      <c r="C1856" t="s">
        <v>35</v>
      </c>
      <c r="D1856">
        <v>0</v>
      </c>
      <c r="E1856">
        <v>1</v>
      </c>
      <c r="F1856" s="7">
        <v>328967.35</v>
      </c>
      <c r="G1856">
        <v>0</v>
      </c>
      <c r="H1856" s="7">
        <v>0</v>
      </c>
    </row>
    <row r="1857" spans="1:8">
      <c r="A1857">
        <v>1</v>
      </c>
      <c r="B1857" t="s">
        <v>44</v>
      </c>
      <c r="C1857" t="s">
        <v>34</v>
      </c>
      <c r="D1857">
        <v>0</v>
      </c>
      <c r="E1857">
        <v>1</v>
      </c>
      <c r="F1857" s="7">
        <v>55855.58</v>
      </c>
      <c r="G1857">
        <v>0</v>
      </c>
      <c r="H1857" s="7">
        <v>0</v>
      </c>
    </row>
    <row r="1858" spans="1:8">
      <c r="A1858">
        <v>1</v>
      </c>
      <c r="B1858" t="s">
        <v>44</v>
      </c>
      <c r="C1858" t="s">
        <v>35</v>
      </c>
      <c r="D1858">
        <v>0</v>
      </c>
      <c r="E1858">
        <v>1</v>
      </c>
      <c r="F1858" s="7">
        <v>370751.08</v>
      </c>
      <c r="G1858">
        <v>0</v>
      </c>
      <c r="H1858" s="7">
        <v>0</v>
      </c>
    </row>
    <row r="1859" spans="1:8">
      <c r="A1859">
        <v>1</v>
      </c>
      <c r="B1859" t="s">
        <v>44</v>
      </c>
      <c r="C1859" t="s">
        <v>34</v>
      </c>
      <c r="D1859">
        <v>0</v>
      </c>
      <c r="E1859">
        <v>1</v>
      </c>
      <c r="F1859" s="7">
        <v>49177.38</v>
      </c>
      <c r="G1859">
        <v>0</v>
      </c>
      <c r="H1859" s="7">
        <v>0</v>
      </c>
    </row>
    <row r="1860" spans="1:8">
      <c r="A1860">
        <v>1</v>
      </c>
      <c r="B1860" t="s">
        <v>44</v>
      </c>
      <c r="C1860" t="s">
        <v>34</v>
      </c>
      <c r="D1860">
        <v>0</v>
      </c>
      <c r="E1860">
        <v>1</v>
      </c>
      <c r="F1860" s="7">
        <v>63557.19</v>
      </c>
      <c r="G1860">
        <v>0</v>
      </c>
      <c r="H1860" s="7">
        <v>0</v>
      </c>
    </row>
    <row r="1861" spans="1:8">
      <c r="A1861">
        <v>1</v>
      </c>
      <c r="B1861" t="s">
        <v>44</v>
      </c>
      <c r="C1861" t="s">
        <v>34</v>
      </c>
      <c r="D1861">
        <v>0</v>
      </c>
      <c r="E1861">
        <v>1</v>
      </c>
      <c r="F1861" s="7">
        <v>33663.22</v>
      </c>
      <c r="G1861">
        <v>0</v>
      </c>
      <c r="H1861" s="7">
        <v>0</v>
      </c>
    </row>
    <row r="1862" spans="1:8">
      <c r="A1862">
        <v>1</v>
      </c>
      <c r="B1862" t="s">
        <v>44</v>
      </c>
      <c r="C1862" t="s">
        <v>34</v>
      </c>
      <c r="D1862">
        <v>0</v>
      </c>
      <c r="E1862">
        <v>1</v>
      </c>
      <c r="F1862" s="7">
        <v>20986.8</v>
      </c>
      <c r="G1862">
        <v>0</v>
      </c>
      <c r="H1862" s="7">
        <v>0</v>
      </c>
    </row>
    <row r="1863" spans="1:8">
      <c r="A1863">
        <v>1</v>
      </c>
      <c r="B1863" t="s">
        <v>44</v>
      </c>
      <c r="C1863" t="s">
        <v>35</v>
      </c>
      <c r="D1863">
        <v>0</v>
      </c>
      <c r="E1863">
        <v>1</v>
      </c>
      <c r="F1863" s="7">
        <v>301680.88</v>
      </c>
      <c r="G1863">
        <v>0</v>
      </c>
      <c r="H1863" s="7">
        <v>0</v>
      </c>
    </row>
    <row r="1864" spans="1:8">
      <c r="A1864">
        <v>1</v>
      </c>
      <c r="B1864" t="s">
        <v>44</v>
      </c>
      <c r="C1864" t="s">
        <v>33</v>
      </c>
      <c r="D1864">
        <v>0</v>
      </c>
      <c r="E1864">
        <v>1</v>
      </c>
      <c r="F1864" s="7">
        <v>9320.15</v>
      </c>
      <c r="G1864">
        <v>0</v>
      </c>
      <c r="H1864" s="7">
        <v>0</v>
      </c>
    </row>
    <row r="1865" spans="1:8">
      <c r="A1865">
        <v>1</v>
      </c>
      <c r="B1865" t="s">
        <v>44</v>
      </c>
      <c r="C1865" t="s">
        <v>35</v>
      </c>
      <c r="D1865">
        <v>0</v>
      </c>
      <c r="E1865">
        <v>1</v>
      </c>
      <c r="F1865" s="7">
        <v>241488.05</v>
      </c>
      <c r="G1865">
        <v>0</v>
      </c>
      <c r="H1865" s="7">
        <v>0</v>
      </c>
    </row>
    <row r="1866" spans="1:8">
      <c r="A1866">
        <v>1</v>
      </c>
      <c r="B1866" t="s">
        <v>44</v>
      </c>
      <c r="C1866" t="s">
        <v>34</v>
      </c>
      <c r="D1866">
        <v>0</v>
      </c>
      <c r="E1866">
        <v>1</v>
      </c>
      <c r="F1866" s="7">
        <v>60850.8</v>
      </c>
      <c r="G1866">
        <v>0</v>
      </c>
      <c r="H1866" s="7">
        <v>0</v>
      </c>
    </row>
    <row r="1867" spans="1:8">
      <c r="A1867">
        <v>1</v>
      </c>
      <c r="B1867" t="s">
        <v>44</v>
      </c>
      <c r="C1867" t="s">
        <v>35</v>
      </c>
      <c r="D1867">
        <v>0</v>
      </c>
      <c r="E1867">
        <v>1</v>
      </c>
      <c r="F1867" s="7">
        <v>476934.35</v>
      </c>
      <c r="G1867">
        <v>0</v>
      </c>
      <c r="H1867" s="7">
        <v>0</v>
      </c>
    </row>
    <row r="1868" spans="1:8">
      <c r="A1868">
        <v>1</v>
      </c>
      <c r="B1868" t="s">
        <v>44</v>
      </c>
      <c r="C1868" t="s">
        <v>35</v>
      </c>
      <c r="D1868">
        <v>0</v>
      </c>
      <c r="E1868">
        <v>1</v>
      </c>
      <c r="F1868" s="7">
        <v>598674.03</v>
      </c>
      <c r="G1868">
        <v>0</v>
      </c>
      <c r="H1868" s="7">
        <v>0</v>
      </c>
    </row>
    <row r="1869" spans="1:8">
      <c r="A1869">
        <v>1</v>
      </c>
      <c r="B1869" t="s">
        <v>44</v>
      </c>
      <c r="C1869" t="s">
        <v>35</v>
      </c>
      <c r="D1869">
        <v>0</v>
      </c>
      <c r="E1869">
        <v>1</v>
      </c>
      <c r="F1869" s="7">
        <v>135357.16</v>
      </c>
      <c r="G1869">
        <v>0</v>
      </c>
      <c r="H1869" s="7">
        <v>0</v>
      </c>
    </row>
    <row r="1870" spans="1:8">
      <c r="A1870">
        <v>1</v>
      </c>
      <c r="B1870" t="s">
        <v>44</v>
      </c>
      <c r="C1870" t="s">
        <v>35</v>
      </c>
      <c r="D1870">
        <v>0</v>
      </c>
      <c r="E1870">
        <v>1</v>
      </c>
      <c r="F1870" s="7">
        <v>422125.99</v>
      </c>
      <c r="G1870">
        <v>0</v>
      </c>
      <c r="H1870" s="7">
        <v>0</v>
      </c>
    </row>
    <row r="1871" spans="1:8">
      <c r="A1871">
        <v>1</v>
      </c>
      <c r="B1871" t="s">
        <v>44</v>
      </c>
      <c r="C1871" t="s">
        <v>34</v>
      </c>
      <c r="D1871">
        <v>0</v>
      </c>
      <c r="E1871">
        <v>1</v>
      </c>
      <c r="F1871" s="7">
        <v>57643.24</v>
      </c>
      <c r="G1871">
        <v>0</v>
      </c>
      <c r="H1871" s="7">
        <v>0</v>
      </c>
    </row>
    <row r="1872" spans="1:8">
      <c r="A1872">
        <v>1</v>
      </c>
      <c r="B1872" t="s">
        <v>42</v>
      </c>
      <c r="C1872" t="s">
        <v>34</v>
      </c>
      <c r="D1872">
        <v>0</v>
      </c>
      <c r="E1872">
        <v>1</v>
      </c>
      <c r="F1872" s="7">
        <v>11261.67</v>
      </c>
      <c r="G1872">
        <v>0</v>
      </c>
      <c r="H1872" s="7">
        <v>0</v>
      </c>
    </row>
    <row r="1873" spans="1:8">
      <c r="A1873">
        <v>1</v>
      </c>
      <c r="B1873" t="s">
        <v>43</v>
      </c>
      <c r="C1873" t="s">
        <v>35</v>
      </c>
      <c r="D1873">
        <v>0</v>
      </c>
      <c r="E1873">
        <v>1</v>
      </c>
      <c r="F1873" s="7">
        <v>416106.78</v>
      </c>
      <c r="G1873">
        <v>0</v>
      </c>
      <c r="H1873" s="7">
        <v>0</v>
      </c>
    </row>
    <row r="1874" spans="1:8">
      <c r="A1874">
        <v>1</v>
      </c>
      <c r="B1874" t="s">
        <v>42</v>
      </c>
      <c r="C1874" t="s">
        <v>33</v>
      </c>
      <c r="D1874">
        <v>0</v>
      </c>
      <c r="E1874">
        <v>1</v>
      </c>
      <c r="F1874" s="7">
        <v>4447.55</v>
      </c>
      <c r="G1874">
        <v>0</v>
      </c>
      <c r="H1874" s="7">
        <v>0</v>
      </c>
    </row>
    <row r="1875" spans="1:8">
      <c r="A1875">
        <v>1</v>
      </c>
      <c r="B1875" t="s">
        <v>43</v>
      </c>
      <c r="C1875" t="s">
        <v>34</v>
      </c>
      <c r="D1875">
        <v>1</v>
      </c>
      <c r="E1875">
        <v>1</v>
      </c>
      <c r="F1875" s="7">
        <v>25071.46</v>
      </c>
      <c r="G1875">
        <v>1</v>
      </c>
      <c r="H1875" s="7">
        <v>25071.46</v>
      </c>
    </row>
    <row r="1876" spans="1:8">
      <c r="A1876">
        <v>1</v>
      </c>
      <c r="B1876" t="s">
        <v>44</v>
      </c>
      <c r="C1876" t="s">
        <v>34</v>
      </c>
      <c r="D1876">
        <v>1</v>
      </c>
      <c r="E1876">
        <v>1</v>
      </c>
      <c r="F1876" s="7">
        <v>25071.46</v>
      </c>
      <c r="G1876">
        <v>1</v>
      </c>
      <c r="H1876" s="7">
        <v>25071.46</v>
      </c>
    </row>
    <row r="1877" spans="1:8">
      <c r="A1877">
        <v>1</v>
      </c>
      <c r="B1877" t="s">
        <v>42</v>
      </c>
      <c r="C1877" t="s">
        <v>33</v>
      </c>
      <c r="D1877">
        <v>0</v>
      </c>
      <c r="E1877">
        <v>1</v>
      </c>
      <c r="F1877" s="7">
        <v>3239.95</v>
      </c>
      <c r="G1877">
        <v>0</v>
      </c>
      <c r="H1877" s="7">
        <v>0</v>
      </c>
    </row>
    <row r="1878" spans="1:8">
      <c r="A1878">
        <v>1</v>
      </c>
      <c r="B1878" t="s">
        <v>42</v>
      </c>
      <c r="C1878" t="s">
        <v>34</v>
      </c>
      <c r="D1878">
        <v>0</v>
      </c>
      <c r="E1878">
        <v>1</v>
      </c>
      <c r="F1878" s="7">
        <v>10286.48</v>
      </c>
      <c r="G1878">
        <v>0</v>
      </c>
      <c r="H1878" s="7">
        <v>0</v>
      </c>
    </row>
    <row r="1879" spans="1:8">
      <c r="A1879">
        <v>1</v>
      </c>
      <c r="B1879" t="s">
        <v>42</v>
      </c>
      <c r="C1879" t="s">
        <v>33</v>
      </c>
      <c r="D1879">
        <v>0</v>
      </c>
      <c r="E1879">
        <v>1</v>
      </c>
      <c r="F1879" s="7">
        <v>2011.81</v>
      </c>
      <c r="G1879">
        <v>0</v>
      </c>
      <c r="H1879" s="7">
        <v>0</v>
      </c>
    </row>
    <row r="1880" spans="1:8">
      <c r="A1880">
        <v>1</v>
      </c>
      <c r="B1880" t="s">
        <v>42</v>
      </c>
      <c r="C1880" t="s">
        <v>33</v>
      </c>
      <c r="D1880">
        <v>0</v>
      </c>
      <c r="E1880">
        <v>1</v>
      </c>
      <c r="F1880" s="7">
        <v>9520.02</v>
      </c>
      <c r="G1880">
        <v>0</v>
      </c>
      <c r="H1880" s="7">
        <v>0</v>
      </c>
    </row>
    <row r="1881" spans="1:8">
      <c r="A1881">
        <v>1</v>
      </c>
      <c r="B1881" t="s">
        <v>42</v>
      </c>
      <c r="C1881" t="s">
        <v>33</v>
      </c>
      <c r="D1881">
        <v>0</v>
      </c>
      <c r="E1881">
        <v>1</v>
      </c>
      <c r="F1881" s="7">
        <v>4273.56</v>
      </c>
      <c r="G1881">
        <v>0</v>
      </c>
      <c r="H1881" s="7">
        <v>0</v>
      </c>
    </row>
    <row r="1882" spans="1:8">
      <c r="A1882">
        <v>1</v>
      </c>
      <c r="B1882" t="s">
        <v>44</v>
      </c>
      <c r="C1882" t="s">
        <v>34</v>
      </c>
      <c r="D1882">
        <v>0</v>
      </c>
      <c r="E1882">
        <v>1</v>
      </c>
      <c r="F1882" s="7">
        <v>26844.84</v>
      </c>
      <c r="G1882">
        <v>0</v>
      </c>
      <c r="H1882" s="7">
        <v>0</v>
      </c>
    </row>
    <row r="1883" spans="1:8">
      <c r="A1883">
        <v>1</v>
      </c>
      <c r="B1883" t="s">
        <v>42</v>
      </c>
      <c r="C1883" t="s">
        <v>32</v>
      </c>
      <c r="D1883">
        <v>0</v>
      </c>
      <c r="E1883">
        <v>1</v>
      </c>
      <c r="F1883" s="7">
        <v>634.41</v>
      </c>
      <c r="G1883">
        <v>0</v>
      </c>
      <c r="H1883" s="7">
        <v>0</v>
      </c>
    </row>
    <row r="1884" spans="1:8">
      <c r="A1884">
        <v>1</v>
      </c>
      <c r="B1884" t="s">
        <v>44</v>
      </c>
      <c r="C1884" t="s">
        <v>34</v>
      </c>
      <c r="D1884">
        <v>0</v>
      </c>
      <c r="E1884">
        <v>1</v>
      </c>
      <c r="F1884" s="7">
        <v>58516.68</v>
      </c>
      <c r="G1884">
        <v>0</v>
      </c>
      <c r="H1884" s="7">
        <v>0</v>
      </c>
    </row>
    <row r="1885" spans="1:8">
      <c r="A1885">
        <v>1</v>
      </c>
      <c r="B1885" t="s">
        <v>42</v>
      </c>
      <c r="C1885" t="s">
        <v>33</v>
      </c>
      <c r="D1885">
        <v>0</v>
      </c>
      <c r="E1885">
        <v>1</v>
      </c>
      <c r="F1885" s="7">
        <v>5077.6</v>
      </c>
      <c r="G1885">
        <v>0</v>
      </c>
      <c r="H1885" s="7">
        <v>0</v>
      </c>
    </row>
    <row r="1886" spans="1:8">
      <c r="A1886">
        <v>1</v>
      </c>
      <c r="B1886" t="s">
        <v>42</v>
      </c>
      <c r="C1886" t="s">
        <v>33</v>
      </c>
      <c r="D1886">
        <v>0</v>
      </c>
      <c r="E1886">
        <v>1</v>
      </c>
      <c r="F1886" s="7">
        <v>4471.34</v>
      </c>
      <c r="G1886">
        <v>0</v>
      </c>
      <c r="H1886" s="7">
        <v>0</v>
      </c>
    </row>
    <row r="1887" spans="1:8">
      <c r="A1887">
        <v>1</v>
      </c>
      <c r="B1887" t="s">
        <v>42</v>
      </c>
      <c r="C1887" t="s">
        <v>33</v>
      </c>
      <c r="D1887">
        <v>0</v>
      </c>
      <c r="E1887">
        <v>1</v>
      </c>
      <c r="F1887" s="7">
        <v>6525.58</v>
      </c>
      <c r="G1887">
        <v>0</v>
      </c>
      <c r="H1887" s="7">
        <v>0</v>
      </c>
    </row>
    <row r="1888" spans="1:8">
      <c r="A1888">
        <v>1</v>
      </c>
      <c r="B1888" t="s">
        <v>42</v>
      </c>
      <c r="C1888" t="s">
        <v>34</v>
      </c>
      <c r="D1888">
        <v>0</v>
      </c>
      <c r="E1888">
        <v>1</v>
      </c>
      <c r="F1888" s="7">
        <v>12749.19</v>
      </c>
      <c r="G1888">
        <v>0</v>
      </c>
      <c r="H1888" s="7">
        <v>0</v>
      </c>
    </row>
    <row r="1889" spans="1:8">
      <c r="A1889">
        <v>1</v>
      </c>
      <c r="B1889" t="s">
        <v>42</v>
      </c>
      <c r="C1889" t="s">
        <v>33</v>
      </c>
      <c r="D1889">
        <v>0</v>
      </c>
      <c r="E1889">
        <v>1</v>
      </c>
      <c r="F1889" s="7">
        <v>7652.07</v>
      </c>
      <c r="G1889">
        <v>0</v>
      </c>
      <c r="H1889" s="7">
        <v>0</v>
      </c>
    </row>
    <row r="1890" spans="1:8">
      <c r="A1890">
        <v>1</v>
      </c>
      <c r="B1890" t="s">
        <v>44</v>
      </c>
      <c r="C1890" t="s">
        <v>35</v>
      </c>
      <c r="D1890">
        <v>0</v>
      </c>
      <c r="E1890">
        <v>1</v>
      </c>
      <c r="F1890" s="7">
        <v>450465.15</v>
      </c>
      <c r="G1890">
        <v>0</v>
      </c>
      <c r="H1890" s="7">
        <v>0</v>
      </c>
    </row>
    <row r="1891" spans="1:8">
      <c r="A1891">
        <v>1</v>
      </c>
      <c r="B1891" t="s">
        <v>42</v>
      </c>
      <c r="C1891" t="s">
        <v>34</v>
      </c>
      <c r="D1891">
        <v>0</v>
      </c>
      <c r="E1891">
        <v>1</v>
      </c>
      <c r="F1891" s="7">
        <v>17540.66</v>
      </c>
      <c r="G1891">
        <v>0</v>
      </c>
      <c r="H1891" s="7">
        <v>0</v>
      </c>
    </row>
    <row r="1892" spans="1:8">
      <c r="A1892">
        <v>1</v>
      </c>
      <c r="B1892" t="s">
        <v>46</v>
      </c>
      <c r="C1892" t="s">
        <v>33</v>
      </c>
      <c r="D1892">
        <v>0</v>
      </c>
      <c r="E1892">
        <v>1</v>
      </c>
      <c r="F1892" s="7">
        <v>2673.64</v>
      </c>
      <c r="G1892">
        <v>0</v>
      </c>
      <c r="H1892" s="7">
        <v>0</v>
      </c>
    </row>
    <row r="1893" spans="1:8">
      <c r="A1893">
        <v>1</v>
      </c>
      <c r="B1893" t="s">
        <v>42</v>
      </c>
      <c r="C1893" t="s">
        <v>33</v>
      </c>
      <c r="D1893">
        <v>0</v>
      </c>
      <c r="E1893">
        <v>1</v>
      </c>
      <c r="F1893" s="7">
        <v>4215.08</v>
      </c>
      <c r="G1893">
        <v>0</v>
      </c>
      <c r="H1893" s="7">
        <v>0</v>
      </c>
    </row>
    <row r="1894" spans="1:8">
      <c r="A1894">
        <v>1</v>
      </c>
      <c r="B1894" t="s">
        <v>42</v>
      </c>
      <c r="C1894" t="s">
        <v>33</v>
      </c>
      <c r="D1894">
        <v>0</v>
      </c>
      <c r="E1894">
        <v>1</v>
      </c>
      <c r="F1894" s="7">
        <v>3468.74</v>
      </c>
      <c r="G1894">
        <v>0</v>
      </c>
      <c r="H1894" s="7">
        <v>0</v>
      </c>
    </row>
    <row r="1895" spans="1:8">
      <c r="A1895">
        <v>1</v>
      </c>
      <c r="B1895" t="s">
        <v>42</v>
      </c>
      <c r="C1895" t="s">
        <v>32</v>
      </c>
      <c r="D1895">
        <v>0</v>
      </c>
      <c r="E1895">
        <v>1</v>
      </c>
      <c r="F1895" s="7">
        <v>244.09</v>
      </c>
      <c r="G1895">
        <v>0</v>
      </c>
      <c r="H1895" s="7">
        <v>0</v>
      </c>
    </row>
    <row r="1896" spans="1:8">
      <c r="A1896">
        <v>1</v>
      </c>
      <c r="B1896" t="s">
        <v>42</v>
      </c>
      <c r="C1896" t="s">
        <v>32</v>
      </c>
      <c r="D1896">
        <v>0</v>
      </c>
      <c r="E1896">
        <v>1</v>
      </c>
      <c r="F1896" s="7">
        <v>137.88</v>
      </c>
      <c r="G1896">
        <v>0</v>
      </c>
      <c r="H1896" s="7">
        <v>0</v>
      </c>
    </row>
    <row r="1897" spans="1:8">
      <c r="A1897">
        <v>1</v>
      </c>
      <c r="B1897" t="s">
        <v>42</v>
      </c>
      <c r="C1897" t="s">
        <v>33</v>
      </c>
      <c r="D1897">
        <v>0</v>
      </c>
      <c r="E1897">
        <v>1</v>
      </c>
      <c r="F1897" s="7">
        <v>7155.31</v>
      </c>
      <c r="G1897">
        <v>0</v>
      </c>
      <c r="H1897" s="7">
        <v>0</v>
      </c>
    </row>
    <row r="1898" spans="1:8">
      <c r="A1898">
        <v>1</v>
      </c>
      <c r="B1898" t="s">
        <v>42</v>
      </c>
      <c r="C1898" t="s">
        <v>33</v>
      </c>
      <c r="D1898">
        <v>0</v>
      </c>
      <c r="E1898">
        <v>1</v>
      </c>
      <c r="F1898" s="7">
        <v>2432.88</v>
      </c>
      <c r="G1898">
        <v>0</v>
      </c>
      <c r="H1898" s="7">
        <v>0</v>
      </c>
    </row>
    <row r="1899" spans="1:8">
      <c r="A1899">
        <v>1</v>
      </c>
      <c r="B1899" t="s">
        <v>42</v>
      </c>
      <c r="C1899" t="s">
        <v>33</v>
      </c>
      <c r="D1899">
        <v>0</v>
      </c>
      <c r="E1899">
        <v>1</v>
      </c>
      <c r="F1899" s="7">
        <v>9021.44</v>
      </c>
      <c r="G1899">
        <v>0</v>
      </c>
      <c r="H1899" s="7">
        <v>0</v>
      </c>
    </row>
    <row r="1900" spans="1:8">
      <c r="A1900">
        <v>1</v>
      </c>
      <c r="B1900" t="s">
        <v>42</v>
      </c>
      <c r="C1900" t="s">
        <v>33</v>
      </c>
      <c r="D1900">
        <v>0</v>
      </c>
      <c r="E1900">
        <v>1</v>
      </c>
      <c r="F1900" s="7">
        <v>4476.2</v>
      </c>
      <c r="G1900">
        <v>0</v>
      </c>
      <c r="H1900" s="7">
        <v>0</v>
      </c>
    </row>
    <row r="1901" spans="1:8">
      <c r="A1901">
        <v>1</v>
      </c>
      <c r="B1901" t="s">
        <v>42</v>
      </c>
      <c r="C1901" t="s">
        <v>34</v>
      </c>
      <c r="D1901">
        <v>0</v>
      </c>
      <c r="E1901">
        <v>1</v>
      </c>
      <c r="F1901" s="7">
        <v>14546.65</v>
      </c>
      <c r="G1901">
        <v>0</v>
      </c>
      <c r="H1901" s="7">
        <v>0</v>
      </c>
    </row>
    <row r="1902" spans="1:8">
      <c r="A1902">
        <v>1</v>
      </c>
      <c r="B1902" t="s">
        <v>43</v>
      </c>
      <c r="C1902" t="s">
        <v>35</v>
      </c>
      <c r="D1902">
        <v>0</v>
      </c>
      <c r="E1902">
        <v>1</v>
      </c>
      <c r="F1902" s="7">
        <v>272709.33</v>
      </c>
      <c r="G1902">
        <v>0</v>
      </c>
      <c r="H1902" s="7">
        <v>0</v>
      </c>
    </row>
    <row r="1903" spans="1:8">
      <c r="A1903">
        <v>1</v>
      </c>
      <c r="B1903" t="s">
        <v>42</v>
      </c>
      <c r="C1903" t="s">
        <v>33</v>
      </c>
      <c r="D1903">
        <v>0</v>
      </c>
      <c r="E1903">
        <v>1</v>
      </c>
      <c r="F1903" s="7">
        <v>7669.42</v>
      </c>
      <c r="G1903">
        <v>0</v>
      </c>
      <c r="H1903" s="7">
        <v>0</v>
      </c>
    </row>
    <row r="1904" spans="1:8">
      <c r="A1904">
        <v>1</v>
      </c>
      <c r="B1904" t="s">
        <v>44</v>
      </c>
      <c r="C1904" t="s">
        <v>34</v>
      </c>
      <c r="D1904">
        <v>0</v>
      </c>
      <c r="E1904">
        <v>1</v>
      </c>
      <c r="F1904" s="7">
        <v>14750.26</v>
      </c>
      <c r="G1904">
        <v>0</v>
      </c>
      <c r="H1904" s="7">
        <v>0</v>
      </c>
    </row>
    <row r="1905" spans="1:8">
      <c r="A1905">
        <v>1</v>
      </c>
      <c r="B1905" t="s">
        <v>44</v>
      </c>
      <c r="C1905" t="s">
        <v>35</v>
      </c>
      <c r="D1905">
        <v>0</v>
      </c>
      <c r="E1905">
        <v>1</v>
      </c>
      <c r="F1905" s="7">
        <v>107421.26</v>
      </c>
      <c r="G1905">
        <v>0</v>
      </c>
      <c r="H1905" s="7">
        <v>0</v>
      </c>
    </row>
    <row r="1906" spans="1:8">
      <c r="A1906">
        <v>1</v>
      </c>
      <c r="B1906" t="s">
        <v>44</v>
      </c>
      <c r="C1906" t="s">
        <v>34</v>
      </c>
      <c r="D1906">
        <v>0</v>
      </c>
      <c r="E1906">
        <v>1</v>
      </c>
      <c r="F1906" s="7">
        <v>36448.64</v>
      </c>
      <c r="G1906">
        <v>0</v>
      </c>
      <c r="H1906" s="7">
        <v>0</v>
      </c>
    </row>
    <row r="1907" spans="1:8">
      <c r="A1907">
        <v>1</v>
      </c>
      <c r="B1907" t="s">
        <v>44</v>
      </c>
      <c r="C1907" t="s">
        <v>34</v>
      </c>
      <c r="D1907">
        <v>0</v>
      </c>
      <c r="E1907">
        <v>1</v>
      </c>
      <c r="F1907" s="7">
        <v>12939.66</v>
      </c>
      <c r="G1907">
        <v>0</v>
      </c>
      <c r="H1907" s="7">
        <v>0</v>
      </c>
    </row>
    <row r="1908" spans="1:8">
      <c r="A1908">
        <v>1</v>
      </c>
      <c r="B1908" t="s">
        <v>44</v>
      </c>
      <c r="C1908" t="s">
        <v>35</v>
      </c>
      <c r="D1908">
        <v>0</v>
      </c>
      <c r="E1908">
        <v>1</v>
      </c>
      <c r="F1908" s="7">
        <v>198137.4</v>
      </c>
      <c r="G1908">
        <v>0</v>
      </c>
      <c r="H1908" s="7">
        <v>0</v>
      </c>
    </row>
    <row r="1909" spans="1:8">
      <c r="A1909">
        <v>1</v>
      </c>
      <c r="B1909" t="s">
        <v>44</v>
      </c>
      <c r="C1909" t="s">
        <v>35</v>
      </c>
      <c r="D1909">
        <v>0</v>
      </c>
      <c r="E1909">
        <v>1</v>
      </c>
      <c r="F1909" s="7">
        <v>112193.65</v>
      </c>
      <c r="G1909">
        <v>0</v>
      </c>
      <c r="H1909" s="7">
        <v>0</v>
      </c>
    </row>
    <row r="1910" spans="1:8">
      <c r="A1910">
        <v>1</v>
      </c>
      <c r="B1910" t="s">
        <v>44</v>
      </c>
      <c r="C1910" t="s">
        <v>34</v>
      </c>
      <c r="D1910">
        <v>0</v>
      </c>
      <c r="E1910">
        <v>1</v>
      </c>
      <c r="F1910" s="7">
        <v>40030.78</v>
      </c>
      <c r="G1910">
        <v>0</v>
      </c>
      <c r="H1910" s="7">
        <v>0</v>
      </c>
    </row>
    <row r="1911" spans="1:8">
      <c r="A1911">
        <v>1</v>
      </c>
      <c r="B1911" t="s">
        <v>44</v>
      </c>
      <c r="C1911" t="s">
        <v>35</v>
      </c>
      <c r="D1911">
        <v>0</v>
      </c>
      <c r="E1911">
        <v>1</v>
      </c>
      <c r="F1911" s="7">
        <v>207283.84</v>
      </c>
      <c r="G1911">
        <v>0</v>
      </c>
      <c r="H1911" s="7">
        <v>0</v>
      </c>
    </row>
    <row r="1912" spans="1:8">
      <c r="A1912">
        <v>1</v>
      </c>
      <c r="B1912" t="s">
        <v>44</v>
      </c>
      <c r="C1912" t="s">
        <v>35</v>
      </c>
      <c r="D1912">
        <v>0</v>
      </c>
      <c r="E1912">
        <v>1</v>
      </c>
      <c r="F1912" s="7">
        <v>141648.13</v>
      </c>
      <c r="G1912">
        <v>0</v>
      </c>
      <c r="H1912" s="7">
        <v>0</v>
      </c>
    </row>
    <row r="1913" spans="1:8">
      <c r="A1913">
        <v>1</v>
      </c>
      <c r="B1913" t="s">
        <v>44</v>
      </c>
      <c r="C1913" t="s">
        <v>35</v>
      </c>
      <c r="D1913">
        <v>0</v>
      </c>
      <c r="E1913">
        <v>1</v>
      </c>
      <c r="F1913" s="7">
        <v>361980.67</v>
      </c>
      <c r="G1913">
        <v>0</v>
      </c>
      <c r="H1913" s="7">
        <v>0</v>
      </c>
    </row>
    <row r="1914" spans="1:8">
      <c r="A1914">
        <v>1</v>
      </c>
      <c r="B1914" t="s">
        <v>44</v>
      </c>
      <c r="C1914" t="s">
        <v>35</v>
      </c>
      <c r="D1914">
        <v>0</v>
      </c>
      <c r="E1914">
        <v>1</v>
      </c>
      <c r="F1914" s="7">
        <v>614317.64</v>
      </c>
      <c r="G1914">
        <v>0</v>
      </c>
      <c r="H1914" s="7">
        <v>0</v>
      </c>
    </row>
    <row r="1915" spans="1:8">
      <c r="A1915">
        <v>1</v>
      </c>
      <c r="B1915" t="s">
        <v>44</v>
      </c>
      <c r="C1915" t="s">
        <v>35</v>
      </c>
      <c r="D1915">
        <v>0</v>
      </c>
      <c r="E1915">
        <v>1</v>
      </c>
      <c r="F1915" s="7">
        <v>233255.73</v>
      </c>
      <c r="G1915">
        <v>0</v>
      </c>
      <c r="H1915" s="7">
        <v>0</v>
      </c>
    </row>
    <row r="1916" spans="1:8">
      <c r="A1916">
        <v>1</v>
      </c>
      <c r="B1916" t="s">
        <v>42</v>
      </c>
      <c r="C1916" t="s">
        <v>33</v>
      </c>
      <c r="D1916">
        <v>0</v>
      </c>
      <c r="E1916">
        <v>1</v>
      </c>
      <c r="F1916" s="7">
        <v>1420.96</v>
      </c>
      <c r="G1916">
        <v>0</v>
      </c>
      <c r="H1916" s="7">
        <v>0</v>
      </c>
    </row>
    <row r="1917" spans="1:8">
      <c r="A1917">
        <v>1</v>
      </c>
      <c r="B1917" t="s">
        <v>44</v>
      </c>
      <c r="C1917" t="s">
        <v>35</v>
      </c>
      <c r="D1917">
        <v>1</v>
      </c>
      <c r="E1917">
        <v>1</v>
      </c>
      <c r="F1917" s="7">
        <v>132842.64</v>
      </c>
      <c r="G1917">
        <v>1</v>
      </c>
      <c r="H1917" s="7">
        <v>132842.64</v>
      </c>
    </row>
    <row r="1918" spans="1:8">
      <c r="A1918">
        <v>1</v>
      </c>
      <c r="B1918" t="s">
        <v>42</v>
      </c>
      <c r="C1918" t="s">
        <v>33</v>
      </c>
      <c r="D1918">
        <v>0</v>
      </c>
      <c r="E1918">
        <v>1</v>
      </c>
      <c r="F1918" s="7">
        <v>4881.52</v>
      </c>
      <c r="G1918">
        <v>0</v>
      </c>
      <c r="H1918" s="7">
        <v>0</v>
      </c>
    </row>
    <row r="1919" spans="1:8">
      <c r="A1919">
        <v>1</v>
      </c>
      <c r="B1919" t="s">
        <v>42</v>
      </c>
      <c r="C1919" t="s">
        <v>34</v>
      </c>
      <c r="D1919">
        <v>0</v>
      </c>
      <c r="E1919">
        <v>1</v>
      </c>
      <c r="F1919" s="7">
        <v>14403.17</v>
      </c>
      <c r="G1919">
        <v>0</v>
      </c>
      <c r="H1919" s="7">
        <v>0</v>
      </c>
    </row>
    <row r="1920" spans="1:8">
      <c r="A1920">
        <v>1</v>
      </c>
      <c r="B1920" t="s">
        <v>42</v>
      </c>
      <c r="C1920" t="s">
        <v>33</v>
      </c>
      <c r="D1920">
        <v>0</v>
      </c>
      <c r="E1920">
        <v>1</v>
      </c>
      <c r="F1920" s="7">
        <v>4843.76</v>
      </c>
      <c r="G1920">
        <v>0</v>
      </c>
      <c r="H1920" s="7">
        <v>0</v>
      </c>
    </row>
    <row r="1921" spans="1:8">
      <c r="A1921">
        <v>1</v>
      </c>
      <c r="B1921" t="s">
        <v>42</v>
      </c>
      <c r="C1921" t="s">
        <v>33</v>
      </c>
      <c r="D1921">
        <v>0</v>
      </c>
      <c r="E1921">
        <v>1</v>
      </c>
      <c r="F1921" s="7">
        <v>7143.2</v>
      </c>
      <c r="G1921">
        <v>0</v>
      </c>
      <c r="H1921" s="7">
        <v>0</v>
      </c>
    </row>
    <row r="1922" spans="1:8">
      <c r="A1922">
        <v>1</v>
      </c>
      <c r="B1922" t="s">
        <v>42</v>
      </c>
      <c r="C1922" t="s">
        <v>33</v>
      </c>
      <c r="D1922">
        <v>0</v>
      </c>
      <c r="E1922">
        <v>1</v>
      </c>
      <c r="F1922" s="7">
        <v>2279.65</v>
      </c>
      <c r="G1922">
        <v>0</v>
      </c>
      <c r="H1922" s="7">
        <v>0</v>
      </c>
    </row>
    <row r="1923" spans="1:8">
      <c r="A1923">
        <v>1</v>
      </c>
      <c r="B1923" t="s">
        <v>42</v>
      </c>
      <c r="C1923" t="s">
        <v>33</v>
      </c>
      <c r="D1923">
        <v>0</v>
      </c>
      <c r="E1923">
        <v>1</v>
      </c>
      <c r="F1923" s="7">
        <v>2571.49</v>
      </c>
      <c r="G1923">
        <v>0</v>
      </c>
      <c r="H1923" s="7">
        <v>0</v>
      </c>
    </row>
    <row r="1924" spans="1:8">
      <c r="A1924">
        <v>1</v>
      </c>
      <c r="B1924" t="s">
        <v>42</v>
      </c>
      <c r="C1924" t="s">
        <v>33</v>
      </c>
      <c r="D1924">
        <v>0</v>
      </c>
      <c r="E1924">
        <v>1</v>
      </c>
      <c r="F1924" s="7">
        <v>2873.37</v>
      </c>
      <c r="G1924">
        <v>0</v>
      </c>
      <c r="H1924" s="7">
        <v>0</v>
      </c>
    </row>
    <row r="1925" spans="1:8">
      <c r="A1925">
        <v>1</v>
      </c>
      <c r="B1925" t="s">
        <v>42</v>
      </c>
      <c r="C1925" t="s">
        <v>33</v>
      </c>
      <c r="D1925">
        <v>0</v>
      </c>
      <c r="E1925">
        <v>1</v>
      </c>
      <c r="F1925" s="7">
        <v>7394.33</v>
      </c>
      <c r="G1925">
        <v>0</v>
      </c>
      <c r="H1925" s="7">
        <v>0</v>
      </c>
    </row>
    <row r="1926" spans="1:8">
      <c r="A1926">
        <v>1</v>
      </c>
      <c r="B1926" t="s">
        <v>42</v>
      </c>
      <c r="C1926" t="s">
        <v>34</v>
      </c>
      <c r="D1926">
        <v>0</v>
      </c>
      <c r="E1926">
        <v>1</v>
      </c>
      <c r="F1926" s="7">
        <v>21902.51</v>
      </c>
      <c r="G1926">
        <v>0</v>
      </c>
      <c r="H1926" s="7">
        <v>0</v>
      </c>
    </row>
    <row r="1927" spans="1:8">
      <c r="A1927">
        <v>1</v>
      </c>
      <c r="B1927" t="s">
        <v>42</v>
      </c>
      <c r="C1927" t="s">
        <v>33</v>
      </c>
      <c r="D1927">
        <v>0</v>
      </c>
      <c r="E1927">
        <v>1</v>
      </c>
      <c r="F1927" s="7">
        <v>1730.16</v>
      </c>
      <c r="G1927">
        <v>0</v>
      </c>
      <c r="H1927" s="7">
        <v>0</v>
      </c>
    </row>
    <row r="1928" spans="1:8">
      <c r="A1928">
        <v>1</v>
      </c>
      <c r="B1928" t="s">
        <v>42</v>
      </c>
      <c r="C1928" t="s">
        <v>34</v>
      </c>
      <c r="D1928">
        <v>0</v>
      </c>
      <c r="E1928">
        <v>1</v>
      </c>
      <c r="F1928" s="7">
        <v>11491.76</v>
      </c>
      <c r="G1928">
        <v>0</v>
      </c>
      <c r="H1928" s="7">
        <v>0</v>
      </c>
    </row>
    <row r="1929" spans="1:8">
      <c r="A1929">
        <v>1</v>
      </c>
      <c r="B1929" t="s">
        <v>42</v>
      </c>
      <c r="C1929" t="s">
        <v>34</v>
      </c>
      <c r="D1929">
        <v>0</v>
      </c>
      <c r="E1929">
        <v>1</v>
      </c>
      <c r="F1929" s="7">
        <v>14204.94</v>
      </c>
      <c r="G1929">
        <v>0</v>
      </c>
      <c r="H1929" s="7">
        <v>0</v>
      </c>
    </row>
    <row r="1930" spans="1:8">
      <c r="A1930">
        <v>1</v>
      </c>
      <c r="B1930" t="s">
        <v>42</v>
      </c>
      <c r="C1930" t="s">
        <v>34</v>
      </c>
      <c r="D1930">
        <v>0</v>
      </c>
      <c r="E1930">
        <v>1</v>
      </c>
      <c r="F1930" s="7">
        <v>14432.6</v>
      </c>
      <c r="G1930">
        <v>0</v>
      </c>
      <c r="H1930" s="7">
        <v>0</v>
      </c>
    </row>
    <row r="1931" spans="1:8">
      <c r="A1931">
        <v>1</v>
      </c>
      <c r="B1931" t="s">
        <v>42</v>
      </c>
      <c r="C1931" t="s">
        <v>33</v>
      </c>
      <c r="D1931">
        <v>0</v>
      </c>
      <c r="E1931">
        <v>1</v>
      </c>
      <c r="F1931" s="7">
        <v>2501.21</v>
      </c>
      <c r="G1931">
        <v>0</v>
      </c>
      <c r="H1931" s="7">
        <v>0</v>
      </c>
    </row>
    <row r="1932" spans="1:8">
      <c r="A1932">
        <v>1</v>
      </c>
      <c r="B1932" t="s">
        <v>42</v>
      </c>
      <c r="C1932" t="s">
        <v>34</v>
      </c>
      <c r="D1932">
        <v>0</v>
      </c>
      <c r="E1932">
        <v>1</v>
      </c>
      <c r="F1932" s="7">
        <v>27845.63</v>
      </c>
      <c r="G1932">
        <v>0</v>
      </c>
      <c r="H1932" s="7">
        <v>0</v>
      </c>
    </row>
    <row r="1933" spans="1:8">
      <c r="A1933">
        <v>1</v>
      </c>
      <c r="B1933" t="s">
        <v>42</v>
      </c>
      <c r="C1933" t="s">
        <v>32</v>
      </c>
      <c r="D1933">
        <v>0</v>
      </c>
      <c r="E1933">
        <v>1</v>
      </c>
      <c r="F1933" s="7">
        <v>900.37</v>
      </c>
      <c r="G1933">
        <v>0</v>
      </c>
      <c r="H1933" s="7">
        <v>0</v>
      </c>
    </row>
    <row r="1934" spans="1:8">
      <c r="A1934">
        <v>1</v>
      </c>
      <c r="B1934" t="s">
        <v>42</v>
      </c>
      <c r="C1934" t="s">
        <v>34</v>
      </c>
      <c r="D1934">
        <v>0</v>
      </c>
      <c r="E1934">
        <v>1</v>
      </c>
      <c r="F1934" s="7">
        <v>28147.47</v>
      </c>
      <c r="G1934">
        <v>0</v>
      </c>
      <c r="H1934" s="7">
        <v>0</v>
      </c>
    </row>
    <row r="1935" spans="1:8">
      <c r="A1935">
        <v>1</v>
      </c>
      <c r="B1935" t="s">
        <v>42</v>
      </c>
      <c r="C1935" t="s">
        <v>33</v>
      </c>
      <c r="D1935">
        <v>0</v>
      </c>
      <c r="E1935">
        <v>1</v>
      </c>
      <c r="F1935" s="7">
        <v>3782.98</v>
      </c>
      <c r="G1935">
        <v>0</v>
      </c>
      <c r="H1935" s="7">
        <v>0</v>
      </c>
    </row>
    <row r="1936" spans="1:8">
      <c r="A1936">
        <v>1</v>
      </c>
      <c r="B1936" t="s">
        <v>42</v>
      </c>
      <c r="C1936" t="s">
        <v>33</v>
      </c>
      <c r="D1936">
        <v>0</v>
      </c>
      <c r="E1936">
        <v>1</v>
      </c>
      <c r="F1936" s="7">
        <v>4828.64</v>
      </c>
      <c r="G1936">
        <v>0</v>
      </c>
      <c r="H1936" s="7">
        <v>0</v>
      </c>
    </row>
    <row r="1937" spans="1:8">
      <c r="A1937">
        <v>1</v>
      </c>
      <c r="B1937" t="s">
        <v>42</v>
      </c>
      <c r="C1937" t="s">
        <v>33</v>
      </c>
      <c r="D1937">
        <v>0</v>
      </c>
      <c r="E1937">
        <v>1</v>
      </c>
      <c r="F1937" s="7">
        <v>6540.9</v>
      </c>
      <c r="G1937">
        <v>0</v>
      </c>
      <c r="H1937" s="7">
        <v>0</v>
      </c>
    </row>
    <row r="1938" spans="1:8">
      <c r="A1938">
        <v>1</v>
      </c>
      <c r="B1938" t="s">
        <v>42</v>
      </c>
      <c r="C1938" t="s">
        <v>34</v>
      </c>
      <c r="D1938">
        <v>0</v>
      </c>
      <c r="E1938">
        <v>1</v>
      </c>
      <c r="F1938" s="7">
        <v>21840.26</v>
      </c>
      <c r="G1938">
        <v>0</v>
      </c>
      <c r="H1938" s="7">
        <v>0</v>
      </c>
    </row>
    <row r="1939" spans="1:8">
      <c r="A1939">
        <v>1</v>
      </c>
      <c r="B1939" t="s">
        <v>42</v>
      </c>
      <c r="C1939" t="s">
        <v>33</v>
      </c>
      <c r="D1939">
        <v>0</v>
      </c>
      <c r="E1939">
        <v>1</v>
      </c>
      <c r="F1939" s="7">
        <v>5805.93</v>
      </c>
      <c r="G1939">
        <v>0</v>
      </c>
      <c r="H1939" s="7">
        <v>0</v>
      </c>
    </row>
    <row r="1940" spans="1:8">
      <c r="A1940">
        <v>1</v>
      </c>
      <c r="B1940" t="s">
        <v>42</v>
      </c>
      <c r="C1940" t="s">
        <v>33</v>
      </c>
      <c r="D1940">
        <v>0</v>
      </c>
      <c r="E1940">
        <v>1</v>
      </c>
      <c r="F1940" s="7">
        <v>5018.24</v>
      </c>
      <c r="G1940">
        <v>0</v>
      </c>
      <c r="H1940" s="7">
        <v>0</v>
      </c>
    </row>
    <row r="1941" spans="1:8">
      <c r="A1941">
        <v>1</v>
      </c>
      <c r="B1941" t="s">
        <v>42</v>
      </c>
      <c r="C1941" t="s">
        <v>33</v>
      </c>
      <c r="D1941">
        <v>0</v>
      </c>
      <c r="E1941">
        <v>1</v>
      </c>
      <c r="F1941" s="7">
        <v>1066.91</v>
      </c>
      <c r="G1941">
        <v>0</v>
      </c>
      <c r="H1941" s="7">
        <v>0</v>
      </c>
    </row>
    <row r="1942" spans="1:8">
      <c r="A1942">
        <v>1</v>
      </c>
      <c r="B1942" t="s">
        <v>42</v>
      </c>
      <c r="C1942" t="s">
        <v>33</v>
      </c>
      <c r="D1942">
        <v>0</v>
      </c>
      <c r="E1942">
        <v>1</v>
      </c>
      <c r="F1942" s="7">
        <v>1902.02</v>
      </c>
      <c r="G1942">
        <v>0</v>
      </c>
      <c r="H1942" s="7">
        <v>0</v>
      </c>
    </row>
    <row r="1943" spans="1:8">
      <c r="A1943">
        <v>1</v>
      </c>
      <c r="B1943" t="s">
        <v>42</v>
      </c>
      <c r="C1943" t="s">
        <v>33</v>
      </c>
      <c r="D1943">
        <v>0</v>
      </c>
      <c r="E1943">
        <v>1</v>
      </c>
      <c r="F1943" s="7">
        <v>1982.04</v>
      </c>
      <c r="G1943">
        <v>0</v>
      </c>
      <c r="H1943" s="7">
        <v>0</v>
      </c>
    </row>
    <row r="1944" spans="1:8">
      <c r="A1944">
        <v>1</v>
      </c>
      <c r="B1944" t="s">
        <v>42</v>
      </c>
      <c r="C1944" t="s">
        <v>33</v>
      </c>
      <c r="D1944">
        <v>0</v>
      </c>
      <c r="E1944">
        <v>1</v>
      </c>
      <c r="F1944" s="7">
        <v>7020.05</v>
      </c>
      <c r="G1944">
        <v>0</v>
      </c>
      <c r="H1944" s="7">
        <v>0</v>
      </c>
    </row>
    <row r="1945" spans="1:8">
      <c r="A1945">
        <v>1</v>
      </c>
      <c r="B1945" t="s">
        <v>42</v>
      </c>
      <c r="C1945" t="s">
        <v>34</v>
      </c>
      <c r="D1945">
        <v>0</v>
      </c>
      <c r="E1945">
        <v>1</v>
      </c>
      <c r="F1945" s="7">
        <v>11488.23</v>
      </c>
      <c r="G1945">
        <v>0</v>
      </c>
      <c r="H1945" s="7">
        <v>0</v>
      </c>
    </row>
    <row r="1946" spans="1:8">
      <c r="A1946">
        <v>1</v>
      </c>
      <c r="B1946" t="s">
        <v>42</v>
      </c>
      <c r="C1946" t="s">
        <v>33</v>
      </c>
      <c r="D1946">
        <v>0</v>
      </c>
      <c r="E1946">
        <v>1</v>
      </c>
      <c r="F1946" s="7">
        <v>1253.6</v>
      </c>
      <c r="G1946">
        <v>0</v>
      </c>
      <c r="H1946" s="7">
        <v>0</v>
      </c>
    </row>
    <row r="1947" spans="1:8">
      <c r="A1947">
        <v>1</v>
      </c>
      <c r="B1947" t="s">
        <v>42</v>
      </c>
      <c r="C1947" t="s">
        <v>34</v>
      </c>
      <c r="D1947">
        <v>0</v>
      </c>
      <c r="E1947">
        <v>1</v>
      </c>
      <c r="F1947" s="7">
        <v>10183.1</v>
      </c>
      <c r="G1947">
        <v>0</v>
      </c>
      <c r="H1947" s="7">
        <v>0</v>
      </c>
    </row>
    <row r="1948" spans="1:8">
      <c r="A1948">
        <v>1</v>
      </c>
      <c r="B1948" t="s">
        <v>44</v>
      </c>
      <c r="C1948" t="s">
        <v>35</v>
      </c>
      <c r="D1948">
        <v>0</v>
      </c>
      <c r="E1948">
        <v>1</v>
      </c>
      <c r="F1948" s="7">
        <v>146534.96</v>
      </c>
      <c r="G1948">
        <v>0</v>
      </c>
      <c r="H1948" s="7">
        <v>0</v>
      </c>
    </row>
    <row r="1949" spans="1:8">
      <c r="A1949">
        <v>1</v>
      </c>
      <c r="B1949" t="s">
        <v>42</v>
      </c>
      <c r="C1949" t="s">
        <v>33</v>
      </c>
      <c r="D1949">
        <v>0</v>
      </c>
      <c r="E1949">
        <v>1</v>
      </c>
      <c r="F1949" s="7">
        <v>5616.1</v>
      </c>
      <c r="G1949">
        <v>0</v>
      </c>
      <c r="H1949" s="7">
        <v>0</v>
      </c>
    </row>
    <row r="1950" spans="1:8">
      <c r="A1950">
        <v>1</v>
      </c>
      <c r="B1950" t="s">
        <v>42</v>
      </c>
      <c r="C1950" t="s">
        <v>33</v>
      </c>
      <c r="D1950">
        <v>0</v>
      </c>
      <c r="E1950">
        <v>1</v>
      </c>
      <c r="F1950" s="7">
        <v>5272.81</v>
      </c>
      <c r="G1950">
        <v>0</v>
      </c>
      <c r="H1950" s="7">
        <v>0</v>
      </c>
    </row>
    <row r="1951" spans="1:8">
      <c r="A1951">
        <v>1</v>
      </c>
      <c r="B1951" t="s">
        <v>43</v>
      </c>
      <c r="C1951" t="s">
        <v>35</v>
      </c>
      <c r="D1951">
        <v>0</v>
      </c>
      <c r="E1951">
        <v>1</v>
      </c>
      <c r="F1951" s="7">
        <v>236343.99</v>
      </c>
      <c r="G1951">
        <v>0</v>
      </c>
      <c r="H1951" s="7">
        <v>0</v>
      </c>
    </row>
    <row r="1952" spans="1:8">
      <c r="A1952">
        <v>1</v>
      </c>
      <c r="B1952" t="s">
        <v>43</v>
      </c>
      <c r="C1952" t="s">
        <v>34</v>
      </c>
      <c r="D1952">
        <v>0</v>
      </c>
      <c r="E1952">
        <v>1</v>
      </c>
      <c r="F1952" s="7">
        <v>86401.93</v>
      </c>
      <c r="G1952">
        <v>0</v>
      </c>
      <c r="H1952" s="7">
        <v>0</v>
      </c>
    </row>
    <row r="1953" spans="1:8">
      <c r="A1953">
        <v>1</v>
      </c>
      <c r="B1953" t="s">
        <v>42</v>
      </c>
      <c r="C1953" t="s">
        <v>33</v>
      </c>
      <c r="D1953">
        <v>0</v>
      </c>
      <c r="E1953">
        <v>1</v>
      </c>
      <c r="F1953" s="7">
        <v>3923.32</v>
      </c>
      <c r="G1953">
        <v>0</v>
      </c>
      <c r="H1953" s="7">
        <v>0</v>
      </c>
    </row>
    <row r="1954" spans="1:8">
      <c r="A1954">
        <v>1</v>
      </c>
      <c r="B1954" t="s">
        <v>44</v>
      </c>
      <c r="C1954" t="s">
        <v>35</v>
      </c>
      <c r="D1954">
        <v>0</v>
      </c>
      <c r="E1954">
        <v>1</v>
      </c>
      <c r="F1954" s="7">
        <v>289326.88</v>
      </c>
      <c r="G1954">
        <v>0</v>
      </c>
      <c r="H1954" s="7">
        <v>0</v>
      </c>
    </row>
    <row r="1955" spans="1:8">
      <c r="A1955">
        <v>1</v>
      </c>
      <c r="B1955" t="s">
        <v>45</v>
      </c>
      <c r="C1955" t="s">
        <v>33</v>
      </c>
      <c r="D1955">
        <v>0</v>
      </c>
      <c r="E1955">
        <v>1</v>
      </c>
      <c r="F1955" s="7">
        <v>4444.35</v>
      </c>
      <c r="G1955">
        <v>0</v>
      </c>
      <c r="H1955" s="7">
        <v>0</v>
      </c>
    </row>
    <row r="1956" spans="1:8">
      <c r="A1956">
        <v>1</v>
      </c>
      <c r="B1956" t="s">
        <v>42</v>
      </c>
      <c r="C1956" t="s">
        <v>33</v>
      </c>
      <c r="D1956">
        <v>0</v>
      </c>
      <c r="E1956">
        <v>1</v>
      </c>
      <c r="F1956" s="7">
        <v>5323.28</v>
      </c>
      <c r="G1956">
        <v>0</v>
      </c>
      <c r="H1956" s="7">
        <v>0</v>
      </c>
    </row>
    <row r="1957" spans="1:8">
      <c r="A1957">
        <v>1</v>
      </c>
      <c r="B1957" t="s">
        <v>42</v>
      </c>
      <c r="C1957" t="s">
        <v>33</v>
      </c>
      <c r="D1957">
        <v>0</v>
      </c>
      <c r="E1957">
        <v>1</v>
      </c>
      <c r="F1957" s="7">
        <v>2141.82</v>
      </c>
      <c r="G1957">
        <v>0</v>
      </c>
      <c r="H1957" s="7">
        <v>0</v>
      </c>
    </row>
    <row r="1958" spans="1:8">
      <c r="A1958">
        <v>1</v>
      </c>
      <c r="B1958" t="s">
        <v>42</v>
      </c>
      <c r="C1958" t="s">
        <v>32</v>
      </c>
      <c r="D1958">
        <v>0</v>
      </c>
      <c r="E1958">
        <v>1</v>
      </c>
      <c r="F1958" s="7">
        <v>328.07</v>
      </c>
      <c r="G1958">
        <v>0</v>
      </c>
      <c r="H1958" s="7">
        <v>0</v>
      </c>
    </row>
    <row r="1959" spans="1:8">
      <c r="A1959">
        <v>1</v>
      </c>
      <c r="B1959" t="s">
        <v>42</v>
      </c>
      <c r="C1959" t="s">
        <v>33</v>
      </c>
      <c r="D1959">
        <v>0</v>
      </c>
      <c r="E1959">
        <v>1</v>
      </c>
      <c r="F1959" s="7">
        <v>1439.72</v>
      </c>
      <c r="G1959">
        <v>0</v>
      </c>
      <c r="H1959" s="7">
        <v>0</v>
      </c>
    </row>
    <row r="1960" spans="1:8">
      <c r="A1960">
        <v>1</v>
      </c>
      <c r="B1960" t="s">
        <v>42</v>
      </c>
      <c r="C1960" t="s">
        <v>33</v>
      </c>
      <c r="D1960">
        <v>0</v>
      </c>
      <c r="E1960">
        <v>1</v>
      </c>
      <c r="F1960" s="7">
        <v>4416.74</v>
      </c>
      <c r="G1960">
        <v>0</v>
      </c>
      <c r="H1960" s="7">
        <v>0</v>
      </c>
    </row>
    <row r="1961" spans="1:8">
      <c r="A1961">
        <v>1</v>
      </c>
      <c r="B1961" t="s">
        <v>44</v>
      </c>
      <c r="C1961" t="s">
        <v>34</v>
      </c>
      <c r="D1961">
        <v>0</v>
      </c>
      <c r="E1961">
        <v>1</v>
      </c>
      <c r="F1961" s="7">
        <v>84051</v>
      </c>
      <c r="G1961">
        <v>0</v>
      </c>
      <c r="H1961" s="7">
        <v>0</v>
      </c>
    </row>
    <row r="1962" spans="1:8">
      <c r="A1962">
        <v>1</v>
      </c>
      <c r="B1962" t="s">
        <v>42</v>
      </c>
      <c r="C1962" t="s">
        <v>33</v>
      </c>
      <c r="D1962">
        <v>0</v>
      </c>
      <c r="E1962">
        <v>1</v>
      </c>
      <c r="F1962" s="7">
        <v>1246.74</v>
      </c>
      <c r="G1962">
        <v>0</v>
      </c>
      <c r="H1962" s="7">
        <v>0</v>
      </c>
    </row>
    <row r="1963" spans="1:8">
      <c r="A1963">
        <v>1</v>
      </c>
      <c r="B1963" t="s">
        <v>42</v>
      </c>
      <c r="C1963" t="s">
        <v>33</v>
      </c>
      <c r="D1963">
        <v>0</v>
      </c>
      <c r="E1963">
        <v>1</v>
      </c>
      <c r="F1963" s="7">
        <v>1527.08</v>
      </c>
      <c r="G1963">
        <v>0</v>
      </c>
      <c r="H1963" s="7">
        <v>0</v>
      </c>
    </row>
    <row r="1964" spans="1:8">
      <c r="A1964">
        <v>1</v>
      </c>
      <c r="B1964" t="s">
        <v>43</v>
      </c>
      <c r="C1964" t="s">
        <v>34</v>
      </c>
      <c r="D1964">
        <v>0</v>
      </c>
      <c r="E1964">
        <v>1</v>
      </c>
      <c r="F1964" s="7">
        <v>38829.9</v>
      </c>
      <c r="G1964">
        <v>0</v>
      </c>
      <c r="H1964" s="7">
        <v>0</v>
      </c>
    </row>
    <row r="1965" spans="1:8">
      <c r="A1965">
        <v>1</v>
      </c>
      <c r="B1965" t="s">
        <v>42</v>
      </c>
      <c r="C1965" t="s">
        <v>32</v>
      </c>
      <c r="D1965">
        <v>0</v>
      </c>
      <c r="E1965">
        <v>1</v>
      </c>
      <c r="F1965" s="7">
        <v>749.26</v>
      </c>
      <c r="G1965">
        <v>0</v>
      </c>
      <c r="H1965" s="7">
        <v>0</v>
      </c>
    </row>
    <row r="1966" spans="1:8">
      <c r="A1966">
        <v>1</v>
      </c>
      <c r="B1966" t="s">
        <v>42</v>
      </c>
      <c r="C1966" t="s">
        <v>33</v>
      </c>
      <c r="D1966">
        <v>0</v>
      </c>
      <c r="E1966">
        <v>1</v>
      </c>
      <c r="F1966" s="7">
        <v>2560.3</v>
      </c>
      <c r="G1966">
        <v>0</v>
      </c>
      <c r="H1966" s="7">
        <v>0</v>
      </c>
    </row>
    <row r="1967" spans="1:8">
      <c r="A1967">
        <v>1</v>
      </c>
      <c r="B1967" t="s">
        <v>43</v>
      </c>
      <c r="C1967" t="s">
        <v>35</v>
      </c>
      <c r="D1967">
        <v>0</v>
      </c>
      <c r="E1967">
        <v>1</v>
      </c>
      <c r="F1967" s="7">
        <v>383736.31</v>
      </c>
      <c r="G1967">
        <v>0</v>
      </c>
      <c r="H1967" s="7">
        <v>0</v>
      </c>
    </row>
    <row r="1968" spans="1:8">
      <c r="A1968">
        <v>1</v>
      </c>
      <c r="B1968" t="s">
        <v>45</v>
      </c>
      <c r="C1968" t="s">
        <v>32</v>
      </c>
      <c r="D1968">
        <v>0</v>
      </c>
      <c r="E1968">
        <v>1</v>
      </c>
      <c r="F1968" s="7">
        <v>917.38</v>
      </c>
      <c r="G1968">
        <v>0</v>
      </c>
      <c r="H1968" s="7">
        <v>0</v>
      </c>
    </row>
    <row r="1969" spans="1:8">
      <c r="A1969">
        <v>1</v>
      </c>
      <c r="B1969" t="s">
        <v>42</v>
      </c>
      <c r="C1969" t="s">
        <v>33</v>
      </c>
      <c r="D1969">
        <v>0</v>
      </c>
      <c r="E1969">
        <v>1</v>
      </c>
      <c r="F1969" s="7">
        <v>6905.9</v>
      </c>
      <c r="G1969">
        <v>0</v>
      </c>
      <c r="H1969" s="7">
        <v>0</v>
      </c>
    </row>
    <row r="1970" spans="1:8">
      <c r="A1970">
        <v>1</v>
      </c>
      <c r="B1970" t="s">
        <v>42</v>
      </c>
      <c r="C1970" t="s">
        <v>33</v>
      </c>
      <c r="D1970">
        <v>0</v>
      </c>
      <c r="E1970">
        <v>1</v>
      </c>
      <c r="F1970" s="7">
        <v>3611.72</v>
      </c>
      <c r="G1970">
        <v>0</v>
      </c>
      <c r="H1970" s="7">
        <v>0</v>
      </c>
    </row>
    <row r="1971" spans="1:8">
      <c r="A1971">
        <v>1</v>
      </c>
      <c r="B1971" t="s">
        <v>42</v>
      </c>
      <c r="C1971" t="s">
        <v>33</v>
      </c>
      <c r="D1971">
        <v>0</v>
      </c>
      <c r="E1971">
        <v>1</v>
      </c>
      <c r="F1971" s="7">
        <v>8949.54</v>
      </c>
      <c r="G1971">
        <v>0</v>
      </c>
      <c r="H1971" s="7">
        <v>0</v>
      </c>
    </row>
    <row r="1972" spans="1:8">
      <c r="A1972">
        <v>1</v>
      </c>
      <c r="B1972" t="s">
        <v>42</v>
      </c>
      <c r="C1972" t="s">
        <v>33</v>
      </c>
      <c r="D1972">
        <v>0</v>
      </c>
      <c r="E1972">
        <v>1</v>
      </c>
      <c r="F1972" s="7">
        <v>2193.94</v>
      </c>
      <c r="G1972">
        <v>0</v>
      </c>
      <c r="H1972" s="7">
        <v>0</v>
      </c>
    </row>
    <row r="1973" spans="1:8">
      <c r="A1973">
        <v>1</v>
      </c>
      <c r="B1973" t="s">
        <v>42</v>
      </c>
      <c r="C1973" t="s">
        <v>33</v>
      </c>
      <c r="D1973">
        <v>0</v>
      </c>
      <c r="E1973">
        <v>1</v>
      </c>
      <c r="F1973" s="7">
        <v>9479.66</v>
      </c>
      <c r="G1973">
        <v>0</v>
      </c>
      <c r="H1973" s="7">
        <v>0</v>
      </c>
    </row>
    <row r="1974" spans="1:8">
      <c r="A1974">
        <v>1</v>
      </c>
      <c r="B1974" t="s">
        <v>42</v>
      </c>
      <c r="C1974" t="s">
        <v>34</v>
      </c>
      <c r="D1974">
        <v>0</v>
      </c>
      <c r="E1974">
        <v>1</v>
      </c>
      <c r="F1974" s="7">
        <v>10757.7</v>
      </c>
      <c r="G1974">
        <v>0</v>
      </c>
      <c r="H1974" s="7">
        <v>0</v>
      </c>
    </row>
    <row r="1975" spans="1:8">
      <c r="A1975">
        <v>1</v>
      </c>
      <c r="B1975" t="s">
        <v>42</v>
      </c>
      <c r="C1975" t="s">
        <v>33</v>
      </c>
      <c r="D1975">
        <v>0</v>
      </c>
      <c r="E1975">
        <v>1</v>
      </c>
      <c r="F1975" s="7">
        <v>6259.18</v>
      </c>
      <c r="G1975">
        <v>0</v>
      </c>
      <c r="H1975" s="7">
        <v>0</v>
      </c>
    </row>
    <row r="1976" spans="1:8">
      <c r="A1976">
        <v>1</v>
      </c>
      <c r="B1976" t="s">
        <v>42</v>
      </c>
      <c r="C1976" t="s">
        <v>33</v>
      </c>
      <c r="D1976">
        <v>0</v>
      </c>
      <c r="E1976">
        <v>1</v>
      </c>
      <c r="F1976" s="7">
        <v>7003.44</v>
      </c>
      <c r="G1976">
        <v>0</v>
      </c>
      <c r="H1976" s="7">
        <v>0</v>
      </c>
    </row>
    <row r="1977" spans="1:8">
      <c r="A1977">
        <v>1</v>
      </c>
      <c r="B1977" t="s">
        <v>42</v>
      </c>
      <c r="C1977" t="s">
        <v>33</v>
      </c>
      <c r="D1977">
        <v>0</v>
      </c>
      <c r="E1977">
        <v>1</v>
      </c>
      <c r="F1977" s="7">
        <v>6872.19</v>
      </c>
      <c r="G1977">
        <v>0</v>
      </c>
      <c r="H1977" s="7">
        <v>0</v>
      </c>
    </row>
    <row r="1978" spans="1:8">
      <c r="A1978">
        <v>1</v>
      </c>
      <c r="B1978" t="s">
        <v>42</v>
      </c>
      <c r="C1978" t="s">
        <v>32</v>
      </c>
      <c r="D1978">
        <v>0</v>
      </c>
      <c r="E1978">
        <v>1</v>
      </c>
      <c r="F1978" s="7">
        <v>911.27</v>
      </c>
      <c r="G1978">
        <v>0</v>
      </c>
      <c r="H1978" s="7">
        <v>0</v>
      </c>
    </row>
    <row r="1979" spans="1:8">
      <c r="A1979">
        <v>1</v>
      </c>
      <c r="B1979" t="s">
        <v>42</v>
      </c>
      <c r="C1979" t="s">
        <v>33</v>
      </c>
      <c r="D1979">
        <v>0</v>
      </c>
      <c r="E1979">
        <v>1</v>
      </c>
      <c r="F1979" s="7">
        <v>7694.63</v>
      </c>
      <c r="G1979">
        <v>0</v>
      </c>
      <c r="H1979" s="7">
        <v>0</v>
      </c>
    </row>
    <row r="1980" spans="1:8">
      <c r="A1980">
        <v>1</v>
      </c>
      <c r="B1980" t="s">
        <v>42</v>
      </c>
      <c r="C1980" t="s">
        <v>34</v>
      </c>
      <c r="D1980">
        <v>0</v>
      </c>
      <c r="E1980">
        <v>1</v>
      </c>
      <c r="F1980" s="7">
        <v>11353.99</v>
      </c>
      <c r="G1980">
        <v>0</v>
      </c>
      <c r="H1980" s="7">
        <v>0</v>
      </c>
    </row>
    <row r="1981" spans="1:8">
      <c r="A1981">
        <v>1</v>
      </c>
      <c r="B1981" t="s">
        <v>42</v>
      </c>
      <c r="C1981" t="s">
        <v>33</v>
      </c>
      <c r="D1981">
        <v>0</v>
      </c>
      <c r="E1981">
        <v>1</v>
      </c>
      <c r="F1981" s="7">
        <v>6683.73</v>
      </c>
      <c r="G1981">
        <v>0</v>
      </c>
      <c r="H1981" s="7">
        <v>0</v>
      </c>
    </row>
    <row r="1982" spans="1:8">
      <c r="A1982">
        <v>1</v>
      </c>
      <c r="B1982" t="s">
        <v>42</v>
      </c>
      <c r="C1982" t="s">
        <v>33</v>
      </c>
      <c r="D1982">
        <v>0</v>
      </c>
      <c r="E1982">
        <v>1</v>
      </c>
      <c r="F1982" s="7">
        <v>4261.17</v>
      </c>
      <c r="G1982">
        <v>0</v>
      </c>
      <c r="H1982" s="7">
        <v>0</v>
      </c>
    </row>
    <row r="1983" spans="1:8">
      <c r="A1983">
        <v>1</v>
      </c>
      <c r="B1983" t="s">
        <v>42</v>
      </c>
      <c r="C1983" t="s">
        <v>33</v>
      </c>
      <c r="D1983">
        <v>0</v>
      </c>
      <c r="E1983">
        <v>1</v>
      </c>
      <c r="F1983" s="7">
        <v>6146.81</v>
      </c>
      <c r="G1983">
        <v>0</v>
      </c>
      <c r="H1983" s="7">
        <v>0</v>
      </c>
    </row>
    <row r="1984" spans="1:8">
      <c r="A1984">
        <v>1</v>
      </c>
      <c r="B1984" t="s">
        <v>45</v>
      </c>
      <c r="C1984" t="s">
        <v>33</v>
      </c>
      <c r="D1984">
        <v>0</v>
      </c>
      <c r="E1984">
        <v>1</v>
      </c>
      <c r="F1984" s="7">
        <v>4479.63</v>
      </c>
      <c r="G1984">
        <v>0</v>
      </c>
      <c r="H1984" s="7">
        <v>0</v>
      </c>
    </row>
    <row r="1985" spans="1:8">
      <c r="A1985">
        <v>1</v>
      </c>
      <c r="B1985" t="s">
        <v>44</v>
      </c>
      <c r="C1985" t="s">
        <v>35</v>
      </c>
      <c r="D1985">
        <v>0</v>
      </c>
      <c r="E1985">
        <v>1</v>
      </c>
      <c r="F1985" s="7">
        <v>144659.77</v>
      </c>
      <c r="G1985">
        <v>0</v>
      </c>
      <c r="H1985" s="7">
        <v>0</v>
      </c>
    </row>
    <row r="1986" spans="1:8">
      <c r="A1986">
        <v>1</v>
      </c>
      <c r="B1986" t="s">
        <v>44</v>
      </c>
      <c r="C1986" t="s">
        <v>34</v>
      </c>
      <c r="D1986">
        <v>0</v>
      </c>
      <c r="E1986">
        <v>1</v>
      </c>
      <c r="F1986" s="7">
        <v>53094.17</v>
      </c>
      <c r="G1986">
        <v>0</v>
      </c>
      <c r="H1986" s="7">
        <v>0</v>
      </c>
    </row>
    <row r="1987" spans="1:8">
      <c r="A1987">
        <v>1</v>
      </c>
      <c r="B1987" t="s">
        <v>44</v>
      </c>
      <c r="C1987" t="s">
        <v>34</v>
      </c>
      <c r="D1987">
        <v>0</v>
      </c>
      <c r="E1987">
        <v>1</v>
      </c>
      <c r="F1987" s="7">
        <v>43721.1</v>
      </c>
      <c r="G1987">
        <v>0</v>
      </c>
      <c r="H1987" s="7">
        <v>0</v>
      </c>
    </row>
    <row r="1988" spans="1:8">
      <c r="A1988">
        <v>1</v>
      </c>
      <c r="B1988" t="s">
        <v>44</v>
      </c>
      <c r="C1988" t="s">
        <v>35</v>
      </c>
      <c r="D1988">
        <v>0</v>
      </c>
      <c r="E1988">
        <v>1</v>
      </c>
      <c r="F1988" s="7">
        <v>119537.32</v>
      </c>
      <c r="G1988">
        <v>0</v>
      </c>
      <c r="H1988" s="7">
        <v>0</v>
      </c>
    </row>
    <row r="1989" spans="1:8">
      <c r="A1989">
        <v>1</v>
      </c>
      <c r="B1989" t="s">
        <v>44</v>
      </c>
      <c r="C1989" t="s">
        <v>34</v>
      </c>
      <c r="D1989">
        <v>0</v>
      </c>
      <c r="E1989">
        <v>1</v>
      </c>
      <c r="F1989" s="7">
        <v>33349.84</v>
      </c>
      <c r="G1989">
        <v>0</v>
      </c>
      <c r="H1989" s="7">
        <v>0</v>
      </c>
    </row>
    <row r="1990" spans="1:8">
      <c r="A1990">
        <v>1</v>
      </c>
      <c r="B1990" t="s">
        <v>44</v>
      </c>
      <c r="C1990" t="s">
        <v>35</v>
      </c>
      <c r="D1990">
        <v>0</v>
      </c>
      <c r="E1990">
        <v>1</v>
      </c>
      <c r="F1990" s="7">
        <v>335979.26</v>
      </c>
      <c r="G1990">
        <v>0</v>
      </c>
      <c r="H1990" s="7">
        <v>0</v>
      </c>
    </row>
    <row r="1991" spans="1:8">
      <c r="A1991">
        <v>1</v>
      </c>
      <c r="B1991" t="s">
        <v>44</v>
      </c>
      <c r="C1991" t="s">
        <v>35</v>
      </c>
      <c r="D1991">
        <v>0</v>
      </c>
      <c r="E1991">
        <v>1</v>
      </c>
      <c r="F1991" s="7">
        <v>183842.53</v>
      </c>
      <c r="G1991">
        <v>0</v>
      </c>
      <c r="H1991" s="7">
        <v>0</v>
      </c>
    </row>
    <row r="1992" spans="1:8">
      <c r="A1992">
        <v>1</v>
      </c>
      <c r="B1992" t="s">
        <v>44</v>
      </c>
      <c r="C1992" t="s">
        <v>35</v>
      </c>
      <c r="D1992">
        <v>0</v>
      </c>
      <c r="E1992">
        <v>1</v>
      </c>
      <c r="F1992" s="7">
        <v>286737.98</v>
      </c>
      <c r="G1992">
        <v>0</v>
      </c>
      <c r="H1992" s="7">
        <v>0</v>
      </c>
    </row>
    <row r="1993" spans="1:8">
      <c r="A1993">
        <v>1</v>
      </c>
      <c r="B1993" t="s">
        <v>44</v>
      </c>
      <c r="C1993" t="s">
        <v>35</v>
      </c>
      <c r="D1993">
        <v>0</v>
      </c>
      <c r="E1993">
        <v>1</v>
      </c>
      <c r="F1993" s="7">
        <v>472609.82</v>
      </c>
      <c r="G1993">
        <v>0</v>
      </c>
      <c r="H1993" s="7">
        <v>0</v>
      </c>
    </row>
    <row r="1994" spans="1:8">
      <c r="A1994">
        <v>1</v>
      </c>
      <c r="B1994" t="s">
        <v>44</v>
      </c>
      <c r="C1994" t="s">
        <v>35</v>
      </c>
      <c r="D1994">
        <v>0</v>
      </c>
      <c r="E1994">
        <v>1</v>
      </c>
      <c r="F1994" s="7">
        <v>271982.1</v>
      </c>
      <c r="G1994">
        <v>0</v>
      </c>
      <c r="H1994" s="7">
        <v>0</v>
      </c>
    </row>
    <row r="1995" spans="1:8">
      <c r="A1995">
        <v>1</v>
      </c>
      <c r="B1995" t="s">
        <v>44</v>
      </c>
      <c r="C1995" t="s">
        <v>35</v>
      </c>
      <c r="D1995">
        <v>0</v>
      </c>
      <c r="E1995">
        <v>1</v>
      </c>
      <c r="F1995" s="7">
        <v>154611.64</v>
      </c>
      <c r="G1995">
        <v>0</v>
      </c>
      <c r="H1995" s="7">
        <v>0</v>
      </c>
    </row>
    <row r="1996" spans="1:8">
      <c r="A1996">
        <v>1</v>
      </c>
      <c r="B1996" t="s">
        <v>44</v>
      </c>
      <c r="C1996" t="s">
        <v>35</v>
      </c>
      <c r="D1996">
        <v>0</v>
      </c>
      <c r="E1996">
        <v>1</v>
      </c>
      <c r="F1996" s="7">
        <v>125275</v>
      </c>
      <c r="G1996">
        <v>0</v>
      </c>
      <c r="H1996" s="7">
        <v>0</v>
      </c>
    </row>
    <row r="1997" spans="1:8">
      <c r="A1997">
        <v>1</v>
      </c>
      <c r="B1997" t="s">
        <v>44</v>
      </c>
      <c r="C1997" t="s">
        <v>35</v>
      </c>
      <c r="D1997">
        <v>0</v>
      </c>
      <c r="E1997">
        <v>1</v>
      </c>
      <c r="F1997" s="7">
        <v>443200.31</v>
      </c>
      <c r="G1997">
        <v>0</v>
      </c>
      <c r="H1997" s="7">
        <v>0</v>
      </c>
    </row>
    <row r="1998" spans="1:8">
      <c r="A1998">
        <v>1</v>
      </c>
      <c r="B1998" t="s">
        <v>44</v>
      </c>
      <c r="C1998" t="s">
        <v>35</v>
      </c>
      <c r="D1998">
        <v>0</v>
      </c>
      <c r="E1998">
        <v>1</v>
      </c>
      <c r="F1998" s="7">
        <v>256481.43</v>
      </c>
      <c r="G1998">
        <v>0</v>
      </c>
      <c r="H1998" s="7">
        <v>0</v>
      </c>
    </row>
    <row r="1999" spans="1:8">
      <c r="A1999">
        <v>1</v>
      </c>
      <c r="B1999" t="s">
        <v>44</v>
      </c>
      <c r="C1999" t="s">
        <v>35</v>
      </c>
      <c r="D1999">
        <v>0</v>
      </c>
      <c r="E1999">
        <v>1</v>
      </c>
      <c r="F1999" s="7">
        <v>236277.01</v>
      </c>
      <c r="G1999">
        <v>0</v>
      </c>
      <c r="H1999" s="7">
        <v>0</v>
      </c>
    </row>
    <row r="2000" spans="1:8">
      <c r="A2000">
        <v>1</v>
      </c>
      <c r="B2000" t="s">
        <v>42</v>
      </c>
      <c r="C2000" t="s">
        <v>33</v>
      </c>
      <c r="D2000">
        <v>0</v>
      </c>
      <c r="E2000">
        <v>1</v>
      </c>
      <c r="F2000" s="7">
        <v>7071.77</v>
      </c>
      <c r="G2000">
        <v>0</v>
      </c>
      <c r="H2000" s="7">
        <v>0</v>
      </c>
    </row>
    <row r="2001" spans="1:8">
      <c r="A2001">
        <v>1</v>
      </c>
      <c r="B2001" t="s">
        <v>42</v>
      </c>
      <c r="C2001" t="s">
        <v>33</v>
      </c>
      <c r="D2001">
        <v>0</v>
      </c>
      <c r="E2001">
        <v>1</v>
      </c>
      <c r="F2001" s="7">
        <v>6511.48</v>
      </c>
      <c r="G2001">
        <v>0</v>
      </c>
      <c r="H2001" s="7">
        <v>0</v>
      </c>
    </row>
    <row r="2002" spans="1:8">
      <c r="A2002">
        <v>1</v>
      </c>
      <c r="B2002" t="s">
        <v>42</v>
      </c>
      <c r="C2002" t="s">
        <v>33</v>
      </c>
      <c r="D2002">
        <v>0</v>
      </c>
      <c r="E2002">
        <v>1</v>
      </c>
      <c r="F2002" s="7">
        <v>8592.89</v>
      </c>
      <c r="G2002">
        <v>0</v>
      </c>
      <c r="H2002" s="7">
        <v>0</v>
      </c>
    </row>
    <row r="2003" spans="1:8">
      <c r="A2003">
        <v>1</v>
      </c>
      <c r="B2003" t="s">
        <v>45</v>
      </c>
      <c r="C2003" t="s">
        <v>33</v>
      </c>
      <c r="D2003">
        <v>0</v>
      </c>
      <c r="E2003">
        <v>1</v>
      </c>
      <c r="F2003" s="7">
        <v>2356.99</v>
      </c>
      <c r="G2003">
        <v>0</v>
      </c>
      <c r="H2003" s="7">
        <v>0</v>
      </c>
    </row>
    <row r="2004" spans="1:8">
      <c r="A2004">
        <v>1</v>
      </c>
      <c r="B2004" t="s">
        <v>44</v>
      </c>
      <c r="C2004" t="s">
        <v>35</v>
      </c>
      <c r="D2004">
        <v>0</v>
      </c>
      <c r="E2004">
        <v>1</v>
      </c>
      <c r="F2004" s="7">
        <v>287126.39</v>
      </c>
      <c r="G2004">
        <v>0</v>
      </c>
      <c r="H2004" s="7">
        <v>0</v>
      </c>
    </row>
    <row r="2005" spans="1:8">
      <c r="A2005">
        <v>1</v>
      </c>
      <c r="B2005" t="s">
        <v>42</v>
      </c>
      <c r="C2005" t="s">
        <v>33</v>
      </c>
      <c r="D2005">
        <v>0</v>
      </c>
      <c r="E2005">
        <v>1</v>
      </c>
      <c r="F2005" s="7">
        <v>7363.65</v>
      </c>
      <c r="G2005">
        <v>0</v>
      </c>
      <c r="H2005" s="7">
        <v>0</v>
      </c>
    </row>
    <row r="2006" spans="1:8">
      <c r="A2006">
        <v>1</v>
      </c>
      <c r="B2006" t="s">
        <v>42</v>
      </c>
      <c r="C2006" t="s">
        <v>33</v>
      </c>
      <c r="D2006">
        <v>0</v>
      </c>
      <c r="E2006">
        <v>1</v>
      </c>
      <c r="F2006" s="7">
        <v>4613.1</v>
      </c>
      <c r="G2006">
        <v>0</v>
      </c>
      <c r="H2006" s="7">
        <v>0</v>
      </c>
    </row>
    <row r="2007" spans="1:8">
      <c r="A2007">
        <v>1</v>
      </c>
      <c r="B2007" t="s">
        <v>42</v>
      </c>
      <c r="C2007" t="s">
        <v>33</v>
      </c>
      <c r="D2007">
        <v>0</v>
      </c>
      <c r="E2007">
        <v>1</v>
      </c>
      <c r="F2007" s="7">
        <v>3787.43</v>
      </c>
      <c r="G2007">
        <v>0</v>
      </c>
      <c r="H2007" s="7">
        <v>0</v>
      </c>
    </row>
    <row r="2008" spans="1:8">
      <c r="A2008">
        <v>1</v>
      </c>
      <c r="B2008" t="s">
        <v>42</v>
      </c>
      <c r="C2008" t="s">
        <v>34</v>
      </c>
      <c r="D2008">
        <v>0</v>
      </c>
      <c r="E2008">
        <v>1</v>
      </c>
      <c r="F2008" s="7">
        <v>10543.05</v>
      </c>
      <c r="G2008">
        <v>0</v>
      </c>
      <c r="H2008" s="7">
        <v>0</v>
      </c>
    </row>
    <row r="2009" spans="1:8">
      <c r="A2009">
        <v>1</v>
      </c>
      <c r="B2009" t="s">
        <v>42</v>
      </c>
      <c r="C2009" t="s">
        <v>34</v>
      </c>
      <c r="D2009">
        <v>0</v>
      </c>
      <c r="E2009">
        <v>1</v>
      </c>
      <c r="F2009" s="7">
        <v>10719.85</v>
      </c>
      <c r="G2009">
        <v>0</v>
      </c>
      <c r="H2009" s="7">
        <v>0</v>
      </c>
    </row>
    <row r="2010" spans="1:8">
      <c r="A2010">
        <v>1</v>
      </c>
      <c r="B2010" t="s">
        <v>42</v>
      </c>
      <c r="C2010" t="s">
        <v>33</v>
      </c>
      <c r="D2010">
        <v>0</v>
      </c>
      <c r="E2010">
        <v>1</v>
      </c>
      <c r="F2010" s="7">
        <v>3857.29</v>
      </c>
      <c r="G2010">
        <v>0</v>
      </c>
      <c r="H2010" s="7">
        <v>0</v>
      </c>
    </row>
    <row r="2011" spans="1:8">
      <c r="A2011">
        <v>1</v>
      </c>
      <c r="B2011" t="s">
        <v>42</v>
      </c>
      <c r="C2011" t="s">
        <v>33</v>
      </c>
      <c r="D2011">
        <v>0</v>
      </c>
      <c r="E2011">
        <v>1</v>
      </c>
      <c r="F2011" s="7">
        <v>7028.85</v>
      </c>
      <c r="G2011">
        <v>0</v>
      </c>
      <c r="H2011" s="7">
        <v>0</v>
      </c>
    </row>
    <row r="2012" spans="1:8">
      <c r="A2012">
        <v>1</v>
      </c>
      <c r="B2012" t="s">
        <v>42</v>
      </c>
      <c r="C2012" t="s">
        <v>33</v>
      </c>
      <c r="D2012">
        <v>0</v>
      </c>
      <c r="E2012">
        <v>1</v>
      </c>
      <c r="F2012" s="7">
        <v>2402.16</v>
      </c>
      <c r="G2012">
        <v>0</v>
      </c>
      <c r="H2012" s="7">
        <v>0</v>
      </c>
    </row>
    <row r="2013" spans="1:8">
      <c r="A2013">
        <v>1</v>
      </c>
      <c r="B2013" t="s">
        <v>42</v>
      </c>
      <c r="C2013" t="s">
        <v>33</v>
      </c>
      <c r="D2013">
        <v>0</v>
      </c>
      <c r="E2013">
        <v>1</v>
      </c>
      <c r="F2013" s="7">
        <v>3375.94</v>
      </c>
      <c r="G2013">
        <v>0</v>
      </c>
      <c r="H2013" s="7">
        <v>0</v>
      </c>
    </row>
    <row r="2014" spans="1:8">
      <c r="A2014">
        <v>1</v>
      </c>
      <c r="B2014" t="s">
        <v>42</v>
      </c>
      <c r="C2014" t="s">
        <v>33</v>
      </c>
      <c r="D2014">
        <v>0</v>
      </c>
      <c r="E2014">
        <v>1</v>
      </c>
      <c r="F2014" s="7">
        <v>8999.94</v>
      </c>
      <c r="G2014">
        <v>0</v>
      </c>
      <c r="H2014" s="7">
        <v>0</v>
      </c>
    </row>
    <row r="2015" spans="1:8">
      <c r="A2015">
        <v>1</v>
      </c>
      <c r="B2015" t="s">
        <v>42</v>
      </c>
      <c r="C2015" t="s">
        <v>33</v>
      </c>
      <c r="D2015">
        <v>0</v>
      </c>
      <c r="E2015">
        <v>1</v>
      </c>
      <c r="F2015" s="7">
        <v>2562.66</v>
      </c>
      <c r="G2015">
        <v>0</v>
      </c>
      <c r="H2015" s="7">
        <v>0</v>
      </c>
    </row>
    <row r="2016" spans="1:8">
      <c r="A2016">
        <v>1</v>
      </c>
      <c r="B2016" t="s">
        <v>42</v>
      </c>
      <c r="C2016" t="s">
        <v>33</v>
      </c>
      <c r="D2016">
        <v>0</v>
      </c>
      <c r="E2016">
        <v>1</v>
      </c>
      <c r="F2016" s="7">
        <v>8480.48</v>
      </c>
      <c r="G2016">
        <v>0</v>
      </c>
      <c r="H2016" s="7">
        <v>0</v>
      </c>
    </row>
    <row r="2017" spans="1:8">
      <c r="A2017">
        <v>1</v>
      </c>
      <c r="B2017" t="s">
        <v>42</v>
      </c>
      <c r="C2017" t="s">
        <v>33</v>
      </c>
      <c r="D2017">
        <v>0</v>
      </c>
      <c r="E2017">
        <v>1</v>
      </c>
      <c r="F2017" s="7">
        <v>9471.15</v>
      </c>
      <c r="G2017">
        <v>0</v>
      </c>
      <c r="H2017" s="7">
        <v>0</v>
      </c>
    </row>
    <row r="2018" spans="1:8">
      <c r="A2018">
        <v>1</v>
      </c>
      <c r="B2018" t="s">
        <v>42</v>
      </c>
      <c r="C2018" t="s">
        <v>33</v>
      </c>
      <c r="D2018">
        <v>0</v>
      </c>
      <c r="E2018">
        <v>1</v>
      </c>
      <c r="F2018" s="7">
        <v>2569.57</v>
      </c>
      <c r="G2018">
        <v>0</v>
      </c>
      <c r="H2018" s="7">
        <v>0</v>
      </c>
    </row>
    <row r="2019" spans="1:8">
      <c r="A2019">
        <v>1</v>
      </c>
      <c r="B2019" t="s">
        <v>42</v>
      </c>
      <c r="C2019" t="s">
        <v>33</v>
      </c>
      <c r="D2019">
        <v>0</v>
      </c>
      <c r="E2019">
        <v>1</v>
      </c>
      <c r="F2019" s="7">
        <v>4470.38</v>
      </c>
      <c r="G2019">
        <v>0</v>
      </c>
      <c r="H2019" s="7">
        <v>0</v>
      </c>
    </row>
    <row r="2020" spans="1:8">
      <c r="A2020">
        <v>1</v>
      </c>
      <c r="B2020" t="s">
        <v>42</v>
      </c>
      <c r="C2020" t="s">
        <v>33</v>
      </c>
      <c r="D2020">
        <v>0</v>
      </c>
      <c r="E2020">
        <v>1</v>
      </c>
      <c r="F2020" s="7">
        <v>1068.22</v>
      </c>
      <c r="G2020">
        <v>0</v>
      </c>
      <c r="H2020" s="7">
        <v>0</v>
      </c>
    </row>
    <row r="2021" spans="1:8">
      <c r="A2021">
        <v>1</v>
      </c>
      <c r="B2021" t="s">
        <v>45</v>
      </c>
      <c r="C2021" t="s">
        <v>33</v>
      </c>
      <c r="D2021">
        <v>0</v>
      </c>
      <c r="E2021">
        <v>1</v>
      </c>
      <c r="F2021" s="7">
        <v>1128.69</v>
      </c>
      <c r="G2021">
        <v>0</v>
      </c>
      <c r="H2021" s="7">
        <v>0</v>
      </c>
    </row>
    <row r="2022" spans="1:8">
      <c r="A2022">
        <v>1</v>
      </c>
      <c r="B2022" t="s">
        <v>42</v>
      </c>
      <c r="C2022" t="s">
        <v>33</v>
      </c>
      <c r="D2022">
        <v>0</v>
      </c>
      <c r="E2022">
        <v>1</v>
      </c>
      <c r="F2022" s="7">
        <v>3488.78</v>
      </c>
      <c r="G2022">
        <v>0</v>
      </c>
      <c r="H2022" s="7">
        <v>0</v>
      </c>
    </row>
    <row r="2023" spans="1:8">
      <c r="A2023">
        <v>1</v>
      </c>
      <c r="B2023" t="s">
        <v>42</v>
      </c>
      <c r="C2023" t="s">
        <v>33</v>
      </c>
      <c r="D2023">
        <v>0</v>
      </c>
      <c r="E2023">
        <v>1</v>
      </c>
      <c r="F2023" s="7">
        <v>6086.87</v>
      </c>
      <c r="G2023">
        <v>0</v>
      </c>
      <c r="H2023" s="7">
        <v>0</v>
      </c>
    </row>
    <row r="2024" spans="1:8">
      <c r="A2024">
        <v>1</v>
      </c>
      <c r="B2024" t="s">
        <v>42</v>
      </c>
      <c r="C2024" t="s">
        <v>32</v>
      </c>
      <c r="D2024">
        <v>0</v>
      </c>
      <c r="E2024">
        <v>1</v>
      </c>
      <c r="F2024" s="7">
        <v>688.53</v>
      </c>
      <c r="G2024">
        <v>0</v>
      </c>
      <c r="H2024" s="7">
        <v>0</v>
      </c>
    </row>
    <row r="2025" spans="1:8">
      <c r="A2025">
        <v>1</v>
      </c>
      <c r="B2025" t="s">
        <v>42</v>
      </c>
      <c r="C2025" t="s">
        <v>33</v>
      </c>
      <c r="D2025">
        <v>0</v>
      </c>
      <c r="E2025">
        <v>1</v>
      </c>
      <c r="F2025" s="7">
        <v>2778.17</v>
      </c>
      <c r="G2025">
        <v>0</v>
      </c>
      <c r="H2025" s="7">
        <v>0</v>
      </c>
    </row>
    <row r="2026" spans="1:8">
      <c r="A2026">
        <v>1</v>
      </c>
      <c r="B2026" t="s">
        <v>42</v>
      </c>
      <c r="C2026" t="s">
        <v>33</v>
      </c>
      <c r="D2026">
        <v>0</v>
      </c>
      <c r="E2026">
        <v>1</v>
      </c>
      <c r="F2026" s="7">
        <v>5078.54</v>
      </c>
      <c r="G2026">
        <v>0</v>
      </c>
      <c r="H2026" s="7">
        <v>0</v>
      </c>
    </row>
    <row r="2027" spans="1:8">
      <c r="A2027">
        <v>1</v>
      </c>
      <c r="B2027" t="s">
        <v>42</v>
      </c>
      <c r="C2027" t="s">
        <v>33</v>
      </c>
      <c r="D2027">
        <v>0</v>
      </c>
      <c r="E2027">
        <v>1</v>
      </c>
      <c r="F2027" s="7">
        <v>5610.36</v>
      </c>
      <c r="G2027">
        <v>0</v>
      </c>
      <c r="H2027" s="7">
        <v>0</v>
      </c>
    </row>
    <row r="2028" spans="1:8">
      <c r="A2028">
        <v>1</v>
      </c>
      <c r="B2028" t="s">
        <v>42</v>
      </c>
      <c r="C2028" t="s">
        <v>33</v>
      </c>
      <c r="D2028">
        <v>0</v>
      </c>
      <c r="E2028">
        <v>1</v>
      </c>
      <c r="F2028" s="7">
        <v>5202.26</v>
      </c>
      <c r="G2028">
        <v>0</v>
      </c>
      <c r="H2028" s="7">
        <v>0</v>
      </c>
    </row>
    <row r="2029" spans="1:8">
      <c r="A2029">
        <v>1</v>
      </c>
      <c r="B2029" t="s">
        <v>42</v>
      </c>
      <c r="C2029" t="s">
        <v>33</v>
      </c>
      <c r="D2029">
        <v>0</v>
      </c>
      <c r="E2029">
        <v>1</v>
      </c>
      <c r="F2029" s="7">
        <v>5785.77</v>
      </c>
      <c r="G2029">
        <v>0</v>
      </c>
      <c r="H2029" s="7">
        <v>0</v>
      </c>
    </row>
    <row r="2030" spans="1:8">
      <c r="A2030">
        <v>1</v>
      </c>
      <c r="B2030" t="s">
        <v>42</v>
      </c>
      <c r="C2030" t="s">
        <v>33</v>
      </c>
      <c r="D2030">
        <v>0</v>
      </c>
      <c r="E2030">
        <v>1</v>
      </c>
      <c r="F2030" s="7">
        <v>7299.46</v>
      </c>
      <c r="G2030">
        <v>0</v>
      </c>
      <c r="H2030" s="7">
        <v>0</v>
      </c>
    </row>
    <row r="2031" spans="1:8">
      <c r="A2031">
        <v>1</v>
      </c>
      <c r="B2031" t="s">
        <v>46</v>
      </c>
      <c r="C2031" t="s">
        <v>34</v>
      </c>
      <c r="D2031">
        <v>0</v>
      </c>
      <c r="E2031">
        <v>1</v>
      </c>
      <c r="F2031" s="7">
        <v>47440.86</v>
      </c>
      <c r="G2031">
        <v>0</v>
      </c>
      <c r="H2031" s="7">
        <v>0</v>
      </c>
    </row>
    <row r="2032" spans="1:8">
      <c r="A2032">
        <v>1</v>
      </c>
      <c r="B2032" t="s">
        <v>42</v>
      </c>
      <c r="C2032" t="s">
        <v>33</v>
      </c>
      <c r="D2032">
        <v>0</v>
      </c>
      <c r="E2032">
        <v>1</v>
      </c>
      <c r="F2032" s="7">
        <v>7538</v>
      </c>
      <c r="G2032">
        <v>0</v>
      </c>
      <c r="H2032" s="7">
        <v>0</v>
      </c>
    </row>
    <row r="2033" spans="1:8">
      <c r="A2033">
        <v>1</v>
      </c>
      <c r="B2033" t="s">
        <v>42</v>
      </c>
      <c r="C2033" t="s">
        <v>33</v>
      </c>
      <c r="D2033">
        <v>0</v>
      </c>
      <c r="E2033">
        <v>1</v>
      </c>
      <c r="F2033" s="7">
        <v>4372.05</v>
      </c>
      <c r="G2033">
        <v>0</v>
      </c>
      <c r="H2033" s="7">
        <v>0</v>
      </c>
    </row>
    <row r="2034" spans="1:8">
      <c r="A2034">
        <v>1</v>
      </c>
      <c r="B2034" t="s">
        <v>42</v>
      </c>
      <c r="C2034" t="s">
        <v>32</v>
      </c>
      <c r="D2034">
        <v>0</v>
      </c>
      <c r="E2034">
        <v>1</v>
      </c>
      <c r="F2034" s="7">
        <v>748.42</v>
      </c>
      <c r="G2034">
        <v>0</v>
      </c>
      <c r="H2034" s="7">
        <v>0</v>
      </c>
    </row>
    <row r="2035" spans="1:8">
      <c r="A2035">
        <v>1</v>
      </c>
      <c r="B2035" t="s">
        <v>42</v>
      </c>
      <c r="C2035" t="s">
        <v>33</v>
      </c>
      <c r="D2035">
        <v>0</v>
      </c>
      <c r="E2035">
        <v>1</v>
      </c>
      <c r="F2035" s="7">
        <v>1296.58</v>
      </c>
      <c r="G2035">
        <v>0</v>
      </c>
      <c r="H2035" s="7">
        <v>0</v>
      </c>
    </row>
    <row r="2036" spans="1:8">
      <c r="A2036">
        <v>1</v>
      </c>
      <c r="B2036" t="s">
        <v>42</v>
      </c>
      <c r="C2036" t="s">
        <v>33</v>
      </c>
      <c r="D2036">
        <v>0</v>
      </c>
      <c r="E2036">
        <v>1</v>
      </c>
      <c r="F2036" s="7">
        <v>2545.15</v>
      </c>
      <c r="G2036">
        <v>0</v>
      </c>
      <c r="H2036" s="7">
        <v>0</v>
      </c>
    </row>
    <row r="2037" spans="1:8">
      <c r="A2037">
        <v>1</v>
      </c>
      <c r="B2037" t="s">
        <v>42</v>
      </c>
      <c r="C2037" t="s">
        <v>33</v>
      </c>
      <c r="D2037">
        <v>0</v>
      </c>
      <c r="E2037">
        <v>1</v>
      </c>
      <c r="F2037" s="7">
        <v>2527.41</v>
      </c>
      <c r="G2037">
        <v>0</v>
      </c>
      <c r="H2037" s="7">
        <v>0</v>
      </c>
    </row>
    <row r="2038" spans="1:8">
      <c r="A2038">
        <v>1</v>
      </c>
      <c r="B2038" t="s">
        <v>42</v>
      </c>
      <c r="C2038" t="s">
        <v>33</v>
      </c>
      <c r="D2038">
        <v>0</v>
      </c>
      <c r="E2038">
        <v>1</v>
      </c>
      <c r="F2038" s="7">
        <v>8361.63</v>
      </c>
      <c r="G2038">
        <v>0</v>
      </c>
      <c r="H2038" s="7">
        <v>0</v>
      </c>
    </row>
    <row r="2039" spans="1:8">
      <c r="A2039">
        <v>1</v>
      </c>
      <c r="B2039" t="s">
        <v>44</v>
      </c>
      <c r="C2039" t="s">
        <v>35</v>
      </c>
      <c r="D2039">
        <v>0</v>
      </c>
      <c r="E2039">
        <v>1</v>
      </c>
      <c r="F2039" s="7">
        <v>216007.53</v>
      </c>
      <c r="G2039">
        <v>0</v>
      </c>
      <c r="H2039" s="7">
        <v>0</v>
      </c>
    </row>
    <row r="2040" spans="1:8">
      <c r="A2040">
        <v>1</v>
      </c>
      <c r="B2040" t="s">
        <v>42</v>
      </c>
      <c r="C2040" t="s">
        <v>33</v>
      </c>
      <c r="D2040">
        <v>0</v>
      </c>
      <c r="E2040">
        <v>1</v>
      </c>
      <c r="F2040" s="7">
        <v>2092.06</v>
      </c>
      <c r="G2040">
        <v>0</v>
      </c>
      <c r="H2040" s="7">
        <v>0</v>
      </c>
    </row>
    <row r="2041" spans="1:8">
      <c r="A2041">
        <v>1</v>
      </c>
      <c r="B2041" t="s">
        <v>42</v>
      </c>
      <c r="C2041" t="s">
        <v>33</v>
      </c>
      <c r="D2041">
        <v>0</v>
      </c>
      <c r="E2041">
        <v>1</v>
      </c>
      <c r="F2041" s="7">
        <v>3920.09</v>
      </c>
      <c r="G2041">
        <v>0</v>
      </c>
      <c r="H2041" s="7">
        <v>0</v>
      </c>
    </row>
    <row r="2042" spans="1:8">
      <c r="A2042">
        <v>1</v>
      </c>
      <c r="B2042" t="s">
        <v>42</v>
      </c>
      <c r="C2042" t="s">
        <v>33</v>
      </c>
      <c r="D2042">
        <v>0</v>
      </c>
      <c r="E2042">
        <v>1</v>
      </c>
      <c r="F2042" s="7">
        <v>2224.06</v>
      </c>
      <c r="G2042">
        <v>0</v>
      </c>
      <c r="H2042" s="7">
        <v>0</v>
      </c>
    </row>
    <row r="2043" spans="1:8">
      <c r="A2043">
        <v>1</v>
      </c>
      <c r="B2043" t="s">
        <v>42</v>
      </c>
      <c r="C2043" t="s">
        <v>33</v>
      </c>
      <c r="D2043">
        <v>0</v>
      </c>
      <c r="E2043">
        <v>1</v>
      </c>
      <c r="F2043" s="7">
        <v>5284.22</v>
      </c>
      <c r="G2043">
        <v>0</v>
      </c>
      <c r="H2043" s="7">
        <v>0</v>
      </c>
    </row>
    <row r="2044" spans="1:8">
      <c r="A2044">
        <v>1</v>
      </c>
      <c r="B2044" t="s">
        <v>42</v>
      </c>
      <c r="C2044" t="s">
        <v>33</v>
      </c>
      <c r="D2044">
        <v>0</v>
      </c>
      <c r="E2044">
        <v>1</v>
      </c>
      <c r="F2044" s="7">
        <v>1632.21</v>
      </c>
      <c r="G2044">
        <v>0</v>
      </c>
      <c r="H2044" s="7">
        <v>0</v>
      </c>
    </row>
    <row r="2045" spans="1:8">
      <c r="A2045">
        <v>1</v>
      </c>
      <c r="B2045" t="s">
        <v>42</v>
      </c>
      <c r="C2045" t="s">
        <v>33</v>
      </c>
      <c r="D2045">
        <v>0</v>
      </c>
      <c r="E2045">
        <v>1</v>
      </c>
      <c r="F2045" s="7">
        <v>5965.13</v>
      </c>
      <c r="G2045">
        <v>0</v>
      </c>
      <c r="H2045" s="7">
        <v>0</v>
      </c>
    </row>
    <row r="2046" spans="1:8">
      <c r="A2046">
        <v>1</v>
      </c>
      <c r="B2046" t="s">
        <v>43</v>
      </c>
      <c r="C2046" t="s">
        <v>34</v>
      </c>
      <c r="D2046">
        <v>0</v>
      </c>
      <c r="E2046">
        <v>1</v>
      </c>
      <c r="F2046" s="7">
        <v>56565.27</v>
      </c>
      <c r="G2046">
        <v>0</v>
      </c>
      <c r="H2046" s="7">
        <v>0</v>
      </c>
    </row>
    <row r="2047" spans="1:8">
      <c r="A2047">
        <v>1</v>
      </c>
      <c r="B2047" t="s">
        <v>45</v>
      </c>
      <c r="C2047" t="s">
        <v>33</v>
      </c>
      <c r="D2047">
        <v>0</v>
      </c>
      <c r="E2047">
        <v>1</v>
      </c>
      <c r="F2047" s="7">
        <v>5130.16</v>
      </c>
      <c r="G2047">
        <v>0</v>
      </c>
      <c r="H2047" s="7">
        <v>0</v>
      </c>
    </row>
    <row r="2048" spans="1:8">
      <c r="A2048">
        <v>1</v>
      </c>
      <c r="B2048" t="s">
        <v>42</v>
      </c>
      <c r="C2048" t="s">
        <v>34</v>
      </c>
      <c r="D2048">
        <v>0</v>
      </c>
      <c r="E2048">
        <v>1</v>
      </c>
      <c r="F2048" s="7">
        <v>10364.62</v>
      </c>
      <c r="G2048">
        <v>0</v>
      </c>
      <c r="H2048" s="7">
        <v>0</v>
      </c>
    </row>
    <row r="2049" spans="1:8">
      <c r="A2049">
        <v>1</v>
      </c>
      <c r="B2049" t="s">
        <v>42</v>
      </c>
      <c r="C2049" t="s">
        <v>32</v>
      </c>
      <c r="D2049">
        <v>0</v>
      </c>
      <c r="E2049">
        <v>1</v>
      </c>
      <c r="F2049" s="7">
        <v>577.01</v>
      </c>
      <c r="G2049">
        <v>0</v>
      </c>
      <c r="H2049" s="7">
        <v>0</v>
      </c>
    </row>
    <row r="2050" spans="1:8">
      <c r="A2050">
        <v>1</v>
      </c>
      <c r="B2050" t="s">
        <v>45</v>
      </c>
      <c r="C2050" t="s">
        <v>33</v>
      </c>
      <c r="D2050">
        <v>0</v>
      </c>
      <c r="E2050">
        <v>1</v>
      </c>
      <c r="F2050" s="7">
        <v>9420.9</v>
      </c>
      <c r="G2050">
        <v>0</v>
      </c>
      <c r="H2050" s="7">
        <v>0</v>
      </c>
    </row>
    <row r="2051" spans="1:8">
      <c r="A2051">
        <v>1</v>
      </c>
      <c r="B2051" t="s">
        <v>42</v>
      </c>
      <c r="C2051" t="s">
        <v>33</v>
      </c>
      <c r="D2051">
        <v>0</v>
      </c>
      <c r="E2051">
        <v>1</v>
      </c>
      <c r="F2051" s="7">
        <v>3735.16</v>
      </c>
      <c r="G2051">
        <v>0</v>
      </c>
      <c r="H2051" s="7">
        <v>0</v>
      </c>
    </row>
    <row r="2052" spans="1:8">
      <c r="A2052">
        <v>1</v>
      </c>
      <c r="B2052" t="s">
        <v>42</v>
      </c>
      <c r="C2052" t="s">
        <v>32</v>
      </c>
      <c r="D2052">
        <v>0</v>
      </c>
      <c r="E2052">
        <v>1</v>
      </c>
      <c r="F2052" s="7">
        <v>982.67</v>
      </c>
      <c r="G2052">
        <v>0</v>
      </c>
      <c r="H2052" s="7">
        <v>0</v>
      </c>
    </row>
    <row r="2053" spans="1:8">
      <c r="A2053">
        <v>1</v>
      </c>
      <c r="B2053" t="s">
        <v>42</v>
      </c>
      <c r="C2053" t="s">
        <v>33</v>
      </c>
      <c r="D2053">
        <v>0</v>
      </c>
      <c r="E2053">
        <v>1</v>
      </c>
      <c r="F2053" s="7">
        <v>9469.26</v>
      </c>
      <c r="G2053">
        <v>0</v>
      </c>
      <c r="H2053" s="7">
        <v>0</v>
      </c>
    </row>
    <row r="2054" spans="1:8">
      <c r="A2054">
        <v>1</v>
      </c>
      <c r="B2054" t="s">
        <v>44</v>
      </c>
      <c r="C2054" t="s">
        <v>34</v>
      </c>
      <c r="D2054">
        <v>0</v>
      </c>
      <c r="E2054">
        <v>1</v>
      </c>
      <c r="F2054" s="7">
        <v>32282.57</v>
      </c>
      <c r="G2054">
        <v>0</v>
      </c>
      <c r="H2054" s="7">
        <v>0</v>
      </c>
    </row>
    <row r="2055" spans="1:8">
      <c r="A2055">
        <v>1</v>
      </c>
      <c r="B2055" t="s">
        <v>42</v>
      </c>
      <c r="C2055" t="s">
        <v>33</v>
      </c>
      <c r="D2055">
        <v>0</v>
      </c>
      <c r="E2055">
        <v>1</v>
      </c>
      <c r="F2055" s="7">
        <v>2673.65</v>
      </c>
      <c r="G2055">
        <v>0</v>
      </c>
      <c r="H2055" s="7">
        <v>0</v>
      </c>
    </row>
    <row r="2056" spans="1:8">
      <c r="A2056">
        <v>1</v>
      </c>
      <c r="B2056" t="s">
        <v>42</v>
      </c>
      <c r="C2056" t="s">
        <v>34</v>
      </c>
      <c r="D2056">
        <v>0</v>
      </c>
      <c r="E2056">
        <v>1</v>
      </c>
      <c r="F2056" s="7">
        <v>12911.82</v>
      </c>
      <c r="G2056">
        <v>0</v>
      </c>
      <c r="H2056" s="7">
        <v>0</v>
      </c>
    </row>
    <row r="2057" spans="1:8">
      <c r="A2057">
        <v>1</v>
      </c>
      <c r="B2057" t="s">
        <v>42</v>
      </c>
      <c r="C2057" t="s">
        <v>33</v>
      </c>
      <c r="D2057">
        <v>0</v>
      </c>
      <c r="E2057">
        <v>1</v>
      </c>
      <c r="F2057" s="7">
        <v>9334.02</v>
      </c>
      <c r="G2057">
        <v>0</v>
      </c>
      <c r="H2057" s="7">
        <v>0</v>
      </c>
    </row>
    <row r="2058" spans="1:8">
      <c r="A2058">
        <v>1</v>
      </c>
      <c r="B2058" t="s">
        <v>42</v>
      </c>
      <c r="C2058" t="s">
        <v>33</v>
      </c>
      <c r="D2058">
        <v>0</v>
      </c>
      <c r="E2058">
        <v>1</v>
      </c>
      <c r="F2058" s="7">
        <v>3783.07</v>
      </c>
      <c r="G2058">
        <v>0</v>
      </c>
      <c r="H2058" s="7">
        <v>0</v>
      </c>
    </row>
    <row r="2059" spans="1:8">
      <c r="A2059">
        <v>1</v>
      </c>
      <c r="B2059" t="s">
        <v>42</v>
      </c>
      <c r="C2059" t="s">
        <v>33</v>
      </c>
      <c r="D2059">
        <v>0</v>
      </c>
      <c r="E2059">
        <v>1</v>
      </c>
      <c r="F2059" s="7">
        <v>7102.49</v>
      </c>
      <c r="G2059">
        <v>0</v>
      </c>
      <c r="H2059" s="7">
        <v>0</v>
      </c>
    </row>
    <row r="2060" spans="1:8">
      <c r="A2060">
        <v>1</v>
      </c>
      <c r="B2060" t="s">
        <v>42</v>
      </c>
      <c r="C2060" t="s">
        <v>33</v>
      </c>
      <c r="D2060">
        <v>0</v>
      </c>
      <c r="E2060">
        <v>1</v>
      </c>
      <c r="F2060" s="7">
        <v>4804.74</v>
      </c>
      <c r="G2060">
        <v>0</v>
      </c>
      <c r="H2060" s="7">
        <v>0</v>
      </c>
    </row>
    <row r="2061" spans="1:8">
      <c r="A2061">
        <v>1</v>
      </c>
      <c r="B2061" t="s">
        <v>44</v>
      </c>
      <c r="C2061" t="s">
        <v>35</v>
      </c>
      <c r="D2061">
        <v>0</v>
      </c>
      <c r="E2061">
        <v>1</v>
      </c>
      <c r="F2061" s="7">
        <v>291713.22</v>
      </c>
      <c r="G2061">
        <v>0</v>
      </c>
      <c r="H2061" s="7">
        <v>0</v>
      </c>
    </row>
    <row r="2062" spans="1:8">
      <c r="A2062">
        <v>1</v>
      </c>
      <c r="B2062" t="s">
        <v>42</v>
      </c>
      <c r="C2062" t="s">
        <v>33</v>
      </c>
      <c r="D2062">
        <v>0</v>
      </c>
      <c r="E2062">
        <v>1</v>
      </c>
      <c r="F2062" s="7">
        <v>2358.9</v>
      </c>
      <c r="G2062">
        <v>0</v>
      </c>
      <c r="H2062" s="7">
        <v>0</v>
      </c>
    </row>
    <row r="2063" spans="1:8">
      <c r="A2063">
        <v>1</v>
      </c>
      <c r="B2063" t="s">
        <v>42</v>
      </c>
      <c r="C2063" t="s">
        <v>32</v>
      </c>
      <c r="D2063">
        <v>0</v>
      </c>
      <c r="E2063">
        <v>1</v>
      </c>
      <c r="F2063" s="7">
        <v>461.65</v>
      </c>
      <c r="G2063">
        <v>0</v>
      </c>
      <c r="H2063" s="7">
        <v>0</v>
      </c>
    </row>
    <row r="2064" spans="1:8">
      <c r="A2064">
        <v>1</v>
      </c>
      <c r="B2064" t="s">
        <v>42</v>
      </c>
      <c r="C2064" t="s">
        <v>33</v>
      </c>
      <c r="D2064">
        <v>0</v>
      </c>
      <c r="E2064">
        <v>1</v>
      </c>
      <c r="F2064" s="7">
        <v>4457.72</v>
      </c>
      <c r="G2064">
        <v>0</v>
      </c>
      <c r="H2064" s="7">
        <v>0</v>
      </c>
    </row>
    <row r="2065" spans="1:8">
      <c r="A2065">
        <v>1</v>
      </c>
      <c r="B2065" t="s">
        <v>42</v>
      </c>
      <c r="C2065" t="s">
        <v>32</v>
      </c>
      <c r="D2065">
        <v>0</v>
      </c>
      <c r="E2065">
        <v>1</v>
      </c>
      <c r="F2065" s="7">
        <v>633.75</v>
      </c>
      <c r="G2065">
        <v>0</v>
      </c>
      <c r="H2065" s="7">
        <v>0</v>
      </c>
    </row>
    <row r="2066" spans="1:8">
      <c r="A2066">
        <v>1</v>
      </c>
      <c r="B2066" t="s">
        <v>42</v>
      </c>
      <c r="C2066" t="s">
        <v>33</v>
      </c>
      <c r="D2066">
        <v>0</v>
      </c>
      <c r="E2066">
        <v>1</v>
      </c>
      <c r="F2066" s="7">
        <v>7891.16</v>
      </c>
      <c r="G2066">
        <v>0</v>
      </c>
      <c r="H2066" s="7">
        <v>0</v>
      </c>
    </row>
    <row r="2067" spans="1:8">
      <c r="A2067">
        <v>1</v>
      </c>
      <c r="B2067" t="s">
        <v>42</v>
      </c>
      <c r="C2067" t="s">
        <v>33</v>
      </c>
      <c r="D2067">
        <v>0</v>
      </c>
      <c r="E2067">
        <v>1</v>
      </c>
      <c r="F2067" s="7">
        <v>1522.55</v>
      </c>
      <c r="G2067">
        <v>0</v>
      </c>
      <c r="H2067" s="7">
        <v>0</v>
      </c>
    </row>
    <row r="2068" spans="1:8">
      <c r="A2068">
        <v>1</v>
      </c>
      <c r="B2068" t="s">
        <v>42</v>
      </c>
      <c r="C2068" t="s">
        <v>33</v>
      </c>
      <c r="D2068">
        <v>0</v>
      </c>
      <c r="E2068">
        <v>1</v>
      </c>
      <c r="F2068" s="7">
        <v>3660.66</v>
      </c>
      <c r="G2068">
        <v>0</v>
      </c>
      <c r="H2068" s="7">
        <v>0</v>
      </c>
    </row>
    <row r="2069" spans="1:8">
      <c r="A2069">
        <v>1</v>
      </c>
      <c r="B2069" t="s">
        <v>44</v>
      </c>
      <c r="C2069" t="s">
        <v>34</v>
      </c>
      <c r="D2069">
        <v>0</v>
      </c>
      <c r="E2069">
        <v>1</v>
      </c>
      <c r="F2069" s="7">
        <v>44670.27</v>
      </c>
      <c r="G2069">
        <v>0</v>
      </c>
      <c r="H2069" s="7">
        <v>0</v>
      </c>
    </row>
    <row r="2070" spans="1:8">
      <c r="A2070">
        <v>1</v>
      </c>
      <c r="B2070" t="s">
        <v>46</v>
      </c>
      <c r="C2070" t="s">
        <v>34</v>
      </c>
      <c r="D2070">
        <v>0</v>
      </c>
      <c r="E2070">
        <v>1</v>
      </c>
      <c r="F2070" s="7">
        <v>64945.57</v>
      </c>
      <c r="G2070">
        <v>0</v>
      </c>
      <c r="H2070" s="7">
        <v>0</v>
      </c>
    </row>
    <row r="2071" spans="1:8">
      <c r="A2071">
        <v>1</v>
      </c>
      <c r="B2071" t="s">
        <v>42</v>
      </c>
      <c r="C2071" t="s">
        <v>33</v>
      </c>
      <c r="D2071">
        <v>0</v>
      </c>
      <c r="E2071">
        <v>1</v>
      </c>
      <c r="F2071" s="7">
        <v>4461.08</v>
      </c>
      <c r="G2071">
        <v>0</v>
      </c>
      <c r="H2071" s="7">
        <v>0</v>
      </c>
    </row>
    <row r="2072" spans="1:8">
      <c r="A2072">
        <v>1</v>
      </c>
      <c r="B2072" t="s">
        <v>42</v>
      </c>
      <c r="C2072" t="s">
        <v>33</v>
      </c>
      <c r="D2072">
        <v>0</v>
      </c>
      <c r="E2072">
        <v>1</v>
      </c>
      <c r="F2072" s="7">
        <v>3223.87</v>
      </c>
      <c r="G2072">
        <v>0</v>
      </c>
      <c r="H2072" s="7">
        <v>0</v>
      </c>
    </row>
    <row r="2073" spans="1:8">
      <c r="A2073">
        <v>1</v>
      </c>
      <c r="B2073" t="s">
        <v>42</v>
      </c>
      <c r="C2073" t="s">
        <v>33</v>
      </c>
      <c r="D2073">
        <v>0</v>
      </c>
      <c r="E2073">
        <v>1</v>
      </c>
      <c r="F2073" s="7">
        <v>3224.21</v>
      </c>
      <c r="G2073">
        <v>0</v>
      </c>
      <c r="H2073" s="7">
        <v>0</v>
      </c>
    </row>
    <row r="2074" spans="1:8">
      <c r="A2074">
        <v>1</v>
      </c>
      <c r="B2074" t="s">
        <v>43</v>
      </c>
      <c r="C2074" t="s">
        <v>34</v>
      </c>
      <c r="D2074">
        <v>0</v>
      </c>
      <c r="E2074">
        <v>1</v>
      </c>
      <c r="F2074" s="7">
        <v>79386.85</v>
      </c>
      <c r="G2074">
        <v>0</v>
      </c>
      <c r="H2074" s="7">
        <v>0</v>
      </c>
    </row>
    <row r="2075" spans="1:8">
      <c r="A2075">
        <v>1</v>
      </c>
      <c r="B2075" t="s">
        <v>42</v>
      </c>
      <c r="C2075" t="s">
        <v>33</v>
      </c>
      <c r="D2075">
        <v>0</v>
      </c>
      <c r="E2075">
        <v>1</v>
      </c>
      <c r="F2075" s="7">
        <v>7415.77</v>
      </c>
      <c r="G2075">
        <v>0</v>
      </c>
      <c r="H2075" s="7">
        <v>0</v>
      </c>
    </row>
    <row r="2076" spans="1:8">
      <c r="A2076">
        <v>1</v>
      </c>
      <c r="B2076" t="s">
        <v>42</v>
      </c>
      <c r="C2076" t="s">
        <v>32</v>
      </c>
      <c r="D2076">
        <v>0</v>
      </c>
      <c r="E2076">
        <v>1</v>
      </c>
      <c r="F2076" s="7">
        <v>6.42</v>
      </c>
      <c r="G2076">
        <v>0</v>
      </c>
      <c r="H2076" s="7">
        <v>0</v>
      </c>
    </row>
    <row r="2077" spans="1:8">
      <c r="A2077">
        <v>1</v>
      </c>
      <c r="B2077" t="s">
        <v>42</v>
      </c>
      <c r="C2077" t="s">
        <v>33</v>
      </c>
      <c r="D2077">
        <v>0</v>
      </c>
      <c r="E2077">
        <v>1</v>
      </c>
      <c r="F2077" s="7">
        <v>1559.66</v>
      </c>
      <c r="G2077">
        <v>0</v>
      </c>
      <c r="H2077" s="7">
        <v>0</v>
      </c>
    </row>
    <row r="2078" spans="1:8">
      <c r="A2078">
        <v>1</v>
      </c>
      <c r="B2078" t="s">
        <v>42</v>
      </c>
      <c r="C2078" t="s">
        <v>33</v>
      </c>
      <c r="D2078">
        <v>0</v>
      </c>
      <c r="E2078">
        <v>1</v>
      </c>
      <c r="F2078" s="7">
        <v>2548.85</v>
      </c>
      <c r="G2078">
        <v>0</v>
      </c>
      <c r="H2078" s="7">
        <v>0</v>
      </c>
    </row>
    <row r="2079" spans="1:8">
      <c r="A2079">
        <v>1</v>
      </c>
      <c r="B2079" t="s">
        <v>42</v>
      </c>
      <c r="C2079" t="s">
        <v>32</v>
      </c>
      <c r="D2079">
        <v>0</v>
      </c>
      <c r="E2079">
        <v>1</v>
      </c>
      <c r="F2079" s="7">
        <v>271.32</v>
      </c>
      <c r="G2079">
        <v>0</v>
      </c>
      <c r="H2079" s="7">
        <v>0</v>
      </c>
    </row>
    <row r="2080" spans="1:8">
      <c r="A2080">
        <v>1</v>
      </c>
      <c r="B2080" t="s">
        <v>42</v>
      </c>
      <c r="C2080" t="s">
        <v>33</v>
      </c>
      <c r="D2080">
        <v>0</v>
      </c>
      <c r="E2080">
        <v>1</v>
      </c>
      <c r="F2080" s="7">
        <v>1454.92</v>
      </c>
      <c r="G2080">
        <v>0</v>
      </c>
      <c r="H2080" s="7">
        <v>0</v>
      </c>
    </row>
    <row r="2081" spans="1:8">
      <c r="A2081">
        <v>1</v>
      </c>
      <c r="B2081" t="s">
        <v>42</v>
      </c>
      <c r="C2081" t="s">
        <v>33</v>
      </c>
      <c r="D2081">
        <v>0</v>
      </c>
      <c r="E2081">
        <v>1</v>
      </c>
      <c r="F2081" s="7">
        <v>2666.96</v>
      </c>
      <c r="G2081">
        <v>0</v>
      </c>
      <c r="H2081" s="7">
        <v>0</v>
      </c>
    </row>
    <row r="2082" spans="1:8">
      <c r="A2082">
        <v>1</v>
      </c>
      <c r="B2082" t="s">
        <v>45</v>
      </c>
      <c r="C2082" t="s">
        <v>33</v>
      </c>
      <c r="D2082">
        <v>0</v>
      </c>
      <c r="E2082">
        <v>1</v>
      </c>
      <c r="F2082" s="7">
        <v>3180.02</v>
      </c>
      <c r="G2082">
        <v>0</v>
      </c>
      <c r="H2082" s="7">
        <v>0</v>
      </c>
    </row>
    <row r="2083" spans="1:8">
      <c r="A2083">
        <v>1</v>
      </c>
      <c r="B2083" t="s">
        <v>42</v>
      </c>
      <c r="C2083" t="s">
        <v>33</v>
      </c>
      <c r="D2083">
        <v>0</v>
      </c>
      <c r="E2083">
        <v>1</v>
      </c>
      <c r="F2083" s="7">
        <v>2550.35</v>
      </c>
      <c r="G2083">
        <v>0</v>
      </c>
      <c r="H2083" s="7">
        <v>0</v>
      </c>
    </row>
    <row r="2084" spans="1:8">
      <c r="A2084">
        <v>1</v>
      </c>
      <c r="B2084" t="s">
        <v>42</v>
      </c>
      <c r="C2084" t="s">
        <v>32</v>
      </c>
      <c r="D2084">
        <v>0</v>
      </c>
      <c r="E2084">
        <v>1</v>
      </c>
      <c r="F2084" s="7">
        <v>842.33</v>
      </c>
      <c r="G2084">
        <v>0</v>
      </c>
      <c r="H2084" s="7">
        <v>0</v>
      </c>
    </row>
    <row r="2085" spans="1:8">
      <c r="A2085">
        <v>1</v>
      </c>
      <c r="B2085" t="s">
        <v>42</v>
      </c>
      <c r="C2085" t="s">
        <v>34</v>
      </c>
      <c r="D2085">
        <v>0</v>
      </c>
      <c r="E2085">
        <v>1</v>
      </c>
      <c r="F2085" s="7">
        <v>16085.74</v>
      </c>
      <c r="G2085">
        <v>0</v>
      </c>
      <c r="H2085" s="7">
        <v>0</v>
      </c>
    </row>
    <row r="2086" spans="1:8">
      <c r="A2086">
        <v>1</v>
      </c>
      <c r="B2086" t="s">
        <v>42</v>
      </c>
      <c r="C2086" t="s">
        <v>33</v>
      </c>
      <c r="D2086">
        <v>0</v>
      </c>
      <c r="E2086">
        <v>1</v>
      </c>
      <c r="F2086" s="7">
        <v>4223.24</v>
      </c>
      <c r="G2086">
        <v>0</v>
      </c>
      <c r="H2086" s="7">
        <v>0</v>
      </c>
    </row>
    <row r="2087" spans="1:8">
      <c r="A2087">
        <v>1</v>
      </c>
      <c r="B2087" t="s">
        <v>42</v>
      </c>
      <c r="C2087" t="s">
        <v>33</v>
      </c>
      <c r="D2087">
        <v>0</v>
      </c>
      <c r="E2087">
        <v>1</v>
      </c>
      <c r="F2087" s="7">
        <v>1993.24</v>
      </c>
      <c r="G2087">
        <v>0</v>
      </c>
      <c r="H2087" s="7">
        <v>0</v>
      </c>
    </row>
    <row r="2088" spans="1:8">
      <c r="A2088">
        <v>1</v>
      </c>
      <c r="B2088" t="s">
        <v>44</v>
      </c>
      <c r="C2088" t="s">
        <v>35</v>
      </c>
      <c r="D2088">
        <v>0</v>
      </c>
      <c r="E2088">
        <v>1</v>
      </c>
      <c r="F2088" s="7">
        <v>457552.45</v>
      </c>
      <c r="G2088">
        <v>0</v>
      </c>
      <c r="H2088" s="7">
        <v>0</v>
      </c>
    </row>
    <row r="2089" spans="1:8">
      <c r="A2089">
        <v>1</v>
      </c>
      <c r="B2089" t="s">
        <v>42</v>
      </c>
      <c r="C2089" t="s">
        <v>33</v>
      </c>
      <c r="D2089">
        <v>0</v>
      </c>
      <c r="E2089">
        <v>1</v>
      </c>
      <c r="F2089" s="7">
        <v>4894.96</v>
      </c>
      <c r="G2089">
        <v>0</v>
      </c>
      <c r="H2089" s="7">
        <v>0</v>
      </c>
    </row>
    <row r="2090" spans="1:8">
      <c r="A2090">
        <v>1</v>
      </c>
      <c r="B2090" t="s">
        <v>42</v>
      </c>
      <c r="C2090" t="s">
        <v>33</v>
      </c>
      <c r="D2090">
        <v>0</v>
      </c>
      <c r="E2090">
        <v>1</v>
      </c>
      <c r="F2090" s="7">
        <v>7331.22</v>
      </c>
      <c r="G2090">
        <v>0</v>
      </c>
      <c r="H2090" s="7">
        <v>0</v>
      </c>
    </row>
    <row r="2091" spans="1:8">
      <c r="A2091">
        <v>1</v>
      </c>
      <c r="B2091" t="s">
        <v>42</v>
      </c>
      <c r="C2091" t="s">
        <v>33</v>
      </c>
      <c r="D2091">
        <v>0</v>
      </c>
      <c r="E2091">
        <v>1</v>
      </c>
      <c r="F2091" s="7">
        <v>7286.11</v>
      </c>
      <c r="G2091">
        <v>0</v>
      </c>
      <c r="H2091" s="7">
        <v>0</v>
      </c>
    </row>
    <row r="2092" spans="1:8">
      <c r="A2092">
        <v>1</v>
      </c>
      <c r="B2092" t="s">
        <v>42</v>
      </c>
      <c r="C2092" t="s">
        <v>33</v>
      </c>
      <c r="D2092">
        <v>0</v>
      </c>
      <c r="E2092">
        <v>1</v>
      </c>
      <c r="F2092" s="7">
        <v>6258.29</v>
      </c>
      <c r="G2092">
        <v>0</v>
      </c>
      <c r="H2092" s="7">
        <v>0</v>
      </c>
    </row>
    <row r="2093" spans="1:8">
      <c r="A2093">
        <v>1</v>
      </c>
      <c r="B2093" t="s">
        <v>42</v>
      </c>
      <c r="C2093" t="s">
        <v>34</v>
      </c>
      <c r="D2093">
        <v>0</v>
      </c>
      <c r="E2093">
        <v>1</v>
      </c>
      <c r="F2093" s="7">
        <v>16859.52</v>
      </c>
      <c r="G2093">
        <v>0</v>
      </c>
      <c r="H2093" s="7">
        <v>0</v>
      </c>
    </row>
    <row r="2094" spans="1:8">
      <c r="A2094">
        <v>1</v>
      </c>
      <c r="B2094" t="s">
        <v>42</v>
      </c>
      <c r="C2094" t="s">
        <v>33</v>
      </c>
      <c r="D2094">
        <v>0</v>
      </c>
      <c r="E2094">
        <v>1</v>
      </c>
      <c r="F2094" s="7">
        <v>4416.9</v>
      </c>
      <c r="G2094">
        <v>0</v>
      </c>
      <c r="H2094" s="7">
        <v>0</v>
      </c>
    </row>
    <row r="2095" spans="1:8">
      <c r="A2095">
        <v>1</v>
      </c>
      <c r="B2095" t="s">
        <v>42</v>
      </c>
      <c r="C2095" t="s">
        <v>33</v>
      </c>
      <c r="D2095">
        <v>0</v>
      </c>
      <c r="E2095">
        <v>1</v>
      </c>
      <c r="F2095" s="7">
        <v>4139.95</v>
      </c>
      <c r="G2095">
        <v>0</v>
      </c>
      <c r="H2095" s="7">
        <v>0</v>
      </c>
    </row>
    <row r="2096" spans="1:8">
      <c r="A2096">
        <v>1</v>
      </c>
      <c r="B2096" t="s">
        <v>42</v>
      </c>
      <c r="C2096" t="s">
        <v>34</v>
      </c>
      <c r="D2096">
        <v>0</v>
      </c>
      <c r="E2096">
        <v>1</v>
      </c>
      <c r="F2096" s="7">
        <v>25642.6</v>
      </c>
      <c r="G2096">
        <v>0</v>
      </c>
      <c r="H2096" s="7">
        <v>0</v>
      </c>
    </row>
    <row r="2097" spans="1:8">
      <c r="A2097">
        <v>1</v>
      </c>
      <c r="B2097" t="s">
        <v>42</v>
      </c>
      <c r="C2097" t="s">
        <v>33</v>
      </c>
      <c r="D2097">
        <v>0</v>
      </c>
      <c r="E2097">
        <v>1</v>
      </c>
      <c r="F2097" s="7">
        <v>6394.36</v>
      </c>
      <c r="G2097">
        <v>0</v>
      </c>
      <c r="H2097" s="7">
        <v>0</v>
      </c>
    </row>
    <row r="2098" spans="1:8">
      <c r="A2098">
        <v>1</v>
      </c>
      <c r="B2098" t="s">
        <v>42</v>
      </c>
      <c r="C2098" t="s">
        <v>32</v>
      </c>
      <c r="D2098">
        <v>0</v>
      </c>
      <c r="E2098">
        <v>1</v>
      </c>
      <c r="F2098" s="7">
        <v>53.35</v>
      </c>
      <c r="G2098">
        <v>0</v>
      </c>
      <c r="H2098" s="7">
        <v>0</v>
      </c>
    </row>
    <row r="2099" spans="1:8">
      <c r="A2099">
        <v>1</v>
      </c>
      <c r="B2099" t="s">
        <v>42</v>
      </c>
      <c r="C2099" t="s">
        <v>33</v>
      </c>
      <c r="D2099">
        <v>0</v>
      </c>
      <c r="E2099">
        <v>1</v>
      </c>
      <c r="F2099" s="7">
        <v>1902.1</v>
      </c>
      <c r="G2099">
        <v>0</v>
      </c>
      <c r="H2099" s="7">
        <v>0</v>
      </c>
    </row>
    <row r="2100" spans="1:8">
      <c r="A2100">
        <v>1</v>
      </c>
      <c r="B2100" t="s">
        <v>42</v>
      </c>
      <c r="C2100" t="s">
        <v>33</v>
      </c>
      <c r="D2100">
        <v>0</v>
      </c>
      <c r="E2100">
        <v>1</v>
      </c>
      <c r="F2100" s="7">
        <v>5568.56</v>
      </c>
      <c r="G2100">
        <v>0</v>
      </c>
      <c r="H2100" s="7">
        <v>0</v>
      </c>
    </row>
    <row r="2101" spans="1:8">
      <c r="A2101">
        <v>1</v>
      </c>
      <c r="B2101" t="s">
        <v>42</v>
      </c>
      <c r="C2101" t="s">
        <v>32</v>
      </c>
      <c r="D2101">
        <v>0</v>
      </c>
      <c r="E2101">
        <v>1</v>
      </c>
      <c r="F2101" s="7">
        <v>406.11</v>
      </c>
      <c r="G2101">
        <v>0</v>
      </c>
      <c r="H2101" s="7">
        <v>0</v>
      </c>
    </row>
    <row r="2102" spans="1:8">
      <c r="A2102">
        <v>1</v>
      </c>
      <c r="B2102" t="s">
        <v>42</v>
      </c>
      <c r="C2102" t="s">
        <v>34</v>
      </c>
      <c r="D2102">
        <v>0</v>
      </c>
      <c r="E2102">
        <v>1</v>
      </c>
      <c r="F2102" s="7">
        <v>15028.75</v>
      </c>
      <c r="G2102">
        <v>0</v>
      </c>
      <c r="H2102" s="7">
        <v>0</v>
      </c>
    </row>
    <row r="2103" spans="1:8">
      <c r="A2103">
        <v>1</v>
      </c>
      <c r="B2103" t="s">
        <v>42</v>
      </c>
      <c r="C2103" t="s">
        <v>34</v>
      </c>
      <c r="D2103">
        <v>0</v>
      </c>
      <c r="E2103">
        <v>1</v>
      </c>
      <c r="F2103" s="7">
        <v>32101.86</v>
      </c>
      <c r="G2103">
        <v>0</v>
      </c>
      <c r="H2103" s="7">
        <v>0</v>
      </c>
    </row>
    <row r="2104" spans="1:8">
      <c r="A2104">
        <v>1</v>
      </c>
      <c r="B2104" t="s">
        <v>42</v>
      </c>
      <c r="C2104" t="s">
        <v>33</v>
      </c>
      <c r="D2104">
        <v>0</v>
      </c>
      <c r="E2104">
        <v>1</v>
      </c>
      <c r="F2104" s="7">
        <v>6473.96</v>
      </c>
      <c r="G2104">
        <v>0</v>
      </c>
      <c r="H2104" s="7">
        <v>0</v>
      </c>
    </row>
    <row r="2105" spans="1:8">
      <c r="A2105">
        <v>1</v>
      </c>
      <c r="B2105" t="s">
        <v>42</v>
      </c>
      <c r="C2105" t="s">
        <v>33</v>
      </c>
      <c r="D2105">
        <v>0</v>
      </c>
      <c r="E2105">
        <v>1</v>
      </c>
      <c r="F2105" s="7">
        <v>7577.43</v>
      </c>
      <c r="G2105">
        <v>0</v>
      </c>
      <c r="H2105" s="7">
        <v>0</v>
      </c>
    </row>
    <row r="2106" spans="1:8">
      <c r="A2106">
        <v>1</v>
      </c>
      <c r="B2106" t="s">
        <v>42</v>
      </c>
      <c r="C2106" t="s">
        <v>34</v>
      </c>
      <c r="D2106">
        <v>0</v>
      </c>
      <c r="E2106">
        <v>1</v>
      </c>
      <c r="F2106" s="7">
        <v>20135.64</v>
      </c>
      <c r="G2106">
        <v>0</v>
      </c>
      <c r="H2106" s="7">
        <v>0</v>
      </c>
    </row>
    <row r="2107" spans="1:8">
      <c r="A2107">
        <v>1</v>
      </c>
      <c r="B2107" t="s">
        <v>42</v>
      </c>
      <c r="C2107" t="s">
        <v>34</v>
      </c>
      <c r="D2107">
        <v>0</v>
      </c>
      <c r="E2107">
        <v>1</v>
      </c>
      <c r="F2107" s="7">
        <v>18832.61</v>
      </c>
      <c r="G2107">
        <v>0</v>
      </c>
      <c r="H2107" s="7">
        <v>0</v>
      </c>
    </row>
    <row r="2108" spans="1:8">
      <c r="A2108">
        <v>1</v>
      </c>
      <c r="B2108" t="s">
        <v>42</v>
      </c>
      <c r="C2108" t="s">
        <v>34</v>
      </c>
      <c r="D2108">
        <v>0</v>
      </c>
      <c r="E2108">
        <v>1</v>
      </c>
      <c r="F2108" s="7">
        <v>11468.9</v>
      </c>
      <c r="G2108">
        <v>0</v>
      </c>
      <c r="H2108" s="7">
        <v>0</v>
      </c>
    </row>
    <row r="2109" spans="1:8">
      <c r="A2109">
        <v>1</v>
      </c>
      <c r="B2109" t="s">
        <v>43</v>
      </c>
      <c r="C2109" t="s">
        <v>35</v>
      </c>
      <c r="D2109">
        <v>0</v>
      </c>
      <c r="E2109">
        <v>1</v>
      </c>
      <c r="F2109" s="7">
        <v>138647.54</v>
      </c>
      <c r="G2109">
        <v>0</v>
      </c>
      <c r="H2109" s="7">
        <v>0</v>
      </c>
    </row>
    <row r="2110" spans="1:8">
      <c r="A2110">
        <v>1</v>
      </c>
      <c r="B2110" t="s">
        <v>45</v>
      </c>
      <c r="C2110" t="s">
        <v>33</v>
      </c>
      <c r="D2110">
        <v>0</v>
      </c>
      <c r="E2110">
        <v>1</v>
      </c>
      <c r="F2110" s="7">
        <v>3870.28</v>
      </c>
      <c r="G2110">
        <v>0</v>
      </c>
      <c r="H2110" s="7">
        <v>0</v>
      </c>
    </row>
    <row r="2111" spans="1:8">
      <c r="A2111">
        <v>1</v>
      </c>
      <c r="B2111" t="s">
        <v>42</v>
      </c>
      <c r="C2111" t="s">
        <v>33</v>
      </c>
      <c r="D2111">
        <v>0</v>
      </c>
      <c r="E2111">
        <v>1</v>
      </c>
      <c r="F2111" s="7">
        <v>4627.42</v>
      </c>
      <c r="G2111">
        <v>0</v>
      </c>
      <c r="H2111" s="7">
        <v>0</v>
      </c>
    </row>
    <row r="2112" spans="1:8">
      <c r="A2112">
        <v>1</v>
      </c>
      <c r="B2112" t="s">
        <v>42</v>
      </c>
      <c r="C2112" t="s">
        <v>33</v>
      </c>
      <c r="D2112">
        <v>0</v>
      </c>
      <c r="E2112">
        <v>1</v>
      </c>
      <c r="F2112" s="7">
        <v>2517.79</v>
      </c>
      <c r="G2112">
        <v>0</v>
      </c>
      <c r="H2112" s="7">
        <v>0</v>
      </c>
    </row>
    <row r="2113" spans="1:8">
      <c r="A2113">
        <v>1</v>
      </c>
      <c r="B2113" t="s">
        <v>44</v>
      </c>
      <c r="C2113" t="s">
        <v>35</v>
      </c>
      <c r="D2113">
        <v>0</v>
      </c>
      <c r="E2113">
        <v>1</v>
      </c>
      <c r="F2113" s="7">
        <v>100939.43</v>
      </c>
      <c r="G2113">
        <v>0</v>
      </c>
      <c r="H2113" s="7">
        <v>0</v>
      </c>
    </row>
    <row r="2114" spans="1:8">
      <c r="A2114">
        <v>1</v>
      </c>
      <c r="B2114" t="s">
        <v>45</v>
      </c>
      <c r="C2114" t="s">
        <v>33</v>
      </c>
      <c r="D2114">
        <v>0</v>
      </c>
      <c r="E2114">
        <v>1</v>
      </c>
      <c r="F2114" s="7">
        <v>3455.98</v>
      </c>
      <c r="G2114">
        <v>0</v>
      </c>
      <c r="H2114" s="7">
        <v>0</v>
      </c>
    </row>
    <row r="2115" spans="1:8">
      <c r="A2115">
        <v>1</v>
      </c>
      <c r="B2115" t="s">
        <v>42</v>
      </c>
      <c r="C2115" t="s">
        <v>33</v>
      </c>
      <c r="D2115">
        <v>0</v>
      </c>
      <c r="E2115">
        <v>1</v>
      </c>
      <c r="F2115" s="7">
        <v>1068.45</v>
      </c>
      <c r="G2115">
        <v>0</v>
      </c>
      <c r="H2115" s="7">
        <v>0</v>
      </c>
    </row>
    <row r="2116" spans="1:8">
      <c r="A2116">
        <v>1</v>
      </c>
      <c r="B2116" t="s">
        <v>45</v>
      </c>
      <c r="C2116" t="s">
        <v>32</v>
      </c>
      <c r="D2116">
        <v>0</v>
      </c>
      <c r="E2116">
        <v>1</v>
      </c>
      <c r="F2116" s="7">
        <v>454.51</v>
      </c>
      <c r="G2116">
        <v>0</v>
      </c>
      <c r="H2116" s="7">
        <v>0</v>
      </c>
    </row>
    <row r="2117" spans="1:8">
      <c r="A2117">
        <v>1</v>
      </c>
      <c r="B2117" t="s">
        <v>43</v>
      </c>
      <c r="C2117" t="s">
        <v>35</v>
      </c>
      <c r="D2117">
        <v>0</v>
      </c>
      <c r="E2117">
        <v>1</v>
      </c>
      <c r="F2117" s="7">
        <v>302665.03</v>
      </c>
      <c r="G2117">
        <v>0</v>
      </c>
      <c r="H2117" s="7">
        <v>0</v>
      </c>
    </row>
    <row r="2118" spans="1:8">
      <c r="A2118">
        <v>1</v>
      </c>
      <c r="B2118" t="s">
        <v>42</v>
      </c>
      <c r="C2118" t="s">
        <v>32</v>
      </c>
      <c r="D2118">
        <v>0</v>
      </c>
      <c r="E2118">
        <v>1</v>
      </c>
      <c r="F2118" s="7">
        <v>885.95</v>
      </c>
      <c r="G2118">
        <v>0</v>
      </c>
      <c r="H2118" s="7">
        <v>0</v>
      </c>
    </row>
    <row r="2119" spans="1:8">
      <c r="A2119">
        <v>1</v>
      </c>
      <c r="B2119" t="s">
        <v>42</v>
      </c>
      <c r="C2119" t="s">
        <v>33</v>
      </c>
      <c r="D2119">
        <v>0</v>
      </c>
      <c r="E2119">
        <v>1</v>
      </c>
      <c r="F2119" s="7">
        <v>4137.89</v>
      </c>
      <c r="G2119">
        <v>0</v>
      </c>
      <c r="H2119" s="7">
        <v>0</v>
      </c>
    </row>
    <row r="2120" spans="1:8">
      <c r="A2120">
        <v>1</v>
      </c>
      <c r="B2120" t="s">
        <v>42</v>
      </c>
      <c r="C2120" t="s">
        <v>33</v>
      </c>
      <c r="D2120">
        <v>0</v>
      </c>
      <c r="E2120">
        <v>1</v>
      </c>
      <c r="F2120" s="7">
        <v>5504.59</v>
      </c>
      <c r="G2120">
        <v>0</v>
      </c>
      <c r="H2120" s="7">
        <v>0</v>
      </c>
    </row>
    <row r="2121" spans="1:8">
      <c r="A2121">
        <v>1</v>
      </c>
      <c r="B2121" t="s">
        <v>42</v>
      </c>
      <c r="C2121" t="s">
        <v>33</v>
      </c>
      <c r="D2121">
        <v>0</v>
      </c>
      <c r="E2121">
        <v>1</v>
      </c>
      <c r="F2121" s="7">
        <v>3780.15</v>
      </c>
      <c r="G2121">
        <v>0</v>
      </c>
      <c r="H2121" s="7">
        <v>0</v>
      </c>
    </row>
    <row r="2122" spans="1:8">
      <c r="A2122">
        <v>1</v>
      </c>
      <c r="B2122" t="s">
        <v>42</v>
      </c>
      <c r="C2122" t="s">
        <v>33</v>
      </c>
      <c r="D2122">
        <v>0</v>
      </c>
      <c r="E2122">
        <v>1</v>
      </c>
      <c r="F2122" s="7">
        <v>3504.75</v>
      </c>
      <c r="G2122">
        <v>0</v>
      </c>
      <c r="H2122" s="7">
        <v>0</v>
      </c>
    </row>
    <row r="2123" spans="1:8">
      <c r="A2123">
        <v>1</v>
      </c>
      <c r="B2123" t="s">
        <v>42</v>
      </c>
      <c r="C2123" t="s">
        <v>33</v>
      </c>
      <c r="D2123">
        <v>0</v>
      </c>
      <c r="E2123">
        <v>1</v>
      </c>
      <c r="F2123" s="7">
        <v>2716.67</v>
      </c>
      <c r="G2123">
        <v>0</v>
      </c>
      <c r="H2123" s="7">
        <v>0</v>
      </c>
    </row>
    <row r="2124" spans="1:8">
      <c r="A2124">
        <v>1</v>
      </c>
      <c r="B2124" t="s">
        <v>42</v>
      </c>
      <c r="C2124" t="s">
        <v>33</v>
      </c>
      <c r="D2124">
        <v>0</v>
      </c>
      <c r="E2124">
        <v>1</v>
      </c>
      <c r="F2124" s="7">
        <v>4219.94</v>
      </c>
      <c r="G2124">
        <v>0</v>
      </c>
      <c r="H2124" s="7">
        <v>0</v>
      </c>
    </row>
    <row r="2125" spans="1:8">
      <c r="A2125">
        <v>1</v>
      </c>
      <c r="B2125" t="s">
        <v>42</v>
      </c>
      <c r="C2125" t="s">
        <v>33</v>
      </c>
      <c r="D2125">
        <v>0</v>
      </c>
      <c r="E2125">
        <v>1</v>
      </c>
      <c r="F2125" s="7">
        <v>5831.05</v>
      </c>
      <c r="G2125">
        <v>0</v>
      </c>
      <c r="H2125" s="7">
        <v>0</v>
      </c>
    </row>
    <row r="2126" spans="1:8">
      <c r="A2126">
        <v>1</v>
      </c>
      <c r="B2126" t="s">
        <v>42</v>
      </c>
      <c r="C2126" t="s">
        <v>33</v>
      </c>
      <c r="D2126">
        <v>0</v>
      </c>
      <c r="E2126">
        <v>1</v>
      </c>
      <c r="F2126" s="7">
        <v>9855.36</v>
      </c>
      <c r="G2126">
        <v>0</v>
      </c>
      <c r="H2126" s="7">
        <v>0</v>
      </c>
    </row>
    <row r="2127" spans="1:8">
      <c r="A2127">
        <v>1</v>
      </c>
      <c r="B2127" t="s">
        <v>42</v>
      </c>
      <c r="C2127" t="s">
        <v>34</v>
      </c>
      <c r="D2127">
        <v>0</v>
      </c>
      <c r="E2127">
        <v>1</v>
      </c>
      <c r="F2127" s="7">
        <v>10726.49</v>
      </c>
      <c r="G2127">
        <v>0</v>
      </c>
      <c r="H2127" s="7">
        <v>0</v>
      </c>
    </row>
    <row r="2128" spans="1:8">
      <c r="A2128">
        <v>1</v>
      </c>
      <c r="B2128" t="s">
        <v>42</v>
      </c>
      <c r="C2128" t="s">
        <v>33</v>
      </c>
      <c r="D2128">
        <v>0</v>
      </c>
      <c r="E2128">
        <v>1</v>
      </c>
      <c r="F2128" s="7">
        <v>1833.22</v>
      </c>
      <c r="G2128">
        <v>0</v>
      </c>
      <c r="H2128" s="7">
        <v>0</v>
      </c>
    </row>
    <row r="2129" spans="1:8">
      <c r="A2129">
        <v>1</v>
      </c>
      <c r="B2129" t="s">
        <v>43</v>
      </c>
      <c r="C2129" t="s">
        <v>34</v>
      </c>
      <c r="D2129">
        <v>0</v>
      </c>
      <c r="E2129">
        <v>1</v>
      </c>
      <c r="F2129" s="7">
        <v>34115.82</v>
      </c>
      <c r="G2129">
        <v>0</v>
      </c>
      <c r="H2129" s="7">
        <v>0</v>
      </c>
    </row>
    <row r="2130" spans="1:8">
      <c r="A2130">
        <v>1</v>
      </c>
      <c r="B2130" t="s">
        <v>42</v>
      </c>
      <c r="C2130" t="s">
        <v>33</v>
      </c>
      <c r="D2130">
        <v>0</v>
      </c>
      <c r="E2130">
        <v>1</v>
      </c>
      <c r="F2130" s="7">
        <v>2210.66</v>
      </c>
      <c r="G2130">
        <v>0</v>
      </c>
      <c r="H2130" s="7">
        <v>0</v>
      </c>
    </row>
    <row r="2131" spans="1:8">
      <c r="A2131">
        <v>1</v>
      </c>
      <c r="B2131" t="s">
        <v>43</v>
      </c>
      <c r="C2131" t="s">
        <v>34</v>
      </c>
      <c r="D2131">
        <v>0</v>
      </c>
      <c r="E2131">
        <v>1</v>
      </c>
      <c r="F2131" s="7">
        <v>22190.99</v>
      </c>
      <c r="G2131">
        <v>0</v>
      </c>
      <c r="H2131" s="7">
        <v>0</v>
      </c>
    </row>
    <row r="2132" spans="1:8">
      <c r="A2132">
        <v>1</v>
      </c>
      <c r="B2132" t="s">
        <v>46</v>
      </c>
      <c r="C2132" t="s">
        <v>35</v>
      </c>
      <c r="D2132">
        <v>0</v>
      </c>
      <c r="E2132">
        <v>1</v>
      </c>
      <c r="F2132" s="7">
        <v>168451.53</v>
      </c>
      <c r="G2132">
        <v>0</v>
      </c>
      <c r="H2132" s="7">
        <v>0</v>
      </c>
    </row>
    <row r="2133" spans="1:8">
      <c r="A2133">
        <v>1</v>
      </c>
      <c r="B2133" t="s">
        <v>46</v>
      </c>
      <c r="C2133" t="s">
        <v>35</v>
      </c>
      <c r="D2133">
        <v>0</v>
      </c>
      <c r="E2133">
        <v>1</v>
      </c>
      <c r="F2133" s="7">
        <v>123545.77</v>
      </c>
      <c r="G2133">
        <v>0</v>
      </c>
      <c r="H2133" s="7">
        <v>0</v>
      </c>
    </row>
    <row r="2134" spans="1:8">
      <c r="A2134">
        <v>1</v>
      </c>
      <c r="B2134" t="s">
        <v>46</v>
      </c>
      <c r="C2134" t="s">
        <v>34</v>
      </c>
      <c r="D2134">
        <v>0</v>
      </c>
      <c r="E2134">
        <v>1</v>
      </c>
      <c r="F2134" s="7">
        <v>28463.91</v>
      </c>
      <c r="G2134">
        <v>0</v>
      </c>
      <c r="H2134" s="7">
        <v>0</v>
      </c>
    </row>
    <row r="2135" spans="1:8">
      <c r="A2135">
        <v>1</v>
      </c>
      <c r="B2135" t="s">
        <v>46</v>
      </c>
      <c r="C2135" t="s">
        <v>34</v>
      </c>
      <c r="D2135">
        <v>0</v>
      </c>
      <c r="E2135">
        <v>1</v>
      </c>
      <c r="F2135" s="7">
        <v>42012.45</v>
      </c>
      <c r="G2135">
        <v>0</v>
      </c>
      <c r="H2135" s="7">
        <v>0</v>
      </c>
    </row>
    <row r="2136" spans="1:8">
      <c r="A2136">
        <v>1</v>
      </c>
      <c r="B2136" t="s">
        <v>46</v>
      </c>
      <c r="C2136" t="s">
        <v>35</v>
      </c>
      <c r="D2136">
        <v>0</v>
      </c>
      <c r="E2136">
        <v>1</v>
      </c>
      <c r="F2136" s="7">
        <v>170686.08</v>
      </c>
      <c r="G2136">
        <v>0</v>
      </c>
      <c r="H2136" s="7">
        <v>0</v>
      </c>
    </row>
    <row r="2137" spans="1:8">
      <c r="A2137">
        <v>1</v>
      </c>
      <c r="B2137" t="s">
        <v>46</v>
      </c>
      <c r="C2137" t="s">
        <v>35</v>
      </c>
      <c r="D2137">
        <v>0</v>
      </c>
      <c r="E2137">
        <v>1</v>
      </c>
      <c r="F2137" s="7">
        <v>283561.25</v>
      </c>
      <c r="G2137">
        <v>0</v>
      </c>
      <c r="H2137" s="7">
        <v>0</v>
      </c>
    </row>
    <row r="2138" spans="1:8">
      <c r="A2138">
        <v>1</v>
      </c>
      <c r="B2138" t="s">
        <v>46</v>
      </c>
      <c r="C2138" t="s">
        <v>35</v>
      </c>
      <c r="D2138">
        <v>0</v>
      </c>
      <c r="E2138">
        <v>1</v>
      </c>
      <c r="F2138" s="7">
        <v>215742.75</v>
      </c>
      <c r="G2138">
        <v>0</v>
      </c>
      <c r="H2138" s="7">
        <v>0</v>
      </c>
    </row>
    <row r="2139" spans="1:8">
      <c r="A2139">
        <v>1</v>
      </c>
      <c r="B2139" t="s">
        <v>46</v>
      </c>
      <c r="C2139" t="s">
        <v>34</v>
      </c>
      <c r="D2139">
        <v>0</v>
      </c>
      <c r="E2139">
        <v>1</v>
      </c>
      <c r="F2139" s="7">
        <v>56869.53</v>
      </c>
      <c r="G2139">
        <v>0</v>
      </c>
      <c r="H2139" s="7">
        <v>0</v>
      </c>
    </row>
    <row r="2140" spans="1:8">
      <c r="A2140">
        <v>1</v>
      </c>
      <c r="B2140" t="s">
        <v>46</v>
      </c>
      <c r="C2140" t="s">
        <v>34</v>
      </c>
      <c r="D2140">
        <v>0</v>
      </c>
      <c r="E2140">
        <v>1</v>
      </c>
      <c r="F2140" s="7">
        <v>13553.79</v>
      </c>
      <c r="G2140">
        <v>0</v>
      </c>
      <c r="H2140" s="7">
        <v>0</v>
      </c>
    </row>
    <row r="2141" spans="1:8">
      <c r="A2141">
        <v>1</v>
      </c>
      <c r="B2141" t="s">
        <v>46</v>
      </c>
      <c r="C2141" t="s">
        <v>35</v>
      </c>
      <c r="D2141">
        <v>0</v>
      </c>
      <c r="E2141">
        <v>1</v>
      </c>
      <c r="F2141" s="7">
        <v>192461.6</v>
      </c>
      <c r="G2141">
        <v>0</v>
      </c>
      <c r="H2141" s="7">
        <v>0</v>
      </c>
    </row>
    <row r="2142" spans="1:8">
      <c r="A2142">
        <v>1</v>
      </c>
      <c r="B2142" t="s">
        <v>46</v>
      </c>
      <c r="C2142" t="s">
        <v>35</v>
      </c>
      <c r="D2142">
        <v>0</v>
      </c>
      <c r="E2142">
        <v>1</v>
      </c>
      <c r="F2142" s="7">
        <v>357220.77</v>
      </c>
      <c r="G2142">
        <v>0</v>
      </c>
      <c r="H2142" s="7">
        <v>0</v>
      </c>
    </row>
    <row r="2143" spans="1:8">
      <c r="A2143">
        <v>1</v>
      </c>
      <c r="B2143" t="s">
        <v>46</v>
      </c>
      <c r="C2143" t="s">
        <v>34</v>
      </c>
      <c r="D2143">
        <v>0</v>
      </c>
      <c r="E2143">
        <v>1</v>
      </c>
      <c r="F2143" s="7">
        <v>32726.88</v>
      </c>
      <c r="G2143">
        <v>0</v>
      </c>
      <c r="H2143" s="7">
        <v>0</v>
      </c>
    </row>
    <row r="2144" spans="1:8">
      <c r="A2144">
        <v>1</v>
      </c>
      <c r="B2144" t="s">
        <v>46</v>
      </c>
      <c r="C2144" t="s">
        <v>34</v>
      </c>
      <c r="D2144">
        <v>0</v>
      </c>
      <c r="E2144">
        <v>1</v>
      </c>
      <c r="F2144" s="7">
        <v>28212.4</v>
      </c>
      <c r="G2144">
        <v>0</v>
      </c>
      <c r="H2144" s="7">
        <v>0</v>
      </c>
    </row>
    <row r="2145" spans="1:8">
      <c r="A2145">
        <v>1</v>
      </c>
      <c r="B2145" t="s">
        <v>46</v>
      </c>
      <c r="C2145" t="s">
        <v>35</v>
      </c>
      <c r="D2145">
        <v>0</v>
      </c>
      <c r="E2145">
        <v>1</v>
      </c>
      <c r="F2145" s="7">
        <v>360997.83</v>
      </c>
      <c r="G2145">
        <v>0</v>
      </c>
      <c r="H2145" s="7">
        <v>0</v>
      </c>
    </row>
    <row r="2146" spans="1:8">
      <c r="A2146">
        <v>1</v>
      </c>
      <c r="B2146" t="s">
        <v>46</v>
      </c>
      <c r="C2146" t="s">
        <v>35</v>
      </c>
      <c r="D2146">
        <v>0</v>
      </c>
      <c r="E2146">
        <v>1</v>
      </c>
      <c r="F2146" s="7">
        <v>141632.37</v>
      </c>
      <c r="G2146">
        <v>0</v>
      </c>
      <c r="H2146" s="7">
        <v>0</v>
      </c>
    </row>
    <row r="2147" spans="1:8">
      <c r="A2147">
        <v>1</v>
      </c>
      <c r="B2147" t="s">
        <v>46</v>
      </c>
      <c r="C2147" t="s">
        <v>35</v>
      </c>
      <c r="D2147">
        <v>0</v>
      </c>
      <c r="E2147">
        <v>1</v>
      </c>
      <c r="F2147" s="7">
        <v>332359.2</v>
      </c>
      <c r="G2147">
        <v>0</v>
      </c>
      <c r="H2147" s="7">
        <v>0</v>
      </c>
    </row>
    <row r="2148" spans="1:8">
      <c r="A2148">
        <v>1</v>
      </c>
      <c r="B2148" t="s">
        <v>46</v>
      </c>
      <c r="C2148" t="s">
        <v>34</v>
      </c>
      <c r="D2148">
        <v>0</v>
      </c>
      <c r="E2148">
        <v>1</v>
      </c>
      <c r="F2148" s="7">
        <v>78423.86</v>
      </c>
      <c r="G2148">
        <v>0</v>
      </c>
      <c r="H2148" s="7">
        <v>0</v>
      </c>
    </row>
    <row r="2149" spans="1:8">
      <c r="A2149">
        <v>1</v>
      </c>
      <c r="B2149" t="s">
        <v>46</v>
      </c>
      <c r="C2149" t="s">
        <v>35</v>
      </c>
      <c r="D2149">
        <v>0</v>
      </c>
      <c r="E2149">
        <v>1</v>
      </c>
      <c r="F2149" s="7">
        <v>131011.3</v>
      </c>
      <c r="G2149">
        <v>0</v>
      </c>
      <c r="H2149" s="7">
        <v>0</v>
      </c>
    </row>
    <row r="2150" spans="1:8">
      <c r="A2150">
        <v>1</v>
      </c>
      <c r="B2150" t="s">
        <v>46</v>
      </c>
      <c r="C2150" t="s">
        <v>35</v>
      </c>
      <c r="D2150">
        <v>0</v>
      </c>
      <c r="E2150">
        <v>1</v>
      </c>
      <c r="F2150" s="7">
        <v>215798</v>
      </c>
      <c r="G2150">
        <v>0</v>
      </c>
      <c r="H2150" s="7">
        <v>0</v>
      </c>
    </row>
    <row r="2151" spans="1:8">
      <c r="A2151">
        <v>1</v>
      </c>
      <c r="B2151" t="s">
        <v>46</v>
      </c>
      <c r="C2151" t="s">
        <v>34</v>
      </c>
      <c r="D2151">
        <v>0</v>
      </c>
      <c r="E2151">
        <v>1</v>
      </c>
      <c r="F2151" s="7">
        <v>65236.81</v>
      </c>
      <c r="G2151">
        <v>0</v>
      </c>
      <c r="H2151" s="7">
        <v>0</v>
      </c>
    </row>
    <row r="2152" spans="1:8">
      <c r="A2152">
        <v>1</v>
      </c>
      <c r="B2152" t="s">
        <v>46</v>
      </c>
      <c r="C2152" t="s">
        <v>34</v>
      </c>
      <c r="D2152">
        <v>0</v>
      </c>
      <c r="E2152">
        <v>1</v>
      </c>
      <c r="F2152" s="7">
        <v>65934.11</v>
      </c>
      <c r="G2152">
        <v>0</v>
      </c>
      <c r="H2152" s="7">
        <v>0</v>
      </c>
    </row>
    <row r="2153" spans="1:8">
      <c r="A2153">
        <v>1</v>
      </c>
      <c r="B2153" t="s">
        <v>46</v>
      </c>
      <c r="C2153" t="s">
        <v>35</v>
      </c>
      <c r="D2153">
        <v>0</v>
      </c>
      <c r="E2153">
        <v>1</v>
      </c>
      <c r="F2153" s="7">
        <v>336237.38</v>
      </c>
      <c r="G2153">
        <v>0</v>
      </c>
      <c r="H2153" s="7">
        <v>0</v>
      </c>
    </row>
    <row r="2154" spans="1:8">
      <c r="A2154">
        <v>1</v>
      </c>
      <c r="B2154" t="s">
        <v>46</v>
      </c>
      <c r="C2154" t="s">
        <v>35</v>
      </c>
      <c r="D2154">
        <v>0</v>
      </c>
      <c r="E2154">
        <v>1</v>
      </c>
      <c r="F2154" s="7">
        <v>293530.31</v>
      </c>
      <c r="G2154">
        <v>0</v>
      </c>
      <c r="H2154" s="7">
        <v>0</v>
      </c>
    </row>
    <row r="2155" spans="1:8">
      <c r="A2155">
        <v>1</v>
      </c>
      <c r="B2155" t="s">
        <v>46</v>
      </c>
      <c r="C2155" t="s">
        <v>35</v>
      </c>
      <c r="D2155">
        <v>0</v>
      </c>
      <c r="E2155">
        <v>1</v>
      </c>
      <c r="F2155" s="7">
        <v>551607.7</v>
      </c>
      <c r="G2155">
        <v>0</v>
      </c>
      <c r="H2155" s="7">
        <v>0</v>
      </c>
    </row>
    <row r="2156" spans="1:8">
      <c r="A2156">
        <v>1</v>
      </c>
      <c r="B2156" t="s">
        <v>46</v>
      </c>
      <c r="C2156" t="s">
        <v>34</v>
      </c>
      <c r="D2156">
        <v>0</v>
      </c>
      <c r="E2156">
        <v>1</v>
      </c>
      <c r="F2156" s="7">
        <v>80448.13</v>
      </c>
      <c r="G2156">
        <v>0</v>
      </c>
      <c r="H2156" s="7">
        <v>0</v>
      </c>
    </row>
    <row r="2157" spans="1:8">
      <c r="A2157">
        <v>1</v>
      </c>
      <c r="B2157" t="s">
        <v>46</v>
      </c>
      <c r="C2157" t="s">
        <v>34</v>
      </c>
      <c r="D2157">
        <v>0</v>
      </c>
      <c r="E2157">
        <v>1</v>
      </c>
      <c r="F2157" s="7">
        <v>58447.8</v>
      </c>
      <c r="G2157">
        <v>0</v>
      </c>
      <c r="H2157" s="7">
        <v>0</v>
      </c>
    </row>
    <row r="2158" spans="1:8">
      <c r="A2158">
        <v>1</v>
      </c>
      <c r="B2158" t="s">
        <v>46</v>
      </c>
      <c r="C2158" t="s">
        <v>34</v>
      </c>
      <c r="D2158">
        <v>0</v>
      </c>
      <c r="E2158">
        <v>1</v>
      </c>
      <c r="F2158" s="7">
        <v>36860.96</v>
      </c>
      <c r="G2158">
        <v>0</v>
      </c>
      <c r="H2158" s="7">
        <v>0</v>
      </c>
    </row>
    <row r="2159" spans="1:8">
      <c r="A2159">
        <v>1</v>
      </c>
      <c r="B2159" t="s">
        <v>46</v>
      </c>
      <c r="C2159" t="s">
        <v>34</v>
      </c>
      <c r="D2159">
        <v>0</v>
      </c>
      <c r="E2159">
        <v>1</v>
      </c>
      <c r="F2159" s="7">
        <v>99295.78</v>
      </c>
      <c r="G2159">
        <v>0</v>
      </c>
      <c r="H2159" s="7">
        <v>0</v>
      </c>
    </row>
    <row r="2160" spans="1:8">
      <c r="A2160">
        <v>1</v>
      </c>
      <c r="B2160" t="s">
        <v>46</v>
      </c>
      <c r="C2160" t="s">
        <v>34</v>
      </c>
      <c r="D2160">
        <v>0</v>
      </c>
      <c r="E2160">
        <v>1</v>
      </c>
      <c r="F2160" s="7">
        <v>49031.62</v>
      </c>
      <c r="G2160">
        <v>0</v>
      </c>
      <c r="H2160" s="7">
        <v>0</v>
      </c>
    </row>
    <row r="2161" spans="1:8">
      <c r="A2161">
        <v>1</v>
      </c>
      <c r="B2161" t="s">
        <v>46</v>
      </c>
      <c r="C2161" t="s">
        <v>35</v>
      </c>
      <c r="D2161">
        <v>0</v>
      </c>
      <c r="E2161">
        <v>1</v>
      </c>
      <c r="F2161" s="7">
        <v>134469.08</v>
      </c>
      <c r="G2161">
        <v>0</v>
      </c>
      <c r="H2161" s="7">
        <v>0</v>
      </c>
    </row>
    <row r="2162" spans="1:8">
      <c r="A2162">
        <v>1</v>
      </c>
      <c r="B2162" t="s">
        <v>46</v>
      </c>
      <c r="C2162" t="s">
        <v>35</v>
      </c>
      <c r="D2162">
        <v>0</v>
      </c>
      <c r="E2162">
        <v>1</v>
      </c>
      <c r="F2162" s="7">
        <v>265098.67</v>
      </c>
      <c r="G2162">
        <v>0</v>
      </c>
      <c r="H2162" s="7">
        <v>0</v>
      </c>
    </row>
    <row r="2163" spans="1:8">
      <c r="A2163">
        <v>1</v>
      </c>
      <c r="B2163" t="s">
        <v>46</v>
      </c>
      <c r="C2163" t="s">
        <v>34</v>
      </c>
      <c r="D2163">
        <v>0</v>
      </c>
      <c r="E2163">
        <v>1</v>
      </c>
      <c r="F2163" s="7">
        <v>65591.87</v>
      </c>
      <c r="G2163">
        <v>0</v>
      </c>
      <c r="H2163" s="7">
        <v>0</v>
      </c>
    </row>
    <row r="2164" spans="1:8">
      <c r="A2164">
        <v>1</v>
      </c>
      <c r="B2164" t="s">
        <v>46</v>
      </c>
      <c r="C2164" t="s">
        <v>35</v>
      </c>
      <c r="D2164">
        <v>0</v>
      </c>
      <c r="E2164">
        <v>1</v>
      </c>
      <c r="F2164" s="7">
        <v>266803.57</v>
      </c>
      <c r="G2164">
        <v>0</v>
      </c>
      <c r="H2164" s="7">
        <v>0</v>
      </c>
    </row>
    <row r="2165" spans="1:8">
      <c r="A2165">
        <v>1</v>
      </c>
      <c r="B2165" t="s">
        <v>46</v>
      </c>
      <c r="C2165" t="s">
        <v>35</v>
      </c>
      <c r="D2165">
        <v>0</v>
      </c>
      <c r="E2165">
        <v>1</v>
      </c>
      <c r="F2165" s="7">
        <v>616461.19</v>
      </c>
      <c r="G2165">
        <v>0</v>
      </c>
      <c r="H2165" s="7">
        <v>0</v>
      </c>
    </row>
    <row r="2166" spans="1:8">
      <c r="A2166">
        <v>1</v>
      </c>
      <c r="B2166" t="s">
        <v>46</v>
      </c>
      <c r="C2166" t="s">
        <v>34</v>
      </c>
      <c r="D2166">
        <v>0</v>
      </c>
      <c r="E2166">
        <v>1</v>
      </c>
      <c r="F2166" s="7">
        <v>80487.01</v>
      </c>
      <c r="G2166">
        <v>0</v>
      </c>
      <c r="H2166" s="7">
        <v>0</v>
      </c>
    </row>
    <row r="2167" spans="1:8">
      <c r="A2167">
        <v>1</v>
      </c>
      <c r="B2167" t="s">
        <v>46</v>
      </c>
      <c r="C2167" t="s">
        <v>34</v>
      </c>
      <c r="D2167">
        <v>0</v>
      </c>
      <c r="E2167">
        <v>1</v>
      </c>
      <c r="F2167" s="7">
        <v>46442.24</v>
      </c>
      <c r="G2167">
        <v>0</v>
      </c>
      <c r="H2167" s="7">
        <v>0</v>
      </c>
    </row>
    <row r="2168" spans="1:8">
      <c r="A2168">
        <v>1</v>
      </c>
      <c r="B2168" t="s">
        <v>46</v>
      </c>
      <c r="C2168" t="s">
        <v>34</v>
      </c>
      <c r="D2168">
        <v>0</v>
      </c>
      <c r="E2168">
        <v>1</v>
      </c>
      <c r="F2168" s="7">
        <v>50137.65</v>
      </c>
      <c r="G2168">
        <v>0</v>
      </c>
      <c r="H2168" s="7">
        <v>0</v>
      </c>
    </row>
    <row r="2169" spans="1:8">
      <c r="A2169">
        <v>1</v>
      </c>
      <c r="B2169" t="s">
        <v>46</v>
      </c>
      <c r="C2169" t="s">
        <v>35</v>
      </c>
      <c r="D2169">
        <v>0</v>
      </c>
      <c r="E2169">
        <v>1</v>
      </c>
      <c r="F2169" s="7">
        <v>474447.95</v>
      </c>
      <c r="G2169">
        <v>0</v>
      </c>
      <c r="H2169" s="7">
        <v>0</v>
      </c>
    </row>
    <row r="2170" spans="1:8">
      <c r="A2170">
        <v>1</v>
      </c>
      <c r="B2170" t="s">
        <v>46</v>
      </c>
      <c r="C2170" t="s">
        <v>34</v>
      </c>
      <c r="D2170">
        <v>0</v>
      </c>
      <c r="E2170">
        <v>1</v>
      </c>
      <c r="F2170" s="7">
        <v>70139.43</v>
      </c>
      <c r="G2170">
        <v>0</v>
      </c>
      <c r="H2170" s="7">
        <v>0</v>
      </c>
    </row>
    <row r="2171" spans="1:8">
      <c r="A2171">
        <v>1</v>
      </c>
      <c r="B2171" t="s">
        <v>46</v>
      </c>
      <c r="C2171" t="s">
        <v>35</v>
      </c>
      <c r="D2171">
        <v>0</v>
      </c>
      <c r="E2171">
        <v>1</v>
      </c>
      <c r="F2171" s="7">
        <v>201342.13</v>
      </c>
      <c r="G2171">
        <v>0</v>
      </c>
      <c r="H2171" s="7">
        <v>0</v>
      </c>
    </row>
    <row r="2172" spans="1:8">
      <c r="A2172">
        <v>1</v>
      </c>
      <c r="B2172" t="s">
        <v>46</v>
      </c>
      <c r="C2172" t="s">
        <v>34</v>
      </c>
      <c r="D2172">
        <v>0</v>
      </c>
      <c r="E2172">
        <v>1</v>
      </c>
      <c r="F2172" s="7">
        <v>28625.92</v>
      </c>
      <c r="G2172">
        <v>0</v>
      </c>
      <c r="H2172" s="7">
        <v>0</v>
      </c>
    </row>
    <row r="2173" spans="1:8">
      <c r="A2173">
        <v>1</v>
      </c>
      <c r="B2173" t="s">
        <v>46</v>
      </c>
      <c r="C2173" t="s">
        <v>35</v>
      </c>
      <c r="D2173">
        <v>0</v>
      </c>
      <c r="E2173">
        <v>1</v>
      </c>
      <c r="F2173" s="7">
        <v>125492.59</v>
      </c>
      <c r="G2173">
        <v>0</v>
      </c>
      <c r="H2173" s="7">
        <v>0</v>
      </c>
    </row>
    <row r="2174" spans="1:8">
      <c r="A2174">
        <v>1</v>
      </c>
      <c r="B2174" t="s">
        <v>46</v>
      </c>
      <c r="C2174" t="s">
        <v>34</v>
      </c>
      <c r="D2174">
        <v>0</v>
      </c>
      <c r="E2174">
        <v>1</v>
      </c>
      <c r="F2174" s="7">
        <v>82550.39</v>
      </c>
      <c r="G2174">
        <v>0</v>
      </c>
      <c r="H2174" s="7">
        <v>0</v>
      </c>
    </row>
    <row r="2175" spans="1:8">
      <c r="A2175">
        <v>1</v>
      </c>
      <c r="B2175" t="s">
        <v>46</v>
      </c>
      <c r="C2175" t="s">
        <v>35</v>
      </c>
      <c r="D2175">
        <v>0</v>
      </c>
      <c r="E2175">
        <v>1</v>
      </c>
      <c r="F2175" s="7">
        <v>114275.55</v>
      </c>
      <c r="G2175">
        <v>0</v>
      </c>
      <c r="H2175" s="7">
        <v>0</v>
      </c>
    </row>
    <row r="2176" spans="1:8">
      <c r="A2176">
        <v>1</v>
      </c>
      <c r="B2176" t="s">
        <v>46</v>
      </c>
      <c r="C2176" t="s">
        <v>34</v>
      </c>
      <c r="D2176">
        <v>0</v>
      </c>
      <c r="E2176">
        <v>1</v>
      </c>
      <c r="F2176" s="7">
        <v>43906.79</v>
      </c>
      <c r="G2176">
        <v>0</v>
      </c>
      <c r="H2176" s="7">
        <v>0</v>
      </c>
    </row>
    <row r="2177" spans="1:8">
      <c r="A2177">
        <v>1</v>
      </c>
      <c r="B2177" t="s">
        <v>46</v>
      </c>
      <c r="C2177" t="s">
        <v>35</v>
      </c>
      <c r="D2177">
        <v>0</v>
      </c>
      <c r="E2177">
        <v>1</v>
      </c>
      <c r="F2177" s="7">
        <v>131250.53</v>
      </c>
      <c r="G2177">
        <v>0</v>
      </c>
      <c r="H2177" s="7">
        <v>0</v>
      </c>
    </row>
    <row r="2178" spans="1:8">
      <c r="A2178">
        <v>1</v>
      </c>
      <c r="B2178" t="s">
        <v>46</v>
      </c>
      <c r="C2178" t="s">
        <v>33</v>
      </c>
      <c r="D2178">
        <v>0</v>
      </c>
      <c r="E2178">
        <v>1</v>
      </c>
      <c r="F2178" s="7">
        <v>4865.48</v>
      </c>
      <c r="G2178">
        <v>0</v>
      </c>
      <c r="H2178" s="7">
        <v>0</v>
      </c>
    </row>
    <row r="2179" spans="1:8">
      <c r="A2179">
        <v>1</v>
      </c>
      <c r="B2179" t="s">
        <v>46</v>
      </c>
      <c r="C2179" t="s">
        <v>35</v>
      </c>
      <c r="D2179">
        <v>0</v>
      </c>
      <c r="E2179">
        <v>1</v>
      </c>
      <c r="F2179" s="7">
        <v>283711.39</v>
      </c>
      <c r="G2179">
        <v>0</v>
      </c>
      <c r="H2179" s="7">
        <v>0</v>
      </c>
    </row>
    <row r="2180" spans="1:8">
      <c r="A2180">
        <v>1</v>
      </c>
      <c r="B2180" t="s">
        <v>46</v>
      </c>
      <c r="C2180" t="s">
        <v>33</v>
      </c>
      <c r="D2180">
        <v>0</v>
      </c>
      <c r="E2180">
        <v>1</v>
      </c>
      <c r="F2180" s="7">
        <v>8921.26</v>
      </c>
      <c r="G2180">
        <v>0</v>
      </c>
      <c r="H2180" s="7">
        <v>0</v>
      </c>
    </row>
    <row r="2181" spans="1:8">
      <c r="A2181">
        <v>1</v>
      </c>
      <c r="B2181" t="s">
        <v>46</v>
      </c>
      <c r="C2181" t="s">
        <v>34</v>
      </c>
      <c r="D2181">
        <v>0</v>
      </c>
      <c r="E2181">
        <v>1</v>
      </c>
      <c r="F2181" s="7">
        <v>91721.95</v>
      </c>
      <c r="G2181">
        <v>0</v>
      </c>
      <c r="H2181" s="7">
        <v>0</v>
      </c>
    </row>
    <row r="2182" spans="1:8">
      <c r="A2182">
        <v>1</v>
      </c>
      <c r="B2182" t="s">
        <v>46</v>
      </c>
      <c r="C2182" t="s">
        <v>34</v>
      </c>
      <c r="D2182">
        <v>0</v>
      </c>
      <c r="E2182">
        <v>1</v>
      </c>
      <c r="F2182" s="7">
        <v>94096.34</v>
      </c>
      <c r="G2182">
        <v>0</v>
      </c>
      <c r="H2182" s="7">
        <v>0</v>
      </c>
    </row>
    <row r="2183" spans="1:8">
      <c r="A2183">
        <v>1</v>
      </c>
      <c r="B2183" t="s">
        <v>46</v>
      </c>
      <c r="C2183" t="s">
        <v>35</v>
      </c>
      <c r="D2183">
        <v>0</v>
      </c>
      <c r="E2183">
        <v>1</v>
      </c>
      <c r="F2183" s="7">
        <v>157964.89</v>
      </c>
      <c r="G2183">
        <v>0</v>
      </c>
      <c r="H2183" s="7">
        <v>0</v>
      </c>
    </row>
    <row r="2184" spans="1:8">
      <c r="A2184">
        <v>1</v>
      </c>
      <c r="B2184" t="s">
        <v>46</v>
      </c>
      <c r="C2184" t="s">
        <v>34</v>
      </c>
      <c r="D2184">
        <v>0</v>
      </c>
      <c r="E2184">
        <v>1</v>
      </c>
      <c r="F2184" s="7">
        <v>51311.41</v>
      </c>
      <c r="G2184">
        <v>0</v>
      </c>
      <c r="H2184" s="7">
        <v>0</v>
      </c>
    </row>
    <row r="2185" spans="1:8">
      <c r="A2185">
        <v>1</v>
      </c>
      <c r="B2185" t="s">
        <v>46</v>
      </c>
      <c r="C2185" t="s">
        <v>34</v>
      </c>
      <c r="D2185">
        <v>0</v>
      </c>
      <c r="E2185">
        <v>1</v>
      </c>
      <c r="F2185" s="7">
        <v>46757.44</v>
      </c>
      <c r="G2185">
        <v>0</v>
      </c>
      <c r="H2185" s="7">
        <v>0</v>
      </c>
    </row>
    <row r="2186" spans="1:8">
      <c r="A2186">
        <v>1</v>
      </c>
      <c r="B2186" t="s">
        <v>46</v>
      </c>
      <c r="C2186" t="s">
        <v>34</v>
      </c>
      <c r="D2186">
        <v>0</v>
      </c>
      <c r="E2186">
        <v>1</v>
      </c>
      <c r="F2186" s="7">
        <v>15069.79</v>
      </c>
      <c r="G2186">
        <v>0</v>
      </c>
      <c r="H2186" s="7">
        <v>0</v>
      </c>
    </row>
    <row r="2187" spans="1:8">
      <c r="A2187">
        <v>1</v>
      </c>
      <c r="B2187" t="s">
        <v>46</v>
      </c>
      <c r="C2187" t="s">
        <v>32</v>
      </c>
      <c r="D2187">
        <v>0</v>
      </c>
      <c r="E2187">
        <v>1</v>
      </c>
      <c r="F2187" s="7">
        <v>783.31</v>
      </c>
      <c r="G2187">
        <v>0</v>
      </c>
      <c r="H2187" s="7">
        <v>0</v>
      </c>
    </row>
    <row r="2188" spans="1:8">
      <c r="A2188">
        <v>1</v>
      </c>
      <c r="B2188" t="s">
        <v>46</v>
      </c>
      <c r="C2188" t="s">
        <v>34</v>
      </c>
      <c r="D2188">
        <v>0</v>
      </c>
      <c r="E2188">
        <v>1</v>
      </c>
      <c r="F2188" s="7">
        <v>25927.54</v>
      </c>
      <c r="G2188">
        <v>0</v>
      </c>
      <c r="H2188" s="7">
        <v>0</v>
      </c>
    </row>
    <row r="2189" spans="1:8">
      <c r="A2189">
        <v>1</v>
      </c>
      <c r="B2189" t="s">
        <v>46</v>
      </c>
      <c r="C2189" t="s">
        <v>34</v>
      </c>
      <c r="D2189">
        <v>0</v>
      </c>
      <c r="E2189">
        <v>1</v>
      </c>
      <c r="F2189" s="7">
        <v>42672.03</v>
      </c>
      <c r="G2189">
        <v>0</v>
      </c>
      <c r="H2189" s="7">
        <v>0</v>
      </c>
    </row>
    <row r="2190" spans="1:8">
      <c r="A2190">
        <v>1</v>
      </c>
      <c r="B2190" t="s">
        <v>46</v>
      </c>
      <c r="C2190" t="s">
        <v>34</v>
      </c>
      <c r="D2190">
        <v>0</v>
      </c>
      <c r="E2190">
        <v>1</v>
      </c>
      <c r="F2190" s="7">
        <v>49236.53</v>
      </c>
      <c r="G2190">
        <v>0</v>
      </c>
      <c r="H2190" s="7">
        <v>0</v>
      </c>
    </row>
    <row r="2191" spans="1:8">
      <c r="A2191">
        <v>1</v>
      </c>
      <c r="B2191" t="s">
        <v>46</v>
      </c>
      <c r="C2191" t="s">
        <v>34</v>
      </c>
      <c r="D2191">
        <v>0</v>
      </c>
      <c r="E2191">
        <v>1</v>
      </c>
      <c r="F2191" s="7">
        <v>16236.25</v>
      </c>
      <c r="G2191">
        <v>0</v>
      </c>
      <c r="H2191" s="7">
        <v>0</v>
      </c>
    </row>
    <row r="2192" spans="1:8">
      <c r="A2192">
        <v>1</v>
      </c>
      <c r="B2192" t="s">
        <v>46</v>
      </c>
      <c r="C2192" t="s">
        <v>35</v>
      </c>
      <c r="D2192">
        <v>0</v>
      </c>
      <c r="E2192">
        <v>1</v>
      </c>
      <c r="F2192" s="7">
        <v>276772.02</v>
      </c>
      <c r="G2192">
        <v>0</v>
      </c>
      <c r="H2192" s="7">
        <v>0</v>
      </c>
    </row>
    <row r="2193" spans="1:8">
      <c r="A2193">
        <v>1</v>
      </c>
      <c r="B2193" t="s">
        <v>46</v>
      </c>
      <c r="C2193" t="s">
        <v>34</v>
      </c>
      <c r="D2193">
        <v>0</v>
      </c>
      <c r="E2193">
        <v>1</v>
      </c>
      <c r="F2193" s="7">
        <v>95956.43</v>
      </c>
      <c r="G2193">
        <v>0</v>
      </c>
      <c r="H2193" s="7">
        <v>0</v>
      </c>
    </row>
    <row r="2194" spans="1:8">
      <c r="A2194">
        <v>1</v>
      </c>
      <c r="B2194" t="s">
        <v>46</v>
      </c>
      <c r="C2194" t="s">
        <v>35</v>
      </c>
      <c r="D2194">
        <v>0</v>
      </c>
      <c r="E2194">
        <v>1</v>
      </c>
      <c r="F2194" s="7">
        <v>632840.5</v>
      </c>
      <c r="G2194">
        <v>0</v>
      </c>
      <c r="H2194" s="7">
        <v>0</v>
      </c>
    </row>
    <row r="2195" spans="1:8">
      <c r="A2195">
        <v>1</v>
      </c>
      <c r="B2195" t="s">
        <v>46</v>
      </c>
      <c r="C2195" t="s">
        <v>32</v>
      </c>
      <c r="D2195">
        <v>0</v>
      </c>
      <c r="E2195">
        <v>1</v>
      </c>
      <c r="F2195" s="7">
        <v>863.08</v>
      </c>
      <c r="G2195">
        <v>0</v>
      </c>
      <c r="H2195" s="7">
        <v>0</v>
      </c>
    </row>
    <row r="2196" spans="1:8">
      <c r="A2196">
        <v>1</v>
      </c>
      <c r="B2196" t="s">
        <v>42</v>
      </c>
      <c r="C2196" t="s">
        <v>33</v>
      </c>
      <c r="D2196">
        <v>0</v>
      </c>
      <c r="E2196">
        <v>1</v>
      </c>
      <c r="F2196" s="7">
        <v>4058.66</v>
      </c>
      <c r="G2196">
        <v>0</v>
      </c>
      <c r="H2196" s="7">
        <v>0</v>
      </c>
    </row>
    <row r="2197" spans="1:8">
      <c r="A2197">
        <v>1</v>
      </c>
      <c r="B2197" t="s">
        <v>42</v>
      </c>
      <c r="C2197" t="s">
        <v>34</v>
      </c>
      <c r="D2197">
        <v>0</v>
      </c>
      <c r="E2197">
        <v>1</v>
      </c>
      <c r="F2197" s="7">
        <v>12040.95</v>
      </c>
      <c r="G2197">
        <v>0</v>
      </c>
      <c r="H2197" s="7">
        <v>0</v>
      </c>
    </row>
    <row r="2198" spans="1:8">
      <c r="A2198">
        <v>1</v>
      </c>
      <c r="B2198" t="s">
        <v>42</v>
      </c>
      <c r="C2198" t="s">
        <v>33</v>
      </c>
      <c r="D2198">
        <v>0</v>
      </c>
      <c r="E2198">
        <v>1</v>
      </c>
      <c r="F2198" s="7">
        <v>4685.16</v>
      </c>
      <c r="G2198">
        <v>0</v>
      </c>
      <c r="H2198" s="7">
        <v>0</v>
      </c>
    </row>
    <row r="2199" spans="1:8">
      <c r="A2199">
        <v>1</v>
      </c>
      <c r="B2199" t="s">
        <v>44</v>
      </c>
      <c r="C2199" t="s">
        <v>35</v>
      </c>
      <c r="D2199">
        <v>0</v>
      </c>
      <c r="E2199">
        <v>1</v>
      </c>
      <c r="F2199" s="7">
        <v>218499.73</v>
      </c>
      <c r="G2199">
        <v>0</v>
      </c>
      <c r="H2199" s="7">
        <v>0</v>
      </c>
    </row>
    <row r="2200" spans="1:8">
      <c r="A2200">
        <v>1</v>
      </c>
      <c r="B2200" t="s">
        <v>44</v>
      </c>
      <c r="C2200" t="s">
        <v>35</v>
      </c>
      <c r="D2200">
        <v>0</v>
      </c>
      <c r="E2200">
        <v>1</v>
      </c>
      <c r="F2200" s="7">
        <v>107440.87</v>
      </c>
      <c r="G2200">
        <v>0</v>
      </c>
      <c r="H2200" s="7">
        <v>0</v>
      </c>
    </row>
    <row r="2201" spans="1:8">
      <c r="A2201">
        <v>1</v>
      </c>
      <c r="B2201" t="s">
        <v>42</v>
      </c>
      <c r="C2201" t="s">
        <v>33</v>
      </c>
      <c r="D2201">
        <v>0</v>
      </c>
      <c r="E2201">
        <v>1</v>
      </c>
      <c r="F2201" s="7">
        <v>5055.39</v>
      </c>
      <c r="G2201">
        <v>0</v>
      </c>
      <c r="H2201" s="7">
        <v>0</v>
      </c>
    </row>
    <row r="2202" spans="1:8">
      <c r="A2202">
        <v>1</v>
      </c>
      <c r="B2202" t="s">
        <v>42</v>
      </c>
      <c r="C2202" t="s">
        <v>33</v>
      </c>
      <c r="D2202">
        <v>0</v>
      </c>
      <c r="E2202">
        <v>1</v>
      </c>
      <c r="F2202" s="7">
        <v>7846.95</v>
      </c>
      <c r="G2202">
        <v>0</v>
      </c>
      <c r="H2202" s="7">
        <v>0</v>
      </c>
    </row>
    <row r="2203" spans="1:8">
      <c r="A2203">
        <v>1</v>
      </c>
      <c r="B2203" t="s">
        <v>42</v>
      </c>
      <c r="C2203" t="s">
        <v>33</v>
      </c>
      <c r="D2203">
        <v>0</v>
      </c>
      <c r="E2203">
        <v>1</v>
      </c>
      <c r="F2203" s="7">
        <v>4412.45</v>
      </c>
      <c r="G2203">
        <v>0</v>
      </c>
      <c r="H2203" s="7">
        <v>0</v>
      </c>
    </row>
    <row r="2204" spans="1:8">
      <c r="A2204">
        <v>1</v>
      </c>
      <c r="B2204" t="s">
        <v>42</v>
      </c>
      <c r="C2204" t="s">
        <v>34</v>
      </c>
      <c r="D2204">
        <v>0</v>
      </c>
      <c r="E2204">
        <v>1</v>
      </c>
      <c r="F2204" s="7">
        <v>14736.92</v>
      </c>
      <c r="G2204">
        <v>0</v>
      </c>
      <c r="H2204" s="7">
        <v>0</v>
      </c>
    </row>
    <row r="2205" spans="1:8">
      <c r="A2205">
        <v>1</v>
      </c>
      <c r="B2205" t="s">
        <v>43</v>
      </c>
      <c r="C2205" t="s">
        <v>34</v>
      </c>
      <c r="D2205">
        <v>0</v>
      </c>
      <c r="E2205">
        <v>1</v>
      </c>
      <c r="F2205" s="7">
        <v>17488.56</v>
      </c>
      <c r="G2205">
        <v>0</v>
      </c>
      <c r="H2205" s="7">
        <v>0</v>
      </c>
    </row>
    <row r="2206" spans="1:8">
      <c r="A2206">
        <v>1</v>
      </c>
      <c r="B2206" t="s">
        <v>42</v>
      </c>
      <c r="C2206" t="s">
        <v>32</v>
      </c>
      <c r="D2206">
        <v>0</v>
      </c>
      <c r="E2206">
        <v>1</v>
      </c>
      <c r="F2206" s="7">
        <v>264.93</v>
      </c>
      <c r="G2206">
        <v>0</v>
      </c>
      <c r="H2206" s="7">
        <v>0</v>
      </c>
    </row>
    <row r="2207" spans="1:8">
      <c r="A2207">
        <v>1</v>
      </c>
      <c r="B2207" t="s">
        <v>44</v>
      </c>
      <c r="C2207" t="s">
        <v>35</v>
      </c>
      <c r="D2207">
        <v>0</v>
      </c>
      <c r="E2207">
        <v>1</v>
      </c>
      <c r="F2207" s="7">
        <v>222321.36</v>
      </c>
      <c r="G2207">
        <v>0</v>
      </c>
      <c r="H2207" s="7">
        <v>0</v>
      </c>
    </row>
    <row r="2208" spans="1:8">
      <c r="A2208">
        <v>1</v>
      </c>
      <c r="B2208" t="s">
        <v>45</v>
      </c>
      <c r="C2208" t="s">
        <v>33</v>
      </c>
      <c r="D2208">
        <v>0</v>
      </c>
      <c r="E2208">
        <v>1</v>
      </c>
      <c r="F2208" s="7">
        <v>8972.41</v>
      </c>
      <c r="G2208">
        <v>0</v>
      </c>
      <c r="H2208" s="7">
        <v>0</v>
      </c>
    </row>
    <row r="2209" spans="1:8">
      <c r="A2209">
        <v>1</v>
      </c>
      <c r="B2209" t="s">
        <v>42</v>
      </c>
      <c r="C2209" t="s">
        <v>33</v>
      </c>
      <c r="D2209">
        <v>0</v>
      </c>
      <c r="E2209">
        <v>1</v>
      </c>
      <c r="F2209" s="7">
        <v>4079.37</v>
      </c>
      <c r="G2209">
        <v>0</v>
      </c>
      <c r="H2209" s="7">
        <v>0</v>
      </c>
    </row>
    <row r="2210" spans="1:8">
      <c r="A2210">
        <v>1</v>
      </c>
      <c r="B2210" t="s">
        <v>42</v>
      </c>
      <c r="C2210" t="s">
        <v>33</v>
      </c>
      <c r="D2210">
        <v>0</v>
      </c>
      <c r="E2210">
        <v>1</v>
      </c>
      <c r="F2210" s="7">
        <v>6226.79</v>
      </c>
      <c r="G2210">
        <v>0</v>
      </c>
      <c r="H2210" s="7">
        <v>0</v>
      </c>
    </row>
    <row r="2211" spans="1:8">
      <c r="A2211">
        <v>1</v>
      </c>
      <c r="B2211" t="s">
        <v>42</v>
      </c>
      <c r="C2211" t="s">
        <v>33</v>
      </c>
      <c r="D2211">
        <v>0</v>
      </c>
      <c r="E2211">
        <v>1</v>
      </c>
      <c r="F2211" s="7">
        <v>6490.69</v>
      </c>
      <c r="G2211">
        <v>0</v>
      </c>
      <c r="H2211" s="7">
        <v>0</v>
      </c>
    </row>
    <row r="2212" spans="1:8">
      <c r="A2212">
        <v>1</v>
      </c>
      <c r="B2212" t="s">
        <v>42</v>
      </c>
      <c r="C2212" t="s">
        <v>33</v>
      </c>
      <c r="D2212">
        <v>0</v>
      </c>
      <c r="E2212">
        <v>1</v>
      </c>
      <c r="F2212" s="7">
        <v>7837.56</v>
      </c>
      <c r="G2212">
        <v>0</v>
      </c>
      <c r="H2212" s="7">
        <v>0</v>
      </c>
    </row>
    <row r="2213" spans="1:8">
      <c r="A2213">
        <v>1</v>
      </c>
      <c r="B2213" t="s">
        <v>42</v>
      </c>
      <c r="C2213" t="s">
        <v>33</v>
      </c>
      <c r="D2213">
        <v>0</v>
      </c>
      <c r="E2213">
        <v>1</v>
      </c>
      <c r="F2213" s="7">
        <v>4348.75</v>
      </c>
      <c r="G2213">
        <v>0</v>
      </c>
      <c r="H2213" s="7">
        <v>0</v>
      </c>
    </row>
    <row r="2214" spans="1:8">
      <c r="A2214">
        <v>1</v>
      </c>
      <c r="B2214" t="s">
        <v>43</v>
      </c>
      <c r="C2214" t="s">
        <v>34</v>
      </c>
      <c r="D2214">
        <v>0</v>
      </c>
      <c r="E2214">
        <v>1</v>
      </c>
      <c r="F2214" s="7">
        <v>46961.7</v>
      </c>
      <c r="G2214">
        <v>0</v>
      </c>
      <c r="H2214" s="7">
        <v>0</v>
      </c>
    </row>
    <row r="2215" spans="1:8">
      <c r="A2215">
        <v>1</v>
      </c>
      <c r="B2215" t="s">
        <v>43</v>
      </c>
      <c r="C2215" t="s">
        <v>35</v>
      </c>
      <c r="D2215">
        <v>0</v>
      </c>
      <c r="E2215">
        <v>1</v>
      </c>
      <c r="F2215" s="7">
        <v>373610.77</v>
      </c>
      <c r="G2215">
        <v>0</v>
      </c>
      <c r="H2215" s="7">
        <v>0</v>
      </c>
    </row>
    <row r="2216" spans="1:8">
      <c r="A2216">
        <v>1</v>
      </c>
      <c r="B2216" t="s">
        <v>43</v>
      </c>
      <c r="C2216" t="s">
        <v>34</v>
      </c>
      <c r="D2216">
        <v>0</v>
      </c>
      <c r="E2216">
        <v>1</v>
      </c>
      <c r="F2216" s="7">
        <v>90667.11</v>
      </c>
      <c r="G2216">
        <v>0</v>
      </c>
      <c r="H2216" s="7">
        <v>0</v>
      </c>
    </row>
    <row r="2217" spans="1:8">
      <c r="A2217">
        <v>1</v>
      </c>
      <c r="B2217" t="s">
        <v>43</v>
      </c>
      <c r="C2217" t="s">
        <v>35</v>
      </c>
      <c r="D2217">
        <v>0</v>
      </c>
      <c r="E2217">
        <v>1</v>
      </c>
      <c r="F2217" s="7">
        <v>114580.22</v>
      </c>
      <c r="G2217">
        <v>0</v>
      </c>
      <c r="H2217" s="7">
        <v>0</v>
      </c>
    </row>
    <row r="2218" spans="1:8">
      <c r="A2218">
        <v>1</v>
      </c>
      <c r="B2218" t="s">
        <v>45</v>
      </c>
      <c r="C2218" t="s">
        <v>33</v>
      </c>
      <c r="D2218">
        <v>0</v>
      </c>
      <c r="E2218">
        <v>1</v>
      </c>
      <c r="F2218" s="7">
        <v>4448.09</v>
      </c>
      <c r="G2218">
        <v>0</v>
      </c>
      <c r="H2218" s="7">
        <v>0</v>
      </c>
    </row>
    <row r="2219" spans="1:8">
      <c r="A2219">
        <v>1</v>
      </c>
      <c r="B2219" t="s">
        <v>44</v>
      </c>
      <c r="C2219" t="s">
        <v>35</v>
      </c>
      <c r="D2219">
        <v>0</v>
      </c>
      <c r="E2219">
        <v>1</v>
      </c>
      <c r="F2219" s="7">
        <v>549884.88</v>
      </c>
      <c r="G2219">
        <v>0</v>
      </c>
      <c r="H2219" s="7">
        <v>0</v>
      </c>
    </row>
    <row r="2220" spans="1:8">
      <c r="A2220">
        <v>1</v>
      </c>
      <c r="B2220" t="s">
        <v>42</v>
      </c>
      <c r="C2220" t="s">
        <v>33</v>
      </c>
      <c r="D2220">
        <v>0</v>
      </c>
      <c r="E2220">
        <v>1</v>
      </c>
      <c r="F2220" s="7">
        <v>3697.53</v>
      </c>
      <c r="G2220">
        <v>0</v>
      </c>
      <c r="H2220" s="7">
        <v>0</v>
      </c>
    </row>
    <row r="2221" spans="1:8">
      <c r="A2221">
        <v>1</v>
      </c>
      <c r="B2221" t="s">
        <v>42</v>
      </c>
      <c r="C2221" t="s">
        <v>33</v>
      </c>
      <c r="D2221">
        <v>0</v>
      </c>
      <c r="E2221">
        <v>1</v>
      </c>
      <c r="F2221" s="7">
        <v>6350.75</v>
      </c>
      <c r="G2221">
        <v>0</v>
      </c>
      <c r="H2221" s="7">
        <v>0</v>
      </c>
    </row>
    <row r="2222" spans="1:8">
      <c r="A2222">
        <v>1</v>
      </c>
      <c r="B2222" t="s">
        <v>42</v>
      </c>
      <c r="C2222" t="s">
        <v>33</v>
      </c>
      <c r="D2222">
        <v>0</v>
      </c>
      <c r="E2222">
        <v>1</v>
      </c>
      <c r="F2222" s="7">
        <v>3154.47</v>
      </c>
      <c r="G2222">
        <v>0</v>
      </c>
      <c r="H2222" s="7">
        <v>0</v>
      </c>
    </row>
    <row r="2223" spans="1:8">
      <c r="A2223">
        <v>1</v>
      </c>
      <c r="B2223" t="s">
        <v>42</v>
      </c>
      <c r="C2223" t="s">
        <v>34</v>
      </c>
      <c r="D2223">
        <v>0</v>
      </c>
      <c r="E2223">
        <v>1</v>
      </c>
      <c r="F2223" s="7">
        <v>23430.56</v>
      </c>
      <c r="G2223">
        <v>0</v>
      </c>
      <c r="H2223" s="7">
        <v>0</v>
      </c>
    </row>
    <row r="2224" spans="1:8">
      <c r="A2224">
        <v>1</v>
      </c>
      <c r="B2224" t="s">
        <v>42</v>
      </c>
      <c r="C2224" t="s">
        <v>33</v>
      </c>
      <c r="D2224">
        <v>0</v>
      </c>
      <c r="E2224">
        <v>1</v>
      </c>
      <c r="F2224" s="7">
        <v>5875.05</v>
      </c>
      <c r="G2224">
        <v>0</v>
      </c>
      <c r="H2224" s="7">
        <v>0</v>
      </c>
    </row>
    <row r="2225" spans="1:8">
      <c r="A2225">
        <v>1</v>
      </c>
      <c r="B2225" t="s">
        <v>42</v>
      </c>
      <c r="C2225" t="s">
        <v>33</v>
      </c>
      <c r="D2225">
        <v>0</v>
      </c>
      <c r="E2225">
        <v>1</v>
      </c>
      <c r="F2225" s="7">
        <v>2261.94</v>
      </c>
      <c r="G2225">
        <v>0</v>
      </c>
      <c r="H2225" s="7">
        <v>0</v>
      </c>
    </row>
    <row r="2226" spans="1:8">
      <c r="A2226">
        <v>1</v>
      </c>
      <c r="B2226" t="s">
        <v>44</v>
      </c>
      <c r="C2226" t="s">
        <v>35</v>
      </c>
      <c r="D2226">
        <v>0</v>
      </c>
      <c r="E2226">
        <v>1</v>
      </c>
      <c r="F2226" s="7">
        <v>219630.79</v>
      </c>
      <c r="G2226">
        <v>0</v>
      </c>
      <c r="H2226" s="7">
        <v>0</v>
      </c>
    </row>
    <row r="2227" spans="1:8">
      <c r="A2227">
        <v>1</v>
      </c>
      <c r="B2227" t="s">
        <v>42</v>
      </c>
      <c r="C2227" t="s">
        <v>34</v>
      </c>
      <c r="D2227">
        <v>0</v>
      </c>
      <c r="E2227">
        <v>1</v>
      </c>
      <c r="F2227" s="7">
        <v>10021.49</v>
      </c>
      <c r="G2227">
        <v>0</v>
      </c>
      <c r="H2227" s="7">
        <v>0</v>
      </c>
    </row>
    <row r="2228" spans="1:8">
      <c r="A2228">
        <v>1</v>
      </c>
      <c r="B2228" t="s">
        <v>42</v>
      </c>
      <c r="C2228" t="s">
        <v>33</v>
      </c>
      <c r="D2228">
        <v>0</v>
      </c>
      <c r="E2228">
        <v>1</v>
      </c>
      <c r="F2228" s="7">
        <v>2349.71</v>
      </c>
      <c r="G2228">
        <v>0</v>
      </c>
      <c r="H2228" s="7">
        <v>0</v>
      </c>
    </row>
    <row r="2229" spans="1:8">
      <c r="A2229">
        <v>1</v>
      </c>
      <c r="B2229" t="s">
        <v>44</v>
      </c>
      <c r="C2229" t="s">
        <v>35</v>
      </c>
      <c r="D2229">
        <v>0</v>
      </c>
      <c r="E2229">
        <v>1</v>
      </c>
      <c r="F2229" s="7">
        <v>512866.85</v>
      </c>
      <c r="G2229">
        <v>0</v>
      </c>
      <c r="H2229" s="7">
        <v>0</v>
      </c>
    </row>
    <row r="2230" spans="1:8">
      <c r="A2230">
        <v>1</v>
      </c>
      <c r="B2230" t="s">
        <v>42</v>
      </c>
      <c r="C2230" t="s">
        <v>33</v>
      </c>
      <c r="D2230">
        <v>0</v>
      </c>
      <c r="E2230">
        <v>1</v>
      </c>
      <c r="F2230" s="7">
        <v>4280.41</v>
      </c>
      <c r="G2230">
        <v>0</v>
      </c>
      <c r="H2230" s="7">
        <v>0</v>
      </c>
    </row>
    <row r="2231" spans="1:8">
      <c r="A2231">
        <v>1</v>
      </c>
      <c r="B2231" t="s">
        <v>42</v>
      </c>
      <c r="C2231" t="s">
        <v>32</v>
      </c>
      <c r="D2231">
        <v>0</v>
      </c>
      <c r="E2231">
        <v>1</v>
      </c>
      <c r="F2231" s="7">
        <v>471.01</v>
      </c>
      <c r="G2231">
        <v>0</v>
      </c>
      <c r="H2231" s="7">
        <v>0</v>
      </c>
    </row>
    <row r="2232" spans="1:8">
      <c r="A2232">
        <v>1</v>
      </c>
      <c r="B2232" t="s">
        <v>45</v>
      </c>
      <c r="C2232" t="s">
        <v>33</v>
      </c>
      <c r="D2232">
        <v>0</v>
      </c>
      <c r="E2232">
        <v>1</v>
      </c>
      <c r="F2232" s="7">
        <v>1939.39</v>
      </c>
      <c r="G2232">
        <v>0</v>
      </c>
      <c r="H2232" s="7">
        <v>0</v>
      </c>
    </row>
    <row r="2233" spans="1:8">
      <c r="A2233">
        <v>1</v>
      </c>
      <c r="B2233" t="s">
        <v>42</v>
      </c>
      <c r="C2233" t="s">
        <v>33</v>
      </c>
      <c r="D2233">
        <v>0</v>
      </c>
      <c r="E2233">
        <v>1</v>
      </c>
      <c r="F2233" s="7">
        <v>2399.75</v>
      </c>
      <c r="G2233">
        <v>0</v>
      </c>
      <c r="H2233" s="7">
        <v>0</v>
      </c>
    </row>
    <row r="2234" spans="1:8">
      <c r="A2234">
        <v>1</v>
      </c>
      <c r="B2234" t="s">
        <v>43</v>
      </c>
      <c r="C2234" t="s">
        <v>35</v>
      </c>
      <c r="D2234">
        <v>0</v>
      </c>
      <c r="E2234">
        <v>1</v>
      </c>
      <c r="F2234" s="7">
        <v>156232.74</v>
      </c>
      <c r="G2234">
        <v>0</v>
      </c>
      <c r="H2234" s="7">
        <v>0</v>
      </c>
    </row>
    <row r="2235" spans="1:8">
      <c r="A2235">
        <v>1</v>
      </c>
      <c r="B2235" t="s">
        <v>45</v>
      </c>
      <c r="C2235" t="s">
        <v>32</v>
      </c>
      <c r="D2235">
        <v>0</v>
      </c>
      <c r="E2235">
        <v>1</v>
      </c>
      <c r="F2235" s="7">
        <v>930.99</v>
      </c>
      <c r="G2235">
        <v>0</v>
      </c>
      <c r="H2235" s="7">
        <v>0</v>
      </c>
    </row>
    <row r="2236" spans="1:8">
      <c r="A2236">
        <v>1</v>
      </c>
      <c r="B2236" t="s">
        <v>42</v>
      </c>
      <c r="C2236" t="s">
        <v>32</v>
      </c>
      <c r="D2236">
        <v>0</v>
      </c>
      <c r="E2236">
        <v>1</v>
      </c>
      <c r="F2236" s="7">
        <v>331.4</v>
      </c>
      <c r="G2236">
        <v>0</v>
      </c>
      <c r="H2236" s="7">
        <v>0</v>
      </c>
    </row>
    <row r="2237" spans="1:8">
      <c r="A2237">
        <v>1</v>
      </c>
      <c r="B2237" t="s">
        <v>42</v>
      </c>
      <c r="C2237" t="s">
        <v>34</v>
      </c>
      <c r="D2237">
        <v>0</v>
      </c>
      <c r="E2237">
        <v>1</v>
      </c>
      <c r="F2237" s="7">
        <v>11607.88</v>
      </c>
      <c r="G2237">
        <v>0</v>
      </c>
      <c r="H2237" s="7">
        <v>0</v>
      </c>
    </row>
    <row r="2238" spans="1:8">
      <c r="A2238">
        <v>1</v>
      </c>
      <c r="B2238" t="s">
        <v>42</v>
      </c>
      <c r="C2238" t="s">
        <v>33</v>
      </c>
      <c r="D2238">
        <v>0</v>
      </c>
      <c r="E2238">
        <v>1</v>
      </c>
      <c r="F2238" s="7">
        <v>3603.99</v>
      </c>
      <c r="G2238">
        <v>0</v>
      </c>
      <c r="H2238" s="7">
        <v>0</v>
      </c>
    </row>
    <row r="2239" spans="1:8">
      <c r="A2239">
        <v>1</v>
      </c>
      <c r="B2239" t="s">
        <v>44</v>
      </c>
      <c r="C2239" t="s">
        <v>35</v>
      </c>
      <c r="D2239">
        <v>0</v>
      </c>
      <c r="E2239">
        <v>1</v>
      </c>
      <c r="F2239" s="7">
        <v>159657.1</v>
      </c>
      <c r="G2239">
        <v>0</v>
      </c>
      <c r="H2239" s="7">
        <v>0</v>
      </c>
    </row>
    <row r="2240" spans="1:8">
      <c r="A2240">
        <v>1</v>
      </c>
      <c r="B2240" t="s">
        <v>44</v>
      </c>
      <c r="C2240" t="s">
        <v>34</v>
      </c>
      <c r="D2240">
        <v>0</v>
      </c>
      <c r="E2240">
        <v>1</v>
      </c>
      <c r="F2240" s="7">
        <v>68051.17</v>
      </c>
      <c r="G2240">
        <v>0</v>
      </c>
      <c r="H2240" s="7">
        <v>0</v>
      </c>
    </row>
    <row r="2241" spans="1:8">
      <c r="A2241">
        <v>1</v>
      </c>
      <c r="B2241" t="s">
        <v>45</v>
      </c>
      <c r="C2241" t="s">
        <v>33</v>
      </c>
      <c r="D2241">
        <v>0</v>
      </c>
      <c r="E2241">
        <v>1</v>
      </c>
      <c r="F2241" s="7">
        <v>2607.6</v>
      </c>
      <c r="G2241">
        <v>0</v>
      </c>
      <c r="H2241" s="7">
        <v>0</v>
      </c>
    </row>
    <row r="2242" spans="1:8">
      <c r="A2242">
        <v>1</v>
      </c>
      <c r="B2242" t="s">
        <v>43</v>
      </c>
      <c r="C2242" t="s">
        <v>35</v>
      </c>
      <c r="D2242">
        <v>0</v>
      </c>
      <c r="E2242">
        <v>1</v>
      </c>
      <c r="F2242" s="7">
        <v>345858.07</v>
      </c>
      <c r="G2242">
        <v>0</v>
      </c>
      <c r="H2242" s="7">
        <v>0</v>
      </c>
    </row>
    <row r="2243" spans="1:8">
      <c r="A2243">
        <v>1</v>
      </c>
      <c r="B2243" t="s">
        <v>42</v>
      </c>
      <c r="C2243" t="s">
        <v>33</v>
      </c>
      <c r="D2243">
        <v>0</v>
      </c>
      <c r="E2243">
        <v>1</v>
      </c>
      <c r="F2243" s="7">
        <v>6990.18</v>
      </c>
      <c r="G2243">
        <v>0</v>
      </c>
      <c r="H2243" s="7">
        <v>0</v>
      </c>
    </row>
    <row r="2244" spans="1:8">
      <c r="A2244">
        <v>1</v>
      </c>
      <c r="B2244" t="s">
        <v>42</v>
      </c>
      <c r="C2244" t="s">
        <v>34</v>
      </c>
      <c r="D2244">
        <v>0</v>
      </c>
      <c r="E2244">
        <v>1</v>
      </c>
      <c r="F2244" s="7">
        <v>11020.46</v>
      </c>
      <c r="G2244">
        <v>0</v>
      </c>
      <c r="H2244" s="7">
        <v>0</v>
      </c>
    </row>
    <row r="2245" spans="1:8">
      <c r="A2245">
        <v>1</v>
      </c>
      <c r="B2245" t="s">
        <v>43</v>
      </c>
      <c r="C2245" t="s">
        <v>35</v>
      </c>
      <c r="D2245">
        <v>0</v>
      </c>
      <c r="E2245">
        <v>1</v>
      </c>
      <c r="F2245" s="7">
        <v>194415.49</v>
      </c>
      <c r="G2245">
        <v>0</v>
      </c>
      <c r="H2245" s="7">
        <v>0</v>
      </c>
    </row>
    <row r="2246" spans="1:8">
      <c r="A2246">
        <v>1</v>
      </c>
      <c r="B2246" t="s">
        <v>45</v>
      </c>
      <c r="C2246" t="s">
        <v>33</v>
      </c>
      <c r="D2246">
        <v>0</v>
      </c>
      <c r="E2246">
        <v>1</v>
      </c>
      <c r="F2246" s="7">
        <v>7434.58</v>
      </c>
      <c r="G2246">
        <v>0</v>
      </c>
      <c r="H2246" s="7">
        <v>0</v>
      </c>
    </row>
    <row r="2247" spans="1:8">
      <c r="A2247">
        <v>1</v>
      </c>
      <c r="B2247" t="s">
        <v>42</v>
      </c>
      <c r="C2247" t="s">
        <v>33</v>
      </c>
      <c r="D2247">
        <v>0</v>
      </c>
      <c r="E2247">
        <v>1</v>
      </c>
      <c r="F2247" s="7">
        <v>6111.1</v>
      </c>
      <c r="G2247">
        <v>0</v>
      </c>
      <c r="H2247" s="7">
        <v>0</v>
      </c>
    </row>
    <row r="2248" spans="1:8">
      <c r="A2248">
        <v>1</v>
      </c>
      <c r="B2248" t="s">
        <v>42</v>
      </c>
      <c r="C2248" t="s">
        <v>33</v>
      </c>
      <c r="D2248">
        <v>0</v>
      </c>
      <c r="E2248">
        <v>1</v>
      </c>
      <c r="F2248" s="7">
        <v>7991.07</v>
      </c>
      <c r="G2248">
        <v>0</v>
      </c>
      <c r="H2248" s="7">
        <v>0</v>
      </c>
    </row>
    <row r="2249" spans="1:8">
      <c r="A2249">
        <v>1</v>
      </c>
      <c r="B2249" t="s">
        <v>46</v>
      </c>
      <c r="C2249" t="s">
        <v>35</v>
      </c>
      <c r="D2249">
        <v>0</v>
      </c>
      <c r="E2249">
        <v>1</v>
      </c>
      <c r="F2249" s="7">
        <v>299976.78</v>
      </c>
      <c r="G2249">
        <v>0</v>
      </c>
      <c r="H2249" s="7">
        <v>0</v>
      </c>
    </row>
    <row r="2250" spans="1:8">
      <c r="A2250">
        <v>1</v>
      </c>
      <c r="B2250" t="s">
        <v>46</v>
      </c>
      <c r="C2250" t="s">
        <v>34</v>
      </c>
      <c r="D2250">
        <v>0</v>
      </c>
      <c r="E2250">
        <v>1</v>
      </c>
      <c r="F2250" s="7">
        <v>78772.04</v>
      </c>
      <c r="G2250">
        <v>0</v>
      </c>
      <c r="H2250" s="7">
        <v>0</v>
      </c>
    </row>
    <row r="2251" spans="1:8">
      <c r="A2251">
        <v>1</v>
      </c>
      <c r="B2251" t="s">
        <v>46</v>
      </c>
      <c r="C2251" t="s">
        <v>34</v>
      </c>
      <c r="D2251">
        <v>0</v>
      </c>
      <c r="E2251">
        <v>1</v>
      </c>
      <c r="F2251" s="7">
        <v>85584.66</v>
      </c>
      <c r="G2251">
        <v>0</v>
      </c>
      <c r="H2251" s="7">
        <v>0</v>
      </c>
    </row>
    <row r="2252" spans="1:8">
      <c r="A2252">
        <v>1</v>
      </c>
      <c r="B2252" t="s">
        <v>46</v>
      </c>
      <c r="C2252" t="s">
        <v>35</v>
      </c>
      <c r="D2252">
        <v>0</v>
      </c>
      <c r="E2252">
        <v>1</v>
      </c>
      <c r="F2252" s="7">
        <v>187256.62</v>
      </c>
      <c r="G2252">
        <v>0</v>
      </c>
      <c r="H2252" s="7">
        <v>0</v>
      </c>
    </row>
    <row r="2253" spans="1:8">
      <c r="A2253">
        <v>1</v>
      </c>
      <c r="B2253" t="s">
        <v>46</v>
      </c>
      <c r="C2253" t="s">
        <v>35</v>
      </c>
      <c r="D2253">
        <v>0</v>
      </c>
      <c r="E2253">
        <v>1</v>
      </c>
      <c r="F2253" s="7">
        <v>629989.76</v>
      </c>
      <c r="G2253">
        <v>0</v>
      </c>
      <c r="H2253" s="7">
        <v>0</v>
      </c>
    </row>
    <row r="2254" spans="1:8">
      <c r="A2254">
        <v>1</v>
      </c>
      <c r="B2254" t="s">
        <v>46</v>
      </c>
      <c r="C2254" t="s">
        <v>34</v>
      </c>
      <c r="D2254">
        <v>0</v>
      </c>
      <c r="E2254">
        <v>1</v>
      </c>
      <c r="F2254" s="7">
        <v>29025.9</v>
      </c>
      <c r="G2254">
        <v>0</v>
      </c>
      <c r="H2254" s="7">
        <v>0</v>
      </c>
    </row>
    <row r="2255" spans="1:8">
      <c r="A2255">
        <v>1</v>
      </c>
      <c r="B2255" t="s">
        <v>46</v>
      </c>
      <c r="C2255" t="s">
        <v>34</v>
      </c>
      <c r="D2255">
        <v>0</v>
      </c>
      <c r="E2255">
        <v>1</v>
      </c>
      <c r="F2255" s="7">
        <v>27948.65</v>
      </c>
      <c r="G2255">
        <v>0</v>
      </c>
      <c r="H2255" s="7">
        <v>0</v>
      </c>
    </row>
    <row r="2256" spans="1:8">
      <c r="A2256">
        <v>1</v>
      </c>
      <c r="B2256" t="s">
        <v>46</v>
      </c>
      <c r="C2256" t="s">
        <v>34</v>
      </c>
      <c r="D2256">
        <v>0</v>
      </c>
      <c r="E2256">
        <v>1</v>
      </c>
      <c r="F2256" s="7">
        <v>91223.06</v>
      </c>
      <c r="G2256">
        <v>0</v>
      </c>
      <c r="H2256" s="7">
        <v>0</v>
      </c>
    </row>
    <row r="2257" spans="1:8">
      <c r="A2257">
        <v>1</v>
      </c>
      <c r="B2257" t="s">
        <v>46</v>
      </c>
      <c r="C2257" t="s">
        <v>34</v>
      </c>
      <c r="D2257">
        <v>0</v>
      </c>
      <c r="E2257">
        <v>1</v>
      </c>
      <c r="F2257" s="7">
        <v>62684.91</v>
      </c>
      <c r="G2257">
        <v>0</v>
      </c>
      <c r="H2257" s="7">
        <v>0</v>
      </c>
    </row>
    <row r="2258" spans="1:8">
      <c r="A2258">
        <v>1</v>
      </c>
      <c r="B2258" t="s">
        <v>46</v>
      </c>
      <c r="C2258" t="s">
        <v>35</v>
      </c>
      <c r="D2258">
        <v>0</v>
      </c>
      <c r="E2258">
        <v>1</v>
      </c>
      <c r="F2258" s="7">
        <v>355252.74</v>
      </c>
      <c r="G2258">
        <v>0</v>
      </c>
      <c r="H2258" s="7">
        <v>0</v>
      </c>
    </row>
    <row r="2259" spans="1:8">
      <c r="A2259">
        <v>1</v>
      </c>
      <c r="B2259" t="s">
        <v>46</v>
      </c>
      <c r="C2259" t="s">
        <v>35</v>
      </c>
      <c r="D2259">
        <v>0</v>
      </c>
      <c r="E2259">
        <v>1</v>
      </c>
      <c r="F2259" s="7">
        <v>374419.58</v>
      </c>
      <c r="G2259">
        <v>0</v>
      </c>
      <c r="H2259" s="7">
        <v>0</v>
      </c>
    </row>
    <row r="2260" spans="1:8">
      <c r="A2260">
        <v>1</v>
      </c>
      <c r="B2260" t="s">
        <v>46</v>
      </c>
      <c r="C2260" t="s">
        <v>34</v>
      </c>
      <c r="D2260">
        <v>0</v>
      </c>
      <c r="E2260">
        <v>1</v>
      </c>
      <c r="F2260" s="7">
        <v>71151.31</v>
      </c>
      <c r="G2260">
        <v>0</v>
      </c>
      <c r="H2260" s="7">
        <v>0</v>
      </c>
    </row>
    <row r="2261" spans="1:8">
      <c r="A2261">
        <v>1</v>
      </c>
      <c r="B2261" t="s">
        <v>46</v>
      </c>
      <c r="C2261" t="s">
        <v>34</v>
      </c>
      <c r="D2261">
        <v>0</v>
      </c>
      <c r="E2261">
        <v>1</v>
      </c>
      <c r="F2261" s="7">
        <v>66358.89</v>
      </c>
      <c r="G2261">
        <v>0</v>
      </c>
      <c r="H2261" s="7">
        <v>0</v>
      </c>
    </row>
    <row r="2262" spans="1:8">
      <c r="A2262">
        <v>1</v>
      </c>
      <c r="B2262" t="s">
        <v>46</v>
      </c>
      <c r="C2262" t="s">
        <v>35</v>
      </c>
      <c r="D2262">
        <v>0</v>
      </c>
      <c r="E2262">
        <v>1</v>
      </c>
      <c r="F2262" s="7">
        <v>346761.87</v>
      </c>
      <c r="G2262">
        <v>0</v>
      </c>
      <c r="H2262" s="7">
        <v>0</v>
      </c>
    </row>
    <row r="2263" spans="1:8">
      <c r="A2263">
        <v>1</v>
      </c>
      <c r="B2263" t="s">
        <v>46</v>
      </c>
      <c r="C2263" t="s">
        <v>35</v>
      </c>
      <c r="D2263">
        <v>0</v>
      </c>
      <c r="E2263">
        <v>1</v>
      </c>
      <c r="F2263" s="7">
        <v>291839.31</v>
      </c>
      <c r="G2263">
        <v>0</v>
      </c>
      <c r="H2263" s="7">
        <v>0</v>
      </c>
    </row>
    <row r="2264" spans="1:8">
      <c r="A2264">
        <v>1</v>
      </c>
      <c r="B2264" t="s">
        <v>46</v>
      </c>
      <c r="C2264" t="s">
        <v>35</v>
      </c>
      <c r="D2264">
        <v>0</v>
      </c>
      <c r="E2264">
        <v>1</v>
      </c>
      <c r="F2264" s="7">
        <v>285578.26</v>
      </c>
      <c r="G2264">
        <v>0</v>
      </c>
      <c r="H2264" s="7">
        <v>0</v>
      </c>
    </row>
    <row r="2265" spans="1:8">
      <c r="A2265">
        <v>1</v>
      </c>
      <c r="B2265" t="s">
        <v>46</v>
      </c>
      <c r="C2265" t="s">
        <v>35</v>
      </c>
      <c r="D2265">
        <v>0</v>
      </c>
      <c r="E2265">
        <v>1</v>
      </c>
      <c r="F2265" s="7">
        <v>398354.37</v>
      </c>
      <c r="G2265">
        <v>0</v>
      </c>
      <c r="H2265" s="7">
        <v>0</v>
      </c>
    </row>
    <row r="2266" spans="1:8">
      <c r="A2266">
        <v>1</v>
      </c>
      <c r="B2266" t="s">
        <v>46</v>
      </c>
      <c r="C2266" t="s">
        <v>35</v>
      </c>
      <c r="D2266">
        <v>0</v>
      </c>
      <c r="E2266">
        <v>1</v>
      </c>
      <c r="F2266" s="7">
        <v>112637.63</v>
      </c>
      <c r="G2266">
        <v>0</v>
      </c>
      <c r="H2266" s="7">
        <v>0</v>
      </c>
    </row>
    <row r="2267" spans="1:8">
      <c r="A2267">
        <v>1</v>
      </c>
      <c r="B2267" t="s">
        <v>46</v>
      </c>
      <c r="C2267" t="s">
        <v>35</v>
      </c>
      <c r="D2267">
        <v>0</v>
      </c>
      <c r="E2267">
        <v>1</v>
      </c>
      <c r="F2267" s="7">
        <v>162591.2</v>
      </c>
      <c r="G2267">
        <v>0</v>
      </c>
      <c r="H2267" s="7">
        <v>0</v>
      </c>
    </row>
    <row r="2268" spans="1:8">
      <c r="A2268">
        <v>1</v>
      </c>
      <c r="B2268" t="s">
        <v>46</v>
      </c>
      <c r="C2268" t="s">
        <v>35</v>
      </c>
      <c r="D2268">
        <v>0</v>
      </c>
      <c r="E2268">
        <v>1</v>
      </c>
      <c r="F2268" s="7">
        <v>193448.55</v>
      </c>
      <c r="G2268">
        <v>0</v>
      </c>
      <c r="H2268" s="7">
        <v>0</v>
      </c>
    </row>
    <row r="2269" spans="1:8">
      <c r="A2269">
        <v>1</v>
      </c>
      <c r="B2269" t="s">
        <v>46</v>
      </c>
      <c r="C2269" t="s">
        <v>35</v>
      </c>
      <c r="D2269">
        <v>0</v>
      </c>
      <c r="E2269">
        <v>1</v>
      </c>
      <c r="F2269" s="7">
        <v>334092.55</v>
      </c>
      <c r="G2269">
        <v>0</v>
      </c>
      <c r="H2269" s="7">
        <v>0</v>
      </c>
    </row>
    <row r="2270" spans="1:8">
      <c r="A2270">
        <v>1</v>
      </c>
      <c r="B2270" t="s">
        <v>46</v>
      </c>
      <c r="C2270" t="s">
        <v>34</v>
      </c>
      <c r="D2270">
        <v>0</v>
      </c>
      <c r="E2270">
        <v>1</v>
      </c>
      <c r="F2270" s="7">
        <v>90380.34</v>
      </c>
      <c r="G2270">
        <v>0</v>
      </c>
      <c r="H2270" s="7">
        <v>0</v>
      </c>
    </row>
    <row r="2271" spans="1:8">
      <c r="A2271">
        <v>1</v>
      </c>
      <c r="B2271" t="s">
        <v>46</v>
      </c>
      <c r="C2271" t="s">
        <v>35</v>
      </c>
      <c r="D2271">
        <v>0</v>
      </c>
      <c r="E2271">
        <v>1</v>
      </c>
      <c r="F2271" s="7">
        <v>160053.19</v>
      </c>
      <c r="G2271">
        <v>0</v>
      </c>
      <c r="H2271" s="7">
        <v>0</v>
      </c>
    </row>
    <row r="2272" spans="1:8">
      <c r="A2272">
        <v>1</v>
      </c>
      <c r="B2272" t="s">
        <v>46</v>
      </c>
      <c r="C2272" t="s">
        <v>35</v>
      </c>
      <c r="D2272">
        <v>0</v>
      </c>
      <c r="E2272">
        <v>1</v>
      </c>
      <c r="F2272" s="7">
        <v>286279.93</v>
      </c>
      <c r="G2272">
        <v>0</v>
      </c>
      <c r="H2272" s="7">
        <v>0</v>
      </c>
    </row>
    <row r="2273" spans="1:8">
      <c r="A2273">
        <v>1</v>
      </c>
      <c r="B2273" t="s">
        <v>42</v>
      </c>
      <c r="C2273" t="s">
        <v>33</v>
      </c>
      <c r="D2273">
        <v>0</v>
      </c>
      <c r="E2273">
        <v>1</v>
      </c>
      <c r="F2273" s="7">
        <v>3879.16</v>
      </c>
      <c r="G2273">
        <v>0</v>
      </c>
      <c r="H2273" s="7">
        <v>0</v>
      </c>
    </row>
    <row r="2274" spans="1:8">
      <c r="A2274">
        <v>1</v>
      </c>
      <c r="B2274" t="s">
        <v>46</v>
      </c>
      <c r="C2274" t="s">
        <v>35</v>
      </c>
      <c r="D2274">
        <v>0</v>
      </c>
      <c r="E2274">
        <v>1</v>
      </c>
      <c r="F2274" s="7">
        <v>158483.1</v>
      </c>
      <c r="G2274">
        <v>0</v>
      </c>
      <c r="H2274" s="7">
        <v>0</v>
      </c>
    </row>
    <row r="2275" spans="1:8">
      <c r="A2275">
        <v>1</v>
      </c>
      <c r="B2275" t="s">
        <v>46</v>
      </c>
      <c r="C2275" t="s">
        <v>35</v>
      </c>
      <c r="D2275">
        <v>0</v>
      </c>
      <c r="E2275">
        <v>1</v>
      </c>
      <c r="F2275" s="7">
        <v>240680.1</v>
      </c>
      <c r="G2275">
        <v>0</v>
      </c>
      <c r="H2275" s="7">
        <v>0</v>
      </c>
    </row>
    <row r="2276" spans="1:8">
      <c r="A2276">
        <v>1</v>
      </c>
      <c r="B2276" t="s">
        <v>46</v>
      </c>
      <c r="C2276" t="s">
        <v>34</v>
      </c>
      <c r="D2276">
        <v>0</v>
      </c>
      <c r="E2276">
        <v>1</v>
      </c>
      <c r="F2276" s="7">
        <v>42198.41</v>
      </c>
      <c r="G2276">
        <v>0</v>
      </c>
      <c r="H2276" s="7">
        <v>0</v>
      </c>
    </row>
    <row r="2277" spans="1:8">
      <c r="A2277">
        <v>1</v>
      </c>
      <c r="B2277" t="s">
        <v>46</v>
      </c>
      <c r="C2277" t="s">
        <v>35</v>
      </c>
      <c r="D2277">
        <v>0</v>
      </c>
      <c r="E2277">
        <v>1</v>
      </c>
      <c r="F2277" s="7">
        <v>280403.82</v>
      </c>
      <c r="G2277">
        <v>0</v>
      </c>
      <c r="H2277" s="7">
        <v>0</v>
      </c>
    </row>
    <row r="2278" spans="1:8">
      <c r="A2278">
        <v>1</v>
      </c>
      <c r="B2278" t="s">
        <v>46</v>
      </c>
      <c r="C2278" t="s">
        <v>35</v>
      </c>
      <c r="D2278">
        <v>0</v>
      </c>
      <c r="E2278">
        <v>1</v>
      </c>
      <c r="F2278" s="7">
        <v>421555.71</v>
      </c>
      <c r="G2278">
        <v>0</v>
      </c>
      <c r="H2278" s="7">
        <v>0</v>
      </c>
    </row>
    <row r="2279" spans="1:8">
      <c r="A2279">
        <v>1</v>
      </c>
      <c r="B2279" t="s">
        <v>46</v>
      </c>
      <c r="C2279" t="s">
        <v>35</v>
      </c>
      <c r="D2279">
        <v>0</v>
      </c>
      <c r="E2279">
        <v>1</v>
      </c>
      <c r="F2279" s="7">
        <v>150550.59</v>
      </c>
      <c r="G2279">
        <v>0</v>
      </c>
      <c r="H2279" s="7">
        <v>0</v>
      </c>
    </row>
    <row r="2280" spans="1:8">
      <c r="A2280">
        <v>1</v>
      </c>
      <c r="B2280" t="s">
        <v>46</v>
      </c>
      <c r="C2280" t="s">
        <v>34</v>
      </c>
      <c r="D2280">
        <v>0</v>
      </c>
      <c r="E2280">
        <v>1</v>
      </c>
      <c r="F2280" s="7">
        <v>83153.23</v>
      </c>
      <c r="G2280">
        <v>0</v>
      </c>
      <c r="H2280" s="7">
        <v>0</v>
      </c>
    </row>
    <row r="2281" spans="1:8">
      <c r="A2281">
        <v>1</v>
      </c>
      <c r="B2281" t="s">
        <v>46</v>
      </c>
      <c r="C2281" t="s">
        <v>35</v>
      </c>
      <c r="D2281">
        <v>0</v>
      </c>
      <c r="E2281">
        <v>1</v>
      </c>
      <c r="F2281" s="7">
        <v>269603.45</v>
      </c>
      <c r="G2281">
        <v>0</v>
      </c>
      <c r="H2281" s="7">
        <v>0</v>
      </c>
    </row>
    <row r="2282" spans="1:8">
      <c r="A2282">
        <v>1</v>
      </c>
      <c r="B2282" t="s">
        <v>46</v>
      </c>
      <c r="C2282" t="s">
        <v>35</v>
      </c>
      <c r="D2282">
        <v>0</v>
      </c>
      <c r="E2282">
        <v>1</v>
      </c>
      <c r="F2282" s="7">
        <v>188071.25</v>
      </c>
      <c r="G2282">
        <v>0</v>
      </c>
      <c r="H2282" s="7">
        <v>0</v>
      </c>
    </row>
    <row r="2283" spans="1:8">
      <c r="A2283">
        <v>1</v>
      </c>
      <c r="B2283" t="s">
        <v>46</v>
      </c>
      <c r="C2283" t="s">
        <v>35</v>
      </c>
      <c r="D2283">
        <v>0</v>
      </c>
      <c r="E2283">
        <v>1</v>
      </c>
      <c r="F2283" s="7">
        <v>263590.95</v>
      </c>
      <c r="G2283">
        <v>0</v>
      </c>
      <c r="H2283" s="7">
        <v>0</v>
      </c>
    </row>
    <row r="2284" spans="1:8">
      <c r="A2284">
        <v>1</v>
      </c>
      <c r="B2284" t="s">
        <v>46</v>
      </c>
      <c r="C2284" t="s">
        <v>35</v>
      </c>
      <c r="D2284">
        <v>0</v>
      </c>
      <c r="E2284">
        <v>1</v>
      </c>
      <c r="F2284" s="7">
        <v>373152.4</v>
      </c>
      <c r="G2284">
        <v>0</v>
      </c>
      <c r="H2284" s="7">
        <v>0</v>
      </c>
    </row>
    <row r="2285" spans="1:8">
      <c r="A2285">
        <v>1</v>
      </c>
      <c r="B2285" t="s">
        <v>46</v>
      </c>
      <c r="C2285" t="s">
        <v>35</v>
      </c>
      <c r="D2285">
        <v>0</v>
      </c>
      <c r="E2285">
        <v>1</v>
      </c>
      <c r="F2285" s="7">
        <v>121854.66</v>
      </c>
      <c r="G2285">
        <v>0</v>
      </c>
      <c r="H2285" s="7">
        <v>0</v>
      </c>
    </row>
    <row r="2286" spans="1:8">
      <c r="A2286">
        <v>1</v>
      </c>
      <c r="B2286" t="s">
        <v>46</v>
      </c>
      <c r="C2286" t="s">
        <v>34</v>
      </c>
      <c r="D2286">
        <v>0</v>
      </c>
      <c r="E2286">
        <v>1</v>
      </c>
      <c r="F2286" s="7">
        <v>31657.28</v>
      </c>
      <c r="G2286">
        <v>0</v>
      </c>
      <c r="H2286" s="7">
        <v>0</v>
      </c>
    </row>
    <row r="2287" spans="1:8">
      <c r="A2287">
        <v>1</v>
      </c>
      <c r="B2287" t="s">
        <v>46</v>
      </c>
      <c r="C2287" t="s">
        <v>35</v>
      </c>
      <c r="D2287">
        <v>0</v>
      </c>
      <c r="E2287">
        <v>1</v>
      </c>
      <c r="F2287" s="7">
        <v>428248.35</v>
      </c>
      <c r="G2287">
        <v>0</v>
      </c>
      <c r="H2287" s="7">
        <v>0</v>
      </c>
    </row>
    <row r="2288" spans="1:8">
      <c r="A2288">
        <v>1</v>
      </c>
      <c r="B2288" t="s">
        <v>46</v>
      </c>
      <c r="C2288" t="s">
        <v>35</v>
      </c>
      <c r="D2288">
        <v>0</v>
      </c>
      <c r="E2288">
        <v>1</v>
      </c>
      <c r="F2288" s="7">
        <v>323406.83</v>
      </c>
      <c r="G2288">
        <v>0</v>
      </c>
      <c r="H2288" s="7">
        <v>0</v>
      </c>
    </row>
    <row r="2289" spans="1:8">
      <c r="A2289">
        <v>1</v>
      </c>
      <c r="B2289" t="s">
        <v>46</v>
      </c>
      <c r="C2289" t="s">
        <v>35</v>
      </c>
      <c r="D2289">
        <v>0</v>
      </c>
      <c r="E2289">
        <v>1</v>
      </c>
      <c r="F2289" s="7">
        <v>258938.11</v>
      </c>
      <c r="G2289">
        <v>0</v>
      </c>
      <c r="H2289" s="7">
        <v>0</v>
      </c>
    </row>
    <row r="2290" spans="1:8">
      <c r="A2290">
        <v>1</v>
      </c>
      <c r="B2290" t="s">
        <v>46</v>
      </c>
      <c r="C2290" t="s">
        <v>35</v>
      </c>
      <c r="D2290">
        <v>0</v>
      </c>
      <c r="E2290">
        <v>1</v>
      </c>
      <c r="F2290" s="7">
        <v>226945.73</v>
      </c>
      <c r="G2290">
        <v>0</v>
      </c>
      <c r="H2290" s="7">
        <v>0</v>
      </c>
    </row>
    <row r="2291" spans="1:8">
      <c r="A2291">
        <v>1</v>
      </c>
      <c r="B2291" t="s">
        <v>46</v>
      </c>
      <c r="C2291" t="s">
        <v>35</v>
      </c>
      <c r="D2291">
        <v>0</v>
      </c>
      <c r="E2291">
        <v>1</v>
      </c>
      <c r="F2291" s="7">
        <v>171505.17</v>
      </c>
      <c r="G2291">
        <v>0</v>
      </c>
      <c r="H2291" s="7">
        <v>0</v>
      </c>
    </row>
    <row r="2292" spans="1:8">
      <c r="A2292">
        <v>1</v>
      </c>
      <c r="B2292" t="s">
        <v>46</v>
      </c>
      <c r="C2292" t="s">
        <v>35</v>
      </c>
      <c r="D2292">
        <v>0</v>
      </c>
      <c r="E2292">
        <v>1</v>
      </c>
      <c r="F2292" s="7">
        <v>184547.7</v>
      </c>
      <c r="G2292">
        <v>0</v>
      </c>
      <c r="H2292" s="7">
        <v>0</v>
      </c>
    </row>
    <row r="2293" spans="1:8">
      <c r="A2293">
        <v>1</v>
      </c>
      <c r="B2293" t="s">
        <v>46</v>
      </c>
      <c r="C2293" t="s">
        <v>35</v>
      </c>
      <c r="D2293">
        <v>0</v>
      </c>
      <c r="E2293">
        <v>1</v>
      </c>
      <c r="F2293" s="7">
        <v>155608.53</v>
      </c>
      <c r="G2293">
        <v>0</v>
      </c>
      <c r="H2293" s="7">
        <v>0</v>
      </c>
    </row>
    <row r="2294" spans="1:8">
      <c r="A2294">
        <v>1</v>
      </c>
      <c r="B2294" t="s">
        <v>46</v>
      </c>
      <c r="C2294" t="s">
        <v>34</v>
      </c>
      <c r="D2294">
        <v>0</v>
      </c>
      <c r="E2294">
        <v>1</v>
      </c>
      <c r="F2294" s="7">
        <v>69865.39</v>
      </c>
      <c r="G2294">
        <v>0</v>
      </c>
      <c r="H2294" s="7">
        <v>0</v>
      </c>
    </row>
    <row r="2295" spans="1:8">
      <c r="A2295">
        <v>1</v>
      </c>
      <c r="B2295" t="s">
        <v>46</v>
      </c>
      <c r="C2295" t="s">
        <v>34</v>
      </c>
      <c r="D2295">
        <v>0</v>
      </c>
      <c r="E2295">
        <v>1</v>
      </c>
      <c r="F2295" s="7">
        <v>44655.46</v>
      </c>
      <c r="G2295">
        <v>0</v>
      </c>
      <c r="H2295" s="7">
        <v>0</v>
      </c>
    </row>
    <row r="2296" spans="1:8">
      <c r="A2296">
        <v>1</v>
      </c>
      <c r="B2296" t="s">
        <v>46</v>
      </c>
      <c r="C2296" t="s">
        <v>35</v>
      </c>
      <c r="D2296">
        <v>0</v>
      </c>
      <c r="E2296">
        <v>1</v>
      </c>
      <c r="F2296" s="7">
        <v>411935.8</v>
      </c>
      <c r="G2296">
        <v>0</v>
      </c>
      <c r="H2296" s="7">
        <v>0</v>
      </c>
    </row>
    <row r="2297" spans="1:8">
      <c r="A2297">
        <v>1</v>
      </c>
      <c r="B2297" t="s">
        <v>46</v>
      </c>
      <c r="C2297" t="s">
        <v>35</v>
      </c>
      <c r="D2297">
        <v>0</v>
      </c>
      <c r="E2297">
        <v>1</v>
      </c>
      <c r="F2297" s="7">
        <v>552812.46</v>
      </c>
      <c r="G2297">
        <v>0</v>
      </c>
      <c r="H2297" s="7">
        <v>0</v>
      </c>
    </row>
    <row r="2298" spans="1:8">
      <c r="A2298">
        <v>1</v>
      </c>
      <c r="B2298" t="s">
        <v>46</v>
      </c>
      <c r="C2298" t="s">
        <v>34</v>
      </c>
      <c r="D2298">
        <v>0</v>
      </c>
      <c r="E2298">
        <v>1</v>
      </c>
      <c r="F2298" s="7">
        <v>84022.18</v>
      </c>
      <c r="G2298">
        <v>0</v>
      </c>
      <c r="H2298" s="7">
        <v>0</v>
      </c>
    </row>
    <row r="2299" spans="1:8">
      <c r="A2299">
        <v>1</v>
      </c>
      <c r="B2299" t="s">
        <v>46</v>
      </c>
      <c r="C2299" t="s">
        <v>34</v>
      </c>
      <c r="D2299">
        <v>0</v>
      </c>
      <c r="E2299">
        <v>1</v>
      </c>
      <c r="F2299" s="7">
        <v>57357.33</v>
      </c>
      <c r="G2299">
        <v>0</v>
      </c>
      <c r="H2299" s="7">
        <v>0</v>
      </c>
    </row>
    <row r="2300" spans="1:8">
      <c r="A2300">
        <v>1</v>
      </c>
      <c r="B2300" t="s">
        <v>45</v>
      </c>
      <c r="C2300" t="s">
        <v>32</v>
      </c>
      <c r="D2300">
        <v>0</v>
      </c>
      <c r="E2300">
        <v>1</v>
      </c>
      <c r="F2300" s="7">
        <v>286.87</v>
      </c>
      <c r="G2300">
        <v>0</v>
      </c>
      <c r="H2300" s="7">
        <v>0</v>
      </c>
    </row>
    <row r="2301" spans="1:8">
      <c r="A2301">
        <v>1</v>
      </c>
      <c r="B2301" t="s">
        <v>42</v>
      </c>
      <c r="C2301" t="s">
        <v>34</v>
      </c>
      <c r="D2301">
        <v>0</v>
      </c>
      <c r="E2301">
        <v>1</v>
      </c>
      <c r="F2301" s="7">
        <v>11068.42</v>
      </c>
      <c r="G2301">
        <v>0</v>
      </c>
      <c r="H2301" s="7">
        <v>0</v>
      </c>
    </row>
    <row r="2302" spans="1:8">
      <c r="A2302">
        <v>1</v>
      </c>
      <c r="B2302" t="s">
        <v>42</v>
      </c>
      <c r="C2302" t="s">
        <v>33</v>
      </c>
      <c r="D2302">
        <v>0</v>
      </c>
      <c r="E2302">
        <v>1</v>
      </c>
      <c r="F2302" s="7">
        <v>3524.08</v>
      </c>
      <c r="G2302">
        <v>0</v>
      </c>
      <c r="H2302" s="7">
        <v>0</v>
      </c>
    </row>
    <row r="2303" spans="1:8">
      <c r="A2303">
        <v>1</v>
      </c>
      <c r="B2303" t="s">
        <v>42</v>
      </c>
      <c r="C2303" t="s">
        <v>34</v>
      </c>
      <c r="D2303">
        <v>0</v>
      </c>
      <c r="E2303">
        <v>1</v>
      </c>
      <c r="F2303" s="7">
        <v>11430.86</v>
      </c>
      <c r="G2303">
        <v>0</v>
      </c>
      <c r="H2303" s="7">
        <v>0</v>
      </c>
    </row>
    <row r="2304" spans="1:8">
      <c r="A2304">
        <v>1</v>
      </c>
      <c r="B2304" t="s">
        <v>42</v>
      </c>
      <c r="C2304" t="s">
        <v>33</v>
      </c>
      <c r="D2304">
        <v>0</v>
      </c>
      <c r="E2304">
        <v>1</v>
      </c>
      <c r="F2304" s="7">
        <v>6769.91</v>
      </c>
      <c r="G2304">
        <v>0</v>
      </c>
      <c r="H2304" s="7">
        <v>0</v>
      </c>
    </row>
    <row r="2305" spans="1:8">
      <c r="A2305">
        <v>1</v>
      </c>
      <c r="B2305" t="s">
        <v>42</v>
      </c>
      <c r="C2305" t="s">
        <v>33</v>
      </c>
      <c r="D2305">
        <v>0</v>
      </c>
      <c r="E2305">
        <v>1</v>
      </c>
      <c r="F2305" s="7">
        <v>8271.42</v>
      </c>
      <c r="G2305">
        <v>0</v>
      </c>
      <c r="H2305" s="7">
        <v>0</v>
      </c>
    </row>
    <row r="2306" spans="1:8">
      <c r="A2306">
        <v>1</v>
      </c>
      <c r="B2306" t="s">
        <v>45</v>
      </c>
      <c r="C2306" t="s">
        <v>32</v>
      </c>
      <c r="D2306">
        <v>0</v>
      </c>
      <c r="E2306">
        <v>1</v>
      </c>
      <c r="F2306" s="7">
        <v>452.57</v>
      </c>
      <c r="G2306">
        <v>0</v>
      </c>
      <c r="H2306" s="7">
        <v>0</v>
      </c>
    </row>
    <row r="2307" spans="1:8">
      <c r="A2307">
        <v>1</v>
      </c>
      <c r="B2307" t="s">
        <v>43</v>
      </c>
      <c r="C2307" t="s">
        <v>35</v>
      </c>
      <c r="D2307">
        <v>1</v>
      </c>
      <c r="E2307">
        <v>1</v>
      </c>
      <c r="F2307" s="7">
        <v>235238.66</v>
      </c>
      <c r="G2307">
        <v>1</v>
      </c>
      <c r="H2307" s="7">
        <v>235238.66</v>
      </c>
    </row>
    <row r="2308" spans="1:8">
      <c r="A2308">
        <v>1</v>
      </c>
      <c r="B2308" t="s">
        <v>44</v>
      </c>
      <c r="C2308" t="s">
        <v>35</v>
      </c>
      <c r="D2308">
        <v>1</v>
      </c>
      <c r="E2308">
        <v>1</v>
      </c>
      <c r="F2308" s="7">
        <v>235238.66</v>
      </c>
      <c r="G2308">
        <v>1</v>
      </c>
      <c r="H2308" s="7">
        <v>235238.66</v>
      </c>
    </row>
    <row r="2309" spans="1:8">
      <c r="A2309">
        <v>1</v>
      </c>
      <c r="B2309" t="s">
        <v>42</v>
      </c>
      <c r="C2309" t="s">
        <v>33</v>
      </c>
      <c r="D2309">
        <v>0</v>
      </c>
      <c r="E2309">
        <v>1</v>
      </c>
      <c r="F2309" s="7">
        <v>2707.76</v>
      </c>
      <c r="G2309">
        <v>0</v>
      </c>
      <c r="H2309" s="7">
        <v>0</v>
      </c>
    </row>
    <row r="2310" spans="1:8">
      <c r="A2310">
        <v>1</v>
      </c>
      <c r="B2310" t="s">
        <v>43</v>
      </c>
      <c r="C2310" t="s">
        <v>35</v>
      </c>
      <c r="D2310">
        <v>0</v>
      </c>
      <c r="E2310">
        <v>1</v>
      </c>
      <c r="F2310" s="7">
        <v>200612.49</v>
      </c>
      <c r="G2310">
        <v>0</v>
      </c>
      <c r="H2310" s="7">
        <v>0</v>
      </c>
    </row>
    <row r="2311" spans="1:8">
      <c r="A2311">
        <v>1</v>
      </c>
      <c r="B2311" t="s">
        <v>42</v>
      </c>
      <c r="C2311" t="s">
        <v>33</v>
      </c>
      <c r="D2311">
        <v>0</v>
      </c>
      <c r="E2311">
        <v>1</v>
      </c>
      <c r="F2311" s="7">
        <v>4253.87</v>
      </c>
      <c r="G2311">
        <v>0</v>
      </c>
      <c r="H2311" s="7">
        <v>0</v>
      </c>
    </row>
    <row r="2312" spans="1:8">
      <c r="A2312">
        <v>1</v>
      </c>
      <c r="B2312" t="s">
        <v>42</v>
      </c>
      <c r="C2312" t="s">
        <v>33</v>
      </c>
      <c r="D2312">
        <v>0</v>
      </c>
      <c r="E2312">
        <v>1</v>
      </c>
      <c r="F2312" s="7">
        <v>3619.35</v>
      </c>
      <c r="G2312">
        <v>0</v>
      </c>
      <c r="H2312" s="7">
        <v>0</v>
      </c>
    </row>
    <row r="2313" spans="1:8">
      <c r="A2313">
        <v>1</v>
      </c>
      <c r="B2313" t="s">
        <v>42</v>
      </c>
      <c r="C2313" t="s">
        <v>34</v>
      </c>
      <c r="D2313">
        <v>0</v>
      </c>
      <c r="E2313">
        <v>1</v>
      </c>
      <c r="F2313" s="7">
        <v>22940.17</v>
      </c>
      <c r="G2313">
        <v>0</v>
      </c>
      <c r="H2313" s="7">
        <v>0</v>
      </c>
    </row>
    <row r="2314" spans="1:8">
      <c r="A2314">
        <v>1</v>
      </c>
      <c r="B2314" t="s">
        <v>42</v>
      </c>
      <c r="C2314" t="s">
        <v>33</v>
      </c>
      <c r="D2314">
        <v>0</v>
      </c>
      <c r="E2314">
        <v>1</v>
      </c>
      <c r="F2314" s="7">
        <v>5376.67</v>
      </c>
      <c r="G2314">
        <v>0</v>
      </c>
      <c r="H2314" s="7">
        <v>0</v>
      </c>
    </row>
    <row r="2315" spans="1:8">
      <c r="A2315">
        <v>1</v>
      </c>
      <c r="B2315" t="s">
        <v>42</v>
      </c>
      <c r="C2315" t="s">
        <v>33</v>
      </c>
      <c r="D2315">
        <v>0</v>
      </c>
      <c r="E2315">
        <v>1</v>
      </c>
      <c r="F2315" s="7">
        <v>6822.41</v>
      </c>
      <c r="G2315">
        <v>0</v>
      </c>
      <c r="H2315" s="7">
        <v>0</v>
      </c>
    </row>
    <row r="2316" spans="1:8">
      <c r="A2316">
        <v>1</v>
      </c>
      <c r="B2316" t="s">
        <v>42</v>
      </c>
      <c r="C2316" t="s">
        <v>33</v>
      </c>
      <c r="D2316">
        <v>0</v>
      </c>
      <c r="E2316">
        <v>1</v>
      </c>
      <c r="F2316" s="7">
        <v>9855.76</v>
      </c>
      <c r="G2316">
        <v>0</v>
      </c>
      <c r="H2316" s="7">
        <v>0</v>
      </c>
    </row>
    <row r="2317" spans="1:8">
      <c r="A2317">
        <v>1</v>
      </c>
      <c r="B2317" t="s">
        <v>42</v>
      </c>
      <c r="C2317" t="s">
        <v>32</v>
      </c>
      <c r="D2317">
        <v>0</v>
      </c>
      <c r="E2317">
        <v>1</v>
      </c>
      <c r="F2317" s="7">
        <v>186.22</v>
      </c>
      <c r="G2317">
        <v>0</v>
      </c>
      <c r="H2317" s="7">
        <v>0</v>
      </c>
    </row>
    <row r="2318" spans="1:8">
      <c r="A2318">
        <v>1</v>
      </c>
      <c r="B2318" t="s">
        <v>42</v>
      </c>
      <c r="C2318" t="s">
        <v>33</v>
      </c>
      <c r="D2318">
        <v>0</v>
      </c>
      <c r="E2318">
        <v>1</v>
      </c>
      <c r="F2318" s="7">
        <v>4189.31</v>
      </c>
      <c r="G2318">
        <v>0</v>
      </c>
      <c r="H2318" s="7">
        <v>0</v>
      </c>
    </row>
    <row r="2319" spans="1:8">
      <c r="A2319">
        <v>1</v>
      </c>
      <c r="B2319" t="s">
        <v>42</v>
      </c>
      <c r="C2319" t="s">
        <v>34</v>
      </c>
      <c r="D2319">
        <v>0</v>
      </c>
      <c r="E2319">
        <v>1</v>
      </c>
      <c r="F2319" s="7">
        <v>26784.93</v>
      </c>
      <c r="G2319">
        <v>0</v>
      </c>
      <c r="H2319" s="7">
        <v>0</v>
      </c>
    </row>
    <row r="2320" spans="1:8">
      <c r="A2320">
        <v>1</v>
      </c>
      <c r="B2320" t="s">
        <v>42</v>
      </c>
      <c r="C2320" t="s">
        <v>33</v>
      </c>
      <c r="D2320">
        <v>0</v>
      </c>
      <c r="E2320">
        <v>1</v>
      </c>
      <c r="F2320" s="7">
        <v>4623.81</v>
      </c>
      <c r="G2320">
        <v>0</v>
      </c>
      <c r="H2320" s="7">
        <v>0</v>
      </c>
    </row>
    <row r="2321" spans="1:8">
      <c r="A2321">
        <v>1</v>
      </c>
      <c r="B2321" t="s">
        <v>42</v>
      </c>
      <c r="C2321" t="s">
        <v>33</v>
      </c>
      <c r="D2321">
        <v>0</v>
      </c>
      <c r="E2321">
        <v>1</v>
      </c>
      <c r="F2321" s="7">
        <v>2765.61</v>
      </c>
      <c r="G2321">
        <v>0</v>
      </c>
      <c r="H2321" s="7">
        <v>0</v>
      </c>
    </row>
    <row r="2322" spans="1:8">
      <c r="A2322">
        <v>1</v>
      </c>
      <c r="B2322" t="s">
        <v>42</v>
      </c>
      <c r="C2322" t="s">
        <v>33</v>
      </c>
      <c r="D2322">
        <v>0</v>
      </c>
      <c r="E2322">
        <v>1</v>
      </c>
      <c r="F2322" s="7">
        <v>1637.53</v>
      </c>
      <c r="G2322">
        <v>0</v>
      </c>
      <c r="H2322" s="7">
        <v>0</v>
      </c>
    </row>
    <row r="2323" spans="1:8">
      <c r="A2323">
        <v>1</v>
      </c>
      <c r="B2323" t="s">
        <v>42</v>
      </c>
      <c r="C2323" t="s">
        <v>33</v>
      </c>
      <c r="D2323">
        <v>0</v>
      </c>
      <c r="E2323">
        <v>1</v>
      </c>
      <c r="F2323" s="7">
        <v>2893.12</v>
      </c>
      <c r="G2323">
        <v>0</v>
      </c>
      <c r="H2323" s="7">
        <v>0</v>
      </c>
    </row>
    <row r="2324" spans="1:8">
      <c r="A2324">
        <v>1</v>
      </c>
      <c r="B2324" t="s">
        <v>42</v>
      </c>
      <c r="C2324" t="s">
        <v>33</v>
      </c>
      <c r="D2324">
        <v>0</v>
      </c>
      <c r="E2324">
        <v>1</v>
      </c>
      <c r="F2324" s="7">
        <v>8246.79</v>
      </c>
      <c r="G2324">
        <v>0</v>
      </c>
      <c r="H2324" s="7">
        <v>0</v>
      </c>
    </row>
    <row r="2325" spans="1:8">
      <c r="A2325">
        <v>1</v>
      </c>
      <c r="B2325" t="s">
        <v>42</v>
      </c>
      <c r="C2325" t="s">
        <v>34</v>
      </c>
      <c r="D2325">
        <v>0</v>
      </c>
      <c r="E2325">
        <v>1</v>
      </c>
      <c r="F2325" s="7">
        <v>24174.02</v>
      </c>
      <c r="G2325">
        <v>0</v>
      </c>
      <c r="H2325" s="7">
        <v>0</v>
      </c>
    </row>
    <row r="2326" spans="1:8">
      <c r="A2326">
        <v>1</v>
      </c>
      <c r="B2326" t="s">
        <v>42</v>
      </c>
      <c r="C2326" t="s">
        <v>33</v>
      </c>
      <c r="D2326">
        <v>0</v>
      </c>
      <c r="E2326">
        <v>1</v>
      </c>
      <c r="F2326" s="7">
        <v>5340.28</v>
      </c>
      <c r="G2326">
        <v>0</v>
      </c>
      <c r="H2326" s="7">
        <v>0</v>
      </c>
    </row>
    <row r="2327" spans="1:8">
      <c r="A2327">
        <v>1</v>
      </c>
      <c r="B2327" t="s">
        <v>42</v>
      </c>
      <c r="C2327" t="s">
        <v>33</v>
      </c>
      <c r="D2327">
        <v>0</v>
      </c>
      <c r="E2327">
        <v>1</v>
      </c>
      <c r="F2327" s="7">
        <v>2369.48</v>
      </c>
      <c r="G2327">
        <v>0</v>
      </c>
      <c r="H2327" s="7">
        <v>0</v>
      </c>
    </row>
    <row r="2328" spans="1:8">
      <c r="A2328">
        <v>1</v>
      </c>
      <c r="B2328" t="s">
        <v>42</v>
      </c>
      <c r="C2328" t="s">
        <v>33</v>
      </c>
      <c r="D2328">
        <v>0</v>
      </c>
      <c r="E2328">
        <v>1</v>
      </c>
      <c r="F2328" s="7">
        <v>3009.63</v>
      </c>
      <c r="G2328">
        <v>0</v>
      </c>
      <c r="H2328" s="7">
        <v>0</v>
      </c>
    </row>
    <row r="2329" spans="1:8">
      <c r="A2329">
        <v>1</v>
      </c>
      <c r="B2329" t="s">
        <v>42</v>
      </c>
      <c r="C2329" t="s">
        <v>34</v>
      </c>
      <c r="D2329">
        <v>0</v>
      </c>
      <c r="E2329">
        <v>1</v>
      </c>
      <c r="F2329" s="7">
        <v>32535.91</v>
      </c>
      <c r="G2329">
        <v>0</v>
      </c>
      <c r="H2329" s="7">
        <v>0</v>
      </c>
    </row>
    <row r="2330" spans="1:8">
      <c r="A2330">
        <v>1</v>
      </c>
      <c r="B2330" t="s">
        <v>42</v>
      </c>
      <c r="C2330" t="s">
        <v>33</v>
      </c>
      <c r="D2330">
        <v>0</v>
      </c>
      <c r="E2330">
        <v>1</v>
      </c>
      <c r="F2330" s="7">
        <v>5230.88</v>
      </c>
      <c r="G2330">
        <v>0</v>
      </c>
      <c r="H2330" s="7">
        <v>0</v>
      </c>
    </row>
    <row r="2331" spans="1:8">
      <c r="A2331">
        <v>1</v>
      </c>
      <c r="B2331" t="s">
        <v>42</v>
      </c>
      <c r="C2331" t="s">
        <v>32</v>
      </c>
      <c r="D2331">
        <v>0</v>
      </c>
      <c r="E2331">
        <v>1</v>
      </c>
      <c r="F2331" s="7">
        <v>163.72</v>
      </c>
      <c r="G2331">
        <v>0</v>
      </c>
      <c r="H2331" s="7">
        <v>0</v>
      </c>
    </row>
    <row r="2332" spans="1:8">
      <c r="A2332">
        <v>1</v>
      </c>
      <c r="B2332" t="s">
        <v>42</v>
      </c>
      <c r="C2332" t="s">
        <v>33</v>
      </c>
      <c r="D2332">
        <v>0</v>
      </c>
      <c r="E2332">
        <v>1</v>
      </c>
      <c r="F2332" s="7">
        <v>2388.85</v>
      </c>
      <c r="G2332">
        <v>0</v>
      </c>
      <c r="H2332" s="7">
        <v>0</v>
      </c>
    </row>
    <row r="2333" spans="1:8">
      <c r="A2333">
        <v>1</v>
      </c>
      <c r="B2333" t="s">
        <v>42</v>
      </c>
      <c r="C2333" t="s">
        <v>33</v>
      </c>
      <c r="D2333">
        <v>0</v>
      </c>
      <c r="E2333">
        <v>1</v>
      </c>
      <c r="F2333" s="7">
        <v>6980.56</v>
      </c>
      <c r="G2333">
        <v>0</v>
      </c>
      <c r="H2333" s="7">
        <v>0</v>
      </c>
    </row>
    <row r="2334" spans="1:8">
      <c r="A2334">
        <v>1</v>
      </c>
      <c r="B2334" t="s">
        <v>44</v>
      </c>
      <c r="C2334" t="s">
        <v>35</v>
      </c>
      <c r="D2334">
        <v>0</v>
      </c>
      <c r="E2334">
        <v>1</v>
      </c>
      <c r="F2334" s="7">
        <v>153596.45</v>
      </c>
      <c r="G2334">
        <v>0</v>
      </c>
      <c r="H2334" s="7">
        <v>0</v>
      </c>
    </row>
    <row r="2335" spans="1:8">
      <c r="A2335">
        <v>1</v>
      </c>
      <c r="B2335" t="s">
        <v>42</v>
      </c>
      <c r="C2335" t="s">
        <v>32</v>
      </c>
      <c r="D2335">
        <v>0</v>
      </c>
      <c r="E2335">
        <v>1</v>
      </c>
      <c r="F2335" s="7">
        <v>436.15</v>
      </c>
      <c r="G2335">
        <v>0</v>
      </c>
      <c r="H2335" s="7">
        <v>0</v>
      </c>
    </row>
    <row r="2336" spans="1:8">
      <c r="A2336">
        <v>1</v>
      </c>
      <c r="B2336" t="s">
        <v>42</v>
      </c>
      <c r="C2336" t="s">
        <v>33</v>
      </c>
      <c r="D2336">
        <v>0</v>
      </c>
      <c r="E2336">
        <v>1</v>
      </c>
      <c r="F2336" s="7">
        <v>1928.87</v>
      </c>
      <c r="G2336">
        <v>0</v>
      </c>
      <c r="H2336" s="7">
        <v>0</v>
      </c>
    </row>
    <row r="2337" spans="1:8">
      <c r="A2337">
        <v>1</v>
      </c>
      <c r="B2337" t="s">
        <v>42</v>
      </c>
      <c r="C2337" t="s">
        <v>32</v>
      </c>
      <c r="D2337">
        <v>0</v>
      </c>
      <c r="E2337">
        <v>1</v>
      </c>
      <c r="F2337" s="7">
        <v>884.42</v>
      </c>
      <c r="G2337">
        <v>0</v>
      </c>
      <c r="H2337" s="7">
        <v>0</v>
      </c>
    </row>
    <row r="2338" spans="1:8">
      <c r="A2338">
        <v>1</v>
      </c>
      <c r="B2338" t="s">
        <v>45</v>
      </c>
      <c r="C2338" t="s">
        <v>33</v>
      </c>
      <c r="D2338">
        <v>0</v>
      </c>
      <c r="E2338">
        <v>1</v>
      </c>
      <c r="F2338" s="7">
        <v>2655.04</v>
      </c>
      <c r="G2338">
        <v>0</v>
      </c>
      <c r="H2338" s="7">
        <v>0</v>
      </c>
    </row>
    <row r="2339" spans="1:8">
      <c r="A2339">
        <v>1</v>
      </c>
      <c r="B2339" t="s">
        <v>42</v>
      </c>
      <c r="C2339" t="s">
        <v>33</v>
      </c>
      <c r="D2339">
        <v>0</v>
      </c>
      <c r="E2339">
        <v>1</v>
      </c>
      <c r="F2339" s="7">
        <v>4528.17</v>
      </c>
      <c r="G2339">
        <v>0</v>
      </c>
      <c r="H2339" s="7">
        <v>0</v>
      </c>
    </row>
    <row r="2340" spans="1:8">
      <c r="A2340">
        <v>1</v>
      </c>
      <c r="B2340" t="s">
        <v>43</v>
      </c>
      <c r="C2340" t="s">
        <v>34</v>
      </c>
      <c r="D2340">
        <v>0</v>
      </c>
      <c r="E2340">
        <v>1</v>
      </c>
      <c r="F2340" s="7">
        <v>36010.9</v>
      </c>
      <c r="G2340">
        <v>0</v>
      </c>
      <c r="H2340" s="7">
        <v>0</v>
      </c>
    </row>
    <row r="2341" spans="1:8">
      <c r="A2341">
        <v>1</v>
      </c>
      <c r="B2341" t="s">
        <v>43</v>
      </c>
      <c r="C2341" t="s">
        <v>35</v>
      </c>
      <c r="D2341">
        <v>0</v>
      </c>
      <c r="E2341">
        <v>1</v>
      </c>
      <c r="F2341" s="7">
        <v>183465.11</v>
      </c>
      <c r="G2341">
        <v>0</v>
      </c>
      <c r="H2341" s="7">
        <v>0</v>
      </c>
    </row>
    <row r="2342" spans="1:8">
      <c r="A2342">
        <v>1</v>
      </c>
      <c r="B2342" t="s">
        <v>43</v>
      </c>
      <c r="C2342" t="s">
        <v>34</v>
      </c>
      <c r="D2342">
        <v>0</v>
      </c>
      <c r="E2342">
        <v>1</v>
      </c>
      <c r="F2342" s="7">
        <v>57716.15</v>
      </c>
      <c r="G2342">
        <v>0</v>
      </c>
      <c r="H2342" s="7">
        <v>0</v>
      </c>
    </row>
    <row r="2343" spans="1:8">
      <c r="A2343">
        <v>1</v>
      </c>
      <c r="B2343" t="s">
        <v>42</v>
      </c>
      <c r="C2343" t="s">
        <v>33</v>
      </c>
      <c r="D2343">
        <v>0</v>
      </c>
      <c r="E2343">
        <v>1</v>
      </c>
      <c r="F2343" s="7">
        <v>4074.2</v>
      </c>
      <c r="G2343">
        <v>0</v>
      </c>
      <c r="H2343" s="7">
        <v>0</v>
      </c>
    </row>
    <row r="2344" spans="1:8">
      <c r="A2344">
        <v>1</v>
      </c>
      <c r="B2344" t="s">
        <v>43</v>
      </c>
      <c r="C2344" t="s">
        <v>35</v>
      </c>
      <c r="D2344">
        <v>0</v>
      </c>
      <c r="E2344">
        <v>1</v>
      </c>
      <c r="F2344" s="7">
        <v>601898.44</v>
      </c>
      <c r="G2344">
        <v>0</v>
      </c>
      <c r="H2344" s="7">
        <v>0</v>
      </c>
    </row>
    <row r="2345" spans="1:8">
      <c r="A2345">
        <v>1</v>
      </c>
      <c r="B2345" t="s">
        <v>42</v>
      </c>
      <c r="C2345" t="s">
        <v>33</v>
      </c>
      <c r="D2345">
        <v>0</v>
      </c>
      <c r="E2345">
        <v>1</v>
      </c>
      <c r="F2345" s="7">
        <v>4601.56</v>
      </c>
      <c r="G2345">
        <v>0</v>
      </c>
      <c r="H2345" s="7">
        <v>0</v>
      </c>
    </row>
    <row r="2346" spans="1:8">
      <c r="A2346">
        <v>1</v>
      </c>
      <c r="B2346" t="s">
        <v>42</v>
      </c>
      <c r="C2346" t="s">
        <v>33</v>
      </c>
      <c r="D2346">
        <v>0</v>
      </c>
      <c r="E2346">
        <v>1</v>
      </c>
      <c r="F2346" s="7">
        <v>2286.28</v>
      </c>
      <c r="G2346">
        <v>0</v>
      </c>
      <c r="H2346" s="7">
        <v>0</v>
      </c>
    </row>
    <row r="2347" spans="1:8">
      <c r="A2347">
        <v>1</v>
      </c>
      <c r="B2347" t="s">
        <v>42</v>
      </c>
      <c r="C2347" t="s">
        <v>34</v>
      </c>
      <c r="D2347">
        <v>0</v>
      </c>
      <c r="E2347">
        <v>1</v>
      </c>
      <c r="F2347" s="7">
        <v>10855.04</v>
      </c>
      <c r="G2347">
        <v>0</v>
      </c>
      <c r="H2347" s="7">
        <v>0</v>
      </c>
    </row>
    <row r="2348" spans="1:8">
      <c r="A2348">
        <v>1</v>
      </c>
      <c r="B2348" t="s">
        <v>42</v>
      </c>
      <c r="C2348" t="s">
        <v>33</v>
      </c>
      <c r="D2348">
        <v>0</v>
      </c>
      <c r="E2348">
        <v>1</v>
      </c>
      <c r="F2348" s="7">
        <v>7590.6</v>
      </c>
      <c r="G2348">
        <v>0</v>
      </c>
      <c r="H2348" s="7">
        <v>0</v>
      </c>
    </row>
    <row r="2349" spans="1:8">
      <c r="A2349">
        <v>1</v>
      </c>
      <c r="B2349" t="s">
        <v>42</v>
      </c>
      <c r="C2349" t="s">
        <v>33</v>
      </c>
      <c r="D2349">
        <v>0</v>
      </c>
      <c r="E2349">
        <v>1</v>
      </c>
      <c r="F2349" s="7">
        <v>4887.09</v>
      </c>
      <c r="G2349">
        <v>0</v>
      </c>
      <c r="H2349" s="7">
        <v>0</v>
      </c>
    </row>
    <row r="2350" spans="1:8">
      <c r="A2350">
        <v>1</v>
      </c>
      <c r="B2350" t="s">
        <v>42</v>
      </c>
      <c r="C2350" t="s">
        <v>32</v>
      </c>
      <c r="D2350">
        <v>0</v>
      </c>
      <c r="E2350">
        <v>1</v>
      </c>
      <c r="F2350" s="7">
        <v>637.26</v>
      </c>
      <c r="G2350">
        <v>0</v>
      </c>
      <c r="H2350" s="7">
        <v>0</v>
      </c>
    </row>
    <row r="2351" spans="1:8">
      <c r="A2351">
        <v>1</v>
      </c>
      <c r="B2351" t="s">
        <v>43</v>
      </c>
      <c r="C2351" t="s">
        <v>35</v>
      </c>
      <c r="D2351">
        <v>0</v>
      </c>
      <c r="E2351">
        <v>1</v>
      </c>
      <c r="F2351" s="7">
        <v>149617.83</v>
      </c>
      <c r="G2351">
        <v>0</v>
      </c>
      <c r="H2351" s="7">
        <v>0</v>
      </c>
    </row>
    <row r="2352" spans="1:8">
      <c r="A2352">
        <v>1</v>
      </c>
      <c r="B2352" t="s">
        <v>43</v>
      </c>
      <c r="C2352" t="s">
        <v>35</v>
      </c>
      <c r="D2352">
        <v>0</v>
      </c>
      <c r="E2352">
        <v>1</v>
      </c>
      <c r="F2352" s="7">
        <v>108019.99</v>
      </c>
      <c r="G2352">
        <v>0</v>
      </c>
      <c r="H2352" s="7">
        <v>0</v>
      </c>
    </row>
    <row r="2353" spans="1:8">
      <c r="A2353">
        <v>1</v>
      </c>
      <c r="B2353" t="s">
        <v>42</v>
      </c>
      <c r="C2353" t="s">
        <v>33</v>
      </c>
      <c r="D2353">
        <v>0</v>
      </c>
      <c r="E2353">
        <v>1</v>
      </c>
      <c r="F2353" s="7">
        <v>5509.5</v>
      </c>
      <c r="G2353">
        <v>0</v>
      </c>
      <c r="H2353" s="7">
        <v>0</v>
      </c>
    </row>
    <row r="2354" spans="1:8">
      <c r="A2354">
        <v>1</v>
      </c>
      <c r="B2354" t="s">
        <v>43</v>
      </c>
      <c r="C2354" t="s">
        <v>34</v>
      </c>
      <c r="D2354">
        <v>0</v>
      </c>
      <c r="E2354">
        <v>1</v>
      </c>
      <c r="F2354" s="7">
        <v>83845.22</v>
      </c>
      <c r="G2354">
        <v>0</v>
      </c>
      <c r="H2354" s="7">
        <v>0</v>
      </c>
    </row>
    <row r="2355" spans="1:8">
      <c r="A2355">
        <v>1</v>
      </c>
      <c r="B2355" t="s">
        <v>42</v>
      </c>
      <c r="C2355" t="s">
        <v>33</v>
      </c>
      <c r="D2355">
        <v>0</v>
      </c>
      <c r="E2355">
        <v>1</v>
      </c>
      <c r="F2355" s="7">
        <v>7059.05</v>
      </c>
      <c r="G2355">
        <v>0</v>
      </c>
      <c r="H2355" s="7">
        <v>0</v>
      </c>
    </row>
    <row r="2356" spans="1:8">
      <c r="A2356">
        <v>1</v>
      </c>
      <c r="B2356" t="s">
        <v>44</v>
      </c>
      <c r="C2356" t="s">
        <v>35</v>
      </c>
      <c r="D2356">
        <v>0</v>
      </c>
      <c r="E2356">
        <v>1</v>
      </c>
      <c r="F2356" s="7">
        <v>462688.96</v>
      </c>
      <c r="G2356">
        <v>0</v>
      </c>
      <c r="H2356" s="7">
        <v>0</v>
      </c>
    </row>
    <row r="2357" spans="1:8">
      <c r="A2357">
        <v>1</v>
      </c>
      <c r="B2357" t="s">
        <v>44</v>
      </c>
      <c r="C2357" t="s">
        <v>34</v>
      </c>
      <c r="D2357">
        <v>0</v>
      </c>
      <c r="E2357">
        <v>1</v>
      </c>
      <c r="F2357" s="7">
        <v>75915.44</v>
      </c>
      <c r="G2357">
        <v>0</v>
      </c>
      <c r="H2357" s="7">
        <v>0</v>
      </c>
    </row>
    <row r="2358" spans="1:8">
      <c r="A2358">
        <v>1</v>
      </c>
      <c r="B2358" t="s">
        <v>43</v>
      </c>
      <c r="C2358" t="s">
        <v>35</v>
      </c>
      <c r="D2358">
        <v>0</v>
      </c>
      <c r="E2358">
        <v>1</v>
      </c>
      <c r="F2358" s="7">
        <v>383533.35</v>
      </c>
      <c r="G2358">
        <v>0</v>
      </c>
      <c r="H2358" s="7">
        <v>0</v>
      </c>
    </row>
    <row r="2359" spans="1:8">
      <c r="A2359">
        <v>1</v>
      </c>
      <c r="B2359" t="s">
        <v>42</v>
      </c>
      <c r="C2359" t="s">
        <v>33</v>
      </c>
      <c r="D2359">
        <v>0</v>
      </c>
      <c r="E2359">
        <v>1</v>
      </c>
      <c r="F2359" s="7">
        <v>2270.53</v>
      </c>
      <c r="G2359">
        <v>0</v>
      </c>
      <c r="H2359" s="7">
        <v>0</v>
      </c>
    </row>
    <row r="2360" spans="1:8">
      <c r="A2360">
        <v>1</v>
      </c>
      <c r="B2360" t="s">
        <v>42</v>
      </c>
      <c r="C2360" t="s">
        <v>32</v>
      </c>
      <c r="D2360">
        <v>0</v>
      </c>
      <c r="E2360">
        <v>1</v>
      </c>
      <c r="F2360" s="7">
        <v>952.08</v>
      </c>
      <c r="G2360">
        <v>0</v>
      </c>
      <c r="H2360" s="7">
        <v>0</v>
      </c>
    </row>
    <row r="2361" spans="1:8">
      <c r="A2361">
        <v>1</v>
      </c>
      <c r="B2361" t="s">
        <v>42</v>
      </c>
      <c r="C2361" t="s">
        <v>33</v>
      </c>
      <c r="D2361">
        <v>0</v>
      </c>
      <c r="E2361">
        <v>1</v>
      </c>
      <c r="F2361" s="7">
        <v>7855.62</v>
      </c>
      <c r="G2361">
        <v>0</v>
      </c>
      <c r="H2361" s="7">
        <v>0</v>
      </c>
    </row>
    <row r="2362" spans="1:8">
      <c r="A2362">
        <v>1</v>
      </c>
      <c r="B2362" t="s">
        <v>43</v>
      </c>
      <c r="C2362" t="s">
        <v>35</v>
      </c>
      <c r="D2362">
        <v>0</v>
      </c>
      <c r="E2362">
        <v>1</v>
      </c>
      <c r="F2362" s="7">
        <v>347391.16</v>
      </c>
      <c r="G2362">
        <v>0</v>
      </c>
      <c r="H2362" s="7">
        <v>0</v>
      </c>
    </row>
    <row r="2363" spans="1:8">
      <c r="A2363">
        <v>1</v>
      </c>
      <c r="B2363" t="s">
        <v>42</v>
      </c>
      <c r="C2363" t="s">
        <v>34</v>
      </c>
      <c r="D2363">
        <v>0</v>
      </c>
      <c r="E2363">
        <v>1</v>
      </c>
      <c r="F2363" s="7">
        <v>10255.93</v>
      </c>
      <c r="G2363">
        <v>0</v>
      </c>
      <c r="H2363" s="7">
        <v>0</v>
      </c>
    </row>
    <row r="2364" spans="1:8">
      <c r="A2364">
        <v>1</v>
      </c>
      <c r="B2364" t="s">
        <v>42</v>
      </c>
      <c r="C2364" t="s">
        <v>34</v>
      </c>
      <c r="D2364">
        <v>0</v>
      </c>
      <c r="E2364">
        <v>1</v>
      </c>
      <c r="F2364" s="7">
        <v>10729.47</v>
      </c>
      <c r="G2364">
        <v>0</v>
      </c>
      <c r="H2364" s="7">
        <v>0</v>
      </c>
    </row>
    <row r="2365" spans="1:8">
      <c r="A2365">
        <v>1</v>
      </c>
      <c r="B2365" t="s">
        <v>42</v>
      </c>
      <c r="C2365" t="s">
        <v>33</v>
      </c>
      <c r="D2365">
        <v>0</v>
      </c>
      <c r="E2365">
        <v>1</v>
      </c>
      <c r="F2365" s="7">
        <v>2288.61</v>
      </c>
      <c r="G2365">
        <v>0</v>
      </c>
      <c r="H2365" s="7">
        <v>0</v>
      </c>
    </row>
    <row r="2366" spans="1:8">
      <c r="A2366">
        <v>1</v>
      </c>
      <c r="B2366" t="s">
        <v>42</v>
      </c>
      <c r="C2366" t="s">
        <v>33</v>
      </c>
      <c r="D2366">
        <v>0</v>
      </c>
      <c r="E2366">
        <v>1</v>
      </c>
      <c r="F2366" s="7">
        <v>5674.62</v>
      </c>
      <c r="G2366">
        <v>0</v>
      </c>
      <c r="H2366" s="7">
        <v>0</v>
      </c>
    </row>
    <row r="2367" spans="1:8">
      <c r="A2367">
        <v>1</v>
      </c>
      <c r="B2367" t="s">
        <v>42</v>
      </c>
      <c r="C2367" t="s">
        <v>33</v>
      </c>
      <c r="D2367">
        <v>0</v>
      </c>
      <c r="E2367">
        <v>1</v>
      </c>
      <c r="F2367" s="7">
        <v>4546.83</v>
      </c>
      <c r="G2367">
        <v>0</v>
      </c>
      <c r="H2367" s="7">
        <v>0</v>
      </c>
    </row>
    <row r="2368" spans="1:8">
      <c r="A2368">
        <v>1</v>
      </c>
      <c r="B2368" t="s">
        <v>42</v>
      </c>
      <c r="C2368" t="s">
        <v>34</v>
      </c>
      <c r="D2368">
        <v>0</v>
      </c>
      <c r="E2368">
        <v>1</v>
      </c>
      <c r="F2368" s="7">
        <v>23235.78</v>
      </c>
      <c r="G2368">
        <v>0</v>
      </c>
      <c r="H2368" s="7">
        <v>0</v>
      </c>
    </row>
    <row r="2369" spans="1:8">
      <c r="A2369">
        <v>1</v>
      </c>
      <c r="B2369" t="s">
        <v>42</v>
      </c>
      <c r="C2369" t="s">
        <v>33</v>
      </c>
      <c r="D2369">
        <v>0</v>
      </c>
      <c r="E2369">
        <v>1</v>
      </c>
      <c r="F2369" s="7">
        <v>3697.26</v>
      </c>
      <c r="G2369">
        <v>0</v>
      </c>
      <c r="H2369" s="7">
        <v>0</v>
      </c>
    </row>
    <row r="2370" spans="1:8">
      <c r="A2370">
        <v>1</v>
      </c>
      <c r="B2370" t="s">
        <v>42</v>
      </c>
      <c r="C2370" t="s">
        <v>33</v>
      </c>
      <c r="D2370">
        <v>0</v>
      </c>
      <c r="E2370">
        <v>1</v>
      </c>
      <c r="F2370" s="7">
        <v>1215.86</v>
      </c>
      <c r="G2370">
        <v>0</v>
      </c>
      <c r="H2370" s="7">
        <v>0</v>
      </c>
    </row>
    <row r="2371" spans="1:8">
      <c r="A2371">
        <v>1</v>
      </c>
      <c r="B2371" t="s">
        <v>42</v>
      </c>
      <c r="C2371" t="s">
        <v>33</v>
      </c>
      <c r="D2371">
        <v>0</v>
      </c>
      <c r="E2371">
        <v>1</v>
      </c>
      <c r="F2371" s="7">
        <v>4377.04</v>
      </c>
      <c r="G2371">
        <v>0</v>
      </c>
      <c r="H2371" s="7">
        <v>0</v>
      </c>
    </row>
    <row r="2372" spans="1:8">
      <c r="A2372">
        <v>1</v>
      </c>
      <c r="B2372" t="s">
        <v>42</v>
      </c>
      <c r="C2372" t="s">
        <v>33</v>
      </c>
      <c r="D2372">
        <v>0</v>
      </c>
      <c r="E2372">
        <v>1</v>
      </c>
      <c r="F2372" s="7">
        <v>5899.63</v>
      </c>
      <c r="G2372">
        <v>0</v>
      </c>
      <c r="H2372" s="7">
        <v>0</v>
      </c>
    </row>
    <row r="2373" spans="1:8">
      <c r="A2373">
        <v>1</v>
      </c>
      <c r="B2373" t="s">
        <v>42</v>
      </c>
      <c r="C2373" t="s">
        <v>34</v>
      </c>
      <c r="D2373">
        <v>0</v>
      </c>
      <c r="E2373">
        <v>1</v>
      </c>
      <c r="F2373" s="7">
        <v>12128.78</v>
      </c>
      <c r="G2373">
        <v>0</v>
      </c>
      <c r="H2373" s="7">
        <v>0</v>
      </c>
    </row>
    <row r="2374" spans="1:8">
      <c r="A2374">
        <v>1</v>
      </c>
      <c r="B2374" t="s">
        <v>42</v>
      </c>
      <c r="C2374" t="s">
        <v>34</v>
      </c>
      <c r="D2374">
        <v>0</v>
      </c>
      <c r="E2374">
        <v>1</v>
      </c>
      <c r="F2374" s="7">
        <v>10972.97</v>
      </c>
      <c r="G2374">
        <v>0</v>
      </c>
      <c r="H2374" s="7">
        <v>0</v>
      </c>
    </row>
    <row r="2375" spans="1:8">
      <c r="A2375">
        <v>1</v>
      </c>
      <c r="B2375" t="s">
        <v>42</v>
      </c>
      <c r="C2375" t="s">
        <v>34</v>
      </c>
      <c r="D2375">
        <v>0</v>
      </c>
      <c r="E2375">
        <v>1</v>
      </c>
      <c r="F2375" s="7">
        <v>14157.15</v>
      </c>
      <c r="G2375">
        <v>0</v>
      </c>
      <c r="H2375" s="7">
        <v>0</v>
      </c>
    </row>
    <row r="2376" spans="1:8">
      <c r="A2376">
        <v>1</v>
      </c>
      <c r="B2376" t="s">
        <v>42</v>
      </c>
      <c r="C2376" t="s">
        <v>34</v>
      </c>
      <c r="D2376">
        <v>0</v>
      </c>
      <c r="E2376">
        <v>1</v>
      </c>
      <c r="F2376" s="7">
        <v>22941.92</v>
      </c>
      <c r="G2376">
        <v>0</v>
      </c>
      <c r="H2376" s="7">
        <v>0</v>
      </c>
    </row>
    <row r="2377" spans="1:8">
      <c r="A2377">
        <v>1</v>
      </c>
      <c r="B2377" t="s">
        <v>42</v>
      </c>
      <c r="C2377" t="s">
        <v>34</v>
      </c>
      <c r="D2377">
        <v>0</v>
      </c>
      <c r="E2377">
        <v>1</v>
      </c>
      <c r="F2377" s="7">
        <v>14223.81</v>
      </c>
      <c r="G2377">
        <v>0</v>
      </c>
      <c r="H2377" s="7">
        <v>0</v>
      </c>
    </row>
    <row r="2378" spans="1:8">
      <c r="A2378">
        <v>1</v>
      </c>
      <c r="B2378" t="s">
        <v>42</v>
      </c>
      <c r="C2378" t="s">
        <v>34</v>
      </c>
      <c r="D2378">
        <v>0</v>
      </c>
      <c r="E2378">
        <v>1</v>
      </c>
      <c r="F2378" s="7">
        <v>62820.46</v>
      </c>
      <c r="G2378">
        <v>0</v>
      </c>
      <c r="H2378" s="7">
        <v>0</v>
      </c>
    </row>
    <row r="2379" spans="1:8">
      <c r="A2379">
        <v>1</v>
      </c>
      <c r="B2379" t="s">
        <v>42</v>
      </c>
      <c r="C2379" t="s">
        <v>33</v>
      </c>
      <c r="D2379">
        <v>0</v>
      </c>
      <c r="E2379">
        <v>1</v>
      </c>
      <c r="F2379" s="7">
        <v>6001.21</v>
      </c>
      <c r="G2379">
        <v>0</v>
      </c>
      <c r="H2379" s="7">
        <v>0</v>
      </c>
    </row>
    <row r="2380" spans="1:8">
      <c r="A2380">
        <v>1</v>
      </c>
      <c r="B2380" t="s">
        <v>42</v>
      </c>
      <c r="C2380" t="s">
        <v>34</v>
      </c>
      <c r="D2380">
        <v>0</v>
      </c>
      <c r="E2380">
        <v>1</v>
      </c>
      <c r="F2380" s="7">
        <v>12273.24</v>
      </c>
      <c r="G2380">
        <v>0</v>
      </c>
      <c r="H2380" s="7">
        <v>0</v>
      </c>
    </row>
    <row r="2381" spans="1:8">
      <c r="A2381">
        <v>1</v>
      </c>
      <c r="B2381" t="s">
        <v>42</v>
      </c>
      <c r="C2381" t="s">
        <v>32</v>
      </c>
      <c r="D2381">
        <v>0</v>
      </c>
      <c r="E2381">
        <v>1</v>
      </c>
      <c r="F2381" s="7">
        <v>594.09</v>
      </c>
      <c r="G2381">
        <v>0</v>
      </c>
      <c r="H2381" s="7">
        <v>0</v>
      </c>
    </row>
    <row r="2382" spans="1:8">
      <c r="A2382">
        <v>1</v>
      </c>
      <c r="B2382" t="s">
        <v>43</v>
      </c>
      <c r="C2382" t="s">
        <v>35</v>
      </c>
      <c r="D2382">
        <v>0</v>
      </c>
      <c r="E2382">
        <v>1</v>
      </c>
      <c r="F2382" s="7">
        <v>145515.24</v>
      </c>
      <c r="G2382">
        <v>0</v>
      </c>
      <c r="H2382" s="7">
        <v>0</v>
      </c>
    </row>
    <row r="2383" spans="1:8">
      <c r="A2383">
        <v>1</v>
      </c>
      <c r="B2383" t="s">
        <v>42</v>
      </c>
      <c r="C2383" t="s">
        <v>33</v>
      </c>
      <c r="D2383">
        <v>0</v>
      </c>
      <c r="E2383">
        <v>1</v>
      </c>
      <c r="F2383" s="7">
        <v>6598.82</v>
      </c>
      <c r="G2383">
        <v>0</v>
      </c>
      <c r="H2383" s="7">
        <v>0</v>
      </c>
    </row>
    <row r="2384" spans="1:8">
      <c r="A2384">
        <v>1</v>
      </c>
      <c r="B2384" t="s">
        <v>43</v>
      </c>
      <c r="C2384" t="s">
        <v>34</v>
      </c>
      <c r="D2384">
        <v>0</v>
      </c>
      <c r="E2384">
        <v>1</v>
      </c>
      <c r="F2384" s="7">
        <v>15326.3</v>
      </c>
      <c r="G2384">
        <v>0</v>
      </c>
      <c r="H2384" s="7">
        <v>0</v>
      </c>
    </row>
    <row r="2385" spans="1:8">
      <c r="A2385">
        <v>1</v>
      </c>
      <c r="B2385" t="s">
        <v>42</v>
      </c>
      <c r="C2385" t="s">
        <v>33</v>
      </c>
      <c r="D2385">
        <v>0</v>
      </c>
      <c r="E2385">
        <v>1</v>
      </c>
      <c r="F2385" s="7">
        <v>6705.75</v>
      </c>
      <c r="G2385">
        <v>0</v>
      </c>
      <c r="H2385" s="7">
        <v>0</v>
      </c>
    </row>
    <row r="2386" spans="1:8">
      <c r="A2386">
        <v>1</v>
      </c>
      <c r="B2386" t="s">
        <v>42</v>
      </c>
      <c r="C2386" t="s">
        <v>34</v>
      </c>
      <c r="D2386">
        <v>0</v>
      </c>
      <c r="E2386">
        <v>1</v>
      </c>
      <c r="F2386" s="7">
        <v>11608.18</v>
      </c>
      <c r="G2386">
        <v>0</v>
      </c>
      <c r="H2386" s="7">
        <v>0</v>
      </c>
    </row>
    <row r="2387" spans="1:8">
      <c r="A2387">
        <v>1</v>
      </c>
      <c r="B2387" t="s">
        <v>42</v>
      </c>
      <c r="C2387" t="s">
        <v>33</v>
      </c>
      <c r="D2387">
        <v>0</v>
      </c>
      <c r="E2387">
        <v>1</v>
      </c>
      <c r="F2387" s="7">
        <v>6848.97</v>
      </c>
      <c r="G2387">
        <v>0</v>
      </c>
      <c r="H2387" s="7">
        <v>0</v>
      </c>
    </row>
    <row r="2388" spans="1:8">
      <c r="A2388">
        <v>1</v>
      </c>
      <c r="B2388" t="s">
        <v>42</v>
      </c>
      <c r="C2388" t="s">
        <v>33</v>
      </c>
      <c r="D2388">
        <v>0</v>
      </c>
      <c r="E2388">
        <v>1</v>
      </c>
      <c r="F2388" s="7">
        <v>1130.44</v>
      </c>
      <c r="G2388">
        <v>0</v>
      </c>
      <c r="H2388" s="7">
        <v>0</v>
      </c>
    </row>
    <row r="2389" spans="1:8">
      <c r="A2389">
        <v>1</v>
      </c>
      <c r="B2389" t="s">
        <v>42</v>
      </c>
      <c r="C2389" t="s">
        <v>33</v>
      </c>
      <c r="D2389">
        <v>0</v>
      </c>
      <c r="E2389">
        <v>1</v>
      </c>
      <c r="F2389" s="7">
        <v>2279.92</v>
      </c>
      <c r="G2389">
        <v>0</v>
      </c>
      <c r="H2389" s="7">
        <v>0</v>
      </c>
    </row>
    <row r="2390" spans="1:8">
      <c r="A2390">
        <v>1</v>
      </c>
      <c r="B2390" t="s">
        <v>42</v>
      </c>
      <c r="C2390" t="s">
        <v>33</v>
      </c>
      <c r="D2390">
        <v>0</v>
      </c>
      <c r="E2390">
        <v>1</v>
      </c>
      <c r="F2390" s="7">
        <v>6913.46</v>
      </c>
      <c r="G2390">
        <v>0</v>
      </c>
      <c r="H2390" s="7">
        <v>0</v>
      </c>
    </row>
    <row r="2391" spans="1:8">
      <c r="A2391">
        <v>1</v>
      </c>
      <c r="B2391" t="s">
        <v>45</v>
      </c>
      <c r="C2391" t="s">
        <v>33</v>
      </c>
      <c r="D2391">
        <v>0</v>
      </c>
      <c r="E2391">
        <v>1</v>
      </c>
      <c r="F2391" s="7">
        <v>3837.3</v>
      </c>
      <c r="G2391">
        <v>0</v>
      </c>
      <c r="H2391" s="7">
        <v>0</v>
      </c>
    </row>
    <row r="2392" spans="1:8">
      <c r="A2392">
        <v>1</v>
      </c>
      <c r="B2392" t="s">
        <v>45</v>
      </c>
      <c r="C2392" t="s">
        <v>33</v>
      </c>
      <c r="D2392">
        <v>0</v>
      </c>
      <c r="E2392">
        <v>1</v>
      </c>
      <c r="F2392" s="7">
        <v>2589.19</v>
      </c>
      <c r="G2392">
        <v>0</v>
      </c>
      <c r="H2392" s="7">
        <v>0</v>
      </c>
    </row>
    <row r="2393" spans="1:8">
      <c r="A2393">
        <v>1</v>
      </c>
      <c r="B2393" t="s">
        <v>42</v>
      </c>
      <c r="C2393" t="s">
        <v>33</v>
      </c>
      <c r="D2393">
        <v>0</v>
      </c>
      <c r="E2393">
        <v>1</v>
      </c>
      <c r="F2393" s="7">
        <v>2388.2</v>
      </c>
      <c r="G2393">
        <v>0</v>
      </c>
      <c r="H2393" s="7">
        <v>0</v>
      </c>
    </row>
    <row r="2394" spans="1:8">
      <c r="A2394">
        <v>1</v>
      </c>
      <c r="B2394" t="s">
        <v>42</v>
      </c>
      <c r="C2394" t="s">
        <v>33</v>
      </c>
      <c r="D2394">
        <v>0</v>
      </c>
      <c r="E2394">
        <v>1</v>
      </c>
      <c r="F2394" s="7">
        <v>2232.83</v>
      </c>
      <c r="G2394">
        <v>0</v>
      </c>
      <c r="H2394" s="7">
        <v>0</v>
      </c>
    </row>
    <row r="2395" spans="1:8">
      <c r="A2395">
        <v>1</v>
      </c>
      <c r="B2395" t="s">
        <v>46</v>
      </c>
      <c r="C2395" t="s">
        <v>34</v>
      </c>
      <c r="D2395">
        <v>0</v>
      </c>
      <c r="E2395">
        <v>1</v>
      </c>
      <c r="F2395" s="7">
        <v>93413.63</v>
      </c>
      <c r="G2395">
        <v>0</v>
      </c>
      <c r="H2395" s="7">
        <v>0</v>
      </c>
    </row>
    <row r="2396" spans="1:8">
      <c r="A2396">
        <v>1</v>
      </c>
      <c r="B2396" t="s">
        <v>42</v>
      </c>
      <c r="C2396" t="s">
        <v>33</v>
      </c>
      <c r="D2396">
        <v>0</v>
      </c>
      <c r="E2396">
        <v>1</v>
      </c>
      <c r="F2396" s="7">
        <v>2221.22</v>
      </c>
      <c r="G2396">
        <v>0</v>
      </c>
      <c r="H2396" s="7">
        <v>0</v>
      </c>
    </row>
    <row r="2397" spans="1:8">
      <c r="A2397">
        <v>1</v>
      </c>
      <c r="B2397" t="s">
        <v>44</v>
      </c>
      <c r="C2397" t="s">
        <v>35</v>
      </c>
      <c r="D2397">
        <v>0</v>
      </c>
      <c r="E2397">
        <v>1</v>
      </c>
      <c r="F2397" s="7">
        <v>214202.66</v>
      </c>
      <c r="G2397">
        <v>0</v>
      </c>
      <c r="H2397" s="7">
        <v>0</v>
      </c>
    </row>
    <row r="2398" spans="1:8">
      <c r="A2398">
        <v>1</v>
      </c>
      <c r="B2398" t="s">
        <v>42</v>
      </c>
      <c r="C2398" t="s">
        <v>33</v>
      </c>
      <c r="D2398">
        <v>0</v>
      </c>
      <c r="E2398">
        <v>1</v>
      </c>
      <c r="F2398" s="7">
        <v>2387.09</v>
      </c>
      <c r="G2398">
        <v>0</v>
      </c>
      <c r="H2398" s="7">
        <v>0</v>
      </c>
    </row>
    <row r="2399" spans="1:8">
      <c r="A2399">
        <v>1</v>
      </c>
      <c r="B2399" t="s">
        <v>42</v>
      </c>
      <c r="C2399" t="s">
        <v>34</v>
      </c>
      <c r="D2399">
        <v>0</v>
      </c>
      <c r="E2399">
        <v>1</v>
      </c>
      <c r="F2399" s="7">
        <v>10493.4</v>
      </c>
      <c r="G2399">
        <v>0</v>
      </c>
      <c r="H2399" s="7">
        <v>0</v>
      </c>
    </row>
    <row r="2400" spans="1:8">
      <c r="A2400">
        <v>1</v>
      </c>
      <c r="B2400" t="s">
        <v>42</v>
      </c>
      <c r="C2400" t="s">
        <v>33</v>
      </c>
      <c r="D2400">
        <v>0</v>
      </c>
      <c r="E2400">
        <v>1</v>
      </c>
      <c r="F2400" s="7">
        <v>6433.58</v>
      </c>
      <c r="G2400">
        <v>0</v>
      </c>
      <c r="H2400" s="7">
        <v>0</v>
      </c>
    </row>
    <row r="2401" spans="1:8">
      <c r="A2401">
        <v>1</v>
      </c>
      <c r="B2401" t="s">
        <v>44</v>
      </c>
      <c r="C2401" t="s">
        <v>35</v>
      </c>
      <c r="D2401">
        <v>0</v>
      </c>
      <c r="E2401">
        <v>1</v>
      </c>
      <c r="F2401" s="7">
        <v>136564.27</v>
      </c>
      <c r="G2401">
        <v>0</v>
      </c>
      <c r="H2401" s="7">
        <v>0</v>
      </c>
    </row>
    <row r="2402" spans="1:8">
      <c r="A2402">
        <v>1</v>
      </c>
      <c r="B2402" t="s">
        <v>42</v>
      </c>
      <c r="C2402" t="s">
        <v>33</v>
      </c>
      <c r="D2402">
        <v>0</v>
      </c>
      <c r="E2402">
        <v>1</v>
      </c>
      <c r="F2402" s="7">
        <v>9800.44</v>
      </c>
      <c r="G2402">
        <v>0</v>
      </c>
      <c r="H2402" s="7">
        <v>0</v>
      </c>
    </row>
    <row r="2403" spans="1:8">
      <c r="A2403">
        <v>1</v>
      </c>
      <c r="B2403" t="s">
        <v>45</v>
      </c>
      <c r="C2403" t="s">
        <v>33</v>
      </c>
      <c r="D2403">
        <v>0</v>
      </c>
      <c r="E2403">
        <v>1</v>
      </c>
      <c r="F2403" s="7">
        <v>6983.76</v>
      </c>
      <c r="G2403">
        <v>0</v>
      </c>
      <c r="H2403" s="7">
        <v>0</v>
      </c>
    </row>
    <row r="2404" spans="1:8">
      <c r="A2404">
        <v>1</v>
      </c>
      <c r="B2404" t="s">
        <v>42</v>
      </c>
      <c r="C2404" t="s">
        <v>33</v>
      </c>
      <c r="D2404">
        <v>0</v>
      </c>
      <c r="E2404">
        <v>1</v>
      </c>
      <c r="F2404" s="7">
        <v>1994.48</v>
      </c>
      <c r="G2404">
        <v>0</v>
      </c>
      <c r="H2404" s="7">
        <v>0</v>
      </c>
    </row>
    <row r="2405" spans="1:8">
      <c r="A2405">
        <v>1</v>
      </c>
      <c r="B2405" t="s">
        <v>42</v>
      </c>
      <c r="C2405" t="s">
        <v>33</v>
      </c>
      <c r="D2405">
        <v>0</v>
      </c>
      <c r="E2405">
        <v>1</v>
      </c>
      <c r="F2405" s="7">
        <v>2064.34</v>
      </c>
      <c r="G2405">
        <v>0</v>
      </c>
      <c r="H2405" s="7">
        <v>0</v>
      </c>
    </row>
    <row r="2406" spans="1:8">
      <c r="A2406">
        <v>1</v>
      </c>
      <c r="B2406" t="s">
        <v>42</v>
      </c>
      <c r="C2406" t="s">
        <v>34</v>
      </c>
      <c r="D2406">
        <v>0</v>
      </c>
      <c r="E2406">
        <v>1</v>
      </c>
      <c r="F2406" s="7">
        <v>10808.31</v>
      </c>
      <c r="G2406">
        <v>0</v>
      </c>
      <c r="H2406" s="7">
        <v>0</v>
      </c>
    </row>
    <row r="2407" spans="1:8">
      <c r="A2407">
        <v>1</v>
      </c>
      <c r="B2407" t="s">
        <v>42</v>
      </c>
      <c r="C2407" t="s">
        <v>34</v>
      </c>
      <c r="D2407">
        <v>0</v>
      </c>
      <c r="E2407">
        <v>1</v>
      </c>
      <c r="F2407" s="7">
        <v>10019.06</v>
      </c>
      <c r="G2407">
        <v>0</v>
      </c>
      <c r="H2407" s="7">
        <v>0</v>
      </c>
    </row>
    <row r="2408" spans="1:8">
      <c r="A2408">
        <v>1</v>
      </c>
      <c r="B2408" t="s">
        <v>42</v>
      </c>
      <c r="C2408" t="s">
        <v>33</v>
      </c>
      <c r="D2408">
        <v>0</v>
      </c>
      <c r="E2408">
        <v>1</v>
      </c>
      <c r="F2408" s="7">
        <v>6650</v>
      </c>
      <c r="G2408">
        <v>0</v>
      </c>
      <c r="H2408" s="7">
        <v>0</v>
      </c>
    </row>
    <row r="2409" spans="1:8">
      <c r="A2409">
        <v>1</v>
      </c>
      <c r="B2409" t="s">
        <v>42</v>
      </c>
      <c r="C2409" t="s">
        <v>33</v>
      </c>
      <c r="D2409">
        <v>0</v>
      </c>
      <c r="E2409">
        <v>1</v>
      </c>
      <c r="F2409" s="7">
        <v>9591.5</v>
      </c>
      <c r="G2409">
        <v>0</v>
      </c>
      <c r="H2409" s="7">
        <v>0</v>
      </c>
    </row>
    <row r="2410" spans="1:8">
      <c r="A2410">
        <v>1</v>
      </c>
      <c r="B2410" t="s">
        <v>45</v>
      </c>
      <c r="C2410" t="s">
        <v>33</v>
      </c>
      <c r="D2410">
        <v>0</v>
      </c>
      <c r="E2410">
        <v>1</v>
      </c>
      <c r="F2410" s="7">
        <v>9769.9</v>
      </c>
      <c r="G2410">
        <v>0</v>
      </c>
      <c r="H2410" s="7">
        <v>0</v>
      </c>
    </row>
    <row r="2411" spans="1:8">
      <c r="A2411">
        <v>1</v>
      </c>
      <c r="B2411" t="s">
        <v>42</v>
      </c>
      <c r="C2411" t="s">
        <v>32</v>
      </c>
      <c r="D2411">
        <v>0</v>
      </c>
      <c r="E2411">
        <v>1</v>
      </c>
      <c r="F2411" s="7">
        <v>727.25</v>
      </c>
      <c r="G2411">
        <v>0</v>
      </c>
      <c r="H2411" s="7">
        <v>0</v>
      </c>
    </row>
    <row r="2412" spans="1:8">
      <c r="A2412">
        <v>1</v>
      </c>
      <c r="B2412" t="s">
        <v>42</v>
      </c>
      <c r="C2412" t="s">
        <v>33</v>
      </c>
      <c r="D2412">
        <v>0</v>
      </c>
      <c r="E2412">
        <v>1</v>
      </c>
      <c r="F2412" s="7">
        <v>6221.43</v>
      </c>
      <c r="G2412">
        <v>0</v>
      </c>
      <c r="H2412" s="7">
        <v>0</v>
      </c>
    </row>
    <row r="2413" spans="1:8">
      <c r="A2413">
        <v>1</v>
      </c>
      <c r="B2413" t="s">
        <v>43</v>
      </c>
      <c r="C2413" t="s">
        <v>33</v>
      </c>
      <c r="D2413">
        <v>0</v>
      </c>
      <c r="E2413">
        <v>1</v>
      </c>
      <c r="F2413" s="7">
        <v>1361.29</v>
      </c>
      <c r="G2413">
        <v>0</v>
      </c>
      <c r="H2413" s="7">
        <v>0</v>
      </c>
    </row>
    <row r="2414" spans="1:8">
      <c r="A2414">
        <v>1</v>
      </c>
      <c r="B2414" t="s">
        <v>42</v>
      </c>
      <c r="C2414" t="s">
        <v>33</v>
      </c>
      <c r="D2414">
        <v>0</v>
      </c>
      <c r="E2414">
        <v>1</v>
      </c>
      <c r="F2414" s="7">
        <v>4594.28</v>
      </c>
      <c r="G2414">
        <v>0</v>
      </c>
      <c r="H2414" s="7">
        <v>0</v>
      </c>
    </row>
    <row r="2415" spans="1:8">
      <c r="A2415">
        <v>1</v>
      </c>
      <c r="B2415" t="s">
        <v>42</v>
      </c>
      <c r="C2415" t="s">
        <v>34</v>
      </c>
      <c r="D2415">
        <v>0</v>
      </c>
      <c r="E2415">
        <v>1</v>
      </c>
      <c r="F2415" s="7">
        <v>12122.55</v>
      </c>
      <c r="G2415">
        <v>0</v>
      </c>
      <c r="H2415" s="7">
        <v>0</v>
      </c>
    </row>
    <row r="2416" spans="1:8">
      <c r="A2416">
        <v>1</v>
      </c>
      <c r="B2416" t="s">
        <v>44</v>
      </c>
      <c r="C2416" t="s">
        <v>34</v>
      </c>
      <c r="D2416">
        <v>0</v>
      </c>
      <c r="E2416">
        <v>1</v>
      </c>
      <c r="F2416" s="7">
        <v>93459.27</v>
      </c>
      <c r="G2416">
        <v>0</v>
      </c>
      <c r="H2416" s="7">
        <v>0</v>
      </c>
    </row>
    <row r="2417" spans="1:8">
      <c r="A2417">
        <v>1</v>
      </c>
      <c r="B2417" t="s">
        <v>42</v>
      </c>
      <c r="C2417" t="s">
        <v>33</v>
      </c>
      <c r="D2417">
        <v>0</v>
      </c>
      <c r="E2417">
        <v>1</v>
      </c>
      <c r="F2417" s="7">
        <v>1937.5</v>
      </c>
      <c r="G2417">
        <v>0</v>
      </c>
      <c r="H2417" s="7">
        <v>0</v>
      </c>
    </row>
    <row r="2418" spans="1:8">
      <c r="A2418">
        <v>1</v>
      </c>
      <c r="B2418" t="s">
        <v>42</v>
      </c>
      <c r="C2418" t="s">
        <v>33</v>
      </c>
      <c r="D2418">
        <v>0</v>
      </c>
      <c r="E2418">
        <v>1</v>
      </c>
      <c r="F2418" s="7">
        <v>2421.15</v>
      </c>
      <c r="G2418">
        <v>0</v>
      </c>
      <c r="H2418" s="7">
        <v>0</v>
      </c>
    </row>
    <row r="2419" spans="1:8">
      <c r="A2419">
        <v>1</v>
      </c>
      <c r="B2419" t="s">
        <v>45</v>
      </c>
      <c r="C2419" t="s">
        <v>33</v>
      </c>
      <c r="D2419">
        <v>0</v>
      </c>
      <c r="E2419">
        <v>1</v>
      </c>
      <c r="F2419" s="7">
        <v>2840.25</v>
      </c>
      <c r="G2419">
        <v>0</v>
      </c>
      <c r="H2419" s="7">
        <v>0</v>
      </c>
    </row>
    <row r="2420" spans="1:8">
      <c r="A2420">
        <v>1</v>
      </c>
      <c r="B2420" t="s">
        <v>43</v>
      </c>
      <c r="C2420" t="s">
        <v>35</v>
      </c>
      <c r="D2420">
        <v>0</v>
      </c>
      <c r="E2420">
        <v>1</v>
      </c>
      <c r="F2420" s="7">
        <v>279422.78</v>
      </c>
      <c r="G2420">
        <v>0</v>
      </c>
      <c r="H2420" s="7">
        <v>0</v>
      </c>
    </row>
    <row r="2421" spans="1:8">
      <c r="A2421">
        <v>1</v>
      </c>
      <c r="B2421" t="s">
        <v>42</v>
      </c>
      <c r="C2421" t="s">
        <v>33</v>
      </c>
      <c r="D2421">
        <v>0</v>
      </c>
      <c r="E2421">
        <v>1</v>
      </c>
      <c r="F2421" s="7">
        <v>3215.74</v>
      </c>
      <c r="G2421">
        <v>0</v>
      </c>
      <c r="H2421" s="7">
        <v>0</v>
      </c>
    </row>
    <row r="2422" spans="1:8">
      <c r="A2422">
        <v>1</v>
      </c>
      <c r="B2422" t="s">
        <v>42</v>
      </c>
      <c r="C2422" t="s">
        <v>34</v>
      </c>
      <c r="D2422">
        <v>0</v>
      </c>
      <c r="E2422">
        <v>1</v>
      </c>
      <c r="F2422" s="7">
        <v>13890.24</v>
      </c>
      <c r="G2422">
        <v>0</v>
      </c>
      <c r="H2422" s="7">
        <v>0</v>
      </c>
    </row>
    <row r="2423" spans="1:8">
      <c r="A2423">
        <v>1</v>
      </c>
      <c r="B2423" t="s">
        <v>45</v>
      </c>
      <c r="C2423" t="s">
        <v>33</v>
      </c>
      <c r="D2423">
        <v>0</v>
      </c>
      <c r="E2423">
        <v>1</v>
      </c>
      <c r="F2423" s="7">
        <v>8371.5</v>
      </c>
      <c r="G2423">
        <v>0</v>
      </c>
      <c r="H2423" s="7">
        <v>0</v>
      </c>
    </row>
    <row r="2424" spans="1:8">
      <c r="A2424">
        <v>1</v>
      </c>
      <c r="B2424" t="s">
        <v>42</v>
      </c>
      <c r="C2424" t="s">
        <v>33</v>
      </c>
      <c r="D2424">
        <v>0</v>
      </c>
      <c r="E2424">
        <v>1</v>
      </c>
      <c r="F2424" s="7">
        <v>5954.9</v>
      </c>
      <c r="G2424">
        <v>0</v>
      </c>
      <c r="H2424" s="7">
        <v>0</v>
      </c>
    </row>
    <row r="2425" spans="1:8">
      <c r="A2425">
        <v>1</v>
      </c>
      <c r="B2425" t="s">
        <v>42</v>
      </c>
      <c r="C2425" t="s">
        <v>33</v>
      </c>
      <c r="D2425">
        <v>0</v>
      </c>
      <c r="E2425">
        <v>1</v>
      </c>
      <c r="F2425" s="7">
        <v>9370.51</v>
      </c>
      <c r="G2425">
        <v>0</v>
      </c>
      <c r="H2425" s="7">
        <v>0</v>
      </c>
    </row>
    <row r="2426" spans="1:8">
      <c r="A2426">
        <v>1</v>
      </c>
      <c r="B2426" t="s">
        <v>42</v>
      </c>
      <c r="C2426" t="s">
        <v>33</v>
      </c>
      <c r="D2426">
        <v>0</v>
      </c>
      <c r="E2426">
        <v>1</v>
      </c>
      <c r="F2426" s="7">
        <v>9496.55</v>
      </c>
      <c r="G2426">
        <v>0</v>
      </c>
      <c r="H2426" s="7">
        <v>0</v>
      </c>
    </row>
    <row r="2427" spans="1:8">
      <c r="A2427">
        <v>1</v>
      </c>
      <c r="B2427" t="s">
        <v>42</v>
      </c>
      <c r="C2427" t="s">
        <v>33</v>
      </c>
      <c r="D2427">
        <v>0</v>
      </c>
      <c r="E2427">
        <v>1</v>
      </c>
      <c r="F2427" s="7">
        <v>3004.57</v>
      </c>
      <c r="G2427">
        <v>0</v>
      </c>
      <c r="H2427" s="7">
        <v>0</v>
      </c>
    </row>
    <row r="2428" spans="1:8">
      <c r="A2428">
        <v>1</v>
      </c>
      <c r="B2428" t="s">
        <v>42</v>
      </c>
      <c r="C2428" t="s">
        <v>33</v>
      </c>
      <c r="D2428">
        <v>0</v>
      </c>
      <c r="E2428">
        <v>1</v>
      </c>
      <c r="F2428" s="7">
        <v>4351.58</v>
      </c>
      <c r="G2428">
        <v>0</v>
      </c>
      <c r="H2428" s="7">
        <v>0</v>
      </c>
    </row>
    <row r="2429" spans="1:8">
      <c r="A2429">
        <v>1</v>
      </c>
      <c r="B2429" t="s">
        <v>42</v>
      </c>
      <c r="C2429" t="s">
        <v>33</v>
      </c>
      <c r="D2429">
        <v>0</v>
      </c>
      <c r="E2429">
        <v>1</v>
      </c>
      <c r="F2429" s="7">
        <v>4674</v>
      </c>
      <c r="G2429">
        <v>0</v>
      </c>
      <c r="H2429" s="7">
        <v>0</v>
      </c>
    </row>
    <row r="2430" spans="1:8">
      <c r="A2430">
        <v>1</v>
      </c>
      <c r="B2430" t="s">
        <v>42</v>
      </c>
      <c r="C2430" t="s">
        <v>33</v>
      </c>
      <c r="D2430">
        <v>0</v>
      </c>
      <c r="E2430">
        <v>1</v>
      </c>
      <c r="F2430" s="7">
        <v>2518.13</v>
      </c>
      <c r="G2430">
        <v>0</v>
      </c>
      <c r="H2430" s="7">
        <v>0</v>
      </c>
    </row>
    <row r="2431" spans="1:8">
      <c r="A2431">
        <v>1</v>
      </c>
      <c r="B2431" t="s">
        <v>42</v>
      </c>
      <c r="C2431" t="s">
        <v>33</v>
      </c>
      <c r="D2431">
        <v>0</v>
      </c>
      <c r="E2431">
        <v>1</v>
      </c>
      <c r="F2431" s="7">
        <v>6365</v>
      </c>
      <c r="G2431">
        <v>0</v>
      </c>
      <c r="H2431" s="7">
        <v>0</v>
      </c>
    </row>
    <row r="2432" spans="1:8">
      <c r="A2432">
        <v>1</v>
      </c>
      <c r="B2432" t="s">
        <v>42</v>
      </c>
      <c r="C2432" t="s">
        <v>34</v>
      </c>
      <c r="D2432">
        <v>0</v>
      </c>
      <c r="E2432">
        <v>1</v>
      </c>
      <c r="F2432" s="7">
        <v>26035.82</v>
      </c>
      <c r="G2432">
        <v>0</v>
      </c>
      <c r="H2432" s="7">
        <v>0</v>
      </c>
    </row>
    <row r="2433" spans="1:8">
      <c r="A2433">
        <v>1</v>
      </c>
      <c r="B2433" t="s">
        <v>42</v>
      </c>
      <c r="C2433" t="s">
        <v>34</v>
      </c>
      <c r="D2433">
        <v>0</v>
      </c>
      <c r="E2433">
        <v>1</v>
      </c>
      <c r="F2433" s="7">
        <v>12000.58</v>
      </c>
      <c r="G2433">
        <v>0</v>
      </c>
      <c r="H2433" s="7">
        <v>0</v>
      </c>
    </row>
    <row r="2434" spans="1:8">
      <c r="A2434">
        <v>1</v>
      </c>
      <c r="B2434" t="s">
        <v>42</v>
      </c>
      <c r="C2434" t="s">
        <v>33</v>
      </c>
      <c r="D2434">
        <v>0</v>
      </c>
      <c r="E2434">
        <v>1</v>
      </c>
      <c r="F2434" s="7">
        <v>5717.58</v>
      </c>
      <c r="G2434">
        <v>0</v>
      </c>
      <c r="H2434" s="7">
        <v>0</v>
      </c>
    </row>
    <row r="2435" spans="1:8">
      <c r="A2435">
        <v>1</v>
      </c>
      <c r="B2435" t="s">
        <v>42</v>
      </c>
      <c r="C2435" t="s">
        <v>34</v>
      </c>
      <c r="D2435">
        <v>0</v>
      </c>
      <c r="E2435">
        <v>1</v>
      </c>
      <c r="F2435" s="7">
        <v>15646.06</v>
      </c>
      <c r="G2435">
        <v>0</v>
      </c>
      <c r="H2435" s="7">
        <v>0</v>
      </c>
    </row>
    <row r="2436" spans="1:8">
      <c r="A2436">
        <v>1</v>
      </c>
      <c r="B2436" t="s">
        <v>42</v>
      </c>
      <c r="C2436" t="s">
        <v>33</v>
      </c>
      <c r="D2436">
        <v>0</v>
      </c>
      <c r="E2436">
        <v>1</v>
      </c>
      <c r="F2436" s="7">
        <v>4905.54</v>
      </c>
      <c r="G2436">
        <v>0</v>
      </c>
      <c r="H2436" s="7">
        <v>0</v>
      </c>
    </row>
    <row r="2437" spans="1:8">
      <c r="A2437">
        <v>1</v>
      </c>
      <c r="B2437" t="s">
        <v>42</v>
      </c>
      <c r="C2437" t="s">
        <v>33</v>
      </c>
      <c r="D2437">
        <v>0</v>
      </c>
      <c r="E2437">
        <v>1</v>
      </c>
      <c r="F2437" s="7">
        <v>7029.12</v>
      </c>
      <c r="G2437">
        <v>0</v>
      </c>
      <c r="H2437" s="7">
        <v>0</v>
      </c>
    </row>
    <row r="2438" spans="1:8">
      <c r="A2438">
        <v>1</v>
      </c>
      <c r="B2438" t="s">
        <v>42</v>
      </c>
      <c r="C2438" t="s">
        <v>33</v>
      </c>
      <c r="D2438">
        <v>0</v>
      </c>
      <c r="E2438">
        <v>1</v>
      </c>
      <c r="F2438" s="7">
        <v>2374.49</v>
      </c>
      <c r="G2438">
        <v>0</v>
      </c>
      <c r="H2438" s="7">
        <v>0</v>
      </c>
    </row>
    <row r="2439" spans="1:8">
      <c r="A2439">
        <v>1</v>
      </c>
      <c r="B2439" t="s">
        <v>42</v>
      </c>
      <c r="C2439" t="s">
        <v>33</v>
      </c>
      <c r="D2439">
        <v>0</v>
      </c>
      <c r="E2439">
        <v>1</v>
      </c>
      <c r="F2439" s="7">
        <v>6579.9</v>
      </c>
      <c r="G2439">
        <v>0</v>
      </c>
      <c r="H2439" s="7">
        <v>0</v>
      </c>
    </row>
    <row r="2440" spans="1:8">
      <c r="A2440">
        <v>1</v>
      </c>
      <c r="B2440" t="s">
        <v>42</v>
      </c>
      <c r="C2440" t="s">
        <v>33</v>
      </c>
      <c r="D2440">
        <v>0</v>
      </c>
      <c r="E2440">
        <v>1</v>
      </c>
      <c r="F2440" s="7">
        <v>2481.59</v>
      </c>
      <c r="G2440">
        <v>0</v>
      </c>
      <c r="H2440" s="7">
        <v>0</v>
      </c>
    </row>
    <row r="2441" spans="1:8">
      <c r="A2441">
        <v>1</v>
      </c>
      <c r="B2441" t="s">
        <v>42</v>
      </c>
      <c r="C2441" t="s">
        <v>33</v>
      </c>
      <c r="D2441">
        <v>0</v>
      </c>
      <c r="E2441">
        <v>1</v>
      </c>
      <c r="F2441" s="7">
        <v>6720.15</v>
      </c>
      <c r="G2441">
        <v>0</v>
      </c>
      <c r="H2441" s="7">
        <v>0</v>
      </c>
    </row>
    <row r="2442" spans="1:8">
      <c r="A2442">
        <v>1</v>
      </c>
      <c r="B2442" t="s">
        <v>42</v>
      </c>
      <c r="C2442" t="s">
        <v>33</v>
      </c>
      <c r="D2442">
        <v>0</v>
      </c>
      <c r="E2442">
        <v>1</v>
      </c>
      <c r="F2442" s="7">
        <v>6426.8</v>
      </c>
      <c r="G2442">
        <v>0</v>
      </c>
      <c r="H2442" s="7">
        <v>0</v>
      </c>
    </row>
    <row r="2443" spans="1:8">
      <c r="A2443">
        <v>1</v>
      </c>
      <c r="B2443" t="s">
        <v>42</v>
      </c>
      <c r="C2443" t="s">
        <v>33</v>
      </c>
      <c r="D2443">
        <v>0</v>
      </c>
      <c r="E2443">
        <v>1</v>
      </c>
      <c r="F2443" s="7">
        <v>5274.17</v>
      </c>
      <c r="G2443">
        <v>0</v>
      </c>
      <c r="H2443" s="7">
        <v>0</v>
      </c>
    </row>
    <row r="2444" spans="1:8">
      <c r="A2444">
        <v>1</v>
      </c>
      <c r="B2444" t="s">
        <v>42</v>
      </c>
      <c r="C2444" t="s">
        <v>33</v>
      </c>
      <c r="D2444">
        <v>0</v>
      </c>
      <c r="E2444">
        <v>1</v>
      </c>
      <c r="F2444" s="7">
        <v>2475.77</v>
      </c>
      <c r="G2444">
        <v>0</v>
      </c>
      <c r="H2444" s="7">
        <v>0</v>
      </c>
    </row>
    <row r="2445" spans="1:8">
      <c r="A2445">
        <v>1</v>
      </c>
      <c r="B2445" t="s">
        <v>42</v>
      </c>
      <c r="C2445" t="s">
        <v>33</v>
      </c>
      <c r="D2445">
        <v>0</v>
      </c>
      <c r="E2445">
        <v>1</v>
      </c>
      <c r="F2445" s="7">
        <v>4149.27</v>
      </c>
      <c r="G2445">
        <v>0</v>
      </c>
      <c r="H2445" s="7">
        <v>0</v>
      </c>
    </row>
    <row r="2446" spans="1:8">
      <c r="A2446">
        <v>1</v>
      </c>
      <c r="B2446" t="s">
        <v>42</v>
      </c>
      <c r="C2446" t="s">
        <v>34</v>
      </c>
      <c r="D2446">
        <v>0</v>
      </c>
      <c r="E2446">
        <v>1</v>
      </c>
      <c r="F2446" s="7">
        <v>11380.13</v>
      </c>
      <c r="G2446">
        <v>0</v>
      </c>
      <c r="H2446" s="7">
        <v>0</v>
      </c>
    </row>
    <row r="2447" spans="1:8">
      <c r="A2447">
        <v>1</v>
      </c>
      <c r="B2447" t="s">
        <v>44</v>
      </c>
      <c r="C2447" t="s">
        <v>35</v>
      </c>
      <c r="D2447">
        <v>0</v>
      </c>
      <c r="E2447">
        <v>1</v>
      </c>
      <c r="F2447" s="7">
        <v>119542.86</v>
      </c>
      <c r="G2447">
        <v>0</v>
      </c>
      <c r="H2447" s="7">
        <v>0</v>
      </c>
    </row>
    <row r="2448" spans="1:8">
      <c r="A2448">
        <v>1</v>
      </c>
      <c r="B2448" t="s">
        <v>42</v>
      </c>
      <c r="C2448" t="s">
        <v>34</v>
      </c>
      <c r="D2448">
        <v>0</v>
      </c>
      <c r="E2448">
        <v>1</v>
      </c>
      <c r="F2448" s="7">
        <v>25424.36</v>
      </c>
      <c r="G2448">
        <v>0</v>
      </c>
      <c r="H2448" s="7">
        <v>0</v>
      </c>
    </row>
    <row r="2449" spans="1:8">
      <c r="A2449">
        <v>1</v>
      </c>
      <c r="B2449" t="s">
        <v>44</v>
      </c>
      <c r="C2449" t="s">
        <v>35</v>
      </c>
      <c r="D2449">
        <v>0</v>
      </c>
      <c r="E2449">
        <v>1</v>
      </c>
      <c r="F2449" s="7">
        <v>289715.28</v>
      </c>
      <c r="G2449">
        <v>0</v>
      </c>
      <c r="H2449" s="7">
        <v>0</v>
      </c>
    </row>
    <row r="2450" spans="1:8">
      <c r="A2450">
        <v>1</v>
      </c>
      <c r="B2450" t="s">
        <v>42</v>
      </c>
      <c r="C2450" t="s">
        <v>33</v>
      </c>
      <c r="D2450">
        <v>0</v>
      </c>
      <c r="E2450">
        <v>1</v>
      </c>
      <c r="F2450" s="7">
        <v>3149.19</v>
      </c>
      <c r="G2450">
        <v>0</v>
      </c>
      <c r="H2450" s="7">
        <v>0</v>
      </c>
    </row>
    <row r="2451" spans="1:8">
      <c r="A2451">
        <v>1</v>
      </c>
      <c r="B2451" t="s">
        <v>42</v>
      </c>
      <c r="C2451" t="s">
        <v>34</v>
      </c>
      <c r="D2451">
        <v>0</v>
      </c>
      <c r="E2451">
        <v>1</v>
      </c>
      <c r="F2451" s="7">
        <v>18952.73</v>
      </c>
      <c r="G2451">
        <v>0</v>
      </c>
      <c r="H2451" s="7">
        <v>0</v>
      </c>
    </row>
    <row r="2452" spans="1:8">
      <c r="A2452">
        <v>1</v>
      </c>
      <c r="B2452" t="s">
        <v>45</v>
      </c>
      <c r="C2452" t="s">
        <v>33</v>
      </c>
      <c r="D2452">
        <v>0</v>
      </c>
      <c r="E2452">
        <v>1</v>
      </c>
      <c r="F2452" s="7">
        <v>2983.5</v>
      </c>
      <c r="G2452">
        <v>0</v>
      </c>
      <c r="H2452" s="7">
        <v>0</v>
      </c>
    </row>
    <row r="2453" spans="1:8">
      <c r="A2453">
        <v>1</v>
      </c>
      <c r="B2453" t="s">
        <v>42</v>
      </c>
      <c r="C2453" t="s">
        <v>32</v>
      </c>
      <c r="D2453">
        <v>0</v>
      </c>
      <c r="E2453">
        <v>1</v>
      </c>
      <c r="F2453" s="7">
        <v>13.54</v>
      </c>
      <c r="G2453">
        <v>0</v>
      </c>
      <c r="H2453" s="7">
        <v>0</v>
      </c>
    </row>
    <row r="2454" spans="1:8">
      <c r="A2454">
        <v>1</v>
      </c>
      <c r="B2454" t="s">
        <v>42</v>
      </c>
      <c r="C2454" t="s">
        <v>33</v>
      </c>
      <c r="D2454">
        <v>0</v>
      </c>
      <c r="E2454">
        <v>1</v>
      </c>
      <c r="F2454" s="7">
        <v>6159.35</v>
      </c>
      <c r="G2454">
        <v>0</v>
      </c>
      <c r="H2454" s="7">
        <v>0</v>
      </c>
    </row>
    <row r="2455" spans="1:8">
      <c r="A2455">
        <v>1</v>
      </c>
      <c r="B2455" t="s">
        <v>42</v>
      </c>
      <c r="C2455" t="s">
        <v>33</v>
      </c>
      <c r="D2455">
        <v>0</v>
      </c>
      <c r="E2455">
        <v>1</v>
      </c>
      <c r="F2455" s="7">
        <v>4209.57</v>
      </c>
      <c r="G2455">
        <v>0</v>
      </c>
      <c r="H2455" s="7">
        <v>0</v>
      </c>
    </row>
    <row r="2456" spans="1:8">
      <c r="A2456">
        <v>1</v>
      </c>
      <c r="B2456" t="s">
        <v>42</v>
      </c>
      <c r="C2456" t="s">
        <v>32</v>
      </c>
      <c r="D2456">
        <v>0</v>
      </c>
      <c r="E2456">
        <v>1</v>
      </c>
      <c r="F2456" s="7">
        <v>6.93</v>
      </c>
      <c r="G2456">
        <v>0</v>
      </c>
      <c r="H2456" s="7">
        <v>0</v>
      </c>
    </row>
    <row r="2457" spans="1:8">
      <c r="A2457">
        <v>1</v>
      </c>
      <c r="B2457" t="s">
        <v>42</v>
      </c>
      <c r="C2457" t="s">
        <v>33</v>
      </c>
      <c r="D2457">
        <v>0</v>
      </c>
      <c r="E2457">
        <v>1</v>
      </c>
      <c r="F2457" s="7">
        <v>7055.84</v>
      </c>
      <c r="G2457">
        <v>0</v>
      </c>
      <c r="H2457" s="7">
        <v>0</v>
      </c>
    </row>
    <row r="2458" spans="1:8">
      <c r="A2458">
        <v>1</v>
      </c>
      <c r="B2458" t="s">
        <v>42</v>
      </c>
      <c r="C2458" t="s">
        <v>33</v>
      </c>
      <c r="D2458">
        <v>0</v>
      </c>
      <c r="E2458">
        <v>1</v>
      </c>
      <c r="F2458" s="7">
        <v>1058.63</v>
      </c>
      <c r="G2458">
        <v>0</v>
      </c>
      <c r="H2458" s="7">
        <v>0</v>
      </c>
    </row>
    <row r="2459" spans="1:8">
      <c r="A2459">
        <v>1</v>
      </c>
      <c r="B2459" t="s">
        <v>46</v>
      </c>
      <c r="C2459" t="s">
        <v>34</v>
      </c>
      <c r="D2459">
        <v>0</v>
      </c>
      <c r="E2459">
        <v>1</v>
      </c>
      <c r="F2459" s="7">
        <v>95983.62</v>
      </c>
      <c r="G2459">
        <v>0</v>
      </c>
      <c r="H2459" s="7">
        <v>0</v>
      </c>
    </row>
    <row r="2460" spans="1:8">
      <c r="A2460">
        <v>1</v>
      </c>
      <c r="B2460" t="s">
        <v>42</v>
      </c>
      <c r="C2460" t="s">
        <v>33</v>
      </c>
      <c r="D2460">
        <v>0</v>
      </c>
      <c r="E2460">
        <v>1</v>
      </c>
      <c r="F2460" s="7">
        <v>5973.9</v>
      </c>
      <c r="G2460">
        <v>0</v>
      </c>
      <c r="H2460" s="7">
        <v>0</v>
      </c>
    </row>
    <row r="2461" spans="1:8">
      <c r="A2461">
        <v>1</v>
      </c>
      <c r="B2461" t="s">
        <v>42</v>
      </c>
      <c r="C2461" t="s">
        <v>33</v>
      </c>
      <c r="D2461">
        <v>0</v>
      </c>
      <c r="E2461">
        <v>1</v>
      </c>
      <c r="F2461" s="7">
        <v>6397.18</v>
      </c>
      <c r="G2461">
        <v>0</v>
      </c>
      <c r="H2461" s="7">
        <v>0</v>
      </c>
    </row>
    <row r="2462" spans="1:8">
      <c r="A2462">
        <v>1</v>
      </c>
      <c r="B2462" t="s">
        <v>42</v>
      </c>
      <c r="C2462" t="s">
        <v>33</v>
      </c>
      <c r="D2462">
        <v>0</v>
      </c>
      <c r="E2462">
        <v>1</v>
      </c>
      <c r="F2462" s="7">
        <v>3076.45</v>
      </c>
      <c r="G2462">
        <v>0</v>
      </c>
      <c r="H2462" s="7">
        <v>0</v>
      </c>
    </row>
    <row r="2463" spans="1:8">
      <c r="A2463">
        <v>1</v>
      </c>
      <c r="B2463" t="s">
        <v>44</v>
      </c>
      <c r="C2463" t="s">
        <v>35</v>
      </c>
      <c r="D2463">
        <v>0</v>
      </c>
      <c r="E2463">
        <v>1</v>
      </c>
      <c r="F2463" s="7">
        <v>197761.38</v>
      </c>
      <c r="G2463">
        <v>0</v>
      </c>
      <c r="H2463" s="7">
        <v>0</v>
      </c>
    </row>
    <row r="2464" spans="1:8">
      <c r="A2464">
        <v>1</v>
      </c>
      <c r="B2464" t="s">
        <v>44</v>
      </c>
      <c r="C2464" t="s">
        <v>35</v>
      </c>
      <c r="D2464">
        <v>0</v>
      </c>
      <c r="E2464">
        <v>1</v>
      </c>
      <c r="F2464" s="7">
        <v>100740.53</v>
      </c>
      <c r="G2464">
        <v>0</v>
      </c>
      <c r="H2464" s="7">
        <v>0</v>
      </c>
    </row>
    <row r="2465" spans="1:8">
      <c r="A2465">
        <v>1</v>
      </c>
      <c r="B2465" t="s">
        <v>44</v>
      </c>
      <c r="C2465" t="s">
        <v>34</v>
      </c>
      <c r="D2465">
        <v>0</v>
      </c>
      <c r="E2465">
        <v>1</v>
      </c>
      <c r="F2465" s="7">
        <v>14166.38</v>
      </c>
      <c r="G2465">
        <v>0</v>
      </c>
      <c r="H2465" s="7">
        <v>0</v>
      </c>
    </row>
    <row r="2466" spans="1:8">
      <c r="A2466">
        <v>1</v>
      </c>
      <c r="B2466" t="s">
        <v>44</v>
      </c>
      <c r="C2466" t="s">
        <v>35</v>
      </c>
      <c r="D2466">
        <v>0</v>
      </c>
      <c r="E2466">
        <v>1</v>
      </c>
      <c r="F2466" s="7">
        <v>134543.6</v>
      </c>
      <c r="G2466">
        <v>0</v>
      </c>
      <c r="H2466" s="7">
        <v>0</v>
      </c>
    </row>
    <row r="2467" spans="1:8">
      <c r="A2467">
        <v>1</v>
      </c>
      <c r="B2467" t="s">
        <v>44</v>
      </c>
      <c r="C2467" t="s">
        <v>34</v>
      </c>
      <c r="D2467">
        <v>0</v>
      </c>
      <c r="E2467">
        <v>1</v>
      </c>
      <c r="F2467" s="7">
        <v>48206.82</v>
      </c>
      <c r="G2467">
        <v>0</v>
      </c>
      <c r="H2467" s="7">
        <v>0</v>
      </c>
    </row>
    <row r="2468" spans="1:8">
      <c r="A2468">
        <v>1</v>
      </c>
      <c r="B2468" t="s">
        <v>44</v>
      </c>
      <c r="C2468" t="s">
        <v>35</v>
      </c>
      <c r="D2468">
        <v>0</v>
      </c>
      <c r="E2468">
        <v>1</v>
      </c>
      <c r="F2468" s="7">
        <v>282944.06</v>
      </c>
      <c r="G2468">
        <v>0</v>
      </c>
      <c r="H2468" s="7">
        <v>0</v>
      </c>
    </row>
    <row r="2469" spans="1:8">
      <c r="A2469">
        <v>1</v>
      </c>
      <c r="B2469" t="s">
        <v>44</v>
      </c>
      <c r="C2469" t="s">
        <v>34</v>
      </c>
      <c r="D2469">
        <v>0</v>
      </c>
      <c r="E2469">
        <v>1</v>
      </c>
      <c r="F2469" s="7">
        <v>19270.14</v>
      </c>
      <c r="G2469">
        <v>0</v>
      </c>
      <c r="H2469" s="7">
        <v>0</v>
      </c>
    </row>
    <row r="2470" spans="1:8">
      <c r="A2470">
        <v>1</v>
      </c>
      <c r="B2470" t="s">
        <v>44</v>
      </c>
      <c r="C2470" t="s">
        <v>33</v>
      </c>
      <c r="D2470">
        <v>0</v>
      </c>
      <c r="E2470">
        <v>1</v>
      </c>
      <c r="F2470" s="7">
        <v>5493.19</v>
      </c>
      <c r="G2470">
        <v>0</v>
      </c>
      <c r="H2470" s="7">
        <v>0</v>
      </c>
    </row>
    <row r="2471" spans="1:8">
      <c r="A2471">
        <v>1</v>
      </c>
      <c r="B2471" t="s">
        <v>42</v>
      </c>
      <c r="C2471" t="s">
        <v>33</v>
      </c>
      <c r="D2471">
        <v>0</v>
      </c>
      <c r="E2471">
        <v>1</v>
      </c>
      <c r="F2471" s="7">
        <v>5983.51</v>
      </c>
      <c r="G2471">
        <v>0</v>
      </c>
      <c r="H2471" s="7">
        <v>0</v>
      </c>
    </row>
    <row r="2472" spans="1:8">
      <c r="A2472">
        <v>1</v>
      </c>
      <c r="B2472" t="s">
        <v>42</v>
      </c>
      <c r="C2472" t="s">
        <v>33</v>
      </c>
      <c r="D2472">
        <v>0</v>
      </c>
      <c r="E2472">
        <v>1</v>
      </c>
      <c r="F2472" s="7">
        <v>2388.24</v>
      </c>
      <c r="G2472">
        <v>0</v>
      </c>
      <c r="H2472" s="7">
        <v>0</v>
      </c>
    </row>
    <row r="2473" spans="1:8">
      <c r="A2473">
        <v>1</v>
      </c>
      <c r="B2473" t="s">
        <v>42</v>
      </c>
      <c r="C2473" t="s">
        <v>33</v>
      </c>
      <c r="D2473">
        <v>0</v>
      </c>
      <c r="E2473">
        <v>1</v>
      </c>
      <c r="F2473" s="7">
        <v>6381.32</v>
      </c>
      <c r="G2473">
        <v>0</v>
      </c>
      <c r="H2473" s="7">
        <v>0</v>
      </c>
    </row>
    <row r="2474" spans="1:8">
      <c r="A2474">
        <v>1</v>
      </c>
      <c r="B2474" t="s">
        <v>42</v>
      </c>
      <c r="C2474" t="s">
        <v>33</v>
      </c>
      <c r="D2474">
        <v>0</v>
      </c>
      <c r="E2474">
        <v>1</v>
      </c>
      <c r="F2474" s="7">
        <v>9899.52</v>
      </c>
      <c r="G2474">
        <v>0</v>
      </c>
      <c r="H2474" s="7">
        <v>0</v>
      </c>
    </row>
    <row r="2475" spans="1:8">
      <c r="A2475">
        <v>1</v>
      </c>
      <c r="B2475" t="s">
        <v>42</v>
      </c>
      <c r="C2475" t="s">
        <v>33</v>
      </c>
      <c r="D2475">
        <v>0</v>
      </c>
      <c r="E2475">
        <v>1</v>
      </c>
      <c r="F2475" s="7">
        <v>2368.4</v>
      </c>
      <c r="G2475">
        <v>0</v>
      </c>
      <c r="H2475" s="7">
        <v>0</v>
      </c>
    </row>
    <row r="2476" spans="1:8">
      <c r="A2476">
        <v>1</v>
      </c>
      <c r="B2476" t="s">
        <v>42</v>
      </c>
      <c r="C2476" t="s">
        <v>33</v>
      </c>
      <c r="D2476">
        <v>0</v>
      </c>
      <c r="E2476">
        <v>1</v>
      </c>
      <c r="F2476" s="7">
        <v>5764.6</v>
      </c>
      <c r="G2476">
        <v>0</v>
      </c>
      <c r="H2476" s="7">
        <v>0</v>
      </c>
    </row>
    <row r="2477" spans="1:8">
      <c r="A2477">
        <v>1</v>
      </c>
      <c r="B2477" t="s">
        <v>42</v>
      </c>
      <c r="C2477" t="s">
        <v>33</v>
      </c>
      <c r="D2477">
        <v>0</v>
      </c>
      <c r="E2477">
        <v>1</v>
      </c>
      <c r="F2477" s="7">
        <v>3236.86</v>
      </c>
      <c r="G2477">
        <v>0</v>
      </c>
      <c r="H2477" s="7">
        <v>0</v>
      </c>
    </row>
    <row r="2478" spans="1:8">
      <c r="A2478">
        <v>1</v>
      </c>
      <c r="B2478" t="s">
        <v>42</v>
      </c>
      <c r="C2478" t="s">
        <v>33</v>
      </c>
      <c r="D2478">
        <v>0</v>
      </c>
      <c r="E2478">
        <v>1</v>
      </c>
      <c r="F2478" s="7">
        <v>4209.87</v>
      </c>
      <c r="G2478">
        <v>0</v>
      </c>
      <c r="H2478" s="7">
        <v>0</v>
      </c>
    </row>
    <row r="2479" spans="1:8">
      <c r="A2479">
        <v>1</v>
      </c>
      <c r="B2479" t="s">
        <v>45</v>
      </c>
      <c r="C2479" t="s">
        <v>34</v>
      </c>
      <c r="D2479">
        <v>0</v>
      </c>
      <c r="E2479">
        <v>1</v>
      </c>
      <c r="F2479" s="7">
        <v>11388.1</v>
      </c>
      <c r="G2479">
        <v>0</v>
      </c>
      <c r="H2479" s="7">
        <v>0</v>
      </c>
    </row>
    <row r="2480" spans="1:8">
      <c r="A2480">
        <v>1</v>
      </c>
      <c r="B2480" t="s">
        <v>43</v>
      </c>
      <c r="C2480" t="s">
        <v>35</v>
      </c>
      <c r="D2480">
        <v>0</v>
      </c>
      <c r="E2480">
        <v>1</v>
      </c>
      <c r="F2480" s="7">
        <v>124041.53</v>
      </c>
      <c r="G2480">
        <v>0</v>
      </c>
      <c r="H2480" s="7">
        <v>0</v>
      </c>
    </row>
    <row r="2481" spans="1:8">
      <c r="A2481">
        <v>1</v>
      </c>
      <c r="B2481" t="s">
        <v>42</v>
      </c>
      <c r="C2481" t="s">
        <v>34</v>
      </c>
      <c r="D2481">
        <v>0</v>
      </c>
      <c r="E2481">
        <v>1</v>
      </c>
      <c r="F2481" s="7">
        <v>12061.28</v>
      </c>
      <c r="G2481">
        <v>0</v>
      </c>
      <c r="H2481" s="7">
        <v>0</v>
      </c>
    </row>
    <row r="2482" spans="1:8">
      <c r="A2482">
        <v>1</v>
      </c>
      <c r="B2482" t="s">
        <v>45</v>
      </c>
      <c r="C2482" t="s">
        <v>33</v>
      </c>
      <c r="D2482">
        <v>0</v>
      </c>
      <c r="E2482">
        <v>1</v>
      </c>
      <c r="F2482" s="7">
        <v>1072.36</v>
      </c>
      <c r="G2482">
        <v>0</v>
      </c>
      <c r="H2482" s="7">
        <v>0</v>
      </c>
    </row>
    <row r="2483" spans="1:8">
      <c r="A2483">
        <v>1</v>
      </c>
      <c r="B2483" t="s">
        <v>44</v>
      </c>
      <c r="C2483" t="s">
        <v>35</v>
      </c>
      <c r="D2483">
        <v>0</v>
      </c>
      <c r="E2483">
        <v>1</v>
      </c>
      <c r="F2483" s="7">
        <v>189476.67</v>
      </c>
      <c r="G2483">
        <v>0</v>
      </c>
      <c r="H2483" s="7">
        <v>0</v>
      </c>
    </row>
    <row r="2484" spans="1:8">
      <c r="A2484">
        <v>1</v>
      </c>
      <c r="B2484" t="s">
        <v>42</v>
      </c>
      <c r="C2484" t="s">
        <v>33</v>
      </c>
      <c r="D2484">
        <v>0</v>
      </c>
      <c r="E2484">
        <v>1</v>
      </c>
      <c r="F2484" s="7">
        <v>8054.62</v>
      </c>
      <c r="G2484">
        <v>0</v>
      </c>
      <c r="H2484" s="7">
        <v>0</v>
      </c>
    </row>
    <row r="2485" spans="1:8">
      <c r="A2485">
        <v>1</v>
      </c>
      <c r="B2485" t="s">
        <v>44</v>
      </c>
      <c r="C2485" t="s">
        <v>35</v>
      </c>
      <c r="D2485">
        <v>0</v>
      </c>
      <c r="E2485">
        <v>1</v>
      </c>
      <c r="F2485" s="7">
        <v>457194.09</v>
      </c>
      <c r="G2485">
        <v>0</v>
      </c>
      <c r="H2485" s="7">
        <v>0</v>
      </c>
    </row>
    <row r="2486" spans="1:8">
      <c r="A2486">
        <v>1</v>
      </c>
      <c r="B2486" t="s">
        <v>43</v>
      </c>
      <c r="C2486" t="s">
        <v>35</v>
      </c>
      <c r="D2486">
        <v>0</v>
      </c>
      <c r="E2486">
        <v>1</v>
      </c>
      <c r="F2486" s="7">
        <v>219583.95</v>
      </c>
      <c r="G2486">
        <v>0</v>
      </c>
      <c r="H2486" s="7">
        <v>0</v>
      </c>
    </row>
    <row r="2487" spans="1:8">
      <c r="A2487">
        <v>1</v>
      </c>
      <c r="B2487" t="s">
        <v>42</v>
      </c>
      <c r="C2487" t="s">
        <v>33</v>
      </c>
      <c r="D2487">
        <v>0</v>
      </c>
      <c r="E2487">
        <v>1</v>
      </c>
      <c r="F2487" s="7">
        <v>6015.17</v>
      </c>
      <c r="G2487">
        <v>0</v>
      </c>
      <c r="H2487" s="7">
        <v>0</v>
      </c>
    </row>
    <row r="2488" spans="1:8">
      <c r="A2488">
        <v>1</v>
      </c>
      <c r="B2488" t="s">
        <v>42</v>
      </c>
      <c r="C2488" t="s">
        <v>33</v>
      </c>
      <c r="D2488">
        <v>0</v>
      </c>
      <c r="E2488">
        <v>1</v>
      </c>
      <c r="F2488" s="7">
        <v>6748.38</v>
      </c>
      <c r="G2488">
        <v>0</v>
      </c>
      <c r="H2488" s="7">
        <v>0</v>
      </c>
    </row>
    <row r="2489" spans="1:8">
      <c r="A2489">
        <v>1</v>
      </c>
      <c r="B2489" t="s">
        <v>46</v>
      </c>
      <c r="C2489" t="s">
        <v>35</v>
      </c>
      <c r="D2489">
        <v>0</v>
      </c>
      <c r="E2489">
        <v>1</v>
      </c>
      <c r="F2489" s="7">
        <v>271566.78</v>
      </c>
      <c r="G2489">
        <v>0</v>
      </c>
      <c r="H2489" s="7">
        <v>0</v>
      </c>
    </row>
    <row r="2490" spans="1:8">
      <c r="A2490">
        <v>1</v>
      </c>
      <c r="B2490" t="s">
        <v>46</v>
      </c>
      <c r="C2490" t="s">
        <v>35</v>
      </c>
      <c r="D2490">
        <v>0</v>
      </c>
      <c r="E2490">
        <v>1</v>
      </c>
      <c r="F2490" s="7">
        <v>190398.63</v>
      </c>
      <c r="G2490">
        <v>0</v>
      </c>
      <c r="H2490" s="7">
        <v>0</v>
      </c>
    </row>
    <row r="2491" spans="1:8">
      <c r="A2491">
        <v>1</v>
      </c>
      <c r="B2491" t="s">
        <v>46</v>
      </c>
      <c r="C2491" t="s">
        <v>35</v>
      </c>
      <c r="D2491">
        <v>0</v>
      </c>
      <c r="E2491">
        <v>1</v>
      </c>
      <c r="F2491" s="7">
        <v>149651.68</v>
      </c>
      <c r="G2491">
        <v>0</v>
      </c>
      <c r="H2491" s="7">
        <v>0</v>
      </c>
    </row>
    <row r="2492" spans="1:8">
      <c r="A2492">
        <v>1</v>
      </c>
      <c r="B2492" t="s">
        <v>46</v>
      </c>
      <c r="C2492" t="s">
        <v>34</v>
      </c>
      <c r="D2492">
        <v>0</v>
      </c>
      <c r="E2492">
        <v>1</v>
      </c>
      <c r="F2492" s="7">
        <v>84527.66</v>
      </c>
      <c r="G2492">
        <v>0</v>
      </c>
      <c r="H2492" s="7">
        <v>0</v>
      </c>
    </row>
    <row r="2493" spans="1:8">
      <c r="A2493">
        <v>1</v>
      </c>
      <c r="B2493" t="s">
        <v>46</v>
      </c>
      <c r="C2493" t="s">
        <v>36</v>
      </c>
      <c r="D2493">
        <v>0</v>
      </c>
      <c r="E2493">
        <v>1</v>
      </c>
      <c r="F2493" s="7">
        <v>1030100.15</v>
      </c>
      <c r="G2493">
        <v>0</v>
      </c>
      <c r="H2493" s="7">
        <v>0</v>
      </c>
    </row>
    <row r="2494" spans="1:8">
      <c r="A2494">
        <v>1</v>
      </c>
      <c r="B2494" t="s">
        <v>46</v>
      </c>
      <c r="C2494" t="s">
        <v>34</v>
      </c>
      <c r="D2494">
        <v>0</v>
      </c>
      <c r="E2494">
        <v>1</v>
      </c>
      <c r="F2494" s="7">
        <v>55091.05</v>
      </c>
      <c r="G2494">
        <v>0</v>
      </c>
      <c r="H2494" s="7">
        <v>0</v>
      </c>
    </row>
    <row r="2495" spans="1:8">
      <c r="A2495">
        <v>1</v>
      </c>
      <c r="B2495" t="s">
        <v>46</v>
      </c>
      <c r="C2495" t="s">
        <v>35</v>
      </c>
      <c r="D2495">
        <v>0</v>
      </c>
      <c r="E2495">
        <v>1</v>
      </c>
      <c r="F2495" s="7">
        <v>318209.62</v>
      </c>
      <c r="G2495">
        <v>0</v>
      </c>
      <c r="H2495" s="7">
        <v>0</v>
      </c>
    </row>
    <row r="2496" spans="1:8">
      <c r="A2496">
        <v>1</v>
      </c>
      <c r="B2496" t="s">
        <v>46</v>
      </c>
      <c r="C2496" t="s">
        <v>35</v>
      </c>
      <c r="D2496">
        <v>0</v>
      </c>
      <c r="E2496">
        <v>1</v>
      </c>
      <c r="F2496" s="7">
        <v>294676.6</v>
      </c>
      <c r="G2496">
        <v>0</v>
      </c>
      <c r="H2496" s="7">
        <v>0</v>
      </c>
    </row>
    <row r="2497" spans="1:8">
      <c r="A2497">
        <v>1</v>
      </c>
      <c r="B2497" t="s">
        <v>46</v>
      </c>
      <c r="C2497" t="s">
        <v>35</v>
      </c>
      <c r="D2497">
        <v>0</v>
      </c>
      <c r="E2497">
        <v>1</v>
      </c>
      <c r="F2497" s="7">
        <v>294304.91</v>
      </c>
      <c r="G2497">
        <v>0</v>
      </c>
      <c r="H2497" s="7">
        <v>0</v>
      </c>
    </row>
    <row r="2498" spans="1:8">
      <c r="A2498">
        <v>1</v>
      </c>
      <c r="B2498" t="s">
        <v>46</v>
      </c>
      <c r="C2498" t="s">
        <v>35</v>
      </c>
      <c r="D2498">
        <v>0</v>
      </c>
      <c r="E2498">
        <v>1</v>
      </c>
      <c r="F2498" s="7">
        <v>168276.37</v>
      </c>
      <c r="G2498">
        <v>0</v>
      </c>
      <c r="H2498" s="7">
        <v>0</v>
      </c>
    </row>
    <row r="2499" spans="1:8">
      <c r="A2499">
        <v>1</v>
      </c>
      <c r="B2499" t="s">
        <v>46</v>
      </c>
      <c r="C2499" t="s">
        <v>34</v>
      </c>
      <c r="D2499">
        <v>0</v>
      </c>
      <c r="E2499">
        <v>1</v>
      </c>
      <c r="F2499" s="7">
        <v>38583.71</v>
      </c>
      <c r="G2499">
        <v>0</v>
      </c>
      <c r="H2499" s="7">
        <v>0</v>
      </c>
    </row>
    <row r="2500" spans="1:8">
      <c r="A2500">
        <v>1</v>
      </c>
      <c r="B2500" t="s">
        <v>42</v>
      </c>
      <c r="C2500" t="s">
        <v>33</v>
      </c>
      <c r="D2500">
        <v>0</v>
      </c>
      <c r="E2500">
        <v>1</v>
      </c>
      <c r="F2500" s="7">
        <v>2338.05</v>
      </c>
      <c r="G2500">
        <v>0</v>
      </c>
      <c r="H2500" s="7">
        <v>0</v>
      </c>
    </row>
    <row r="2501" spans="1:8">
      <c r="A2501">
        <v>1</v>
      </c>
      <c r="B2501" t="s">
        <v>46</v>
      </c>
      <c r="C2501" t="s">
        <v>35</v>
      </c>
      <c r="D2501">
        <v>0</v>
      </c>
      <c r="E2501">
        <v>1</v>
      </c>
      <c r="F2501" s="7">
        <v>276273.67</v>
      </c>
      <c r="G2501">
        <v>0</v>
      </c>
      <c r="H2501" s="7">
        <v>0</v>
      </c>
    </row>
    <row r="2502" spans="1:8">
      <c r="A2502">
        <v>1</v>
      </c>
      <c r="B2502" t="s">
        <v>42</v>
      </c>
      <c r="C2502" t="s">
        <v>34</v>
      </c>
      <c r="D2502">
        <v>0</v>
      </c>
      <c r="E2502">
        <v>1</v>
      </c>
      <c r="F2502" s="7">
        <v>10928.31</v>
      </c>
      <c r="G2502">
        <v>0</v>
      </c>
      <c r="H2502" s="7">
        <v>0</v>
      </c>
    </row>
    <row r="2503" spans="1:8">
      <c r="A2503">
        <v>1</v>
      </c>
      <c r="B2503" t="s">
        <v>42</v>
      </c>
      <c r="C2503" t="s">
        <v>34</v>
      </c>
      <c r="D2503">
        <v>0</v>
      </c>
      <c r="E2503">
        <v>1</v>
      </c>
      <c r="F2503" s="7">
        <v>11335.23</v>
      </c>
      <c r="G2503">
        <v>0</v>
      </c>
      <c r="H2503" s="7">
        <v>0</v>
      </c>
    </row>
    <row r="2504" spans="1:8">
      <c r="A2504">
        <v>1</v>
      </c>
      <c r="B2504" t="s">
        <v>45</v>
      </c>
      <c r="C2504" t="s">
        <v>32</v>
      </c>
      <c r="D2504">
        <v>0</v>
      </c>
      <c r="E2504">
        <v>1</v>
      </c>
      <c r="F2504" s="7">
        <v>924.07</v>
      </c>
      <c r="G2504">
        <v>0</v>
      </c>
      <c r="H2504" s="7">
        <v>0</v>
      </c>
    </row>
    <row r="2505" spans="1:8">
      <c r="A2505">
        <v>1</v>
      </c>
      <c r="B2505" t="s">
        <v>42</v>
      </c>
      <c r="C2505" t="s">
        <v>33</v>
      </c>
      <c r="D2505">
        <v>0</v>
      </c>
      <c r="E2505">
        <v>1</v>
      </c>
      <c r="F2505" s="7">
        <v>7677.95</v>
      </c>
      <c r="G2505">
        <v>0</v>
      </c>
      <c r="H2505" s="7">
        <v>0</v>
      </c>
    </row>
    <row r="2506" spans="1:8">
      <c r="A2506">
        <v>1</v>
      </c>
      <c r="B2506" t="s">
        <v>46</v>
      </c>
      <c r="C2506" t="s">
        <v>35</v>
      </c>
      <c r="D2506">
        <v>0</v>
      </c>
      <c r="E2506">
        <v>1</v>
      </c>
      <c r="F2506" s="7">
        <v>132540.87</v>
      </c>
      <c r="G2506">
        <v>0</v>
      </c>
      <c r="H2506" s="7">
        <v>0</v>
      </c>
    </row>
    <row r="2507" spans="1:8">
      <c r="A2507">
        <v>1</v>
      </c>
      <c r="B2507" t="s">
        <v>46</v>
      </c>
      <c r="C2507" t="s">
        <v>35</v>
      </c>
      <c r="D2507">
        <v>0</v>
      </c>
      <c r="E2507">
        <v>1</v>
      </c>
      <c r="F2507" s="7">
        <v>170914.25</v>
      </c>
      <c r="G2507">
        <v>0</v>
      </c>
      <c r="H2507" s="7">
        <v>0</v>
      </c>
    </row>
    <row r="2508" spans="1:8">
      <c r="A2508">
        <v>1</v>
      </c>
      <c r="B2508" t="s">
        <v>46</v>
      </c>
      <c r="C2508" t="s">
        <v>34</v>
      </c>
      <c r="D2508">
        <v>0</v>
      </c>
      <c r="E2508">
        <v>1</v>
      </c>
      <c r="F2508" s="7">
        <v>17487.62</v>
      </c>
      <c r="G2508">
        <v>0</v>
      </c>
      <c r="H2508" s="7">
        <v>0</v>
      </c>
    </row>
    <row r="2509" spans="1:8">
      <c r="A2509">
        <v>1</v>
      </c>
      <c r="B2509" t="s">
        <v>46</v>
      </c>
      <c r="C2509" t="s">
        <v>35</v>
      </c>
      <c r="D2509">
        <v>0</v>
      </c>
      <c r="E2509">
        <v>1</v>
      </c>
      <c r="F2509" s="7">
        <v>230892.79</v>
      </c>
      <c r="G2509">
        <v>0</v>
      </c>
      <c r="H2509" s="7">
        <v>0</v>
      </c>
    </row>
    <row r="2510" spans="1:8">
      <c r="A2510">
        <v>1</v>
      </c>
      <c r="B2510" t="s">
        <v>46</v>
      </c>
      <c r="C2510" t="s">
        <v>35</v>
      </c>
      <c r="D2510">
        <v>0</v>
      </c>
      <c r="E2510">
        <v>1</v>
      </c>
      <c r="F2510" s="7">
        <v>734657.1</v>
      </c>
      <c r="G2510">
        <v>0</v>
      </c>
      <c r="H2510" s="7">
        <v>0</v>
      </c>
    </row>
    <row r="2511" spans="1:8">
      <c r="A2511">
        <v>1</v>
      </c>
      <c r="B2511" t="s">
        <v>46</v>
      </c>
      <c r="C2511" t="s">
        <v>35</v>
      </c>
      <c r="D2511">
        <v>0</v>
      </c>
      <c r="E2511">
        <v>1</v>
      </c>
      <c r="F2511" s="7">
        <v>452932.69</v>
      </c>
      <c r="G2511">
        <v>0</v>
      </c>
      <c r="H2511" s="7">
        <v>0</v>
      </c>
    </row>
    <row r="2512" spans="1:8">
      <c r="A2512">
        <v>1</v>
      </c>
      <c r="B2512" t="s">
        <v>46</v>
      </c>
      <c r="C2512" t="s">
        <v>34</v>
      </c>
      <c r="D2512">
        <v>0</v>
      </c>
      <c r="E2512">
        <v>1</v>
      </c>
      <c r="F2512" s="7">
        <v>70299.66</v>
      </c>
      <c r="G2512">
        <v>0</v>
      </c>
      <c r="H2512" s="7">
        <v>0</v>
      </c>
    </row>
    <row r="2513" spans="1:8">
      <c r="A2513">
        <v>1</v>
      </c>
      <c r="B2513" t="s">
        <v>46</v>
      </c>
      <c r="C2513" t="s">
        <v>35</v>
      </c>
      <c r="D2513">
        <v>0</v>
      </c>
      <c r="E2513">
        <v>1</v>
      </c>
      <c r="F2513" s="7">
        <v>245679.75</v>
      </c>
      <c r="G2513">
        <v>0</v>
      </c>
      <c r="H2513" s="7">
        <v>0</v>
      </c>
    </row>
    <row r="2514" spans="1:8">
      <c r="A2514">
        <v>1</v>
      </c>
      <c r="B2514" t="s">
        <v>46</v>
      </c>
      <c r="C2514" t="s">
        <v>35</v>
      </c>
      <c r="D2514">
        <v>0</v>
      </c>
      <c r="E2514">
        <v>1</v>
      </c>
      <c r="F2514" s="7">
        <v>300768.79</v>
      </c>
      <c r="G2514">
        <v>0</v>
      </c>
      <c r="H2514" s="7">
        <v>0</v>
      </c>
    </row>
    <row r="2515" spans="1:8">
      <c r="A2515">
        <v>1</v>
      </c>
      <c r="B2515" t="s">
        <v>46</v>
      </c>
      <c r="C2515" t="s">
        <v>34</v>
      </c>
      <c r="D2515">
        <v>0</v>
      </c>
      <c r="E2515">
        <v>1</v>
      </c>
      <c r="F2515" s="7">
        <v>90697.75</v>
      </c>
      <c r="G2515">
        <v>0</v>
      </c>
      <c r="H2515" s="7">
        <v>0</v>
      </c>
    </row>
    <row r="2516" spans="1:8">
      <c r="A2516">
        <v>1</v>
      </c>
      <c r="B2516" t="s">
        <v>46</v>
      </c>
      <c r="C2516" t="s">
        <v>35</v>
      </c>
      <c r="D2516">
        <v>0</v>
      </c>
      <c r="E2516">
        <v>1</v>
      </c>
      <c r="F2516" s="7">
        <v>130280.74</v>
      </c>
      <c r="G2516">
        <v>0</v>
      </c>
      <c r="H2516" s="7">
        <v>0</v>
      </c>
    </row>
    <row r="2517" spans="1:8">
      <c r="A2517">
        <v>1</v>
      </c>
      <c r="B2517" t="s">
        <v>46</v>
      </c>
      <c r="C2517" t="s">
        <v>34</v>
      </c>
      <c r="D2517">
        <v>0</v>
      </c>
      <c r="E2517">
        <v>1</v>
      </c>
      <c r="F2517" s="7">
        <v>72984.81</v>
      </c>
      <c r="G2517">
        <v>0</v>
      </c>
      <c r="H2517" s="7">
        <v>0</v>
      </c>
    </row>
    <row r="2518" spans="1:8">
      <c r="A2518">
        <v>1</v>
      </c>
      <c r="B2518" t="s">
        <v>46</v>
      </c>
      <c r="C2518" t="s">
        <v>35</v>
      </c>
      <c r="D2518">
        <v>0</v>
      </c>
      <c r="E2518">
        <v>1</v>
      </c>
      <c r="F2518" s="7">
        <v>336230.03</v>
      </c>
      <c r="G2518">
        <v>0</v>
      </c>
      <c r="H2518" s="7">
        <v>0</v>
      </c>
    </row>
    <row r="2519" spans="1:8">
      <c r="A2519">
        <v>1</v>
      </c>
      <c r="B2519" t="s">
        <v>46</v>
      </c>
      <c r="C2519" t="s">
        <v>34</v>
      </c>
      <c r="D2519">
        <v>0</v>
      </c>
      <c r="E2519">
        <v>1</v>
      </c>
      <c r="F2519" s="7">
        <v>75162.99</v>
      </c>
      <c r="G2519">
        <v>0</v>
      </c>
      <c r="H2519" s="7">
        <v>0</v>
      </c>
    </row>
    <row r="2520" spans="1:8">
      <c r="A2520">
        <v>1</v>
      </c>
      <c r="B2520" t="s">
        <v>46</v>
      </c>
      <c r="C2520" t="s">
        <v>35</v>
      </c>
      <c r="D2520">
        <v>0</v>
      </c>
      <c r="E2520">
        <v>1</v>
      </c>
      <c r="F2520" s="7">
        <v>147987.48</v>
      </c>
      <c r="G2520">
        <v>0</v>
      </c>
      <c r="H2520" s="7">
        <v>0</v>
      </c>
    </row>
    <row r="2521" spans="1:8">
      <c r="A2521">
        <v>1</v>
      </c>
      <c r="B2521" t="s">
        <v>46</v>
      </c>
      <c r="C2521" t="s">
        <v>34</v>
      </c>
      <c r="D2521">
        <v>0</v>
      </c>
      <c r="E2521">
        <v>1</v>
      </c>
      <c r="F2521" s="7">
        <v>76305.39</v>
      </c>
      <c r="G2521">
        <v>0</v>
      </c>
      <c r="H2521" s="7">
        <v>0</v>
      </c>
    </row>
    <row r="2522" spans="1:8">
      <c r="A2522">
        <v>1</v>
      </c>
      <c r="B2522" t="s">
        <v>46</v>
      </c>
      <c r="C2522" t="s">
        <v>34</v>
      </c>
      <c r="D2522">
        <v>0</v>
      </c>
      <c r="E2522">
        <v>1</v>
      </c>
      <c r="F2522" s="7">
        <v>18194.34</v>
      </c>
      <c r="G2522">
        <v>0</v>
      </c>
      <c r="H2522" s="7">
        <v>0</v>
      </c>
    </row>
    <row r="2523" spans="1:8">
      <c r="A2523">
        <v>1</v>
      </c>
      <c r="B2523" t="s">
        <v>46</v>
      </c>
      <c r="C2523" t="s">
        <v>34</v>
      </c>
      <c r="D2523">
        <v>0</v>
      </c>
      <c r="E2523">
        <v>1</v>
      </c>
      <c r="F2523" s="7">
        <v>68931.2</v>
      </c>
      <c r="G2523">
        <v>0</v>
      </c>
      <c r="H2523" s="7">
        <v>0</v>
      </c>
    </row>
    <row r="2524" spans="1:8">
      <c r="A2524">
        <v>1</v>
      </c>
      <c r="B2524" t="s">
        <v>46</v>
      </c>
      <c r="C2524" t="s">
        <v>35</v>
      </c>
      <c r="D2524">
        <v>0</v>
      </c>
      <c r="E2524">
        <v>1</v>
      </c>
      <c r="F2524" s="7">
        <v>231460.09</v>
      </c>
      <c r="G2524">
        <v>0</v>
      </c>
      <c r="H2524" s="7">
        <v>0</v>
      </c>
    </row>
    <row r="2525" spans="1:8">
      <c r="A2525">
        <v>1</v>
      </c>
      <c r="B2525" t="s">
        <v>46</v>
      </c>
      <c r="C2525" t="s">
        <v>35</v>
      </c>
      <c r="D2525">
        <v>0</v>
      </c>
      <c r="E2525">
        <v>1</v>
      </c>
      <c r="F2525" s="7">
        <v>156316.71</v>
      </c>
      <c r="G2525">
        <v>0</v>
      </c>
      <c r="H2525" s="7">
        <v>0</v>
      </c>
    </row>
    <row r="2526" spans="1:8">
      <c r="A2526">
        <v>1</v>
      </c>
      <c r="B2526" t="s">
        <v>46</v>
      </c>
      <c r="C2526" t="s">
        <v>35</v>
      </c>
      <c r="D2526">
        <v>0</v>
      </c>
      <c r="E2526">
        <v>1</v>
      </c>
      <c r="F2526" s="7">
        <v>232720.95</v>
      </c>
      <c r="G2526">
        <v>0</v>
      </c>
      <c r="H2526" s="7">
        <v>0</v>
      </c>
    </row>
    <row r="2527" spans="1:8">
      <c r="A2527">
        <v>1</v>
      </c>
      <c r="B2527" t="s">
        <v>46</v>
      </c>
      <c r="C2527" t="s">
        <v>34</v>
      </c>
      <c r="D2527">
        <v>0</v>
      </c>
      <c r="E2527">
        <v>1</v>
      </c>
      <c r="F2527" s="7">
        <v>18536.86</v>
      </c>
      <c r="G2527">
        <v>0</v>
      </c>
      <c r="H2527" s="7">
        <v>0</v>
      </c>
    </row>
    <row r="2528" spans="1:8">
      <c r="A2528">
        <v>1</v>
      </c>
      <c r="B2528" t="s">
        <v>46</v>
      </c>
      <c r="C2528" t="s">
        <v>34</v>
      </c>
      <c r="D2528">
        <v>0</v>
      </c>
      <c r="E2528">
        <v>1</v>
      </c>
      <c r="F2528" s="7">
        <v>89380.43</v>
      </c>
      <c r="G2528">
        <v>0</v>
      </c>
      <c r="H2528" s="7">
        <v>0</v>
      </c>
    </row>
    <row r="2529" spans="1:8">
      <c r="A2529">
        <v>1</v>
      </c>
      <c r="B2529" t="s">
        <v>46</v>
      </c>
      <c r="C2529" t="s">
        <v>35</v>
      </c>
      <c r="D2529">
        <v>0</v>
      </c>
      <c r="E2529">
        <v>1</v>
      </c>
      <c r="F2529" s="7">
        <v>568912.68</v>
      </c>
      <c r="G2529">
        <v>0</v>
      </c>
      <c r="H2529" s="7">
        <v>0</v>
      </c>
    </row>
    <row r="2530" spans="1:8">
      <c r="A2530">
        <v>1</v>
      </c>
      <c r="B2530" t="s">
        <v>42</v>
      </c>
      <c r="C2530" t="s">
        <v>33</v>
      </c>
      <c r="D2530">
        <v>0</v>
      </c>
      <c r="E2530">
        <v>1</v>
      </c>
      <c r="F2530" s="7">
        <v>3351.14</v>
      </c>
      <c r="G2530">
        <v>0</v>
      </c>
      <c r="H2530" s="7">
        <v>0</v>
      </c>
    </row>
    <row r="2531" spans="1:8">
      <c r="A2531">
        <v>1</v>
      </c>
      <c r="B2531" t="s">
        <v>42</v>
      </c>
      <c r="C2531" t="s">
        <v>33</v>
      </c>
      <c r="D2531">
        <v>0</v>
      </c>
      <c r="E2531">
        <v>1</v>
      </c>
      <c r="F2531" s="7">
        <v>4564.51</v>
      </c>
      <c r="G2531">
        <v>0</v>
      </c>
      <c r="H2531" s="7">
        <v>0</v>
      </c>
    </row>
    <row r="2532" spans="1:8">
      <c r="A2532">
        <v>1</v>
      </c>
      <c r="B2532" t="s">
        <v>42</v>
      </c>
      <c r="C2532" t="s">
        <v>33</v>
      </c>
      <c r="D2532">
        <v>0</v>
      </c>
      <c r="E2532">
        <v>1</v>
      </c>
      <c r="F2532" s="7">
        <v>3050.39</v>
      </c>
      <c r="G2532">
        <v>0</v>
      </c>
      <c r="H2532" s="7">
        <v>0</v>
      </c>
    </row>
    <row r="2533" spans="1:8">
      <c r="A2533">
        <v>1</v>
      </c>
      <c r="B2533" t="s">
        <v>42</v>
      </c>
      <c r="C2533" t="s">
        <v>32</v>
      </c>
      <c r="D2533">
        <v>0</v>
      </c>
      <c r="E2533">
        <v>1</v>
      </c>
      <c r="F2533" s="7">
        <v>942.95</v>
      </c>
      <c r="G2533">
        <v>0</v>
      </c>
      <c r="H2533" s="7">
        <v>0</v>
      </c>
    </row>
    <row r="2534" spans="1:8">
      <c r="A2534">
        <v>1</v>
      </c>
      <c r="B2534" t="s">
        <v>42</v>
      </c>
      <c r="C2534" t="s">
        <v>32</v>
      </c>
      <c r="D2534">
        <v>0</v>
      </c>
      <c r="E2534">
        <v>1</v>
      </c>
      <c r="F2534" s="7">
        <v>121.27</v>
      </c>
      <c r="G2534">
        <v>0</v>
      </c>
      <c r="H2534" s="7">
        <v>0</v>
      </c>
    </row>
    <row r="2535" spans="1:8">
      <c r="A2535">
        <v>1</v>
      </c>
      <c r="B2535" t="s">
        <v>42</v>
      </c>
      <c r="C2535" t="s">
        <v>33</v>
      </c>
      <c r="D2535">
        <v>0</v>
      </c>
      <c r="E2535">
        <v>1</v>
      </c>
      <c r="F2535" s="7">
        <v>3798.36</v>
      </c>
      <c r="G2535">
        <v>0</v>
      </c>
      <c r="H2535" s="7">
        <v>0</v>
      </c>
    </row>
    <row r="2536" spans="1:8">
      <c r="A2536">
        <v>1</v>
      </c>
      <c r="B2536" t="s">
        <v>42</v>
      </c>
      <c r="C2536" t="s">
        <v>33</v>
      </c>
      <c r="D2536">
        <v>0</v>
      </c>
      <c r="E2536">
        <v>1</v>
      </c>
      <c r="F2536" s="7">
        <v>2246.11</v>
      </c>
      <c r="G2536">
        <v>0</v>
      </c>
      <c r="H2536" s="7">
        <v>0</v>
      </c>
    </row>
    <row r="2537" spans="1:8">
      <c r="A2537">
        <v>1</v>
      </c>
      <c r="B2537" t="s">
        <v>42</v>
      </c>
      <c r="C2537" t="s">
        <v>33</v>
      </c>
      <c r="D2537">
        <v>0</v>
      </c>
      <c r="E2537">
        <v>1</v>
      </c>
      <c r="F2537" s="7">
        <v>1217.83</v>
      </c>
      <c r="G2537">
        <v>0</v>
      </c>
      <c r="H2537" s="7">
        <v>0</v>
      </c>
    </row>
    <row r="2538" spans="1:8">
      <c r="A2538">
        <v>1</v>
      </c>
      <c r="B2538" t="s">
        <v>42</v>
      </c>
      <c r="C2538" t="s">
        <v>33</v>
      </c>
      <c r="D2538">
        <v>0</v>
      </c>
      <c r="E2538">
        <v>1</v>
      </c>
      <c r="F2538" s="7">
        <v>1285.77</v>
      </c>
      <c r="G2538">
        <v>0</v>
      </c>
      <c r="H2538" s="7">
        <v>0</v>
      </c>
    </row>
    <row r="2539" spans="1:8">
      <c r="A2539">
        <v>1</v>
      </c>
      <c r="B2539" t="s">
        <v>42</v>
      </c>
      <c r="C2539" t="s">
        <v>34</v>
      </c>
      <c r="D2539">
        <v>0</v>
      </c>
      <c r="E2539">
        <v>1</v>
      </c>
      <c r="F2539" s="7">
        <v>25767.46</v>
      </c>
      <c r="G2539">
        <v>0</v>
      </c>
      <c r="H2539" s="7">
        <v>0</v>
      </c>
    </row>
    <row r="2540" spans="1:8">
      <c r="A2540">
        <v>1</v>
      </c>
      <c r="B2540" t="s">
        <v>42</v>
      </c>
      <c r="C2540" t="s">
        <v>33</v>
      </c>
      <c r="D2540">
        <v>0</v>
      </c>
      <c r="E2540">
        <v>1</v>
      </c>
      <c r="F2540" s="7">
        <v>6054.6</v>
      </c>
      <c r="G2540">
        <v>0</v>
      </c>
      <c r="H2540" s="7">
        <v>0</v>
      </c>
    </row>
    <row r="2541" spans="1:8">
      <c r="A2541">
        <v>1</v>
      </c>
      <c r="B2541" t="s">
        <v>42</v>
      </c>
      <c r="C2541" t="s">
        <v>33</v>
      </c>
      <c r="D2541">
        <v>0</v>
      </c>
      <c r="E2541">
        <v>1</v>
      </c>
      <c r="F2541" s="7">
        <v>1816.52</v>
      </c>
      <c r="G2541">
        <v>0</v>
      </c>
      <c r="H2541" s="7">
        <v>0</v>
      </c>
    </row>
    <row r="2542" spans="1:8">
      <c r="A2542">
        <v>1</v>
      </c>
      <c r="B2542" t="s">
        <v>42</v>
      </c>
      <c r="C2542" t="s">
        <v>33</v>
      </c>
      <c r="D2542">
        <v>0</v>
      </c>
      <c r="E2542">
        <v>1</v>
      </c>
      <c r="F2542" s="7">
        <v>5171.22</v>
      </c>
      <c r="G2542">
        <v>0</v>
      </c>
      <c r="H2542" s="7">
        <v>0</v>
      </c>
    </row>
    <row r="2543" spans="1:8">
      <c r="A2543">
        <v>1</v>
      </c>
      <c r="B2543" t="s">
        <v>42</v>
      </c>
      <c r="C2543" t="s">
        <v>33</v>
      </c>
      <c r="D2543">
        <v>0</v>
      </c>
      <c r="E2543">
        <v>1</v>
      </c>
      <c r="F2543" s="7">
        <v>1566.11</v>
      </c>
      <c r="G2543">
        <v>0</v>
      </c>
      <c r="H2543" s="7">
        <v>0</v>
      </c>
    </row>
    <row r="2544" spans="1:8">
      <c r="A2544">
        <v>1</v>
      </c>
      <c r="B2544" t="s">
        <v>42</v>
      </c>
      <c r="C2544" t="s">
        <v>33</v>
      </c>
      <c r="D2544">
        <v>0</v>
      </c>
      <c r="E2544">
        <v>1</v>
      </c>
      <c r="F2544" s="7">
        <v>7014.89</v>
      </c>
      <c r="G2544">
        <v>0</v>
      </c>
      <c r="H2544" s="7">
        <v>0</v>
      </c>
    </row>
    <row r="2545" spans="1:8">
      <c r="A2545">
        <v>1</v>
      </c>
      <c r="B2545" t="s">
        <v>42</v>
      </c>
      <c r="C2545" t="s">
        <v>33</v>
      </c>
      <c r="D2545">
        <v>0</v>
      </c>
      <c r="E2545">
        <v>1</v>
      </c>
      <c r="F2545" s="7">
        <v>3858.3</v>
      </c>
      <c r="G2545">
        <v>0</v>
      </c>
      <c r="H2545" s="7">
        <v>0</v>
      </c>
    </row>
    <row r="2546" spans="1:8">
      <c r="A2546">
        <v>1</v>
      </c>
      <c r="B2546" t="s">
        <v>42</v>
      </c>
      <c r="C2546" t="s">
        <v>34</v>
      </c>
      <c r="D2546">
        <v>0</v>
      </c>
      <c r="E2546">
        <v>1</v>
      </c>
      <c r="F2546" s="7">
        <v>27018.5</v>
      </c>
      <c r="G2546">
        <v>0</v>
      </c>
      <c r="H2546" s="7">
        <v>0</v>
      </c>
    </row>
    <row r="2547" spans="1:8">
      <c r="A2547">
        <v>1</v>
      </c>
      <c r="B2547" t="s">
        <v>42</v>
      </c>
      <c r="C2547" t="s">
        <v>33</v>
      </c>
      <c r="D2547">
        <v>0</v>
      </c>
      <c r="E2547">
        <v>1</v>
      </c>
      <c r="F2547" s="7">
        <v>2879.51</v>
      </c>
      <c r="G2547">
        <v>0</v>
      </c>
      <c r="H2547" s="7">
        <v>0</v>
      </c>
    </row>
    <row r="2548" spans="1:8">
      <c r="A2548">
        <v>1</v>
      </c>
      <c r="B2548" t="s">
        <v>42</v>
      </c>
      <c r="C2548" t="s">
        <v>34</v>
      </c>
      <c r="D2548">
        <v>0</v>
      </c>
      <c r="E2548">
        <v>1</v>
      </c>
      <c r="F2548" s="7">
        <v>18975.26</v>
      </c>
      <c r="G2548">
        <v>0</v>
      </c>
      <c r="H2548" s="7">
        <v>0</v>
      </c>
    </row>
    <row r="2549" spans="1:8">
      <c r="A2549">
        <v>1</v>
      </c>
      <c r="B2549" t="s">
        <v>42</v>
      </c>
      <c r="C2549" t="s">
        <v>33</v>
      </c>
      <c r="D2549">
        <v>0</v>
      </c>
      <c r="E2549">
        <v>1</v>
      </c>
      <c r="F2549" s="7">
        <v>3056.61</v>
      </c>
      <c r="G2549">
        <v>0</v>
      </c>
      <c r="H2549" s="7">
        <v>0</v>
      </c>
    </row>
    <row r="2550" spans="1:8">
      <c r="A2550">
        <v>1</v>
      </c>
      <c r="B2550" t="s">
        <v>42</v>
      </c>
      <c r="C2550" t="s">
        <v>32</v>
      </c>
      <c r="D2550">
        <v>0</v>
      </c>
      <c r="E2550">
        <v>1</v>
      </c>
      <c r="F2550" s="7">
        <v>798.26</v>
      </c>
      <c r="G2550">
        <v>0</v>
      </c>
      <c r="H2550" s="7">
        <v>0</v>
      </c>
    </row>
    <row r="2551" spans="1:8">
      <c r="A2551">
        <v>1</v>
      </c>
      <c r="B2551" t="s">
        <v>42</v>
      </c>
      <c r="C2551" t="s">
        <v>33</v>
      </c>
      <c r="D2551">
        <v>0</v>
      </c>
      <c r="E2551">
        <v>1</v>
      </c>
      <c r="F2551" s="7">
        <v>2807.18</v>
      </c>
      <c r="G2551">
        <v>0</v>
      </c>
      <c r="H2551" s="7">
        <v>0</v>
      </c>
    </row>
    <row r="2552" spans="1:8">
      <c r="A2552">
        <v>1</v>
      </c>
      <c r="B2552" t="s">
        <v>42</v>
      </c>
      <c r="C2552" t="s">
        <v>33</v>
      </c>
      <c r="D2552">
        <v>0</v>
      </c>
      <c r="E2552">
        <v>1</v>
      </c>
      <c r="F2552" s="7">
        <v>2746.12</v>
      </c>
      <c r="G2552">
        <v>0</v>
      </c>
      <c r="H2552" s="7">
        <v>0</v>
      </c>
    </row>
    <row r="2553" spans="1:8">
      <c r="A2553">
        <v>1</v>
      </c>
      <c r="B2553" t="s">
        <v>42</v>
      </c>
      <c r="C2553" t="s">
        <v>33</v>
      </c>
      <c r="D2553">
        <v>0</v>
      </c>
      <c r="E2553">
        <v>1</v>
      </c>
      <c r="F2553" s="7">
        <v>5256.18</v>
      </c>
      <c r="G2553">
        <v>0</v>
      </c>
      <c r="H2553" s="7">
        <v>0</v>
      </c>
    </row>
    <row r="2554" spans="1:8">
      <c r="A2554">
        <v>1</v>
      </c>
      <c r="B2554" t="s">
        <v>42</v>
      </c>
      <c r="C2554" t="s">
        <v>33</v>
      </c>
      <c r="D2554">
        <v>0</v>
      </c>
      <c r="E2554">
        <v>1</v>
      </c>
      <c r="F2554" s="7">
        <v>2153.73</v>
      </c>
      <c r="G2554">
        <v>0</v>
      </c>
      <c r="H2554" s="7">
        <v>0</v>
      </c>
    </row>
    <row r="2555" spans="1:8">
      <c r="A2555">
        <v>1</v>
      </c>
      <c r="B2555" t="s">
        <v>42</v>
      </c>
      <c r="C2555" t="s">
        <v>33</v>
      </c>
      <c r="D2555">
        <v>0</v>
      </c>
      <c r="E2555">
        <v>1</v>
      </c>
      <c r="F2555" s="7">
        <v>4378.75</v>
      </c>
      <c r="G2555">
        <v>0</v>
      </c>
      <c r="H2555" s="7">
        <v>0</v>
      </c>
    </row>
    <row r="2556" spans="1:8">
      <c r="A2556">
        <v>1</v>
      </c>
      <c r="B2556" t="s">
        <v>42</v>
      </c>
      <c r="C2556" t="s">
        <v>34</v>
      </c>
      <c r="D2556">
        <v>0</v>
      </c>
      <c r="E2556">
        <v>1</v>
      </c>
      <c r="F2556" s="7">
        <v>16910.42</v>
      </c>
      <c r="G2556">
        <v>0</v>
      </c>
      <c r="H2556" s="7">
        <v>0</v>
      </c>
    </row>
    <row r="2557" spans="1:8">
      <c r="A2557">
        <v>1</v>
      </c>
      <c r="B2557" t="s">
        <v>42</v>
      </c>
      <c r="C2557" t="s">
        <v>33</v>
      </c>
      <c r="D2557">
        <v>0</v>
      </c>
      <c r="E2557">
        <v>1</v>
      </c>
      <c r="F2557" s="7">
        <v>4195.41</v>
      </c>
      <c r="G2557">
        <v>0</v>
      </c>
      <c r="H2557" s="7">
        <v>0</v>
      </c>
    </row>
    <row r="2558" spans="1:8">
      <c r="A2558">
        <v>1</v>
      </c>
      <c r="B2558" t="s">
        <v>44</v>
      </c>
      <c r="C2558" t="s">
        <v>35</v>
      </c>
      <c r="D2558">
        <v>0</v>
      </c>
      <c r="E2558">
        <v>1</v>
      </c>
      <c r="F2558" s="7">
        <v>247199.96</v>
      </c>
      <c r="G2558">
        <v>0</v>
      </c>
      <c r="H2558" s="7">
        <v>0</v>
      </c>
    </row>
    <row r="2559" spans="1:8">
      <c r="A2559">
        <v>1</v>
      </c>
      <c r="B2559" t="s">
        <v>42</v>
      </c>
      <c r="C2559" t="s">
        <v>33</v>
      </c>
      <c r="D2559">
        <v>0</v>
      </c>
      <c r="E2559">
        <v>1</v>
      </c>
      <c r="F2559" s="7">
        <v>2505.99</v>
      </c>
      <c r="G2559">
        <v>0</v>
      </c>
      <c r="H2559" s="7">
        <v>0</v>
      </c>
    </row>
    <row r="2560" spans="1:8">
      <c r="A2560">
        <v>1</v>
      </c>
      <c r="B2560" t="s">
        <v>42</v>
      </c>
      <c r="C2560" t="s">
        <v>33</v>
      </c>
      <c r="D2560">
        <v>0</v>
      </c>
      <c r="E2560">
        <v>1</v>
      </c>
      <c r="F2560" s="7">
        <v>5986.18</v>
      </c>
      <c r="G2560">
        <v>0</v>
      </c>
      <c r="H2560" s="7">
        <v>0</v>
      </c>
    </row>
    <row r="2561" spans="1:8">
      <c r="A2561">
        <v>1</v>
      </c>
      <c r="B2561" t="s">
        <v>42</v>
      </c>
      <c r="C2561" t="s">
        <v>33</v>
      </c>
      <c r="D2561">
        <v>0</v>
      </c>
      <c r="E2561">
        <v>1</v>
      </c>
      <c r="F2561" s="7">
        <v>6794.37</v>
      </c>
      <c r="G2561">
        <v>0</v>
      </c>
      <c r="H2561" s="7">
        <v>0</v>
      </c>
    </row>
    <row r="2562" spans="1:8">
      <c r="A2562">
        <v>1</v>
      </c>
      <c r="B2562" t="s">
        <v>42</v>
      </c>
      <c r="C2562" t="s">
        <v>33</v>
      </c>
      <c r="D2562">
        <v>0</v>
      </c>
      <c r="E2562">
        <v>1</v>
      </c>
      <c r="F2562" s="7">
        <v>5029.67</v>
      </c>
      <c r="G2562">
        <v>0</v>
      </c>
      <c r="H2562" s="7">
        <v>0</v>
      </c>
    </row>
    <row r="2563" spans="1:8">
      <c r="A2563">
        <v>1</v>
      </c>
      <c r="B2563" t="s">
        <v>42</v>
      </c>
      <c r="C2563" t="s">
        <v>33</v>
      </c>
      <c r="D2563">
        <v>0</v>
      </c>
      <c r="E2563">
        <v>1</v>
      </c>
      <c r="F2563" s="7">
        <v>4489.66</v>
      </c>
      <c r="G2563">
        <v>0</v>
      </c>
      <c r="H2563" s="7">
        <v>0</v>
      </c>
    </row>
    <row r="2564" spans="1:8">
      <c r="A2564">
        <v>1</v>
      </c>
      <c r="B2564" t="s">
        <v>42</v>
      </c>
      <c r="C2564" t="s">
        <v>33</v>
      </c>
      <c r="D2564">
        <v>0</v>
      </c>
      <c r="E2564">
        <v>1</v>
      </c>
      <c r="F2564" s="7">
        <v>5193.39</v>
      </c>
      <c r="G2564">
        <v>0</v>
      </c>
      <c r="H2564" s="7">
        <v>0</v>
      </c>
    </row>
    <row r="2565" spans="1:8">
      <c r="A2565">
        <v>1</v>
      </c>
      <c r="B2565" t="s">
        <v>45</v>
      </c>
      <c r="C2565" t="s">
        <v>33</v>
      </c>
      <c r="D2565">
        <v>0</v>
      </c>
      <c r="E2565">
        <v>1</v>
      </c>
      <c r="F2565" s="7">
        <v>4188.03</v>
      </c>
      <c r="G2565">
        <v>0</v>
      </c>
      <c r="H2565" s="7">
        <v>0</v>
      </c>
    </row>
    <row r="2566" spans="1:8">
      <c r="A2566">
        <v>1</v>
      </c>
      <c r="B2566" t="s">
        <v>42</v>
      </c>
      <c r="C2566" t="s">
        <v>33</v>
      </c>
      <c r="D2566">
        <v>0</v>
      </c>
      <c r="E2566">
        <v>1</v>
      </c>
      <c r="F2566" s="7">
        <v>4975.75</v>
      </c>
      <c r="G2566">
        <v>0</v>
      </c>
      <c r="H2566" s="7">
        <v>0</v>
      </c>
    </row>
    <row r="2567" spans="1:8">
      <c r="A2567">
        <v>1</v>
      </c>
      <c r="B2567" t="s">
        <v>43</v>
      </c>
      <c r="C2567" t="s">
        <v>34</v>
      </c>
      <c r="D2567">
        <v>0</v>
      </c>
      <c r="E2567">
        <v>1</v>
      </c>
      <c r="F2567" s="7">
        <v>91424.21</v>
      </c>
      <c r="G2567">
        <v>0</v>
      </c>
      <c r="H2567" s="7">
        <v>0</v>
      </c>
    </row>
    <row r="2568" spans="1:8">
      <c r="A2568">
        <v>1</v>
      </c>
      <c r="B2568" t="s">
        <v>42</v>
      </c>
      <c r="C2568" t="s">
        <v>33</v>
      </c>
      <c r="D2568">
        <v>0</v>
      </c>
      <c r="E2568">
        <v>1</v>
      </c>
      <c r="F2568" s="7">
        <v>1780.48</v>
      </c>
      <c r="G2568">
        <v>0</v>
      </c>
      <c r="H2568" s="7">
        <v>0</v>
      </c>
    </row>
    <row r="2569" spans="1:8">
      <c r="A2569">
        <v>1</v>
      </c>
      <c r="B2569" t="s">
        <v>42</v>
      </c>
      <c r="C2569" t="s">
        <v>33</v>
      </c>
      <c r="D2569">
        <v>0</v>
      </c>
      <c r="E2569">
        <v>1</v>
      </c>
      <c r="F2569" s="7">
        <v>2211.92</v>
      </c>
      <c r="G2569">
        <v>0</v>
      </c>
      <c r="H2569" s="7">
        <v>0</v>
      </c>
    </row>
    <row r="2570" spans="1:8">
      <c r="A2570">
        <v>1</v>
      </c>
      <c r="B2570" t="s">
        <v>42</v>
      </c>
      <c r="C2570" t="s">
        <v>33</v>
      </c>
      <c r="D2570">
        <v>0</v>
      </c>
      <c r="E2570">
        <v>1</v>
      </c>
      <c r="F2570" s="7">
        <v>9245.27</v>
      </c>
      <c r="G2570">
        <v>0</v>
      </c>
      <c r="H2570" s="7">
        <v>0</v>
      </c>
    </row>
    <row r="2571" spans="1:8">
      <c r="A2571">
        <v>1</v>
      </c>
      <c r="B2571" t="s">
        <v>46</v>
      </c>
      <c r="C2571" t="s">
        <v>33</v>
      </c>
      <c r="D2571">
        <v>0</v>
      </c>
      <c r="E2571">
        <v>1</v>
      </c>
      <c r="F2571" s="7">
        <v>9467.87</v>
      </c>
      <c r="G2571">
        <v>0</v>
      </c>
      <c r="H2571" s="7">
        <v>0</v>
      </c>
    </row>
    <row r="2572" spans="1:8">
      <c r="A2572">
        <v>1</v>
      </c>
      <c r="B2572" t="s">
        <v>44</v>
      </c>
      <c r="C2572" t="s">
        <v>35</v>
      </c>
      <c r="D2572">
        <v>0</v>
      </c>
      <c r="E2572">
        <v>1</v>
      </c>
      <c r="F2572" s="7">
        <v>519973.96</v>
      </c>
      <c r="G2572">
        <v>0</v>
      </c>
      <c r="H2572" s="7">
        <v>0</v>
      </c>
    </row>
    <row r="2573" spans="1:8">
      <c r="A2573">
        <v>1</v>
      </c>
      <c r="B2573" t="s">
        <v>42</v>
      </c>
      <c r="C2573" t="s">
        <v>33</v>
      </c>
      <c r="D2573">
        <v>0</v>
      </c>
      <c r="E2573">
        <v>1</v>
      </c>
      <c r="F2573" s="7">
        <v>7071.42</v>
      </c>
      <c r="G2573">
        <v>0</v>
      </c>
      <c r="H2573" s="7">
        <v>0</v>
      </c>
    </row>
    <row r="2574" spans="1:8">
      <c r="A2574">
        <v>1</v>
      </c>
      <c r="B2574" t="s">
        <v>44</v>
      </c>
      <c r="C2574" t="s">
        <v>35</v>
      </c>
      <c r="D2574">
        <v>0</v>
      </c>
      <c r="E2574">
        <v>1</v>
      </c>
      <c r="F2574" s="7">
        <v>166808.69</v>
      </c>
      <c r="G2574">
        <v>0</v>
      </c>
      <c r="H2574" s="7">
        <v>0</v>
      </c>
    </row>
    <row r="2575" spans="1:8">
      <c r="A2575">
        <v>1</v>
      </c>
      <c r="B2575" t="s">
        <v>42</v>
      </c>
      <c r="C2575" t="s">
        <v>33</v>
      </c>
      <c r="D2575">
        <v>0</v>
      </c>
      <c r="E2575">
        <v>1</v>
      </c>
      <c r="F2575" s="7">
        <v>7852.4</v>
      </c>
      <c r="G2575">
        <v>0</v>
      </c>
      <c r="H2575" s="7">
        <v>0</v>
      </c>
    </row>
    <row r="2576" spans="1:8">
      <c r="A2576">
        <v>1</v>
      </c>
      <c r="B2576" t="s">
        <v>42</v>
      </c>
      <c r="C2576" t="s">
        <v>33</v>
      </c>
      <c r="D2576">
        <v>0</v>
      </c>
      <c r="E2576">
        <v>1</v>
      </c>
      <c r="F2576" s="7">
        <v>4453.49</v>
      </c>
      <c r="G2576">
        <v>0</v>
      </c>
      <c r="H2576" s="7">
        <v>0</v>
      </c>
    </row>
    <row r="2577" spans="1:8">
      <c r="A2577">
        <v>1</v>
      </c>
      <c r="B2577" t="s">
        <v>42</v>
      </c>
      <c r="C2577" t="s">
        <v>33</v>
      </c>
      <c r="D2577">
        <v>0</v>
      </c>
      <c r="E2577">
        <v>1</v>
      </c>
      <c r="F2577" s="7">
        <v>1880.05</v>
      </c>
      <c r="G2577">
        <v>0</v>
      </c>
      <c r="H2577" s="7">
        <v>0</v>
      </c>
    </row>
    <row r="2578" spans="1:8">
      <c r="A2578">
        <v>1</v>
      </c>
      <c r="B2578" t="s">
        <v>45</v>
      </c>
      <c r="C2578" t="s">
        <v>33</v>
      </c>
      <c r="D2578">
        <v>0</v>
      </c>
      <c r="E2578">
        <v>1</v>
      </c>
      <c r="F2578" s="7">
        <v>8607.73</v>
      </c>
      <c r="G2578">
        <v>0</v>
      </c>
      <c r="H2578" s="7">
        <v>0</v>
      </c>
    </row>
    <row r="2579" spans="1:8">
      <c r="A2579">
        <v>1</v>
      </c>
      <c r="B2579" t="s">
        <v>42</v>
      </c>
      <c r="C2579" t="s">
        <v>33</v>
      </c>
      <c r="D2579">
        <v>0</v>
      </c>
      <c r="E2579">
        <v>1</v>
      </c>
      <c r="F2579" s="7">
        <v>5111.72</v>
      </c>
      <c r="G2579">
        <v>0</v>
      </c>
      <c r="H2579" s="7">
        <v>0</v>
      </c>
    </row>
    <row r="2580" spans="1:8">
      <c r="A2580">
        <v>1</v>
      </c>
      <c r="B2580" t="s">
        <v>42</v>
      </c>
      <c r="C2580" t="s">
        <v>32</v>
      </c>
      <c r="D2580">
        <v>0</v>
      </c>
      <c r="E2580">
        <v>1</v>
      </c>
      <c r="F2580" s="7">
        <v>232.74</v>
      </c>
      <c r="G2580">
        <v>0</v>
      </c>
      <c r="H2580" s="7">
        <v>0</v>
      </c>
    </row>
    <row r="2581" spans="1:8">
      <c r="A2581">
        <v>1</v>
      </c>
      <c r="B2581" t="s">
        <v>45</v>
      </c>
      <c r="C2581" t="s">
        <v>33</v>
      </c>
      <c r="D2581">
        <v>0</v>
      </c>
      <c r="E2581">
        <v>1</v>
      </c>
      <c r="F2581" s="7">
        <v>8326.13</v>
      </c>
      <c r="G2581">
        <v>0</v>
      </c>
      <c r="H2581" s="7">
        <v>0</v>
      </c>
    </row>
    <row r="2582" spans="1:8">
      <c r="A2582">
        <v>1</v>
      </c>
      <c r="B2582" t="s">
        <v>42</v>
      </c>
      <c r="C2582" t="s">
        <v>34</v>
      </c>
      <c r="D2582">
        <v>0</v>
      </c>
      <c r="E2582">
        <v>1</v>
      </c>
      <c r="F2582" s="7">
        <v>10169.55</v>
      </c>
      <c r="G2582">
        <v>0</v>
      </c>
      <c r="H2582" s="7">
        <v>0</v>
      </c>
    </row>
    <row r="2583" spans="1:8">
      <c r="A2583">
        <v>1</v>
      </c>
      <c r="B2583" t="s">
        <v>42</v>
      </c>
      <c r="C2583" t="s">
        <v>33</v>
      </c>
      <c r="D2583">
        <v>0</v>
      </c>
      <c r="E2583">
        <v>1</v>
      </c>
      <c r="F2583" s="7">
        <v>4655.03</v>
      </c>
      <c r="G2583">
        <v>0</v>
      </c>
      <c r="H2583" s="7">
        <v>0</v>
      </c>
    </row>
    <row r="2584" spans="1:8">
      <c r="A2584">
        <v>1</v>
      </c>
      <c r="B2584" t="s">
        <v>42</v>
      </c>
      <c r="C2584" t="s">
        <v>33</v>
      </c>
      <c r="D2584">
        <v>0</v>
      </c>
      <c r="E2584">
        <v>1</v>
      </c>
      <c r="F2584" s="7">
        <v>2732.73</v>
      </c>
      <c r="G2584">
        <v>0</v>
      </c>
      <c r="H2584" s="7">
        <v>0</v>
      </c>
    </row>
    <row r="2585" spans="1:8">
      <c r="A2585">
        <v>1</v>
      </c>
      <c r="B2585" t="s">
        <v>42</v>
      </c>
      <c r="C2585" t="s">
        <v>33</v>
      </c>
      <c r="D2585">
        <v>0</v>
      </c>
      <c r="E2585">
        <v>1</v>
      </c>
      <c r="F2585" s="7">
        <v>6948.21</v>
      </c>
      <c r="G2585">
        <v>0</v>
      </c>
      <c r="H2585" s="7">
        <v>0</v>
      </c>
    </row>
    <row r="2586" spans="1:8">
      <c r="A2586">
        <v>1</v>
      </c>
      <c r="B2586" t="s">
        <v>43</v>
      </c>
      <c r="C2586" t="s">
        <v>34</v>
      </c>
      <c r="D2586">
        <v>0</v>
      </c>
      <c r="E2586">
        <v>1</v>
      </c>
      <c r="F2586" s="7">
        <v>92236.11</v>
      </c>
      <c r="G2586">
        <v>0</v>
      </c>
      <c r="H2586" s="7">
        <v>0</v>
      </c>
    </row>
    <row r="2587" spans="1:8">
      <c r="A2587">
        <v>1</v>
      </c>
      <c r="B2587" t="s">
        <v>43</v>
      </c>
      <c r="C2587" t="s">
        <v>35</v>
      </c>
      <c r="D2587">
        <v>0</v>
      </c>
      <c r="E2587">
        <v>1</v>
      </c>
      <c r="F2587" s="7">
        <v>104267.94</v>
      </c>
      <c r="G2587">
        <v>0</v>
      </c>
      <c r="H2587" s="7">
        <v>0</v>
      </c>
    </row>
    <row r="2588" spans="1:8">
      <c r="A2588">
        <v>1</v>
      </c>
      <c r="B2588" t="s">
        <v>43</v>
      </c>
      <c r="C2588" t="s">
        <v>35</v>
      </c>
      <c r="D2588">
        <v>0</v>
      </c>
      <c r="E2588">
        <v>1</v>
      </c>
      <c r="F2588" s="7">
        <v>176127.45</v>
      </c>
      <c r="G2588">
        <v>0</v>
      </c>
      <c r="H2588" s="7">
        <v>0</v>
      </c>
    </row>
    <row r="2589" spans="1:8">
      <c r="A2589">
        <v>1</v>
      </c>
      <c r="B2589" t="s">
        <v>43</v>
      </c>
      <c r="C2589" t="s">
        <v>34</v>
      </c>
      <c r="D2589">
        <v>0</v>
      </c>
      <c r="E2589">
        <v>1</v>
      </c>
      <c r="F2589" s="7">
        <v>94087.34</v>
      </c>
      <c r="G2589">
        <v>0</v>
      </c>
      <c r="H2589" s="7">
        <v>0</v>
      </c>
    </row>
    <row r="2590" spans="1:8">
      <c r="A2590">
        <v>1</v>
      </c>
      <c r="B2590" t="s">
        <v>43</v>
      </c>
      <c r="C2590" t="s">
        <v>35</v>
      </c>
      <c r="D2590">
        <v>0</v>
      </c>
      <c r="E2590">
        <v>1</v>
      </c>
      <c r="F2590" s="7">
        <v>172867.65</v>
      </c>
      <c r="G2590">
        <v>0</v>
      </c>
      <c r="H2590" s="7">
        <v>0</v>
      </c>
    </row>
    <row r="2591" spans="1:8">
      <c r="A2591">
        <v>1</v>
      </c>
      <c r="B2591" t="s">
        <v>43</v>
      </c>
      <c r="C2591" t="s">
        <v>35</v>
      </c>
      <c r="D2591">
        <v>0</v>
      </c>
      <c r="E2591">
        <v>1</v>
      </c>
      <c r="F2591" s="7">
        <v>277611.59</v>
      </c>
      <c r="G2591">
        <v>0</v>
      </c>
      <c r="H2591" s="7">
        <v>0</v>
      </c>
    </row>
    <row r="2592" spans="1:8">
      <c r="A2592">
        <v>1</v>
      </c>
      <c r="B2592" t="s">
        <v>43</v>
      </c>
      <c r="C2592" t="s">
        <v>36</v>
      </c>
      <c r="D2592">
        <v>0</v>
      </c>
      <c r="E2592">
        <v>1</v>
      </c>
      <c r="F2592" s="7">
        <v>1755646.72</v>
      </c>
      <c r="G2592">
        <v>0</v>
      </c>
      <c r="H2592" s="7">
        <v>0</v>
      </c>
    </row>
    <row r="2593" spans="1:8">
      <c r="A2593">
        <v>1</v>
      </c>
      <c r="B2593" t="s">
        <v>43</v>
      </c>
      <c r="C2593" t="s">
        <v>36</v>
      </c>
      <c r="D2593">
        <v>0</v>
      </c>
      <c r="E2593">
        <v>1</v>
      </c>
      <c r="F2593" s="7">
        <v>2441078.3</v>
      </c>
      <c r="G2593">
        <v>0</v>
      </c>
      <c r="H2593" s="7">
        <v>0</v>
      </c>
    </row>
    <row r="2594" spans="1:8">
      <c r="A2594">
        <v>1</v>
      </c>
      <c r="B2594" t="s">
        <v>43</v>
      </c>
      <c r="C2594" t="s">
        <v>36</v>
      </c>
      <c r="D2594">
        <v>0</v>
      </c>
      <c r="E2594">
        <v>1</v>
      </c>
      <c r="F2594" s="7">
        <v>1147953.82</v>
      </c>
      <c r="G2594">
        <v>0</v>
      </c>
      <c r="H2594" s="7">
        <v>0</v>
      </c>
    </row>
    <row r="2595" spans="1:8">
      <c r="A2595">
        <v>1</v>
      </c>
      <c r="B2595" t="s">
        <v>43</v>
      </c>
      <c r="C2595" t="s">
        <v>35</v>
      </c>
      <c r="D2595">
        <v>0</v>
      </c>
      <c r="E2595">
        <v>1</v>
      </c>
      <c r="F2595" s="7">
        <v>395709.23</v>
      </c>
      <c r="G2595">
        <v>0</v>
      </c>
      <c r="H2595" s="7">
        <v>0</v>
      </c>
    </row>
    <row r="2596" spans="1:8">
      <c r="A2596">
        <v>1</v>
      </c>
      <c r="B2596" t="s">
        <v>43</v>
      </c>
      <c r="C2596" t="s">
        <v>35</v>
      </c>
      <c r="D2596">
        <v>0</v>
      </c>
      <c r="E2596">
        <v>1</v>
      </c>
      <c r="F2596" s="7">
        <v>168001.93</v>
      </c>
      <c r="G2596">
        <v>0</v>
      </c>
      <c r="H2596" s="7">
        <v>0</v>
      </c>
    </row>
    <row r="2597" spans="1:8">
      <c r="A2597">
        <v>1</v>
      </c>
      <c r="B2597" t="s">
        <v>43</v>
      </c>
      <c r="C2597" t="s">
        <v>36</v>
      </c>
      <c r="D2597">
        <v>0</v>
      </c>
      <c r="E2597">
        <v>1</v>
      </c>
      <c r="F2597" s="7">
        <v>2032275.62</v>
      </c>
      <c r="G2597">
        <v>0</v>
      </c>
      <c r="H2597" s="7">
        <v>0</v>
      </c>
    </row>
    <row r="2598" spans="1:8">
      <c r="A2598">
        <v>1</v>
      </c>
      <c r="B2598" t="s">
        <v>43</v>
      </c>
      <c r="C2598" t="s">
        <v>34</v>
      </c>
      <c r="D2598">
        <v>0</v>
      </c>
      <c r="E2598">
        <v>1</v>
      </c>
      <c r="F2598" s="7">
        <v>44944.32</v>
      </c>
      <c r="G2598">
        <v>0</v>
      </c>
      <c r="H2598" s="7">
        <v>0</v>
      </c>
    </row>
    <row r="2599" spans="1:8">
      <c r="A2599">
        <v>1</v>
      </c>
      <c r="B2599" t="s">
        <v>43</v>
      </c>
      <c r="C2599" t="s">
        <v>35</v>
      </c>
      <c r="D2599">
        <v>0</v>
      </c>
      <c r="E2599">
        <v>1</v>
      </c>
      <c r="F2599" s="7">
        <v>957339.52</v>
      </c>
      <c r="G2599">
        <v>0</v>
      </c>
      <c r="H2599" s="7">
        <v>0</v>
      </c>
    </row>
    <row r="2600" spans="1:8">
      <c r="A2600">
        <v>1</v>
      </c>
      <c r="B2600" t="s">
        <v>43</v>
      </c>
      <c r="C2600" t="s">
        <v>35</v>
      </c>
      <c r="D2600">
        <v>0</v>
      </c>
      <c r="E2600">
        <v>1</v>
      </c>
      <c r="F2600" s="7">
        <v>459709.79</v>
      </c>
      <c r="G2600">
        <v>0</v>
      </c>
      <c r="H2600" s="7">
        <v>0</v>
      </c>
    </row>
    <row r="2601" spans="1:8">
      <c r="A2601">
        <v>1</v>
      </c>
      <c r="B2601" t="s">
        <v>43</v>
      </c>
      <c r="C2601" t="s">
        <v>35</v>
      </c>
      <c r="D2601">
        <v>0</v>
      </c>
      <c r="E2601">
        <v>1</v>
      </c>
      <c r="F2601" s="7">
        <v>637758.38</v>
      </c>
      <c r="G2601">
        <v>0</v>
      </c>
      <c r="H2601" s="7">
        <v>0</v>
      </c>
    </row>
    <row r="2602" spans="1:8">
      <c r="A2602">
        <v>1</v>
      </c>
      <c r="B2602" t="s">
        <v>45</v>
      </c>
      <c r="C2602" t="s">
        <v>32</v>
      </c>
      <c r="D2602">
        <v>0</v>
      </c>
      <c r="E2602">
        <v>1</v>
      </c>
      <c r="F2602" s="7">
        <v>525.22</v>
      </c>
      <c r="G2602">
        <v>0</v>
      </c>
      <c r="H2602" s="7">
        <v>0</v>
      </c>
    </row>
    <row r="2603" spans="1:8">
      <c r="A2603">
        <v>1</v>
      </c>
      <c r="B2603" t="s">
        <v>42</v>
      </c>
      <c r="C2603" t="s">
        <v>33</v>
      </c>
      <c r="D2603">
        <v>0</v>
      </c>
      <c r="E2603">
        <v>1</v>
      </c>
      <c r="F2603" s="7">
        <v>3847.27</v>
      </c>
      <c r="G2603">
        <v>0</v>
      </c>
      <c r="H2603" s="7">
        <v>0</v>
      </c>
    </row>
    <row r="2604" spans="1:8">
      <c r="A2604">
        <v>1</v>
      </c>
      <c r="B2604" t="s">
        <v>42</v>
      </c>
      <c r="C2604" t="s">
        <v>34</v>
      </c>
      <c r="D2604">
        <v>0</v>
      </c>
      <c r="E2604">
        <v>1</v>
      </c>
      <c r="F2604" s="7">
        <v>14126.82</v>
      </c>
      <c r="G2604">
        <v>0</v>
      </c>
      <c r="H2604" s="7">
        <v>0</v>
      </c>
    </row>
    <row r="2605" spans="1:8">
      <c r="A2605">
        <v>1</v>
      </c>
      <c r="B2605" t="s">
        <v>42</v>
      </c>
      <c r="C2605" t="s">
        <v>33</v>
      </c>
      <c r="D2605">
        <v>0</v>
      </c>
      <c r="E2605">
        <v>1</v>
      </c>
      <c r="F2605" s="7">
        <v>5478.51</v>
      </c>
      <c r="G2605">
        <v>0</v>
      </c>
      <c r="H2605" s="7">
        <v>0</v>
      </c>
    </row>
    <row r="2606" spans="1:8">
      <c r="A2606">
        <v>1</v>
      </c>
      <c r="B2606" t="s">
        <v>43</v>
      </c>
      <c r="C2606" t="s">
        <v>35</v>
      </c>
      <c r="D2606">
        <v>0</v>
      </c>
      <c r="E2606">
        <v>1</v>
      </c>
      <c r="F2606" s="7">
        <v>194351.55</v>
      </c>
      <c r="G2606">
        <v>0</v>
      </c>
      <c r="H2606" s="7">
        <v>0</v>
      </c>
    </row>
    <row r="2607" spans="1:8">
      <c r="A2607">
        <v>1</v>
      </c>
      <c r="B2607" t="s">
        <v>42</v>
      </c>
      <c r="C2607" t="s">
        <v>33</v>
      </c>
      <c r="D2607">
        <v>0</v>
      </c>
      <c r="E2607">
        <v>1</v>
      </c>
      <c r="F2607" s="7">
        <v>1039.62</v>
      </c>
      <c r="G2607">
        <v>0</v>
      </c>
      <c r="H2607" s="7">
        <v>0</v>
      </c>
    </row>
    <row r="2608" spans="1:8">
      <c r="A2608">
        <v>1</v>
      </c>
      <c r="B2608" t="s">
        <v>44</v>
      </c>
      <c r="C2608" t="s">
        <v>35</v>
      </c>
      <c r="D2608">
        <v>0</v>
      </c>
      <c r="E2608">
        <v>1</v>
      </c>
      <c r="F2608" s="7">
        <v>230943.69</v>
      </c>
      <c r="G2608">
        <v>0</v>
      </c>
      <c r="H2608" s="7">
        <v>0</v>
      </c>
    </row>
    <row r="2609" spans="1:8">
      <c r="A2609">
        <v>1</v>
      </c>
      <c r="B2609" t="s">
        <v>42</v>
      </c>
      <c r="C2609" t="s">
        <v>33</v>
      </c>
      <c r="D2609">
        <v>0</v>
      </c>
      <c r="E2609">
        <v>1</v>
      </c>
      <c r="F2609" s="7">
        <v>6904.63</v>
      </c>
      <c r="G2609">
        <v>0</v>
      </c>
      <c r="H2609" s="7">
        <v>0</v>
      </c>
    </row>
    <row r="2610" spans="1:8">
      <c r="A2610">
        <v>1</v>
      </c>
      <c r="B2610" t="s">
        <v>42</v>
      </c>
      <c r="C2610" t="s">
        <v>33</v>
      </c>
      <c r="D2610">
        <v>0</v>
      </c>
      <c r="E2610">
        <v>1</v>
      </c>
      <c r="F2610" s="7">
        <v>3065.84</v>
      </c>
      <c r="G2610">
        <v>0</v>
      </c>
      <c r="H2610" s="7">
        <v>0</v>
      </c>
    </row>
    <row r="2611" spans="1:8">
      <c r="A2611">
        <v>1</v>
      </c>
      <c r="B2611" t="s">
        <v>42</v>
      </c>
      <c r="C2611" t="s">
        <v>33</v>
      </c>
      <c r="D2611">
        <v>0</v>
      </c>
      <c r="E2611">
        <v>1</v>
      </c>
      <c r="F2611" s="7">
        <v>5641.56</v>
      </c>
      <c r="G2611">
        <v>0</v>
      </c>
      <c r="H2611" s="7">
        <v>0</v>
      </c>
    </row>
    <row r="2612" spans="1:8">
      <c r="A2612">
        <v>1</v>
      </c>
      <c r="B2612" t="s">
        <v>42</v>
      </c>
      <c r="C2612" t="s">
        <v>33</v>
      </c>
      <c r="D2612">
        <v>0</v>
      </c>
      <c r="E2612">
        <v>1</v>
      </c>
      <c r="F2612" s="7">
        <v>3422.04</v>
      </c>
      <c r="G2612">
        <v>0</v>
      </c>
      <c r="H2612" s="7">
        <v>0</v>
      </c>
    </row>
    <row r="2613" spans="1:8">
      <c r="A2613">
        <v>1</v>
      </c>
      <c r="B2613" t="s">
        <v>42</v>
      </c>
      <c r="C2613" t="s">
        <v>33</v>
      </c>
      <c r="D2613">
        <v>0</v>
      </c>
      <c r="E2613">
        <v>1</v>
      </c>
      <c r="F2613" s="7">
        <v>1380.16</v>
      </c>
      <c r="G2613">
        <v>0</v>
      </c>
      <c r="H2613" s="7">
        <v>0</v>
      </c>
    </row>
    <row r="2614" spans="1:8">
      <c r="A2614">
        <v>1</v>
      </c>
      <c r="B2614" t="s">
        <v>42</v>
      </c>
      <c r="C2614" t="s">
        <v>32</v>
      </c>
      <c r="D2614">
        <v>0</v>
      </c>
      <c r="E2614">
        <v>1</v>
      </c>
      <c r="F2614" s="7">
        <v>681.05</v>
      </c>
      <c r="G2614">
        <v>0</v>
      </c>
      <c r="H2614" s="7">
        <v>0</v>
      </c>
    </row>
    <row r="2615" spans="1:8">
      <c r="A2615">
        <v>1</v>
      </c>
      <c r="B2615" t="s">
        <v>42</v>
      </c>
      <c r="C2615" t="s">
        <v>33</v>
      </c>
      <c r="D2615">
        <v>0</v>
      </c>
      <c r="E2615">
        <v>1</v>
      </c>
      <c r="F2615" s="7">
        <v>2064.02</v>
      </c>
      <c r="G2615">
        <v>0</v>
      </c>
      <c r="H2615" s="7">
        <v>0</v>
      </c>
    </row>
    <row r="2616" spans="1:8">
      <c r="A2616">
        <v>1</v>
      </c>
      <c r="B2616" t="s">
        <v>42</v>
      </c>
      <c r="C2616" t="s">
        <v>34</v>
      </c>
      <c r="D2616">
        <v>0</v>
      </c>
      <c r="E2616">
        <v>1</v>
      </c>
      <c r="F2616" s="7">
        <v>12605.06</v>
      </c>
      <c r="G2616">
        <v>0</v>
      </c>
      <c r="H2616" s="7">
        <v>0</v>
      </c>
    </row>
    <row r="2617" spans="1:8">
      <c r="A2617">
        <v>1</v>
      </c>
      <c r="B2617" t="s">
        <v>42</v>
      </c>
      <c r="C2617" t="s">
        <v>33</v>
      </c>
      <c r="D2617">
        <v>0</v>
      </c>
      <c r="E2617">
        <v>1</v>
      </c>
      <c r="F2617" s="7">
        <v>8923.42</v>
      </c>
      <c r="G2617">
        <v>0</v>
      </c>
      <c r="H2617" s="7">
        <v>0</v>
      </c>
    </row>
    <row r="2618" spans="1:8">
      <c r="A2618">
        <v>1</v>
      </c>
      <c r="B2618" t="s">
        <v>42</v>
      </c>
      <c r="C2618" t="s">
        <v>33</v>
      </c>
      <c r="D2618">
        <v>0</v>
      </c>
      <c r="E2618">
        <v>1</v>
      </c>
      <c r="F2618" s="7">
        <v>7761.72</v>
      </c>
      <c r="G2618">
        <v>0</v>
      </c>
      <c r="H2618" s="7">
        <v>0</v>
      </c>
    </row>
    <row r="2619" spans="1:8">
      <c r="A2619">
        <v>1</v>
      </c>
      <c r="B2619" t="s">
        <v>42</v>
      </c>
      <c r="C2619" t="s">
        <v>33</v>
      </c>
      <c r="D2619">
        <v>0</v>
      </c>
      <c r="E2619">
        <v>1</v>
      </c>
      <c r="F2619" s="7">
        <v>2274.37</v>
      </c>
      <c r="G2619">
        <v>0</v>
      </c>
      <c r="H2619" s="7">
        <v>0</v>
      </c>
    </row>
    <row r="2620" spans="1:8">
      <c r="A2620">
        <v>1</v>
      </c>
      <c r="B2620" t="s">
        <v>42</v>
      </c>
      <c r="C2620" t="s">
        <v>34</v>
      </c>
      <c r="D2620">
        <v>0</v>
      </c>
      <c r="E2620">
        <v>1</v>
      </c>
      <c r="F2620" s="7">
        <v>10273.19</v>
      </c>
      <c r="G2620">
        <v>0</v>
      </c>
      <c r="H2620" s="7">
        <v>0</v>
      </c>
    </row>
    <row r="2621" spans="1:8">
      <c r="A2621">
        <v>1</v>
      </c>
      <c r="B2621" t="s">
        <v>42</v>
      </c>
      <c r="C2621" t="s">
        <v>33</v>
      </c>
      <c r="D2621">
        <v>0</v>
      </c>
      <c r="E2621">
        <v>1</v>
      </c>
      <c r="F2621" s="7">
        <v>2673.52</v>
      </c>
      <c r="G2621">
        <v>0</v>
      </c>
      <c r="H2621" s="7">
        <v>0</v>
      </c>
    </row>
    <row r="2622" spans="1:8">
      <c r="A2622">
        <v>1</v>
      </c>
      <c r="B2622" t="s">
        <v>42</v>
      </c>
      <c r="C2622" t="s">
        <v>33</v>
      </c>
      <c r="D2622">
        <v>0</v>
      </c>
      <c r="E2622">
        <v>1</v>
      </c>
      <c r="F2622" s="7">
        <v>6022.64</v>
      </c>
      <c r="G2622">
        <v>0</v>
      </c>
      <c r="H2622" s="7">
        <v>0</v>
      </c>
    </row>
    <row r="2623" spans="1:8">
      <c r="A2623">
        <v>1</v>
      </c>
      <c r="B2623" t="s">
        <v>45</v>
      </c>
      <c r="C2623" t="s">
        <v>32</v>
      </c>
      <c r="D2623">
        <v>0</v>
      </c>
      <c r="E2623">
        <v>1</v>
      </c>
      <c r="F2623" s="7">
        <v>891.93</v>
      </c>
      <c r="G2623">
        <v>0</v>
      </c>
      <c r="H2623" s="7">
        <v>0</v>
      </c>
    </row>
    <row r="2624" spans="1:8">
      <c r="A2624">
        <v>1</v>
      </c>
      <c r="B2624" t="s">
        <v>42</v>
      </c>
      <c r="C2624" t="s">
        <v>33</v>
      </c>
      <c r="D2624">
        <v>0</v>
      </c>
      <c r="E2624">
        <v>1</v>
      </c>
      <c r="F2624" s="7">
        <v>5055.22</v>
      </c>
      <c r="G2624">
        <v>0</v>
      </c>
      <c r="H2624" s="7">
        <v>0</v>
      </c>
    </row>
    <row r="2625" spans="1:8">
      <c r="A2625">
        <v>1</v>
      </c>
      <c r="B2625" t="s">
        <v>42</v>
      </c>
      <c r="C2625" t="s">
        <v>33</v>
      </c>
      <c r="D2625">
        <v>0</v>
      </c>
      <c r="E2625">
        <v>1</v>
      </c>
      <c r="F2625" s="7">
        <v>5726.49</v>
      </c>
      <c r="G2625">
        <v>0</v>
      </c>
      <c r="H2625" s="7">
        <v>0</v>
      </c>
    </row>
    <row r="2626" spans="1:8">
      <c r="A2626">
        <v>1</v>
      </c>
      <c r="B2626" t="s">
        <v>42</v>
      </c>
      <c r="C2626" t="s">
        <v>33</v>
      </c>
      <c r="D2626">
        <v>0</v>
      </c>
      <c r="E2626">
        <v>1</v>
      </c>
      <c r="F2626" s="7">
        <v>3738.25</v>
      </c>
      <c r="G2626">
        <v>0</v>
      </c>
      <c r="H2626" s="7">
        <v>0</v>
      </c>
    </row>
    <row r="2627" spans="1:8">
      <c r="A2627">
        <v>1</v>
      </c>
      <c r="B2627" t="s">
        <v>42</v>
      </c>
      <c r="C2627" t="s">
        <v>33</v>
      </c>
      <c r="D2627">
        <v>0</v>
      </c>
      <c r="E2627">
        <v>1</v>
      </c>
      <c r="F2627" s="7">
        <v>3608.34</v>
      </c>
      <c r="G2627">
        <v>0</v>
      </c>
      <c r="H2627" s="7">
        <v>0</v>
      </c>
    </row>
    <row r="2628" spans="1:8">
      <c r="A2628">
        <v>1</v>
      </c>
      <c r="B2628" t="s">
        <v>42</v>
      </c>
      <c r="C2628" t="s">
        <v>33</v>
      </c>
      <c r="D2628">
        <v>0</v>
      </c>
      <c r="E2628">
        <v>1</v>
      </c>
      <c r="F2628" s="7">
        <v>4050.19</v>
      </c>
      <c r="G2628">
        <v>0</v>
      </c>
      <c r="H2628" s="7">
        <v>0</v>
      </c>
    </row>
    <row r="2629" spans="1:8">
      <c r="A2629">
        <v>1</v>
      </c>
      <c r="B2629" t="s">
        <v>42</v>
      </c>
      <c r="C2629" t="s">
        <v>33</v>
      </c>
      <c r="D2629">
        <v>0</v>
      </c>
      <c r="E2629">
        <v>1</v>
      </c>
      <c r="F2629" s="7">
        <v>8146.24</v>
      </c>
      <c r="G2629">
        <v>0</v>
      </c>
      <c r="H2629" s="7">
        <v>0</v>
      </c>
    </row>
    <row r="2630" spans="1:8">
      <c r="A2630">
        <v>1</v>
      </c>
      <c r="B2630" t="s">
        <v>42</v>
      </c>
      <c r="C2630" t="s">
        <v>32</v>
      </c>
      <c r="D2630">
        <v>0</v>
      </c>
      <c r="E2630">
        <v>1</v>
      </c>
      <c r="F2630" s="7">
        <v>830.96</v>
      </c>
      <c r="G2630">
        <v>0</v>
      </c>
      <c r="H2630" s="7">
        <v>0</v>
      </c>
    </row>
    <row r="2631" spans="1:8">
      <c r="A2631">
        <v>1</v>
      </c>
      <c r="B2631" t="s">
        <v>42</v>
      </c>
      <c r="C2631" t="s">
        <v>33</v>
      </c>
      <c r="D2631">
        <v>0</v>
      </c>
      <c r="E2631">
        <v>1</v>
      </c>
      <c r="F2631" s="7">
        <v>6292.23</v>
      </c>
      <c r="G2631">
        <v>0</v>
      </c>
      <c r="H2631" s="7">
        <v>0</v>
      </c>
    </row>
    <row r="2632" spans="1:8">
      <c r="A2632">
        <v>1</v>
      </c>
      <c r="B2632" t="s">
        <v>42</v>
      </c>
      <c r="C2632" t="s">
        <v>32</v>
      </c>
      <c r="D2632">
        <v>0</v>
      </c>
      <c r="E2632">
        <v>1</v>
      </c>
      <c r="F2632" s="7">
        <v>969.76</v>
      </c>
      <c r="G2632">
        <v>0</v>
      </c>
      <c r="H2632" s="7">
        <v>0</v>
      </c>
    </row>
    <row r="2633" spans="1:8">
      <c r="A2633">
        <v>1</v>
      </c>
      <c r="B2633" t="s">
        <v>42</v>
      </c>
      <c r="C2633" t="s">
        <v>33</v>
      </c>
      <c r="D2633">
        <v>0</v>
      </c>
      <c r="E2633">
        <v>1</v>
      </c>
      <c r="F2633" s="7">
        <v>9492.53</v>
      </c>
      <c r="G2633">
        <v>0</v>
      </c>
      <c r="H2633" s="7">
        <v>0</v>
      </c>
    </row>
    <row r="2634" spans="1:8">
      <c r="A2634">
        <v>1</v>
      </c>
      <c r="B2634" t="s">
        <v>42</v>
      </c>
      <c r="C2634" t="s">
        <v>33</v>
      </c>
      <c r="D2634">
        <v>0</v>
      </c>
      <c r="E2634">
        <v>1</v>
      </c>
      <c r="F2634" s="7">
        <v>2565.39</v>
      </c>
      <c r="G2634">
        <v>0</v>
      </c>
      <c r="H2634" s="7">
        <v>0</v>
      </c>
    </row>
    <row r="2635" spans="1:8">
      <c r="A2635">
        <v>1</v>
      </c>
      <c r="B2635" t="s">
        <v>45</v>
      </c>
      <c r="C2635" t="s">
        <v>33</v>
      </c>
      <c r="D2635">
        <v>0</v>
      </c>
      <c r="E2635">
        <v>1</v>
      </c>
      <c r="F2635" s="7">
        <v>2050.83</v>
      </c>
      <c r="G2635">
        <v>0</v>
      </c>
      <c r="H2635" s="7">
        <v>0</v>
      </c>
    </row>
    <row r="2636" spans="1:8">
      <c r="A2636">
        <v>1</v>
      </c>
      <c r="B2636" t="s">
        <v>42</v>
      </c>
      <c r="C2636" t="s">
        <v>33</v>
      </c>
      <c r="D2636">
        <v>0</v>
      </c>
      <c r="E2636">
        <v>1</v>
      </c>
      <c r="F2636" s="7">
        <v>7199.26</v>
      </c>
      <c r="G2636">
        <v>0</v>
      </c>
      <c r="H2636" s="7">
        <v>0</v>
      </c>
    </row>
    <row r="2637" spans="1:8">
      <c r="A2637">
        <v>1</v>
      </c>
      <c r="B2637" t="s">
        <v>42</v>
      </c>
      <c r="C2637" t="s">
        <v>33</v>
      </c>
      <c r="D2637">
        <v>0</v>
      </c>
      <c r="E2637">
        <v>1</v>
      </c>
      <c r="F2637" s="7">
        <v>5843.74</v>
      </c>
      <c r="G2637">
        <v>0</v>
      </c>
      <c r="H2637" s="7">
        <v>0</v>
      </c>
    </row>
    <row r="2638" spans="1:8">
      <c r="A2638">
        <v>1</v>
      </c>
      <c r="B2638" t="s">
        <v>44</v>
      </c>
      <c r="C2638" t="s">
        <v>35</v>
      </c>
      <c r="D2638">
        <v>0</v>
      </c>
      <c r="E2638">
        <v>1</v>
      </c>
      <c r="F2638" s="7">
        <v>127143.23</v>
      </c>
      <c r="G2638">
        <v>0</v>
      </c>
      <c r="H2638" s="7">
        <v>0</v>
      </c>
    </row>
    <row r="2639" spans="1:8">
      <c r="A2639">
        <v>1</v>
      </c>
      <c r="B2639" t="s">
        <v>44</v>
      </c>
      <c r="C2639" t="s">
        <v>35</v>
      </c>
      <c r="D2639">
        <v>0</v>
      </c>
      <c r="E2639">
        <v>1</v>
      </c>
      <c r="F2639" s="7">
        <v>276138.13</v>
      </c>
      <c r="G2639">
        <v>0</v>
      </c>
      <c r="H2639" s="7">
        <v>0</v>
      </c>
    </row>
    <row r="2640" spans="1:8">
      <c r="A2640">
        <v>1</v>
      </c>
      <c r="B2640" t="s">
        <v>42</v>
      </c>
      <c r="C2640" t="s">
        <v>32</v>
      </c>
      <c r="D2640">
        <v>0</v>
      </c>
      <c r="E2640">
        <v>1</v>
      </c>
      <c r="F2640" s="7">
        <v>265.8</v>
      </c>
      <c r="G2640">
        <v>0</v>
      </c>
      <c r="H2640" s="7">
        <v>0</v>
      </c>
    </row>
    <row r="2641" spans="1:8">
      <c r="A2641">
        <v>1</v>
      </c>
      <c r="B2641" t="s">
        <v>42</v>
      </c>
      <c r="C2641" t="s">
        <v>33</v>
      </c>
      <c r="D2641">
        <v>0</v>
      </c>
      <c r="E2641">
        <v>1</v>
      </c>
      <c r="F2641" s="7">
        <v>2211.53</v>
      </c>
      <c r="G2641">
        <v>0</v>
      </c>
      <c r="H2641" s="7">
        <v>0</v>
      </c>
    </row>
    <row r="2642" spans="1:8">
      <c r="A2642">
        <v>1</v>
      </c>
      <c r="B2642" t="s">
        <v>42</v>
      </c>
      <c r="C2642" t="s">
        <v>33</v>
      </c>
      <c r="D2642">
        <v>0</v>
      </c>
      <c r="E2642">
        <v>1</v>
      </c>
      <c r="F2642" s="7">
        <v>5298.21</v>
      </c>
      <c r="G2642">
        <v>0</v>
      </c>
      <c r="H2642" s="7">
        <v>0</v>
      </c>
    </row>
    <row r="2643" spans="1:8">
      <c r="A2643">
        <v>1</v>
      </c>
      <c r="B2643" t="s">
        <v>42</v>
      </c>
      <c r="C2643" t="s">
        <v>33</v>
      </c>
      <c r="D2643">
        <v>0</v>
      </c>
      <c r="E2643">
        <v>1</v>
      </c>
      <c r="F2643" s="7">
        <v>3904.44</v>
      </c>
      <c r="G2643">
        <v>0</v>
      </c>
      <c r="H2643" s="7">
        <v>0</v>
      </c>
    </row>
    <row r="2644" spans="1:8">
      <c r="A2644">
        <v>1</v>
      </c>
      <c r="B2644" t="s">
        <v>42</v>
      </c>
      <c r="C2644" t="s">
        <v>33</v>
      </c>
      <c r="D2644">
        <v>0</v>
      </c>
      <c r="E2644">
        <v>1</v>
      </c>
      <c r="F2644" s="7">
        <v>3679.37</v>
      </c>
      <c r="G2644">
        <v>0</v>
      </c>
      <c r="H2644" s="7">
        <v>0</v>
      </c>
    </row>
    <row r="2645" spans="1:8">
      <c r="A2645">
        <v>1</v>
      </c>
      <c r="B2645" t="s">
        <v>44</v>
      </c>
      <c r="C2645" t="s">
        <v>35</v>
      </c>
      <c r="D2645">
        <v>0</v>
      </c>
      <c r="E2645">
        <v>1</v>
      </c>
      <c r="F2645" s="7">
        <v>432168.02</v>
      </c>
      <c r="G2645">
        <v>0</v>
      </c>
      <c r="H2645" s="7">
        <v>0</v>
      </c>
    </row>
    <row r="2646" spans="1:8">
      <c r="A2646">
        <v>1</v>
      </c>
      <c r="B2646" t="s">
        <v>42</v>
      </c>
      <c r="C2646" t="s">
        <v>33</v>
      </c>
      <c r="D2646">
        <v>0</v>
      </c>
      <c r="E2646">
        <v>1</v>
      </c>
      <c r="F2646" s="7">
        <v>8001.69</v>
      </c>
      <c r="G2646">
        <v>0</v>
      </c>
      <c r="H2646" s="7">
        <v>0</v>
      </c>
    </row>
    <row r="2647" spans="1:8">
      <c r="A2647">
        <v>1</v>
      </c>
      <c r="B2647" t="s">
        <v>42</v>
      </c>
      <c r="C2647" t="s">
        <v>33</v>
      </c>
      <c r="D2647">
        <v>0</v>
      </c>
      <c r="E2647">
        <v>1</v>
      </c>
      <c r="F2647" s="7">
        <v>1361.26</v>
      </c>
      <c r="G2647">
        <v>0</v>
      </c>
      <c r="H2647" s="7">
        <v>0</v>
      </c>
    </row>
    <row r="2648" spans="1:8">
      <c r="A2648">
        <v>1</v>
      </c>
      <c r="B2648" t="s">
        <v>42</v>
      </c>
      <c r="C2648" t="s">
        <v>33</v>
      </c>
      <c r="D2648">
        <v>0</v>
      </c>
      <c r="E2648">
        <v>1</v>
      </c>
      <c r="F2648" s="7">
        <v>3638.87</v>
      </c>
      <c r="G2648">
        <v>0</v>
      </c>
      <c r="H2648" s="7">
        <v>0</v>
      </c>
    </row>
    <row r="2649" spans="1:8">
      <c r="A2649">
        <v>1</v>
      </c>
      <c r="B2649" t="s">
        <v>46</v>
      </c>
      <c r="C2649" t="s">
        <v>34</v>
      </c>
      <c r="D2649">
        <v>0</v>
      </c>
      <c r="E2649">
        <v>1</v>
      </c>
      <c r="F2649" s="7">
        <v>54152.03</v>
      </c>
      <c r="G2649">
        <v>0</v>
      </c>
      <c r="H2649" s="7">
        <v>0</v>
      </c>
    </row>
    <row r="2650" spans="1:8">
      <c r="A2650">
        <v>1</v>
      </c>
      <c r="B2650" t="s">
        <v>46</v>
      </c>
      <c r="C2650" t="s">
        <v>34</v>
      </c>
      <c r="D2650">
        <v>0</v>
      </c>
      <c r="E2650">
        <v>1</v>
      </c>
      <c r="F2650" s="7">
        <v>22765.47</v>
      </c>
      <c r="G2650">
        <v>0</v>
      </c>
      <c r="H2650" s="7">
        <v>0</v>
      </c>
    </row>
    <row r="2651" spans="1:8">
      <c r="A2651">
        <v>1</v>
      </c>
      <c r="B2651" t="s">
        <v>46</v>
      </c>
      <c r="C2651" t="s">
        <v>35</v>
      </c>
      <c r="D2651">
        <v>0</v>
      </c>
      <c r="E2651">
        <v>1</v>
      </c>
      <c r="F2651" s="7">
        <v>133621.41</v>
      </c>
      <c r="G2651">
        <v>0</v>
      </c>
      <c r="H2651" s="7">
        <v>0</v>
      </c>
    </row>
    <row r="2652" spans="1:8">
      <c r="A2652">
        <v>1</v>
      </c>
      <c r="B2652" t="s">
        <v>46</v>
      </c>
      <c r="C2652" t="s">
        <v>35</v>
      </c>
      <c r="D2652">
        <v>0</v>
      </c>
      <c r="E2652">
        <v>1</v>
      </c>
      <c r="F2652" s="7">
        <v>215511.92</v>
      </c>
      <c r="G2652">
        <v>0</v>
      </c>
      <c r="H2652" s="7">
        <v>0</v>
      </c>
    </row>
    <row r="2653" spans="1:8">
      <c r="A2653">
        <v>1</v>
      </c>
      <c r="B2653" t="s">
        <v>46</v>
      </c>
      <c r="C2653" t="s">
        <v>35</v>
      </c>
      <c r="D2653">
        <v>0</v>
      </c>
      <c r="E2653">
        <v>1</v>
      </c>
      <c r="F2653" s="7">
        <v>205612.49</v>
      </c>
      <c r="G2653">
        <v>0</v>
      </c>
      <c r="H2653" s="7">
        <v>0</v>
      </c>
    </row>
    <row r="2654" spans="1:8">
      <c r="A2654">
        <v>1</v>
      </c>
      <c r="B2654" t="s">
        <v>46</v>
      </c>
      <c r="C2654" t="s">
        <v>35</v>
      </c>
      <c r="D2654">
        <v>0</v>
      </c>
      <c r="E2654">
        <v>1</v>
      </c>
      <c r="F2654" s="7">
        <v>113486.72</v>
      </c>
      <c r="G2654">
        <v>0</v>
      </c>
      <c r="H2654" s="7">
        <v>0</v>
      </c>
    </row>
    <row r="2655" spans="1:8">
      <c r="A2655">
        <v>1</v>
      </c>
      <c r="B2655" t="s">
        <v>46</v>
      </c>
      <c r="C2655" t="s">
        <v>34</v>
      </c>
      <c r="D2655">
        <v>0</v>
      </c>
      <c r="E2655">
        <v>1</v>
      </c>
      <c r="F2655" s="7">
        <v>38883.63</v>
      </c>
      <c r="G2655">
        <v>0</v>
      </c>
      <c r="H2655" s="7">
        <v>0</v>
      </c>
    </row>
    <row r="2656" spans="1:8">
      <c r="A2656">
        <v>1</v>
      </c>
      <c r="B2656" t="s">
        <v>46</v>
      </c>
      <c r="C2656" t="s">
        <v>35</v>
      </c>
      <c r="D2656">
        <v>0</v>
      </c>
      <c r="E2656">
        <v>1</v>
      </c>
      <c r="F2656" s="7">
        <v>242679.64</v>
      </c>
      <c r="G2656">
        <v>0</v>
      </c>
      <c r="H2656" s="7">
        <v>0</v>
      </c>
    </row>
    <row r="2657" spans="1:8">
      <c r="A2657">
        <v>1</v>
      </c>
      <c r="B2657" t="s">
        <v>46</v>
      </c>
      <c r="C2657" t="s">
        <v>34</v>
      </c>
      <c r="D2657">
        <v>0</v>
      </c>
      <c r="E2657">
        <v>1</v>
      </c>
      <c r="F2657" s="7">
        <v>17791.71</v>
      </c>
      <c r="G2657">
        <v>0</v>
      </c>
      <c r="H2657" s="7">
        <v>0</v>
      </c>
    </row>
    <row r="2658" spans="1:8">
      <c r="A2658">
        <v>1</v>
      </c>
      <c r="B2658" t="s">
        <v>46</v>
      </c>
      <c r="C2658" t="s">
        <v>35</v>
      </c>
      <c r="D2658">
        <v>0</v>
      </c>
      <c r="E2658">
        <v>1</v>
      </c>
      <c r="F2658" s="7">
        <v>248307.1</v>
      </c>
      <c r="G2658">
        <v>0</v>
      </c>
      <c r="H2658" s="7">
        <v>0</v>
      </c>
    </row>
    <row r="2659" spans="1:8">
      <c r="A2659">
        <v>1</v>
      </c>
      <c r="B2659" t="s">
        <v>46</v>
      </c>
      <c r="C2659" t="s">
        <v>32</v>
      </c>
      <c r="D2659">
        <v>0</v>
      </c>
      <c r="E2659">
        <v>1</v>
      </c>
      <c r="F2659" s="7">
        <v>911.76</v>
      </c>
      <c r="G2659">
        <v>0</v>
      </c>
      <c r="H2659" s="7">
        <v>0</v>
      </c>
    </row>
    <row r="2660" spans="1:8">
      <c r="A2660">
        <v>1</v>
      </c>
      <c r="B2660" t="s">
        <v>46</v>
      </c>
      <c r="C2660" t="s">
        <v>35</v>
      </c>
      <c r="D2660">
        <v>0</v>
      </c>
      <c r="E2660">
        <v>1</v>
      </c>
      <c r="F2660" s="7">
        <v>203301.58</v>
      </c>
      <c r="G2660">
        <v>0</v>
      </c>
      <c r="H2660" s="7">
        <v>0</v>
      </c>
    </row>
    <row r="2661" spans="1:8">
      <c r="A2661">
        <v>1</v>
      </c>
      <c r="B2661" t="s">
        <v>46</v>
      </c>
      <c r="C2661" t="s">
        <v>35</v>
      </c>
      <c r="D2661">
        <v>0</v>
      </c>
      <c r="E2661">
        <v>1</v>
      </c>
      <c r="F2661" s="7">
        <v>457363.51</v>
      </c>
      <c r="G2661">
        <v>0</v>
      </c>
      <c r="H2661" s="7">
        <v>0</v>
      </c>
    </row>
    <row r="2662" spans="1:8">
      <c r="A2662">
        <v>1</v>
      </c>
      <c r="B2662" t="s">
        <v>46</v>
      </c>
      <c r="C2662" t="s">
        <v>35</v>
      </c>
      <c r="D2662">
        <v>0</v>
      </c>
      <c r="E2662">
        <v>1</v>
      </c>
      <c r="F2662" s="7">
        <v>126950.91</v>
      </c>
      <c r="G2662">
        <v>0</v>
      </c>
      <c r="H2662" s="7">
        <v>0</v>
      </c>
    </row>
    <row r="2663" spans="1:8">
      <c r="A2663">
        <v>1</v>
      </c>
      <c r="B2663" t="s">
        <v>46</v>
      </c>
      <c r="C2663" t="s">
        <v>34</v>
      </c>
      <c r="D2663">
        <v>0</v>
      </c>
      <c r="E2663">
        <v>1</v>
      </c>
      <c r="F2663" s="7">
        <v>34638.53</v>
      </c>
      <c r="G2663">
        <v>0</v>
      </c>
      <c r="H2663" s="7">
        <v>0</v>
      </c>
    </row>
    <row r="2664" spans="1:8">
      <c r="A2664">
        <v>1</v>
      </c>
      <c r="B2664" t="s">
        <v>46</v>
      </c>
      <c r="C2664" t="s">
        <v>35</v>
      </c>
      <c r="D2664">
        <v>0</v>
      </c>
      <c r="E2664">
        <v>1</v>
      </c>
      <c r="F2664" s="7">
        <v>152873.19</v>
      </c>
      <c r="G2664">
        <v>0</v>
      </c>
      <c r="H2664" s="7">
        <v>0</v>
      </c>
    </row>
    <row r="2665" spans="1:8">
      <c r="A2665">
        <v>1</v>
      </c>
      <c r="B2665" t="s">
        <v>46</v>
      </c>
      <c r="C2665" t="s">
        <v>34</v>
      </c>
      <c r="D2665">
        <v>0</v>
      </c>
      <c r="E2665">
        <v>1</v>
      </c>
      <c r="F2665" s="7">
        <v>27363.26</v>
      </c>
      <c r="G2665">
        <v>0</v>
      </c>
      <c r="H2665" s="7">
        <v>0</v>
      </c>
    </row>
    <row r="2666" spans="1:8">
      <c r="A2666">
        <v>1</v>
      </c>
      <c r="B2666" t="s">
        <v>46</v>
      </c>
      <c r="C2666" t="s">
        <v>35</v>
      </c>
      <c r="D2666">
        <v>0</v>
      </c>
      <c r="E2666">
        <v>1</v>
      </c>
      <c r="F2666" s="7">
        <v>184263.87</v>
      </c>
      <c r="G2666">
        <v>0</v>
      </c>
      <c r="H2666" s="7">
        <v>0</v>
      </c>
    </row>
    <row r="2667" spans="1:8">
      <c r="A2667">
        <v>1</v>
      </c>
      <c r="B2667" t="s">
        <v>46</v>
      </c>
      <c r="C2667" t="s">
        <v>35</v>
      </c>
      <c r="D2667">
        <v>0</v>
      </c>
      <c r="E2667">
        <v>1</v>
      </c>
      <c r="F2667" s="7">
        <v>178912.5</v>
      </c>
      <c r="G2667">
        <v>0</v>
      </c>
      <c r="H2667" s="7">
        <v>0</v>
      </c>
    </row>
    <row r="2668" spans="1:8">
      <c r="A2668">
        <v>1</v>
      </c>
      <c r="B2668" t="s">
        <v>46</v>
      </c>
      <c r="C2668" t="s">
        <v>34</v>
      </c>
      <c r="D2668">
        <v>0</v>
      </c>
      <c r="E2668">
        <v>1</v>
      </c>
      <c r="F2668" s="7">
        <v>37590.03</v>
      </c>
      <c r="G2668">
        <v>0</v>
      </c>
      <c r="H2668" s="7">
        <v>0</v>
      </c>
    </row>
    <row r="2669" spans="1:8">
      <c r="A2669">
        <v>1</v>
      </c>
      <c r="B2669" t="s">
        <v>46</v>
      </c>
      <c r="C2669" t="s">
        <v>35</v>
      </c>
      <c r="D2669">
        <v>0</v>
      </c>
      <c r="E2669">
        <v>1</v>
      </c>
      <c r="F2669" s="7">
        <v>172844.87</v>
      </c>
      <c r="G2669">
        <v>0</v>
      </c>
      <c r="H2669" s="7">
        <v>0</v>
      </c>
    </row>
    <row r="2670" spans="1:8">
      <c r="A2670">
        <v>1</v>
      </c>
      <c r="B2670" t="s">
        <v>46</v>
      </c>
      <c r="C2670" t="s">
        <v>35</v>
      </c>
      <c r="D2670">
        <v>0</v>
      </c>
      <c r="E2670">
        <v>1</v>
      </c>
      <c r="F2670" s="7">
        <v>131027.05</v>
      </c>
      <c r="G2670">
        <v>0</v>
      </c>
      <c r="H2670" s="7">
        <v>0</v>
      </c>
    </row>
    <row r="2671" spans="1:8">
      <c r="A2671">
        <v>1</v>
      </c>
      <c r="B2671" t="s">
        <v>46</v>
      </c>
      <c r="C2671" t="s">
        <v>34</v>
      </c>
      <c r="D2671">
        <v>0</v>
      </c>
      <c r="E2671">
        <v>1</v>
      </c>
      <c r="F2671" s="7">
        <v>44873.56</v>
      </c>
      <c r="G2671">
        <v>0</v>
      </c>
      <c r="H2671" s="7">
        <v>0</v>
      </c>
    </row>
    <row r="2672" spans="1:8">
      <c r="A2672">
        <v>1</v>
      </c>
      <c r="B2672" t="s">
        <v>46</v>
      </c>
      <c r="C2672" t="s">
        <v>35</v>
      </c>
      <c r="D2672">
        <v>0</v>
      </c>
      <c r="E2672">
        <v>1</v>
      </c>
      <c r="F2672" s="7">
        <v>405429.47</v>
      </c>
      <c r="G2672">
        <v>0</v>
      </c>
      <c r="H2672" s="7">
        <v>0</v>
      </c>
    </row>
    <row r="2673" spans="1:8">
      <c r="A2673">
        <v>1</v>
      </c>
      <c r="B2673" t="s">
        <v>46</v>
      </c>
      <c r="C2673" t="s">
        <v>34</v>
      </c>
      <c r="D2673">
        <v>0</v>
      </c>
      <c r="E2673">
        <v>1</v>
      </c>
      <c r="F2673" s="7">
        <v>44809.72</v>
      </c>
      <c r="G2673">
        <v>0</v>
      </c>
      <c r="H2673" s="7">
        <v>0</v>
      </c>
    </row>
    <row r="2674" spans="1:8">
      <c r="A2674">
        <v>1</v>
      </c>
      <c r="B2674" t="s">
        <v>46</v>
      </c>
      <c r="C2674" t="s">
        <v>33</v>
      </c>
      <c r="D2674">
        <v>0</v>
      </c>
      <c r="E2674">
        <v>1</v>
      </c>
      <c r="F2674" s="7">
        <v>1076.27</v>
      </c>
      <c r="G2674">
        <v>0</v>
      </c>
      <c r="H2674" s="7">
        <v>0</v>
      </c>
    </row>
    <row r="2675" spans="1:8">
      <c r="A2675">
        <v>1</v>
      </c>
      <c r="B2675" t="s">
        <v>46</v>
      </c>
      <c r="C2675" t="s">
        <v>34</v>
      </c>
      <c r="D2675">
        <v>0</v>
      </c>
      <c r="E2675">
        <v>1</v>
      </c>
      <c r="F2675" s="7">
        <v>61546.97</v>
      </c>
      <c r="G2675">
        <v>0</v>
      </c>
      <c r="H2675" s="7">
        <v>0</v>
      </c>
    </row>
    <row r="2676" spans="1:8">
      <c r="A2676">
        <v>1</v>
      </c>
      <c r="B2676" t="s">
        <v>46</v>
      </c>
      <c r="C2676" t="s">
        <v>35</v>
      </c>
      <c r="D2676">
        <v>0</v>
      </c>
      <c r="E2676">
        <v>1</v>
      </c>
      <c r="F2676" s="7">
        <v>135665.1</v>
      </c>
      <c r="G2676">
        <v>0</v>
      </c>
      <c r="H2676" s="7">
        <v>0</v>
      </c>
    </row>
    <row r="2677" spans="1:8">
      <c r="A2677">
        <v>1</v>
      </c>
      <c r="B2677" t="s">
        <v>46</v>
      </c>
      <c r="C2677" t="s">
        <v>34</v>
      </c>
      <c r="D2677">
        <v>0</v>
      </c>
      <c r="E2677">
        <v>1</v>
      </c>
      <c r="F2677" s="7">
        <v>36040.39</v>
      </c>
      <c r="G2677">
        <v>0</v>
      </c>
      <c r="H2677" s="7">
        <v>0</v>
      </c>
    </row>
    <row r="2678" spans="1:8">
      <c r="A2678">
        <v>1</v>
      </c>
      <c r="B2678" t="s">
        <v>46</v>
      </c>
      <c r="C2678" t="s">
        <v>34</v>
      </c>
      <c r="D2678">
        <v>0</v>
      </c>
      <c r="E2678">
        <v>1</v>
      </c>
      <c r="F2678" s="7">
        <v>33692.43</v>
      </c>
      <c r="G2678">
        <v>0</v>
      </c>
      <c r="H2678" s="7">
        <v>0</v>
      </c>
    </row>
    <row r="2679" spans="1:8">
      <c r="A2679">
        <v>1</v>
      </c>
      <c r="B2679" t="s">
        <v>46</v>
      </c>
      <c r="C2679" t="s">
        <v>35</v>
      </c>
      <c r="D2679">
        <v>0</v>
      </c>
      <c r="E2679">
        <v>1</v>
      </c>
      <c r="F2679" s="7">
        <v>312061.25</v>
      </c>
      <c r="G2679">
        <v>0</v>
      </c>
      <c r="H2679" s="7">
        <v>0</v>
      </c>
    </row>
    <row r="2680" spans="1:8">
      <c r="A2680">
        <v>1</v>
      </c>
      <c r="B2680" t="s">
        <v>46</v>
      </c>
      <c r="C2680" t="s">
        <v>35</v>
      </c>
      <c r="D2680">
        <v>0</v>
      </c>
      <c r="E2680">
        <v>1</v>
      </c>
      <c r="F2680" s="7">
        <v>160565</v>
      </c>
      <c r="G2680">
        <v>0</v>
      </c>
      <c r="H2680" s="7">
        <v>0</v>
      </c>
    </row>
    <row r="2681" spans="1:8">
      <c r="A2681">
        <v>1</v>
      </c>
      <c r="B2681" t="s">
        <v>46</v>
      </c>
      <c r="C2681" t="s">
        <v>35</v>
      </c>
      <c r="D2681">
        <v>0</v>
      </c>
      <c r="E2681">
        <v>1</v>
      </c>
      <c r="F2681" s="7">
        <v>226580.84</v>
      </c>
      <c r="G2681">
        <v>0</v>
      </c>
      <c r="H2681" s="7">
        <v>0</v>
      </c>
    </row>
    <row r="2682" spans="1:8">
      <c r="A2682">
        <v>1</v>
      </c>
      <c r="B2682" t="s">
        <v>46</v>
      </c>
      <c r="C2682" t="s">
        <v>34</v>
      </c>
      <c r="D2682">
        <v>0</v>
      </c>
      <c r="E2682">
        <v>1</v>
      </c>
      <c r="F2682" s="7">
        <v>71176.26</v>
      </c>
      <c r="G2682">
        <v>0</v>
      </c>
      <c r="H2682" s="7">
        <v>0</v>
      </c>
    </row>
    <row r="2683" spans="1:8">
      <c r="A2683">
        <v>1</v>
      </c>
      <c r="B2683" t="s">
        <v>46</v>
      </c>
      <c r="C2683" t="s">
        <v>35</v>
      </c>
      <c r="D2683">
        <v>0</v>
      </c>
      <c r="E2683">
        <v>1</v>
      </c>
      <c r="F2683" s="7">
        <v>223565.38</v>
      </c>
      <c r="G2683">
        <v>0</v>
      </c>
      <c r="H2683" s="7">
        <v>0</v>
      </c>
    </row>
    <row r="2684" spans="1:8">
      <c r="A2684">
        <v>1</v>
      </c>
      <c r="B2684" t="s">
        <v>46</v>
      </c>
      <c r="C2684" t="s">
        <v>35</v>
      </c>
      <c r="D2684">
        <v>0</v>
      </c>
      <c r="E2684">
        <v>1</v>
      </c>
      <c r="F2684" s="7">
        <v>208664.25</v>
      </c>
      <c r="G2684">
        <v>0</v>
      </c>
      <c r="H2684" s="7">
        <v>0</v>
      </c>
    </row>
    <row r="2685" spans="1:8">
      <c r="A2685">
        <v>1</v>
      </c>
      <c r="B2685" t="s">
        <v>46</v>
      </c>
      <c r="C2685" t="s">
        <v>35</v>
      </c>
      <c r="D2685">
        <v>0</v>
      </c>
      <c r="E2685">
        <v>1</v>
      </c>
      <c r="F2685" s="7">
        <v>425986.84</v>
      </c>
      <c r="G2685">
        <v>0</v>
      </c>
      <c r="H2685" s="7">
        <v>0</v>
      </c>
    </row>
    <row r="2686" spans="1:8">
      <c r="A2686">
        <v>1</v>
      </c>
      <c r="B2686" t="s">
        <v>46</v>
      </c>
      <c r="C2686" t="s">
        <v>35</v>
      </c>
      <c r="D2686">
        <v>0</v>
      </c>
      <c r="E2686">
        <v>1</v>
      </c>
      <c r="F2686" s="7">
        <v>100127.4</v>
      </c>
      <c r="G2686">
        <v>0</v>
      </c>
      <c r="H2686" s="7">
        <v>0</v>
      </c>
    </row>
    <row r="2687" spans="1:8">
      <c r="A2687">
        <v>1</v>
      </c>
      <c r="B2687" t="s">
        <v>46</v>
      </c>
      <c r="C2687" t="s">
        <v>34</v>
      </c>
      <c r="D2687">
        <v>0</v>
      </c>
      <c r="E2687">
        <v>1</v>
      </c>
      <c r="F2687" s="7">
        <v>95564.34</v>
      </c>
      <c r="G2687">
        <v>0</v>
      </c>
      <c r="H2687" s="7">
        <v>0</v>
      </c>
    </row>
    <row r="2688" spans="1:8">
      <c r="A2688">
        <v>1</v>
      </c>
      <c r="B2688" t="s">
        <v>46</v>
      </c>
      <c r="C2688" t="s">
        <v>32</v>
      </c>
      <c r="D2688">
        <v>0</v>
      </c>
      <c r="E2688">
        <v>1</v>
      </c>
      <c r="F2688" s="7">
        <v>484.57</v>
      </c>
      <c r="G2688">
        <v>0</v>
      </c>
      <c r="H2688" s="7">
        <v>0</v>
      </c>
    </row>
    <row r="2689" spans="1:8">
      <c r="A2689">
        <v>1</v>
      </c>
      <c r="B2689" t="s">
        <v>46</v>
      </c>
      <c r="C2689" t="s">
        <v>35</v>
      </c>
      <c r="D2689">
        <v>0</v>
      </c>
      <c r="E2689">
        <v>1</v>
      </c>
      <c r="F2689" s="7">
        <v>113287.66</v>
      </c>
      <c r="G2689">
        <v>0</v>
      </c>
      <c r="H2689" s="7">
        <v>0</v>
      </c>
    </row>
    <row r="2690" spans="1:8">
      <c r="A2690">
        <v>1</v>
      </c>
      <c r="B2690" t="s">
        <v>46</v>
      </c>
      <c r="C2690" t="s">
        <v>34</v>
      </c>
      <c r="D2690">
        <v>0</v>
      </c>
      <c r="E2690">
        <v>1</v>
      </c>
      <c r="F2690" s="7">
        <v>92398.49</v>
      </c>
      <c r="G2690">
        <v>0</v>
      </c>
      <c r="H2690" s="7">
        <v>0</v>
      </c>
    </row>
    <row r="2691" spans="1:8">
      <c r="A2691">
        <v>1</v>
      </c>
      <c r="B2691" t="s">
        <v>46</v>
      </c>
      <c r="C2691" t="s">
        <v>35</v>
      </c>
      <c r="D2691">
        <v>0</v>
      </c>
      <c r="E2691">
        <v>1</v>
      </c>
      <c r="F2691" s="7">
        <v>198303.64</v>
      </c>
      <c r="G2691">
        <v>0</v>
      </c>
      <c r="H2691" s="7">
        <v>0</v>
      </c>
    </row>
    <row r="2692" spans="1:8">
      <c r="A2692">
        <v>1</v>
      </c>
      <c r="B2692" t="s">
        <v>46</v>
      </c>
      <c r="C2692" t="s">
        <v>35</v>
      </c>
      <c r="D2692">
        <v>0</v>
      </c>
      <c r="E2692">
        <v>1</v>
      </c>
      <c r="F2692" s="7">
        <v>126873.28</v>
      </c>
      <c r="G2692">
        <v>0</v>
      </c>
      <c r="H2692" s="7">
        <v>0</v>
      </c>
    </row>
    <row r="2693" spans="1:8">
      <c r="A2693">
        <v>1</v>
      </c>
      <c r="B2693" t="s">
        <v>46</v>
      </c>
      <c r="C2693" t="s">
        <v>34</v>
      </c>
      <c r="D2693">
        <v>0</v>
      </c>
      <c r="E2693">
        <v>1</v>
      </c>
      <c r="F2693" s="7">
        <v>12229.75</v>
      </c>
      <c r="G2693">
        <v>0</v>
      </c>
      <c r="H2693" s="7">
        <v>0</v>
      </c>
    </row>
    <row r="2694" spans="1:8">
      <c r="A2694">
        <v>1</v>
      </c>
      <c r="B2694" t="s">
        <v>46</v>
      </c>
      <c r="C2694" t="s">
        <v>34</v>
      </c>
      <c r="D2694">
        <v>0</v>
      </c>
      <c r="E2694">
        <v>1</v>
      </c>
      <c r="F2694" s="7">
        <v>20490.81</v>
      </c>
      <c r="G2694">
        <v>0</v>
      </c>
      <c r="H2694" s="7">
        <v>0</v>
      </c>
    </row>
    <row r="2695" spans="1:8">
      <c r="A2695">
        <v>1</v>
      </c>
      <c r="B2695" t="s">
        <v>46</v>
      </c>
      <c r="C2695" t="s">
        <v>34</v>
      </c>
      <c r="D2695">
        <v>0</v>
      </c>
      <c r="E2695">
        <v>1</v>
      </c>
      <c r="F2695" s="7">
        <v>86419.78</v>
      </c>
      <c r="G2695">
        <v>0</v>
      </c>
      <c r="H2695" s="7">
        <v>0</v>
      </c>
    </row>
    <row r="2696" spans="1:8">
      <c r="A2696">
        <v>1</v>
      </c>
      <c r="B2696" t="s">
        <v>46</v>
      </c>
      <c r="C2696" t="s">
        <v>35</v>
      </c>
      <c r="D2696">
        <v>0</v>
      </c>
      <c r="E2696">
        <v>1</v>
      </c>
      <c r="F2696" s="7">
        <v>122464.68</v>
      </c>
      <c r="G2696">
        <v>0</v>
      </c>
      <c r="H2696" s="7">
        <v>0</v>
      </c>
    </row>
    <row r="2697" spans="1:8">
      <c r="A2697">
        <v>1</v>
      </c>
      <c r="B2697" t="s">
        <v>46</v>
      </c>
      <c r="C2697" t="s">
        <v>34</v>
      </c>
      <c r="D2697">
        <v>0</v>
      </c>
      <c r="E2697">
        <v>1</v>
      </c>
      <c r="F2697" s="7">
        <v>18598.96</v>
      </c>
      <c r="G2697">
        <v>0</v>
      </c>
      <c r="H2697" s="7">
        <v>0</v>
      </c>
    </row>
    <row r="2698" spans="1:8">
      <c r="A2698">
        <v>1</v>
      </c>
      <c r="B2698" t="s">
        <v>46</v>
      </c>
      <c r="C2698" t="s">
        <v>35</v>
      </c>
      <c r="D2698">
        <v>0</v>
      </c>
      <c r="E2698">
        <v>1</v>
      </c>
      <c r="F2698" s="7">
        <v>287126.8</v>
      </c>
      <c r="G2698">
        <v>0</v>
      </c>
      <c r="H2698" s="7">
        <v>0</v>
      </c>
    </row>
    <row r="2699" spans="1:8">
      <c r="A2699">
        <v>1</v>
      </c>
      <c r="B2699" t="s">
        <v>46</v>
      </c>
      <c r="C2699" t="s">
        <v>33</v>
      </c>
      <c r="D2699">
        <v>0</v>
      </c>
      <c r="E2699">
        <v>1</v>
      </c>
      <c r="F2699" s="7">
        <v>8261.33</v>
      </c>
      <c r="G2699">
        <v>0</v>
      </c>
      <c r="H2699" s="7">
        <v>0</v>
      </c>
    </row>
    <row r="2700" spans="1:8">
      <c r="A2700">
        <v>1</v>
      </c>
      <c r="B2700" t="s">
        <v>46</v>
      </c>
      <c r="C2700" t="s">
        <v>35</v>
      </c>
      <c r="D2700">
        <v>0</v>
      </c>
      <c r="E2700">
        <v>1</v>
      </c>
      <c r="F2700" s="7">
        <v>301755.98</v>
      </c>
      <c r="G2700">
        <v>0</v>
      </c>
      <c r="H2700" s="7">
        <v>0</v>
      </c>
    </row>
    <row r="2701" spans="1:8">
      <c r="A2701">
        <v>1</v>
      </c>
      <c r="B2701" t="s">
        <v>46</v>
      </c>
      <c r="C2701" t="s">
        <v>35</v>
      </c>
      <c r="D2701">
        <v>0</v>
      </c>
      <c r="E2701">
        <v>1</v>
      </c>
      <c r="F2701" s="7">
        <v>121723</v>
      </c>
      <c r="G2701">
        <v>0</v>
      </c>
      <c r="H2701" s="7">
        <v>0</v>
      </c>
    </row>
    <row r="2702" spans="1:8">
      <c r="A2702">
        <v>1</v>
      </c>
      <c r="B2702" t="s">
        <v>46</v>
      </c>
      <c r="C2702" t="s">
        <v>35</v>
      </c>
      <c r="D2702">
        <v>0</v>
      </c>
      <c r="E2702">
        <v>1</v>
      </c>
      <c r="F2702" s="7">
        <v>110654.09</v>
      </c>
      <c r="G2702">
        <v>0</v>
      </c>
      <c r="H2702" s="7">
        <v>0</v>
      </c>
    </row>
    <row r="2703" spans="1:8">
      <c r="A2703">
        <v>1</v>
      </c>
      <c r="B2703" t="s">
        <v>46</v>
      </c>
      <c r="C2703" t="s">
        <v>34</v>
      </c>
      <c r="D2703">
        <v>0</v>
      </c>
      <c r="E2703">
        <v>1</v>
      </c>
      <c r="F2703" s="7">
        <v>23795.08</v>
      </c>
      <c r="G2703">
        <v>0</v>
      </c>
      <c r="H2703" s="7">
        <v>0</v>
      </c>
    </row>
    <row r="2704" spans="1:8">
      <c r="A2704">
        <v>1</v>
      </c>
      <c r="B2704" t="s">
        <v>46</v>
      </c>
      <c r="C2704" t="s">
        <v>35</v>
      </c>
      <c r="D2704">
        <v>0</v>
      </c>
      <c r="E2704">
        <v>1</v>
      </c>
      <c r="F2704" s="7">
        <v>130638.93</v>
      </c>
      <c r="G2704">
        <v>0</v>
      </c>
      <c r="H2704" s="7">
        <v>0</v>
      </c>
    </row>
    <row r="2705" spans="1:8">
      <c r="A2705">
        <v>1</v>
      </c>
      <c r="B2705" t="s">
        <v>46</v>
      </c>
      <c r="C2705" t="s">
        <v>35</v>
      </c>
      <c r="D2705">
        <v>0</v>
      </c>
      <c r="E2705">
        <v>1</v>
      </c>
      <c r="F2705" s="7">
        <v>314025.37</v>
      </c>
      <c r="G2705">
        <v>0</v>
      </c>
      <c r="H2705" s="7">
        <v>0</v>
      </c>
    </row>
    <row r="2706" spans="1:8">
      <c r="A2706">
        <v>1</v>
      </c>
      <c r="B2706" t="s">
        <v>46</v>
      </c>
      <c r="C2706" t="s">
        <v>34</v>
      </c>
      <c r="D2706">
        <v>0</v>
      </c>
      <c r="E2706">
        <v>1</v>
      </c>
      <c r="F2706" s="7">
        <v>90540.93</v>
      </c>
      <c r="G2706">
        <v>0</v>
      </c>
      <c r="H2706" s="7">
        <v>0</v>
      </c>
    </row>
    <row r="2707" spans="1:8">
      <c r="A2707">
        <v>1</v>
      </c>
      <c r="B2707" t="s">
        <v>46</v>
      </c>
      <c r="C2707" t="s">
        <v>35</v>
      </c>
      <c r="D2707">
        <v>0</v>
      </c>
      <c r="E2707">
        <v>1</v>
      </c>
      <c r="F2707" s="7">
        <v>109718.72</v>
      </c>
      <c r="G2707">
        <v>0</v>
      </c>
      <c r="H2707" s="7">
        <v>0</v>
      </c>
    </row>
    <row r="2708" spans="1:8">
      <c r="A2708">
        <v>1</v>
      </c>
      <c r="B2708" t="s">
        <v>46</v>
      </c>
      <c r="C2708" t="s">
        <v>34</v>
      </c>
      <c r="D2708">
        <v>0</v>
      </c>
      <c r="E2708">
        <v>1</v>
      </c>
      <c r="F2708" s="7">
        <v>61515.99</v>
      </c>
      <c r="G2708">
        <v>0</v>
      </c>
      <c r="H2708" s="7">
        <v>0</v>
      </c>
    </row>
    <row r="2709" spans="1:8">
      <c r="A2709">
        <v>1</v>
      </c>
      <c r="B2709" t="s">
        <v>46</v>
      </c>
      <c r="C2709" t="s">
        <v>34</v>
      </c>
      <c r="D2709">
        <v>0</v>
      </c>
      <c r="E2709">
        <v>1</v>
      </c>
      <c r="F2709" s="7">
        <v>43478.09</v>
      </c>
      <c r="G2709">
        <v>0</v>
      </c>
      <c r="H2709" s="7">
        <v>0</v>
      </c>
    </row>
    <row r="2710" spans="1:8">
      <c r="A2710">
        <v>1</v>
      </c>
      <c r="B2710" t="s">
        <v>42</v>
      </c>
      <c r="C2710" t="s">
        <v>33</v>
      </c>
      <c r="D2710">
        <v>0</v>
      </c>
      <c r="E2710">
        <v>1</v>
      </c>
      <c r="F2710" s="7">
        <v>4541.85</v>
      </c>
      <c r="G2710">
        <v>0</v>
      </c>
      <c r="H2710" s="7">
        <v>0</v>
      </c>
    </row>
    <row r="2711" spans="1:8">
      <c r="A2711">
        <v>1</v>
      </c>
      <c r="B2711" t="s">
        <v>42</v>
      </c>
      <c r="C2711" t="s">
        <v>32</v>
      </c>
      <c r="D2711">
        <v>0</v>
      </c>
      <c r="E2711">
        <v>1</v>
      </c>
      <c r="F2711" s="7">
        <v>525.89</v>
      </c>
      <c r="G2711">
        <v>0</v>
      </c>
      <c r="H2711" s="7">
        <v>0</v>
      </c>
    </row>
    <row r="2712" spans="1:8">
      <c r="A2712">
        <v>1</v>
      </c>
      <c r="B2712" t="s">
        <v>42</v>
      </c>
      <c r="C2712" t="s">
        <v>32</v>
      </c>
      <c r="D2712">
        <v>0</v>
      </c>
      <c r="E2712">
        <v>1</v>
      </c>
      <c r="F2712" s="7">
        <v>353.62</v>
      </c>
      <c r="G2712">
        <v>0</v>
      </c>
      <c r="H2712" s="7">
        <v>0</v>
      </c>
    </row>
    <row r="2713" spans="1:8">
      <c r="A2713">
        <v>1</v>
      </c>
      <c r="B2713" t="s">
        <v>42</v>
      </c>
      <c r="C2713" t="s">
        <v>33</v>
      </c>
      <c r="D2713">
        <v>0</v>
      </c>
      <c r="E2713">
        <v>1</v>
      </c>
      <c r="F2713" s="7">
        <v>6257.76</v>
      </c>
      <c r="G2713">
        <v>0</v>
      </c>
      <c r="H2713" s="7">
        <v>0</v>
      </c>
    </row>
    <row r="2714" spans="1:8">
      <c r="A2714">
        <v>2</v>
      </c>
      <c r="B2714" t="s">
        <v>42</v>
      </c>
      <c r="C2714" t="s">
        <v>33</v>
      </c>
      <c r="D2714">
        <v>0</v>
      </c>
      <c r="E2714">
        <v>1</v>
      </c>
      <c r="F2714" s="7">
        <v>1826.81</v>
      </c>
      <c r="G2714">
        <v>0</v>
      </c>
      <c r="H2714" s="7">
        <v>0</v>
      </c>
    </row>
    <row r="2715" spans="1:8">
      <c r="A2715">
        <v>2</v>
      </c>
      <c r="B2715" t="s">
        <v>42</v>
      </c>
      <c r="C2715" t="s">
        <v>33</v>
      </c>
      <c r="D2715">
        <v>0</v>
      </c>
      <c r="E2715">
        <v>1</v>
      </c>
      <c r="F2715" s="7">
        <v>7709.2</v>
      </c>
      <c r="G2715">
        <v>0</v>
      </c>
      <c r="H2715" s="7">
        <v>0</v>
      </c>
    </row>
    <row r="2716" spans="1:8">
      <c r="A2716">
        <v>2</v>
      </c>
      <c r="B2716" t="s">
        <v>42</v>
      </c>
      <c r="C2716" t="s">
        <v>33</v>
      </c>
      <c r="D2716">
        <v>0</v>
      </c>
      <c r="E2716">
        <v>1</v>
      </c>
      <c r="F2716" s="7">
        <v>3023.16</v>
      </c>
      <c r="G2716">
        <v>0</v>
      </c>
      <c r="H2716" s="7">
        <v>0</v>
      </c>
    </row>
    <row r="2717" spans="1:8">
      <c r="A2717">
        <v>2</v>
      </c>
      <c r="B2717" t="s">
        <v>42</v>
      </c>
      <c r="C2717" t="s">
        <v>33</v>
      </c>
      <c r="D2717">
        <v>0</v>
      </c>
      <c r="E2717">
        <v>1</v>
      </c>
      <c r="F2717" s="7">
        <v>3708.43</v>
      </c>
      <c r="G2717">
        <v>0</v>
      </c>
      <c r="H2717" s="7">
        <v>0</v>
      </c>
    </row>
    <row r="2718" spans="1:8">
      <c r="A2718">
        <v>2</v>
      </c>
      <c r="B2718" t="s">
        <v>42</v>
      </c>
      <c r="C2718" t="s">
        <v>33</v>
      </c>
      <c r="D2718">
        <v>0</v>
      </c>
      <c r="E2718">
        <v>1</v>
      </c>
      <c r="F2718" s="7">
        <v>8702.16</v>
      </c>
      <c r="G2718">
        <v>0</v>
      </c>
      <c r="H2718" s="7">
        <v>0</v>
      </c>
    </row>
    <row r="2719" spans="1:8">
      <c r="A2719">
        <v>2</v>
      </c>
      <c r="B2719" t="s">
        <v>42</v>
      </c>
      <c r="C2719" t="s">
        <v>33</v>
      </c>
      <c r="D2719">
        <v>0</v>
      </c>
      <c r="E2719">
        <v>1</v>
      </c>
      <c r="F2719" s="7">
        <v>1552.48</v>
      </c>
      <c r="G2719">
        <v>0</v>
      </c>
      <c r="H2719" s="7">
        <v>0</v>
      </c>
    </row>
    <row r="2720" spans="1:8">
      <c r="A2720">
        <v>2</v>
      </c>
      <c r="B2720" t="s">
        <v>42</v>
      </c>
      <c r="C2720" t="s">
        <v>33</v>
      </c>
      <c r="D2720">
        <v>0</v>
      </c>
      <c r="E2720">
        <v>1</v>
      </c>
      <c r="F2720" s="7">
        <v>5427.59</v>
      </c>
      <c r="G2720">
        <v>0</v>
      </c>
      <c r="H2720" s="7">
        <v>0</v>
      </c>
    </row>
    <row r="2721" spans="1:8">
      <c r="A2721">
        <v>2</v>
      </c>
      <c r="B2721" t="s">
        <v>42</v>
      </c>
      <c r="C2721" t="s">
        <v>33</v>
      </c>
      <c r="D2721">
        <v>0</v>
      </c>
      <c r="E2721">
        <v>1</v>
      </c>
      <c r="F2721" s="7">
        <v>5179.7</v>
      </c>
      <c r="G2721">
        <v>0</v>
      </c>
      <c r="H2721" s="7">
        <v>0</v>
      </c>
    </row>
    <row r="2722" spans="1:8">
      <c r="A2722">
        <v>2</v>
      </c>
      <c r="B2722" t="s">
        <v>42</v>
      </c>
      <c r="C2722" t="s">
        <v>32</v>
      </c>
      <c r="D2722">
        <v>0</v>
      </c>
      <c r="E2722">
        <v>1</v>
      </c>
      <c r="F2722" s="7">
        <v>292.45</v>
      </c>
      <c r="G2722">
        <v>0</v>
      </c>
      <c r="H2722" s="7">
        <v>0</v>
      </c>
    </row>
    <row r="2723" spans="1:8">
      <c r="A2723">
        <v>2</v>
      </c>
      <c r="B2723" t="s">
        <v>42</v>
      </c>
      <c r="C2723" t="s">
        <v>33</v>
      </c>
      <c r="D2723">
        <v>0</v>
      </c>
      <c r="E2723">
        <v>1</v>
      </c>
      <c r="F2723" s="7">
        <v>4424.09</v>
      </c>
      <c r="G2723">
        <v>0</v>
      </c>
      <c r="H2723" s="7">
        <v>0</v>
      </c>
    </row>
    <row r="2724" spans="1:8">
      <c r="A2724">
        <v>2</v>
      </c>
      <c r="B2724" t="s">
        <v>42</v>
      </c>
      <c r="C2724" t="s">
        <v>34</v>
      </c>
      <c r="D2724">
        <v>0</v>
      </c>
      <c r="E2724">
        <v>1</v>
      </c>
      <c r="F2724" s="7">
        <v>13400.4</v>
      </c>
      <c r="G2724">
        <v>0</v>
      </c>
      <c r="H2724" s="7">
        <v>0</v>
      </c>
    </row>
    <row r="2725" spans="1:8">
      <c r="A2725">
        <v>2</v>
      </c>
      <c r="B2725" t="s">
        <v>42</v>
      </c>
      <c r="C2725" t="s">
        <v>34</v>
      </c>
      <c r="D2725">
        <v>0</v>
      </c>
      <c r="E2725">
        <v>1</v>
      </c>
      <c r="F2725" s="7">
        <v>10967.1</v>
      </c>
      <c r="G2725">
        <v>0</v>
      </c>
      <c r="H2725" s="7">
        <v>0</v>
      </c>
    </row>
    <row r="2726" spans="1:8">
      <c r="A2726">
        <v>2</v>
      </c>
      <c r="B2726" t="s">
        <v>42</v>
      </c>
      <c r="C2726" t="s">
        <v>34</v>
      </c>
      <c r="D2726">
        <v>0</v>
      </c>
      <c r="E2726">
        <v>1</v>
      </c>
      <c r="F2726" s="7">
        <v>16171.2</v>
      </c>
      <c r="G2726">
        <v>0</v>
      </c>
      <c r="H2726" s="7">
        <v>0</v>
      </c>
    </row>
    <row r="2727" spans="1:8">
      <c r="A2727">
        <v>2</v>
      </c>
      <c r="B2727" t="s">
        <v>46</v>
      </c>
      <c r="C2727" t="s">
        <v>35</v>
      </c>
      <c r="D2727">
        <v>0</v>
      </c>
      <c r="E2727">
        <v>1</v>
      </c>
      <c r="F2727" s="7">
        <v>171039.04</v>
      </c>
      <c r="G2727">
        <v>0</v>
      </c>
      <c r="H2727" s="7">
        <v>0</v>
      </c>
    </row>
    <row r="2728" spans="1:8">
      <c r="A2728">
        <v>2</v>
      </c>
      <c r="B2728" t="s">
        <v>42</v>
      </c>
      <c r="C2728" t="s">
        <v>33</v>
      </c>
      <c r="D2728">
        <v>0</v>
      </c>
      <c r="E2728">
        <v>1</v>
      </c>
      <c r="F2728" s="7">
        <v>1876.99</v>
      </c>
      <c r="G2728">
        <v>0</v>
      </c>
      <c r="H2728" s="7">
        <v>0</v>
      </c>
    </row>
    <row r="2729" spans="1:8">
      <c r="A2729">
        <v>2</v>
      </c>
      <c r="B2729" t="s">
        <v>42</v>
      </c>
      <c r="C2729" t="s">
        <v>33</v>
      </c>
      <c r="D2729">
        <v>0</v>
      </c>
      <c r="E2729">
        <v>1</v>
      </c>
      <c r="F2729" s="7">
        <v>8053.59</v>
      </c>
      <c r="G2729">
        <v>0</v>
      </c>
      <c r="H2729" s="7">
        <v>0</v>
      </c>
    </row>
    <row r="2730" spans="1:8">
      <c r="A2730">
        <v>2</v>
      </c>
      <c r="B2730" t="s">
        <v>42</v>
      </c>
      <c r="C2730" t="s">
        <v>32</v>
      </c>
      <c r="D2730">
        <v>0</v>
      </c>
      <c r="E2730">
        <v>1</v>
      </c>
      <c r="F2730" s="7">
        <v>458.45</v>
      </c>
      <c r="G2730">
        <v>0</v>
      </c>
      <c r="H2730" s="7">
        <v>0</v>
      </c>
    </row>
    <row r="2731" spans="1:8">
      <c r="A2731">
        <v>2</v>
      </c>
      <c r="B2731" t="s">
        <v>45</v>
      </c>
      <c r="C2731" t="s">
        <v>33</v>
      </c>
      <c r="D2731">
        <v>0</v>
      </c>
      <c r="E2731">
        <v>1</v>
      </c>
      <c r="F2731" s="7">
        <v>3167.07</v>
      </c>
      <c r="G2731">
        <v>0</v>
      </c>
      <c r="H2731" s="7">
        <v>0</v>
      </c>
    </row>
    <row r="2732" spans="1:8">
      <c r="A2732">
        <v>2</v>
      </c>
      <c r="B2732" t="s">
        <v>42</v>
      </c>
      <c r="C2732" t="s">
        <v>33</v>
      </c>
      <c r="D2732">
        <v>0</v>
      </c>
      <c r="E2732">
        <v>1</v>
      </c>
      <c r="F2732" s="7">
        <v>6550.89</v>
      </c>
      <c r="G2732">
        <v>0</v>
      </c>
      <c r="H2732" s="7">
        <v>0</v>
      </c>
    </row>
    <row r="2733" spans="1:8">
      <c r="A2733">
        <v>2</v>
      </c>
      <c r="B2733" t="s">
        <v>42</v>
      </c>
      <c r="C2733" t="s">
        <v>32</v>
      </c>
      <c r="D2733">
        <v>0</v>
      </c>
      <c r="E2733">
        <v>1</v>
      </c>
      <c r="F2733" s="7">
        <v>191.73</v>
      </c>
      <c r="G2733">
        <v>0</v>
      </c>
      <c r="H2733" s="7">
        <v>0</v>
      </c>
    </row>
    <row r="2734" spans="1:8">
      <c r="A2734">
        <v>2</v>
      </c>
      <c r="B2734" t="s">
        <v>42</v>
      </c>
      <c r="C2734" t="s">
        <v>34</v>
      </c>
      <c r="D2734">
        <v>0</v>
      </c>
      <c r="E2734">
        <v>1</v>
      </c>
      <c r="F2734" s="7">
        <v>14287.64</v>
      </c>
      <c r="G2734">
        <v>0</v>
      </c>
      <c r="H2734" s="7">
        <v>0</v>
      </c>
    </row>
    <row r="2735" spans="1:8">
      <c r="A2735">
        <v>2</v>
      </c>
      <c r="B2735" t="s">
        <v>42</v>
      </c>
      <c r="C2735" t="s">
        <v>33</v>
      </c>
      <c r="D2735">
        <v>0</v>
      </c>
      <c r="E2735">
        <v>1</v>
      </c>
      <c r="F2735" s="7">
        <v>3849.14</v>
      </c>
      <c r="G2735">
        <v>0</v>
      </c>
      <c r="H2735" s="7">
        <v>0</v>
      </c>
    </row>
    <row r="2736" spans="1:8">
      <c r="A2736">
        <v>2</v>
      </c>
      <c r="B2736" t="s">
        <v>42</v>
      </c>
      <c r="C2736" t="s">
        <v>33</v>
      </c>
      <c r="D2736">
        <v>0</v>
      </c>
      <c r="E2736">
        <v>1</v>
      </c>
      <c r="F2736" s="7">
        <v>9006.17</v>
      </c>
      <c r="G2736">
        <v>0</v>
      </c>
      <c r="H2736" s="7">
        <v>0</v>
      </c>
    </row>
    <row r="2737" spans="1:8">
      <c r="A2737">
        <v>2</v>
      </c>
      <c r="B2737" t="s">
        <v>42</v>
      </c>
      <c r="C2737" t="s">
        <v>33</v>
      </c>
      <c r="D2737">
        <v>0</v>
      </c>
      <c r="E2737">
        <v>1</v>
      </c>
      <c r="F2737" s="7">
        <v>2876.88</v>
      </c>
      <c r="G2737">
        <v>0</v>
      </c>
      <c r="H2737" s="7">
        <v>0</v>
      </c>
    </row>
    <row r="2738" spans="1:8">
      <c r="A2738">
        <v>2</v>
      </c>
      <c r="B2738" t="s">
        <v>42</v>
      </c>
      <c r="C2738" t="s">
        <v>33</v>
      </c>
      <c r="D2738">
        <v>0</v>
      </c>
      <c r="E2738">
        <v>1</v>
      </c>
      <c r="F2738" s="7">
        <v>1128.88</v>
      </c>
      <c r="G2738">
        <v>0</v>
      </c>
      <c r="H2738" s="7">
        <v>0</v>
      </c>
    </row>
    <row r="2739" spans="1:8">
      <c r="A2739">
        <v>2</v>
      </c>
      <c r="B2739" t="s">
        <v>42</v>
      </c>
      <c r="C2739" t="s">
        <v>33</v>
      </c>
      <c r="D2739">
        <v>0</v>
      </c>
      <c r="E2739">
        <v>1</v>
      </c>
      <c r="F2739" s="7">
        <v>4089.67</v>
      </c>
      <c r="G2739">
        <v>0</v>
      </c>
      <c r="H2739" s="7">
        <v>0</v>
      </c>
    </row>
    <row r="2740" spans="1:8">
      <c r="A2740">
        <v>2</v>
      </c>
      <c r="B2740" t="s">
        <v>42</v>
      </c>
      <c r="C2740" t="s">
        <v>33</v>
      </c>
      <c r="D2740">
        <v>0</v>
      </c>
      <c r="E2740">
        <v>1</v>
      </c>
      <c r="F2740" s="7">
        <v>3021.67</v>
      </c>
      <c r="G2740">
        <v>0</v>
      </c>
      <c r="H2740" s="7">
        <v>0</v>
      </c>
    </row>
    <row r="2741" spans="1:8">
      <c r="A2741">
        <v>2</v>
      </c>
      <c r="B2741" t="s">
        <v>42</v>
      </c>
      <c r="C2741" t="s">
        <v>33</v>
      </c>
      <c r="D2741">
        <v>0</v>
      </c>
      <c r="E2741">
        <v>1</v>
      </c>
      <c r="F2741" s="7">
        <v>5061.75</v>
      </c>
      <c r="G2741">
        <v>0</v>
      </c>
      <c r="H2741" s="7">
        <v>0</v>
      </c>
    </row>
    <row r="2742" spans="1:8">
      <c r="A2742">
        <v>2</v>
      </c>
      <c r="B2742" t="s">
        <v>42</v>
      </c>
      <c r="C2742" t="s">
        <v>33</v>
      </c>
      <c r="D2742">
        <v>0</v>
      </c>
      <c r="E2742">
        <v>1</v>
      </c>
      <c r="F2742" s="7">
        <v>7807.42</v>
      </c>
      <c r="G2742">
        <v>0</v>
      </c>
      <c r="H2742" s="7">
        <v>0</v>
      </c>
    </row>
    <row r="2743" spans="1:8">
      <c r="A2743">
        <v>2</v>
      </c>
      <c r="B2743" t="s">
        <v>42</v>
      </c>
      <c r="C2743" t="s">
        <v>34</v>
      </c>
      <c r="D2743">
        <v>0</v>
      </c>
      <c r="E2743">
        <v>1</v>
      </c>
      <c r="F2743" s="7">
        <v>10684.01</v>
      </c>
      <c r="G2743">
        <v>0</v>
      </c>
      <c r="H2743" s="7">
        <v>0</v>
      </c>
    </row>
    <row r="2744" spans="1:8">
      <c r="A2744">
        <v>2</v>
      </c>
      <c r="B2744" t="s">
        <v>42</v>
      </c>
      <c r="C2744" t="s">
        <v>33</v>
      </c>
      <c r="D2744">
        <v>0</v>
      </c>
      <c r="E2744">
        <v>1</v>
      </c>
      <c r="F2744" s="7">
        <v>6328.21</v>
      </c>
      <c r="G2744">
        <v>0</v>
      </c>
      <c r="H2744" s="7">
        <v>0</v>
      </c>
    </row>
    <row r="2745" spans="1:8">
      <c r="A2745">
        <v>2</v>
      </c>
      <c r="B2745" t="s">
        <v>42</v>
      </c>
      <c r="C2745" t="s">
        <v>33</v>
      </c>
      <c r="D2745">
        <v>0</v>
      </c>
      <c r="E2745">
        <v>1</v>
      </c>
      <c r="F2745" s="7">
        <v>6125.72</v>
      </c>
      <c r="G2745">
        <v>0</v>
      </c>
      <c r="H2745" s="7">
        <v>0</v>
      </c>
    </row>
    <row r="2746" spans="1:8">
      <c r="A2746">
        <v>2</v>
      </c>
      <c r="B2746" t="s">
        <v>46</v>
      </c>
      <c r="C2746" t="s">
        <v>35</v>
      </c>
      <c r="D2746">
        <v>0</v>
      </c>
      <c r="E2746">
        <v>1</v>
      </c>
      <c r="F2746" s="7">
        <v>186660.82</v>
      </c>
      <c r="G2746">
        <v>0</v>
      </c>
      <c r="H2746" s="7">
        <v>0</v>
      </c>
    </row>
    <row r="2747" spans="1:8">
      <c r="A2747">
        <v>2</v>
      </c>
      <c r="B2747" t="s">
        <v>46</v>
      </c>
      <c r="C2747" t="s">
        <v>35</v>
      </c>
      <c r="D2747">
        <v>0</v>
      </c>
      <c r="E2747">
        <v>1</v>
      </c>
      <c r="F2747" s="7">
        <v>168258.14</v>
      </c>
      <c r="G2747">
        <v>0</v>
      </c>
      <c r="H2747" s="7">
        <v>0</v>
      </c>
    </row>
    <row r="2748" spans="1:8">
      <c r="A2748">
        <v>2</v>
      </c>
      <c r="B2748" t="s">
        <v>46</v>
      </c>
      <c r="C2748" t="s">
        <v>35</v>
      </c>
      <c r="D2748">
        <v>0</v>
      </c>
      <c r="E2748">
        <v>1</v>
      </c>
      <c r="F2748" s="7">
        <v>142236.29</v>
      </c>
      <c r="G2748">
        <v>0</v>
      </c>
      <c r="H2748" s="7">
        <v>0</v>
      </c>
    </row>
    <row r="2749" spans="1:8">
      <c r="A2749">
        <v>2</v>
      </c>
      <c r="B2749" t="s">
        <v>46</v>
      </c>
      <c r="C2749" t="s">
        <v>34</v>
      </c>
      <c r="D2749">
        <v>0</v>
      </c>
      <c r="E2749">
        <v>1</v>
      </c>
      <c r="F2749" s="7">
        <v>29488.46</v>
      </c>
      <c r="G2749">
        <v>0</v>
      </c>
      <c r="H2749" s="7">
        <v>0</v>
      </c>
    </row>
    <row r="2750" spans="1:8">
      <c r="A2750">
        <v>2</v>
      </c>
      <c r="B2750" t="s">
        <v>46</v>
      </c>
      <c r="C2750" t="s">
        <v>35</v>
      </c>
      <c r="D2750">
        <v>0</v>
      </c>
      <c r="E2750">
        <v>1</v>
      </c>
      <c r="F2750" s="7">
        <v>452478.54</v>
      </c>
      <c r="G2750">
        <v>0</v>
      </c>
      <c r="H2750" s="7">
        <v>0</v>
      </c>
    </row>
    <row r="2751" spans="1:8">
      <c r="A2751">
        <v>2</v>
      </c>
      <c r="B2751" t="s">
        <v>46</v>
      </c>
      <c r="C2751" t="s">
        <v>35</v>
      </c>
      <c r="D2751">
        <v>0</v>
      </c>
      <c r="E2751">
        <v>1</v>
      </c>
      <c r="F2751" s="7">
        <v>206432.17</v>
      </c>
      <c r="G2751">
        <v>0</v>
      </c>
      <c r="H2751" s="7">
        <v>0</v>
      </c>
    </row>
    <row r="2752" spans="1:8">
      <c r="A2752">
        <v>2</v>
      </c>
      <c r="B2752" t="s">
        <v>46</v>
      </c>
      <c r="C2752" t="s">
        <v>34</v>
      </c>
      <c r="D2752">
        <v>0</v>
      </c>
      <c r="E2752">
        <v>1</v>
      </c>
      <c r="F2752" s="7">
        <v>88447.92</v>
      </c>
      <c r="G2752">
        <v>0</v>
      </c>
      <c r="H2752" s="7">
        <v>0</v>
      </c>
    </row>
    <row r="2753" spans="1:8">
      <c r="A2753">
        <v>2</v>
      </c>
      <c r="B2753" t="s">
        <v>46</v>
      </c>
      <c r="C2753" t="s">
        <v>34</v>
      </c>
      <c r="D2753">
        <v>0</v>
      </c>
      <c r="E2753">
        <v>1</v>
      </c>
      <c r="F2753" s="7">
        <v>68513.25</v>
      </c>
      <c r="G2753">
        <v>0</v>
      </c>
      <c r="H2753" s="7">
        <v>0</v>
      </c>
    </row>
    <row r="2754" spans="1:8">
      <c r="A2754">
        <v>2</v>
      </c>
      <c r="B2754" t="s">
        <v>46</v>
      </c>
      <c r="C2754" t="s">
        <v>35</v>
      </c>
      <c r="D2754">
        <v>0</v>
      </c>
      <c r="E2754">
        <v>1</v>
      </c>
      <c r="F2754" s="7">
        <v>147141.81</v>
      </c>
      <c r="G2754">
        <v>0</v>
      </c>
      <c r="H2754" s="7">
        <v>0</v>
      </c>
    </row>
    <row r="2755" spans="1:8">
      <c r="A2755">
        <v>2</v>
      </c>
      <c r="B2755" t="s">
        <v>46</v>
      </c>
      <c r="C2755" t="s">
        <v>35</v>
      </c>
      <c r="D2755">
        <v>0</v>
      </c>
      <c r="E2755">
        <v>1</v>
      </c>
      <c r="F2755" s="7">
        <v>208973.73</v>
      </c>
      <c r="G2755">
        <v>0</v>
      </c>
      <c r="H2755" s="7">
        <v>0</v>
      </c>
    </row>
    <row r="2756" spans="1:8">
      <c r="A2756">
        <v>2</v>
      </c>
      <c r="B2756" t="s">
        <v>46</v>
      </c>
      <c r="C2756" t="s">
        <v>35</v>
      </c>
      <c r="D2756">
        <v>0</v>
      </c>
      <c r="E2756">
        <v>1</v>
      </c>
      <c r="F2756" s="7">
        <v>202758.62</v>
      </c>
      <c r="G2756">
        <v>0</v>
      </c>
      <c r="H2756" s="7">
        <v>0</v>
      </c>
    </row>
    <row r="2757" spans="1:8">
      <c r="A2757">
        <v>2</v>
      </c>
      <c r="B2757" t="s">
        <v>46</v>
      </c>
      <c r="C2757" t="s">
        <v>35</v>
      </c>
      <c r="D2757">
        <v>0</v>
      </c>
      <c r="E2757">
        <v>1</v>
      </c>
      <c r="F2757" s="7">
        <v>305762.25</v>
      </c>
      <c r="G2757">
        <v>0</v>
      </c>
      <c r="H2757" s="7">
        <v>0</v>
      </c>
    </row>
    <row r="2758" spans="1:8">
      <c r="A2758">
        <v>2</v>
      </c>
      <c r="B2758" t="s">
        <v>46</v>
      </c>
      <c r="C2758" t="s">
        <v>35</v>
      </c>
      <c r="D2758">
        <v>0</v>
      </c>
      <c r="E2758">
        <v>1</v>
      </c>
      <c r="F2758" s="7">
        <v>238861.93</v>
      </c>
      <c r="G2758">
        <v>0</v>
      </c>
      <c r="H2758" s="7">
        <v>0</v>
      </c>
    </row>
    <row r="2759" spans="1:8">
      <c r="A2759">
        <v>2</v>
      </c>
      <c r="B2759" t="s">
        <v>46</v>
      </c>
      <c r="C2759" t="s">
        <v>35</v>
      </c>
      <c r="D2759">
        <v>0</v>
      </c>
      <c r="E2759">
        <v>1</v>
      </c>
      <c r="F2759" s="7">
        <v>156534.89</v>
      </c>
      <c r="G2759">
        <v>0</v>
      </c>
      <c r="H2759" s="7">
        <v>0</v>
      </c>
    </row>
    <row r="2760" spans="1:8">
      <c r="A2760">
        <v>2</v>
      </c>
      <c r="B2760" t="s">
        <v>46</v>
      </c>
      <c r="C2760" t="s">
        <v>35</v>
      </c>
      <c r="D2760">
        <v>0</v>
      </c>
      <c r="E2760">
        <v>1</v>
      </c>
      <c r="F2760" s="7">
        <v>255232.66</v>
      </c>
      <c r="G2760">
        <v>0</v>
      </c>
      <c r="H2760" s="7">
        <v>0</v>
      </c>
    </row>
    <row r="2761" spans="1:8">
      <c r="A2761">
        <v>2</v>
      </c>
      <c r="B2761" t="s">
        <v>46</v>
      </c>
      <c r="C2761" t="s">
        <v>35</v>
      </c>
      <c r="D2761">
        <v>0</v>
      </c>
      <c r="E2761">
        <v>1</v>
      </c>
      <c r="F2761" s="7">
        <v>564827.72</v>
      </c>
      <c r="G2761">
        <v>0</v>
      </c>
      <c r="H2761" s="7">
        <v>0</v>
      </c>
    </row>
    <row r="2762" spans="1:8">
      <c r="A2762">
        <v>2</v>
      </c>
      <c r="B2762" t="s">
        <v>46</v>
      </c>
      <c r="C2762" t="s">
        <v>35</v>
      </c>
      <c r="D2762">
        <v>0</v>
      </c>
      <c r="E2762">
        <v>1</v>
      </c>
      <c r="F2762" s="7">
        <v>297037.63</v>
      </c>
      <c r="G2762">
        <v>0</v>
      </c>
      <c r="H2762" s="7">
        <v>0</v>
      </c>
    </row>
    <row r="2763" spans="1:8">
      <c r="A2763">
        <v>2</v>
      </c>
      <c r="B2763" t="s">
        <v>46</v>
      </c>
      <c r="C2763" t="s">
        <v>35</v>
      </c>
      <c r="D2763">
        <v>0</v>
      </c>
      <c r="E2763">
        <v>1</v>
      </c>
      <c r="F2763" s="7">
        <v>129909.22</v>
      </c>
      <c r="G2763">
        <v>0</v>
      </c>
      <c r="H2763" s="7">
        <v>0</v>
      </c>
    </row>
    <row r="2764" spans="1:8">
      <c r="A2764">
        <v>2</v>
      </c>
      <c r="B2764" t="s">
        <v>46</v>
      </c>
      <c r="C2764" t="s">
        <v>35</v>
      </c>
      <c r="D2764">
        <v>0</v>
      </c>
      <c r="E2764">
        <v>1</v>
      </c>
      <c r="F2764" s="7">
        <v>209929.52</v>
      </c>
      <c r="G2764">
        <v>0</v>
      </c>
      <c r="H2764" s="7">
        <v>0</v>
      </c>
    </row>
    <row r="2765" spans="1:8">
      <c r="A2765">
        <v>2</v>
      </c>
      <c r="B2765" t="s">
        <v>46</v>
      </c>
      <c r="C2765" t="s">
        <v>33</v>
      </c>
      <c r="D2765">
        <v>0</v>
      </c>
      <c r="E2765">
        <v>1</v>
      </c>
      <c r="F2765" s="7">
        <v>9023.2</v>
      </c>
      <c r="G2765">
        <v>0</v>
      </c>
      <c r="H2765" s="7">
        <v>0</v>
      </c>
    </row>
    <row r="2766" spans="1:8">
      <c r="A2766">
        <v>2</v>
      </c>
      <c r="B2766" t="s">
        <v>46</v>
      </c>
      <c r="C2766" t="s">
        <v>34</v>
      </c>
      <c r="D2766">
        <v>0</v>
      </c>
      <c r="E2766">
        <v>1</v>
      </c>
      <c r="F2766" s="7">
        <v>20000.32</v>
      </c>
      <c r="G2766">
        <v>0</v>
      </c>
      <c r="H2766" s="7">
        <v>0</v>
      </c>
    </row>
    <row r="2767" spans="1:8">
      <c r="A2767">
        <v>2</v>
      </c>
      <c r="B2767" t="s">
        <v>46</v>
      </c>
      <c r="C2767" t="s">
        <v>35</v>
      </c>
      <c r="D2767">
        <v>0</v>
      </c>
      <c r="E2767">
        <v>1</v>
      </c>
      <c r="F2767" s="7">
        <v>172485.68</v>
      </c>
      <c r="G2767">
        <v>0</v>
      </c>
      <c r="H2767" s="7">
        <v>0</v>
      </c>
    </row>
    <row r="2768" spans="1:8">
      <c r="A2768">
        <v>2</v>
      </c>
      <c r="B2768" t="s">
        <v>46</v>
      </c>
      <c r="C2768" t="s">
        <v>35</v>
      </c>
      <c r="D2768">
        <v>0</v>
      </c>
      <c r="E2768">
        <v>1</v>
      </c>
      <c r="F2768" s="7">
        <v>260880.32</v>
      </c>
      <c r="G2768">
        <v>0</v>
      </c>
      <c r="H2768" s="7">
        <v>0</v>
      </c>
    </row>
    <row r="2769" spans="1:8">
      <c r="A2769">
        <v>2</v>
      </c>
      <c r="B2769" t="s">
        <v>46</v>
      </c>
      <c r="C2769" t="s">
        <v>35</v>
      </c>
      <c r="D2769">
        <v>0</v>
      </c>
      <c r="E2769">
        <v>1</v>
      </c>
      <c r="F2769" s="7">
        <v>398355.98</v>
      </c>
      <c r="G2769">
        <v>0</v>
      </c>
      <c r="H2769" s="7">
        <v>0</v>
      </c>
    </row>
    <row r="2770" spans="1:8">
      <c r="A2770">
        <v>2</v>
      </c>
      <c r="B2770" t="s">
        <v>46</v>
      </c>
      <c r="C2770" t="s">
        <v>35</v>
      </c>
      <c r="D2770">
        <v>0</v>
      </c>
      <c r="E2770">
        <v>1</v>
      </c>
      <c r="F2770" s="7">
        <v>131637.92</v>
      </c>
      <c r="G2770">
        <v>0</v>
      </c>
      <c r="H2770" s="7">
        <v>0</v>
      </c>
    </row>
    <row r="2771" spans="1:8">
      <c r="A2771">
        <v>2</v>
      </c>
      <c r="B2771" t="s">
        <v>46</v>
      </c>
      <c r="C2771" t="s">
        <v>34</v>
      </c>
      <c r="D2771">
        <v>0</v>
      </c>
      <c r="E2771">
        <v>1</v>
      </c>
      <c r="F2771" s="7">
        <v>52309.48</v>
      </c>
      <c r="G2771">
        <v>0</v>
      </c>
      <c r="H2771" s="7">
        <v>0</v>
      </c>
    </row>
    <row r="2772" spans="1:8">
      <c r="A2772">
        <v>2</v>
      </c>
      <c r="B2772" t="s">
        <v>46</v>
      </c>
      <c r="C2772" t="s">
        <v>34</v>
      </c>
      <c r="D2772">
        <v>0</v>
      </c>
      <c r="E2772">
        <v>1</v>
      </c>
      <c r="F2772" s="7">
        <v>46615.49</v>
      </c>
      <c r="G2772">
        <v>0</v>
      </c>
      <c r="H2772" s="7">
        <v>0</v>
      </c>
    </row>
    <row r="2773" spans="1:8">
      <c r="A2773">
        <v>2</v>
      </c>
      <c r="B2773" t="s">
        <v>46</v>
      </c>
      <c r="C2773" t="s">
        <v>35</v>
      </c>
      <c r="D2773">
        <v>0</v>
      </c>
      <c r="E2773">
        <v>1</v>
      </c>
      <c r="F2773" s="7">
        <v>174213.34</v>
      </c>
      <c r="G2773">
        <v>0</v>
      </c>
      <c r="H2773" s="7">
        <v>0</v>
      </c>
    </row>
    <row r="2774" spans="1:8">
      <c r="A2774">
        <v>2</v>
      </c>
      <c r="B2774" t="s">
        <v>46</v>
      </c>
      <c r="C2774" t="s">
        <v>34</v>
      </c>
      <c r="D2774">
        <v>0</v>
      </c>
      <c r="E2774">
        <v>1</v>
      </c>
      <c r="F2774" s="7">
        <v>98104.83</v>
      </c>
      <c r="G2774">
        <v>0</v>
      </c>
      <c r="H2774" s="7">
        <v>0</v>
      </c>
    </row>
    <row r="2775" spans="1:8">
      <c r="A2775">
        <v>2</v>
      </c>
      <c r="B2775" t="s">
        <v>46</v>
      </c>
      <c r="C2775" t="s">
        <v>34</v>
      </c>
      <c r="D2775">
        <v>0</v>
      </c>
      <c r="E2775">
        <v>1</v>
      </c>
      <c r="F2775" s="7">
        <v>67666.92</v>
      </c>
      <c r="G2775">
        <v>0</v>
      </c>
      <c r="H2775" s="7">
        <v>0</v>
      </c>
    </row>
    <row r="2776" spans="1:8">
      <c r="A2776">
        <v>2</v>
      </c>
      <c r="B2776" t="s">
        <v>46</v>
      </c>
      <c r="C2776" t="s">
        <v>35</v>
      </c>
      <c r="D2776">
        <v>0</v>
      </c>
      <c r="E2776">
        <v>1</v>
      </c>
      <c r="F2776" s="7">
        <v>177577.58</v>
      </c>
      <c r="G2776">
        <v>0</v>
      </c>
      <c r="H2776" s="7">
        <v>0</v>
      </c>
    </row>
    <row r="2777" spans="1:8">
      <c r="A2777">
        <v>2</v>
      </c>
      <c r="B2777" t="s">
        <v>46</v>
      </c>
      <c r="C2777" t="s">
        <v>35</v>
      </c>
      <c r="D2777">
        <v>0</v>
      </c>
      <c r="E2777">
        <v>1</v>
      </c>
      <c r="F2777" s="7">
        <v>308322</v>
      </c>
      <c r="G2777">
        <v>0</v>
      </c>
      <c r="H2777" s="7">
        <v>0</v>
      </c>
    </row>
    <row r="2778" spans="1:8">
      <c r="A2778">
        <v>2</v>
      </c>
      <c r="B2778" t="s">
        <v>46</v>
      </c>
      <c r="C2778" t="s">
        <v>35</v>
      </c>
      <c r="D2778">
        <v>0</v>
      </c>
      <c r="E2778">
        <v>1</v>
      </c>
      <c r="F2778" s="7">
        <v>121479.85</v>
      </c>
      <c r="G2778">
        <v>0</v>
      </c>
      <c r="H2778" s="7">
        <v>0</v>
      </c>
    </row>
    <row r="2779" spans="1:8">
      <c r="A2779">
        <v>2</v>
      </c>
      <c r="B2779" t="s">
        <v>46</v>
      </c>
      <c r="C2779" t="s">
        <v>35</v>
      </c>
      <c r="D2779">
        <v>0</v>
      </c>
      <c r="E2779">
        <v>1</v>
      </c>
      <c r="F2779" s="7">
        <v>320217.01</v>
      </c>
      <c r="G2779">
        <v>0</v>
      </c>
      <c r="H2779" s="7">
        <v>0</v>
      </c>
    </row>
    <row r="2780" spans="1:8">
      <c r="A2780">
        <v>2</v>
      </c>
      <c r="B2780" t="s">
        <v>46</v>
      </c>
      <c r="C2780" t="s">
        <v>34</v>
      </c>
      <c r="D2780">
        <v>0</v>
      </c>
      <c r="E2780">
        <v>1</v>
      </c>
      <c r="F2780" s="7">
        <v>28247.25</v>
      </c>
      <c r="G2780">
        <v>0</v>
      </c>
      <c r="H2780" s="7">
        <v>0</v>
      </c>
    </row>
    <row r="2781" spans="1:8">
      <c r="A2781">
        <v>2</v>
      </c>
      <c r="B2781" t="s">
        <v>46</v>
      </c>
      <c r="C2781" t="s">
        <v>34</v>
      </c>
      <c r="D2781">
        <v>0</v>
      </c>
      <c r="E2781">
        <v>1</v>
      </c>
      <c r="F2781" s="7">
        <v>83247.74</v>
      </c>
      <c r="G2781">
        <v>0</v>
      </c>
      <c r="H2781" s="7">
        <v>0</v>
      </c>
    </row>
    <row r="2782" spans="1:8">
      <c r="A2782">
        <v>2</v>
      </c>
      <c r="B2782" t="s">
        <v>46</v>
      </c>
      <c r="C2782" t="s">
        <v>34</v>
      </c>
      <c r="D2782">
        <v>0</v>
      </c>
      <c r="E2782">
        <v>1</v>
      </c>
      <c r="F2782" s="7">
        <v>64978.38</v>
      </c>
      <c r="G2782">
        <v>0</v>
      </c>
      <c r="H2782" s="7">
        <v>0</v>
      </c>
    </row>
    <row r="2783" spans="1:8">
      <c r="A2783">
        <v>2</v>
      </c>
      <c r="B2783" t="s">
        <v>46</v>
      </c>
      <c r="C2783" t="s">
        <v>35</v>
      </c>
      <c r="D2783">
        <v>0</v>
      </c>
      <c r="E2783">
        <v>1</v>
      </c>
      <c r="F2783" s="7">
        <v>278703.6</v>
      </c>
      <c r="G2783">
        <v>0</v>
      </c>
      <c r="H2783" s="7">
        <v>0</v>
      </c>
    </row>
    <row r="2784" spans="1:8">
      <c r="A2784">
        <v>2</v>
      </c>
      <c r="B2784" t="s">
        <v>46</v>
      </c>
      <c r="C2784" t="s">
        <v>35</v>
      </c>
      <c r="D2784">
        <v>0</v>
      </c>
      <c r="E2784">
        <v>1</v>
      </c>
      <c r="F2784" s="7">
        <v>158226.9</v>
      </c>
      <c r="G2784">
        <v>0</v>
      </c>
      <c r="H2784" s="7">
        <v>0</v>
      </c>
    </row>
    <row r="2785" spans="1:8">
      <c r="A2785">
        <v>2</v>
      </c>
      <c r="B2785" t="s">
        <v>46</v>
      </c>
      <c r="C2785" t="s">
        <v>35</v>
      </c>
      <c r="D2785">
        <v>0</v>
      </c>
      <c r="E2785">
        <v>1</v>
      </c>
      <c r="F2785" s="7">
        <v>284839.92</v>
      </c>
      <c r="G2785">
        <v>0</v>
      </c>
      <c r="H2785" s="7">
        <v>0</v>
      </c>
    </row>
    <row r="2786" spans="1:8">
      <c r="A2786">
        <v>2</v>
      </c>
      <c r="B2786" t="s">
        <v>46</v>
      </c>
      <c r="C2786" t="s">
        <v>35</v>
      </c>
      <c r="D2786">
        <v>0</v>
      </c>
      <c r="E2786">
        <v>1</v>
      </c>
      <c r="F2786" s="7">
        <v>137964.43</v>
      </c>
      <c r="G2786">
        <v>0</v>
      </c>
      <c r="H2786" s="7">
        <v>0</v>
      </c>
    </row>
    <row r="2787" spans="1:8">
      <c r="A2787">
        <v>2</v>
      </c>
      <c r="B2787" t="s">
        <v>46</v>
      </c>
      <c r="C2787" t="s">
        <v>35</v>
      </c>
      <c r="D2787">
        <v>0</v>
      </c>
      <c r="E2787">
        <v>1</v>
      </c>
      <c r="F2787" s="7">
        <v>160690.6</v>
      </c>
      <c r="G2787">
        <v>0</v>
      </c>
      <c r="H2787" s="7">
        <v>0</v>
      </c>
    </row>
    <row r="2788" spans="1:8">
      <c r="A2788">
        <v>2</v>
      </c>
      <c r="B2788" t="s">
        <v>46</v>
      </c>
      <c r="C2788" t="s">
        <v>34</v>
      </c>
      <c r="D2788">
        <v>0</v>
      </c>
      <c r="E2788">
        <v>1</v>
      </c>
      <c r="F2788" s="7">
        <v>72644.99</v>
      </c>
      <c r="G2788">
        <v>0</v>
      </c>
      <c r="H2788" s="7">
        <v>0</v>
      </c>
    </row>
    <row r="2789" spans="1:8">
      <c r="A2789">
        <v>2</v>
      </c>
      <c r="B2789" t="s">
        <v>46</v>
      </c>
      <c r="C2789" t="s">
        <v>35</v>
      </c>
      <c r="D2789">
        <v>0</v>
      </c>
      <c r="E2789">
        <v>1</v>
      </c>
      <c r="F2789" s="7">
        <v>151228.18</v>
      </c>
      <c r="G2789">
        <v>0</v>
      </c>
      <c r="H2789" s="7">
        <v>0</v>
      </c>
    </row>
    <row r="2790" spans="1:8">
      <c r="A2790">
        <v>2</v>
      </c>
      <c r="B2790" t="s">
        <v>46</v>
      </c>
      <c r="C2790" t="s">
        <v>34</v>
      </c>
      <c r="D2790">
        <v>0</v>
      </c>
      <c r="E2790">
        <v>1</v>
      </c>
      <c r="F2790" s="7">
        <v>29929.77</v>
      </c>
      <c r="G2790">
        <v>0</v>
      </c>
      <c r="H2790" s="7">
        <v>0</v>
      </c>
    </row>
    <row r="2791" spans="1:8">
      <c r="A2791">
        <v>2</v>
      </c>
      <c r="B2791" t="s">
        <v>46</v>
      </c>
      <c r="C2791" t="s">
        <v>34</v>
      </c>
      <c r="D2791">
        <v>0</v>
      </c>
      <c r="E2791">
        <v>1</v>
      </c>
      <c r="F2791" s="7">
        <v>30070.91</v>
      </c>
      <c r="G2791">
        <v>0</v>
      </c>
      <c r="H2791" s="7">
        <v>0</v>
      </c>
    </row>
    <row r="2792" spans="1:8">
      <c r="A2792">
        <v>2</v>
      </c>
      <c r="B2792" t="s">
        <v>46</v>
      </c>
      <c r="C2792" t="s">
        <v>35</v>
      </c>
      <c r="D2792">
        <v>0</v>
      </c>
      <c r="E2792">
        <v>1</v>
      </c>
      <c r="F2792" s="7">
        <v>209159.54</v>
      </c>
      <c r="G2792">
        <v>0</v>
      </c>
      <c r="H2792" s="7">
        <v>0</v>
      </c>
    </row>
    <row r="2793" spans="1:8">
      <c r="A2793">
        <v>2</v>
      </c>
      <c r="B2793" t="s">
        <v>46</v>
      </c>
      <c r="C2793" t="s">
        <v>35</v>
      </c>
      <c r="D2793">
        <v>0</v>
      </c>
      <c r="E2793">
        <v>1</v>
      </c>
      <c r="F2793" s="7">
        <v>109768.65</v>
      </c>
      <c r="G2793">
        <v>0</v>
      </c>
      <c r="H2793" s="7">
        <v>0</v>
      </c>
    </row>
    <row r="2794" spans="1:8">
      <c r="A2794">
        <v>2</v>
      </c>
      <c r="B2794" t="s">
        <v>46</v>
      </c>
      <c r="C2794" t="s">
        <v>35</v>
      </c>
      <c r="D2794">
        <v>0</v>
      </c>
      <c r="E2794">
        <v>1</v>
      </c>
      <c r="F2794" s="7">
        <v>216556.93</v>
      </c>
      <c r="G2794">
        <v>0</v>
      </c>
      <c r="H2794" s="7">
        <v>0</v>
      </c>
    </row>
    <row r="2795" spans="1:8">
      <c r="A2795">
        <v>2</v>
      </c>
      <c r="B2795" t="s">
        <v>46</v>
      </c>
      <c r="C2795" t="s">
        <v>34</v>
      </c>
      <c r="D2795">
        <v>0</v>
      </c>
      <c r="E2795">
        <v>1</v>
      </c>
      <c r="F2795" s="7">
        <v>85917.73</v>
      </c>
      <c r="G2795">
        <v>0</v>
      </c>
      <c r="H2795" s="7">
        <v>0</v>
      </c>
    </row>
    <row r="2796" spans="1:8">
      <c r="A2796">
        <v>2</v>
      </c>
      <c r="B2796" t="s">
        <v>46</v>
      </c>
      <c r="C2796" t="s">
        <v>35</v>
      </c>
      <c r="D2796">
        <v>0</v>
      </c>
      <c r="E2796">
        <v>1</v>
      </c>
      <c r="F2796" s="7">
        <v>208366.03</v>
      </c>
      <c r="G2796">
        <v>0</v>
      </c>
      <c r="H2796" s="7">
        <v>0</v>
      </c>
    </row>
    <row r="2797" spans="1:8">
      <c r="A2797">
        <v>2</v>
      </c>
      <c r="B2797" t="s">
        <v>46</v>
      </c>
      <c r="C2797" t="s">
        <v>34</v>
      </c>
      <c r="D2797">
        <v>0</v>
      </c>
      <c r="E2797">
        <v>1</v>
      </c>
      <c r="F2797" s="7">
        <v>36251.27</v>
      </c>
      <c r="G2797">
        <v>0</v>
      </c>
      <c r="H2797" s="7">
        <v>0</v>
      </c>
    </row>
    <row r="2798" spans="1:8">
      <c r="A2798">
        <v>2</v>
      </c>
      <c r="B2798" t="s">
        <v>46</v>
      </c>
      <c r="C2798" t="s">
        <v>35</v>
      </c>
      <c r="D2798">
        <v>0</v>
      </c>
      <c r="E2798">
        <v>1</v>
      </c>
      <c r="F2798" s="7">
        <v>149683.03</v>
      </c>
      <c r="G2798">
        <v>0</v>
      </c>
      <c r="H2798" s="7">
        <v>0</v>
      </c>
    </row>
    <row r="2799" spans="1:8">
      <c r="A2799">
        <v>2</v>
      </c>
      <c r="B2799" t="s">
        <v>46</v>
      </c>
      <c r="C2799" t="s">
        <v>34</v>
      </c>
      <c r="D2799">
        <v>0</v>
      </c>
      <c r="E2799">
        <v>1</v>
      </c>
      <c r="F2799" s="7">
        <v>56238.58</v>
      </c>
      <c r="G2799">
        <v>0</v>
      </c>
      <c r="H2799" s="7">
        <v>0</v>
      </c>
    </row>
    <row r="2800" spans="1:8">
      <c r="A2800">
        <v>2</v>
      </c>
      <c r="B2800" t="s">
        <v>46</v>
      </c>
      <c r="C2800" t="s">
        <v>35</v>
      </c>
      <c r="D2800">
        <v>0</v>
      </c>
      <c r="E2800">
        <v>1</v>
      </c>
      <c r="F2800" s="7">
        <v>105173.53</v>
      </c>
      <c r="G2800">
        <v>0</v>
      </c>
      <c r="H2800" s="7">
        <v>0</v>
      </c>
    </row>
    <row r="2801" spans="1:8">
      <c r="A2801">
        <v>2</v>
      </c>
      <c r="B2801" t="s">
        <v>46</v>
      </c>
      <c r="C2801" t="s">
        <v>34</v>
      </c>
      <c r="D2801">
        <v>0</v>
      </c>
      <c r="E2801">
        <v>1</v>
      </c>
      <c r="F2801" s="7">
        <v>32852.19</v>
      </c>
      <c r="G2801">
        <v>0</v>
      </c>
      <c r="H2801" s="7">
        <v>0</v>
      </c>
    </row>
    <row r="2802" spans="1:8">
      <c r="A2802">
        <v>2</v>
      </c>
      <c r="B2802" t="s">
        <v>46</v>
      </c>
      <c r="C2802" t="s">
        <v>34</v>
      </c>
      <c r="D2802">
        <v>0</v>
      </c>
      <c r="E2802">
        <v>1</v>
      </c>
      <c r="F2802" s="7">
        <v>22096.38</v>
      </c>
      <c r="G2802">
        <v>0</v>
      </c>
      <c r="H2802" s="7">
        <v>0</v>
      </c>
    </row>
    <row r="2803" spans="1:8">
      <c r="A2803">
        <v>2</v>
      </c>
      <c r="B2803" t="s">
        <v>42</v>
      </c>
      <c r="C2803" t="s">
        <v>33</v>
      </c>
      <c r="D2803">
        <v>0</v>
      </c>
      <c r="E2803">
        <v>1</v>
      </c>
      <c r="F2803" s="7">
        <v>3840.87</v>
      </c>
      <c r="G2803">
        <v>0</v>
      </c>
      <c r="H2803" s="7">
        <v>0</v>
      </c>
    </row>
    <row r="2804" spans="1:8">
      <c r="A2804">
        <v>2</v>
      </c>
      <c r="B2804" t="s">
        <v>43</v>
      </c>
      <c r="C2804" t="s">
        <v>34</v>
      </c>
      <c r="D2804">
        <v>0</v>
      </c>
      <c r="E2804">
        <v>1</v>
      </c>
      <c r="F2804" s="7">
        <v>53763.65</v>
      </c>
      <c r="G2804">
        <v>0</v>
      </c>
      <c r="H2804" s="7">
        <v>0</v>
      </c>
    </row>
    <row r="2805" spans="1:8">
      <c r="A2805">
        <v>2</v>
      </c>
      <c r="B2805" t="s">
        <v>42</v>
      </c>
      <c r="C2805" t="s">
        <v>33</v>
      </c>
      <c r="D2805">
        <v>0</v>
      </c>
      <c r="E2805">
        <v>1</v>
      </c>
      <c r="F2805" s="7">
        <v>3604.2</v>
      </c>
      <c r="G2805">
        <v>0</v>
      </c>
      <c r="H2805" s="7">
        <v>0</v>
      </c>
    </row>
    <row r="2806" spans="1:8">
      <c r="A2806">
        <v>2</v>
      </c>
      <c r="B2806" t="s">
        <v>43</v>
      </c>
      <c r="C2806" t="s">
        <v>35</v>
      </c>
      <c r="D2806">
        <v>0</v>
      </c>
      <c r="E2806">
        <v>1</v>
      </c>
      <c r="F2806" s="7">
        <v>106141.92</v>
      </c>
      <c r="G2806">
        <v>0</v>
      </c>
      <c r="H2806" s="7">
        <v>0</v>
      </c>
    </row>
    <row r="2807" spans="1:8">
      <c r="A2807">
        <v>2</v>
      </c>
      <c r="B2807" t="s">
        <v>43</v>
      </c>
      <c r="C2807" t="s">
        <v>34</v>
      </c>
      <c r="D2807">
        <v>0</v>
      </c>
      <c r="E2807">
        <v>1</v>
      </c>
      <c r="F2807" s="7">
        <v>82616.3</v>
      </c>
      <c r="G2807">
        <v>0</v>
      </c>
      <c r="H2807" s="7">
        <v>0</v>
      </c>
    </row>
    <row r="2808" spans="1:8">
      <c r="A2808">
        <v>2</v>
      </c>
      <c r="B2808" t="s">
        <v>43</v>
      </c>
      <c r="C2808" t="s">
        <v>35</v>
      </c>
      <c r="D2808">
        <v>0</v>
      </c>
      <c r="E2808">
        <v>1</v>
      </c>
      <c r="F2808" s="7">
        <v>149935.68</v>
      </c>
      <c r="G2808">
        <v>0</v>
      </c>
      <c r="H2808" s="7">
        <v>0</v>
      </c>
    </row>
    <row r="2809" spans="1:8">
      <c r="A2809">
        <v>2</v>
      </c>
      <c r="B2809" t="s">
        <v>43</v>
      </c>
      <c r="C2809" t="s">
        <v>34</v>
      </c>
      <c r="D2809">
        <v>0</v>
      </c>
      <c r="E2809">
        <v>1</v>
      </c>
      <c r="F2809" s="7">
        <v>13126.23</v>
      </c>
      <c r="G2809">
        <v>0</v>
      </c>
      <c r="H2809" s="7">
        <v>0</v>
      </c>
    </row>
    <row r="2810" spans="1:8">
      <c r="A2810">
        <v>2</v>
      </c>
      <c r="B2810" t="s">
        <v>42</v>
      </c>
      <c r="C2810" t="s">
        <v>33</v>
      </c>
      <c r="D2810">
        <v>0</v>
      </c>
      <c r="E2810">
        <v>1</v>
      </c>
      <c r="F2810" s="7">
        <v>2507.52</v>
      </c>
      <c r="G2810">
        <v>0</v>
      </c>
      <c r="H2810" s="7">
        <v>0</v>
      </c>
    </row>
    <row r="2811" spans="1:8">
      <c r="A2811">
        <v>2</v>
      </c>
      <c r="B2811" t="s">
        <v>45</v>
      </c>
      <c r="C2811" t="s">
        <v>33</v>
      </c>
      <c r="D2811">
        <v>0</v>
      </c>
      <c r="E2811">
        <v>1</v>
      </c>
      <c r="F2811" s="7">
        <v>3718.7</v>
      </c>
      <c r="G2811">
        <v>0</v>
      </c>
      <c r="H2811" s="7">
        <v>0</v>
      </c>
    </row>
    <row r="2812" spans="1:8">
      <c r="A2812">
        <v>2</v>
      </c>
      <c r="B2812" t="s">
        <v>42</v>
      </c>
      <c r="C2812" t="s">
        <v>33</v>
      </c>
      <c r="D2812">
        <v>0</v>
      </c>
      <c r="E2812">
        <v>1</v>
      </c>
      <c r="F2812" s="7">
        <v>4343.55</v>
      </c>
      <c r="G2812">
        <v>0</v>
      </c>
      <c r="H2812" s="7">
        <v>0</v>
      </c>
    </row>
    <row r="2813" spans="1:8">
      <c r="A2813">
        <v>2</v>
      </c>
      <c r="B2813" t="s">
        <v>42</v>
      </c>
      <c r="C2813" t="s">
        <v>32</v>
      </c>
      <c r="D2813">
        <v>0</v>
      </c>
      <c r="E2813">
        <v>1</v>
      </c>
      <c r="F2813" s="7">
        <v>157.91</v>
      </c>
      <c r="G2813">
        <v>0</v>
      </c>
      <c r="H2813" s="7">
        <v>0</v>
      </c>
    </row>
    <row r="2814" spans="1:8">
      <c r="A2814">
        <v>2</v>
      </c>
      <c r="B2814" t="s">
        <v>44</v>
      </c>
      <c r="C2814" t="s">
        <v>34</v>
      </c>
      <c r="D2814">
        <v>0</v>
      </c>
      <c r="E2814">
        <v>1</v>
      </c>
      <c r="F2814" s="7">
        <v>55898.94</v>
      </c>
      <c r="G2814">
        <v>0</v>
      </c>
      <c r="H2814" s="7">
        <v>0</v>
      </c>
    </row>
    <row r="2815" spans="1:8">
      <c r="A2815">
        <v>2</v>
      </c>
      <c r="B2815" t="s">
        <v>42</v>
      </c>
      <c r="C2815" t="s">
        <v>33</v>
      </c>
      <c r="D2815">
        <v>0</v>
      </c>
      <c r="E2815">
        <v>1</v>
      </c>
      <c r="F2815" s="7">
        <v>3838</v>
      </c>
      <c r="G2815">
        <v>0</v>
      </c>
      <c r="H2815" s="7">
        <v>0</v>
      </c>
    </row>
    <row r="2816" spans="1:8">
      <c r="A2816">
        <v>2</v>
      </c>
      <c r="B2816" t="s">
        <v>42</v>
      </c>
      <c r="C2816" t="s">
        <v>33</v>
      </c>
      <c r="D2816">
        <v>0</v>
      </c>
      <c r="E2816">
        <v>1</v>
      </c>
      <c r="F2816" s="7">
        <v>2038.61</v>
      </c>
      <c r="G2816">
        <v>0</v>
      </c>
      <c r="H2816" s="7">
        <v>0</v>
      </c>
    </row>
    <row r="2817" spans="1:8">
      <c r="A2817">
        <v>2</v>
      </c>
      <c r="B2817" t="s">
        <v>44</v>
      </c>
      <c r="C2817" t="s">
        <v>34</v>
      </c>
      <c r="D2817">
        <v>0</v>
      </c>
      <c r="E2817">
        <v>1</v>
      </c>
      <c r="F2817" s="7">
        <v>52054.69</v>
      </c>
      <c r="G2817">
        <v>0</v>
      </c>
      <c r="H2817" s="7">
        <v>0</v>
      </c>
    </row>
    <row r="2818" spans="1:8">
      <c r="A2818">
        <v>2</v>
      </c>
      <c r="B2818" t="s">
        <v>42</v>
      </c>
      <c r="C2818" t="s">
        <v>32</v>
      </c>
      <c r="D2818">
        <v>0</v>
      </c>
      <c r="E2818">
        <v>1</v>
      </c>
      <c r="F2818" s="7">
        <v>61.68</v>
      </c>
      <c r="G2818">
        <v>0</v>
      </c>
      <c r="H2818" s="7">
        <v>0</v>
      </c>
    </row>
    <row r="2819" spans="1:8">
      <c r="A2819">
        <v>2</v>
      </c>
      <c r="B2819" t="s">
        <v>42</v>
      </c>
      <c r="C2819" t="s">
        <v>34</v>
      </c>
      <c r="D2819">
        <v>0</v>
      </c>
      <c r="E2819">
        <v>1</v>
      </c>
      <c r="F2819" s="7">
        <v>10553.58</v>
      </c>
      <c r="G2819">
        <v>0</v>
      </c>
      <c r="H2819" s="7">
        <v>0</v>
      </c>
    </row>
    <row r="2820" spans="1:8">
      <c r="A2820">
        <v>2</v>
      </c>
      <c r="B2820" t="s">
        <v>42</v>
      </c>
      <c r="C2820" t="s">
        <v>33</v>
      </c>
      <c r="D2820">
        <v>0</v>
      </c>
      <c r="E2820">
        <v>1</v>
      </c>
      <c r="F2820" s="7">
        <v>9034.36</v>
      </c>
      <c r="G2820">
        <v>0</v>
      </c>
      <c r="H2820" s="7">
        <v>0</v>
      </c>
    </row>
    <row r="2821" spans="1:8">
      <c r="A2821">
        <v>2</v>
      </c>
      <c r="B2821" t="s">
        <v>45</v>
      </c>
      <c r="C2821" t="s">
        <v>33</v>
      </c>
      <c r="D2821">
        <v>0</v>
      </c>
      <c r="E2821">
        <v>1</v>
      </c>
      <c r="F2821" s="7">
        <v>1332.91</v>
      </c>
      <c r="G2821">
        <v>0</v>
      </c>
      <c r="H2821" s="7">
        <v>0</v>
      </c>
    </row>
    <row r="2822" spans="1:8">
      <c r="A2822">
        <v>2</v>
      </c>
      <c r="B2822" t="s">
        <v>42</v>
      </c>
      <c r="C2822" t="s">
        <v>34</v>
      </c>
      <c r="D2822">
        <v>0</v>
      </c>
      <c r="E2822">
        <v>1</v>
      </c>
      <c r="F2822" s="7">
        <v>13832.09</v>
      </c>
      <c r="G2822">
        <v>0</v>
      </c>
      <c r="H2822" s="7">
        <v>0</v>
      </c>
    </row>
    <row r="2823" spans="1:8">
      <c r="A2823">
        <v>2</v>
      </c>
      <c r="B2823" t="s">
        <v>42</v>
      </c>
      <c r="C2823" t="s">
        <v>32</v>
      </c>
      <c r="D2823">
        <v>0</v>
      </c>
      <c r="E2823">
        <v>1</v>
      </c>
      <c r="F2823" s="7">
        <v>29.26</v>
      </c>
      <c r="G2823">
        <v>0</v>
      </c>
      <c r="H2823" s="7">
        <v>0</v>
      </c>
    </row>
    <row r="2824" spans="1:8">
      <c r="A2824">
        <v>2</v>
      </c>
      <c r="B2824" t="s">
        <v>44</v>
      </c>
      <c r="C2824" t="s">
        <v>34</v>
      </c>
      <c r="D2824">
        <v>0</v>
      </c>
      <c r="E2824">
        <v>1</v>
      </c>
      <c r="F2824" s="7">
        <v>26596.11</v>
      </c>
      <c r="G2824">
        <v>0</v>
      </c>
      <c r="H2824" s="7">
        <v>0</v>
      </c>
    </row>
    <row r="2825" spans="1:8">
      <c r="A2825">
        <v>2</v>
      </c>
      <c r="B2825" t="s">
        <v>42</v>
      </c>
      <c r="C2825" t="s">
        <v>33</v>
      </c>
      <c r="D2825">
        <v>0</v>
      </c>
      <c r="E2825">
        <v>1</v>
      </c>
      <c r="F2825" s="7">
        <v>5179.74</v>
      </c>
      <c r="G2825">
        <v>0</v>
      </c>
      <c r="H2825" s="7">
        <v>0</v>
      </c>
    </row>
    <row r="2826" spans="1:8">
      <c r="A2826">
        <v>2</v>
      </c>
      <c r="B2826" t="s">
        <v>42</v>
      </c>
      <c r="C2826" t="s">
        <v>33</v>
      </c>
      <c r="D2826">
        <v>0</v>
      </c>
      <c r="E2826">
        <v>1</v>
      </c>
      <c r="F2826" s="7">
        <v>1470.16</v>
      </c>
      <c r="G2826">
        <v>0</v>
      </c>
      <c r="H2826" s="7">
        <v>0</v>
      </c>
    </row>
    <row r="2827" spans="1:8">
      <c r="A2827">
        <v>2</v>
      </c>
      <c r="B2827" t="s">
        <v>42</v>
      </c>
      <c r="C2827" t="s">
        <v>34</v>
      </c>
      <c r="D2827">
        <v>0</v>
      </c>
      <c r="E2827">
        <v>1</v>
      </c>
      <c r="F2827" s="7">
        <v>11760.28</v>
      </c>
      <c r="G2827">
        <v>0</v>
      </c>
      <c r="H2827" s="7">
        <v>0</v>
      </c>
    </row>
    <row r="2828" spans="1:8">
      <c r="A2828">
        <v>2</v>
      </c>
      <c r="B2828" t="s">
        <v>42</v>
      </c>
      <c r="C2828" t="s">
        <v>33</v>
      </c>
      <c r="D2828">
        <v>0</v>
      </c>
      <c r="E2828">
        <v>1</v>
      </c>
      <c r="F2828" s="7">
        <v>4733.94</v>
      </c>
      <c r="G2828">
        <v>0</v>
      </c>
      <c r="H2828" s="7">
        <v>0</v>
      </c>
    </row>
    <row r="2829" spans="1:8">
      <c r="A2829">
        <v>2</v>
      </c>
      <c r="B2829" t="s">
        <v>42</v>
      </c>
      <c r="C2829" t="s">
        <v>33</v>
      </c>
      <c r="D2829">
        <v>0</v>
      </c>
      <c r="E2829">
        <v>1</v>
      </c>
      <c r="F2829" s="7">
        <v>6466.5</v>
      </c>
      <c r="G2829">
        <v>0</v>
      </c>
      <c r="H2829" s="7">
        <v>0</v>
      </c>
    </row>
    <row r="2830" spans="1:8">
      <c r="A2830">
        <v>2</v>
      </c>
      <c r="B2830" t="s">
        <v>45</v>
      </c>
      <c r="C2830" t="s">
        <v>33</v>
      </c>
      <c r="D2830">
        <v>0</v>
      </c>
      <c r="E2830">
        <v>1</v>
      </c>
      <c r="F2830" s="7">
        <v>7677.73</v>
      </c>
      <c r="G2830">
        <v>0</v>
      </c>
      <c r="H2830" s="7">
        <v>0</v>
      </c>
    </row>
    <row r="2831" spans="1:8">
      <c r="A2831">
        <v>2</v>
      </c>
      <c r="B2831" t="s">
        <v>43</v>
      </c>
      <c r="C2831" t="s">
        <v>35</v>
      </c>
      <c r="D2831">
        <v>0</v>
      </c>
      <c r="E2831">
        <v>1</v>
      </c>
      <c r="F2831" s="7">
        <v>147176.03</v>
      </c>
      <c r="G2831">
        <v>0</v>
      </c>
      <c r="H2831" s="7">
        <v>0</v>
      </c>
    </row>
    <row r="2832" spans="1:8">
      <c r="A2832">
        <v>2</v>
      </c>
      <c r="B2832" t="s">
        <v>45</v>
      </c>
      <c r="C2832" t="s">
        <v>32</v>
      </c>
      <c r="D2832">
        <v>0</v>
      </c>
      <c r="E2832">
        <v>1</v>
      </c>
      <c r="F2832" s="7">
        <v>309.33</v>
      </c>
      <c r="G2832">
        <v>0</v>
      </c>
      <c r="H2832" s="7">
        <v>0</v>
      </c>
    </row>
    <row r="2833" spans="1:8">
      <c r="A2833">
        <v>2</v>
      </c>
      <c r="B2833" t="s">
        <v>42</v>
      </c>
      <c r="C2833" t="s">
        <v>32</v>
      </c>
      <c r="D2833">
        <v>0</v>
      </c>
      <c r="E2833">
        <v>1</v>
      </c>
      <c r="F2833" s="7">
        <v>819.45</v>
      </c>
      <c r="G2833">
        <v>0</v>
      </c>
      <c r="H2833" s="7">
        <v>0</v>
      </c>
    </row>
    <row r="2834" spans="1:8">
      <c r="A2834">
        <v>2</v>
      </c>
      <c r="B2834" t="s">
        <v>42</v>
      </c>
      <c r="C2834" t="s">
        <v>33</v>
      </c>
      <c r="D2834">
        <v>0</v>
      </c>
      <c r="E2834">
        <v>1</v>
      </c>
      <c r="F2834" s="7">
        <v>8892.44</v>
      </c>
      <c r="G2834">
        <v>0</v>
      </c>
      <c r="H2834" s="7">
        <v>0</v>
      </c>
    </row>
    <row r="2835" spans="1:8">
      <c r="A2835">
        <v>2</v>
      </c>
      <c r="B2835" t="s">
        <v>42</v>
      </c>
      <c r="C2835" t="s">
        <v>32</v>
      </c>
      <c r="D2835">
        <v>0</v>
      </c>
      <c r="E2835">
        <v>1</v>
      </c>
      <c r="F2835" s="7">
        <v>311.38</v>
      </c>
      <c r="G2835">
        <v>0</v>
      </c>
      <c r="H2835" s="7">
        <v>0</v>
      </c>
    </row>
    <row r="2836" spans="1:8">
      <c r="A2836">
        <v>2</v>
      </c>
      <c r="B2836" t="s">
        <v>44</v>
      </c>
      <c r="C2836" t="s">
        <v>35</v>
      </c>
      <c r="D2836">
        <v>0</v>
      </c>
      <c r="E2836">
        <v>1</v>
      </c>
      <c r="F2836" s="7">
        <v>222108.22</v>
      </c>
      <c r="G2836">
        <v>0</v>
      </c>
      <c r="H2836" s="7">
        <v>0</v>
      </c>
    </row>
    <row r="2837" spans="1:8">
      <c r="A2837">
        <v>2</v>
      </c>
      <c r="B2837" t="s">
        <v>42</v>
      </c>
      <c r="C2837" t="s">
        <v>33</v>
      </c>
      <c r="D2837">
        <v>0</v>
      </c>
      <c r="E2837">
        <v>1</v>
      </c>
      <c r="F2837" s="7">
        <v>4485.32</v>
      </c>
      <c r="G2837">
        <v>0</v>
      </c>
      <c r="H2837" s="7">
        <v>0</v>
      </c>
    </row>
    <row r="2838" spans="1:8">
      <c r="A2838">
        <v>2</v>
      </c>
      <c r="B2838" t="s">
        <v>45</v>
      </c>
      <c r="C2838" t="s">
        <v>33</v>
      </c>
      <c r="D2838">
        <v>0</v>
      </c>
      <c r="E2838">
        <v>1</v>
      </c>
      <c r="F2838" s="7">
        <v>4241.78</v>
      </c>
      <c r="G2838">
        <v>0</v>
      </c>
      <c r="H2838" s="7">
        <v>0</v>
      </c>
    </row>
    <row r="2839" spans="1:8">
      <c r="A2839">
        <v>2</v>
      </c>
      <c r="B2839" t="s">
        <v>42</v>
      </c>
      <c r="C2839" t="s">
        <v>33</v>
      </c>
      <c r="D2839">
        <v>0</v>
      </c>
      <c r="E2839">
        <v>1</v>
      </c>
      <c r="F2839" s="7">
        <v>9723.57</v>
      </c>
      <c r="G2839">
        <v>0</v>
      </c>
      <c r="H2839" s="7">
        <v>0</v>
      </c>
    </row>
    <row r="2840" spans="1:8">
      <c r="A2840">
        <v>2</v>
      </c>
      <c r="B2840" t="s">
        <v>43</v>
      </c>
      <c r="C2840" t="s">
        <v>34</v>
      </c>
      <c r="D2840">
        <v>0</v>
      </c>
      <c r="E2840">
        <v>1</v>
      </c>
      <c r="F2840" s="7">
        <v>38473.99</v>
      </c>
      <c r="G2840">
        <v>0</v>
      </c>
      <c r="H2840" s="7">
        <v>0</v>
      </c>
    </row>
    <row r="2841" spans="1:8">
      <c r="A2841">
        <v>2</v>
      </c>
      <c r="B2841" t="s">
        <v>42</v>
      </c>
      <c r="C2841" t="s">
        <v>34</v>
      </c>
      <c r="D2841">
        <v>0</v>
      </c>
      <c r="E2841">
        <v>1</v>
      </c>
      <c r="F2841" s="7">
        <v>24445.19</v>
      </c>
      <c r="G2841">
        <v>0</v>
      </c>
      <c r="H2841" s="7">
        <v>0</v>
      </c>
    </row>
    <row r="2842" spans="1:8">
      <c r="A2842">
        <v>2</v>
      </c>
      <c r="B2842" t="s">
        <v>42</v>
      </c>
      <c r="C2842" t="s">
        <v>33</v>
      </c>
      <c r="D2842">
        <v>0</v>
      </c>
      <c r="E2842">
        <v>1</v>
      </c>
      <c r="F2842" s="7">
        <v>2976.86</v>
      </c>
      <c r="G2842">
        <v>0</v>
      </c>
      <c r="H2842" s="7">
        <v>0</v>
      </c>
    </row>
    <row r="2843" spans="1:8">
      <c r="A2843">
        <v>2</v>
      </c>
      <c r="B2843" t="s">
        <v>42</v>
      </c>
      <c r="C2843" t="s">
        <v>34</v>
      </c>
      <c r="D2843">
        <v>0</v>
      </c>
      <c r="E2843">
        <v>1</v>
      </c>
      <c r="F2843" s="7">
        <v>15774.38</v>
      </c>
      <c r="G2843">
        <v>0</v>
      </c>
      <c r="H2843" s="7">
        <v>0</v>
      </c>
    </row>
    <row r="2844" spans="1:8">
      <c r="A2844">
        <v>2</v>
      </c>
      <c r="B2844" t="s">
        <v>42</v>
      </c>
      <c r="C2844" t="s">
        <v>33</v>
      </c>
      <c r="D2844">
        <v>0</v>
      </c>
      <c r="E2844">
        <v>1</v>
      </c>
      <c r="F2844" s="7">
        <v>4723.65</v>
      </c>
      <c r="G2844">
        <v>0</v>
      </c>
      <c r="H2844" s="7">
        <v>0</v>
      </c>
    </row>
    <row r="2845" spans="1:8">
      <c r="A2845">
        <v>2</v>
      </c>
      <c r="B2845" t="s">
        <v>42</v>
      </c>
      <c r="C2845" t="s">
        <v>33</v>
      </c>
      <c r="D2845">
        <v>0</v>
      </c>
      <c r="E2845">
        <v>1</v>
      </c>
      <c r="F2845" s="7">
        <v>3452.17</v>
      </c>
      <c r="G2845">
        <v>0</v>
      </c>
      <c r="H2845" s="7">
        <v>0</v>
      </c>
    </row>
    <row r="2846" spans="1:8">
      <c r="A2846">
        <v>2</v>
      </c>
      <c r="B2846" t="s">
        <v>42</v>
      </c>
      <c r="C2846" t="s">
        <v>34</v>
      </c>
      <c r="D2846">
        <v>0</v>
      </c>
      <c r="E2846">
        <v>1</v>
      </c>
      <c r="F2846" s="7">
        <v>21501.47</v>
      </c>
      <c r="G2846">
        <v>0</v>
      </c>
      <c r="H2846" s="7">
        <v>0</v>
      </c>
    </row>
    <row r="2847" spans="1:8">
      <c r="A2847">
        <v>2</v>
      </c>
      <c r="B2847" t="s">
        <v>42</v>
      </c>
      <c r="C2847" t="s">
        <v>33</v>
      </c>
      <c r="D2847">
        <v>0</v>
      </c>
      <c r="E2847">
        <v>1</v>
      </c>
      <c r="F2847" s="7">
        <v>3562.21</v>
      </c>
      <c r="G2847">
        <v>0</v>
      </c>
      <c r="H2847" s="7">
        <v>0</v>
      </c>
    </row>
    <row r="2848" spans="1:8">
      <c r="A2848">
        <v>2</v>
      </c>
      <c r="B2848" t="s">
        <v>42</v>
      </c>
      <c r="C2848" t="s">
        <v>32</v>
      </c>
      <c r="D2848">
        <v>0</v>
      </c>
      <c r="E2848">
        <v>1</v>
      </c>
      <c r="F2848" s="7">
        <v>311.28</v>
      </c>
      <c r="G2848">
        <v>0</v>
      </c>
      <c r="H2848" s="7">
        <v>0</v>
      </c>
    </row>
    <row r="2849" spans="1:8">
      <c r="A2849">
        <v>2</v>
      </c>
      <c r="B2849" t="s">
        <v>42</v>
      </c>
      <c r="C2849" t="s">
        <v>33</v>
      </c>
      <c r="D2849">
        <v>0</v>
      </c>
      <c r="E2849">
        <v>1</v>
      </c>
      <c r="F2849" s="7">
        <v>6190.73</v>
      </c>
      <c r="G2849">
        <v>0</v>
      </c>
      <c r="H2849" s="7">
        <v>0</v>
      </c>
    </row>
    <row r="2850" spans="1:8">
      <c r="A2850">
        <v>2</v>
      </c>
      <c r="B2850" t="s">
        <v>42</v>
      </c>
      <c r="C2850" t="s">
        <v>32</v>
      </c>
      <c r="D2850">
        <v>0</v>
      </c>
      <c r="E2850">
        <v>1</v>
      </c>
      <c r="F2850" s="7">
        <v>380.02</v>
      </c>
      <c r="G2850">
        <v>0</v>
      </c>
      <c r="H2850" s="7">
        <v>0</v>
      </c>
    </row>
    <row r="2851" spans="1:8">
      <c r="A2851">
        <v>2</v>
      </c>
      <c r="B2851" t="s">
        <v>44</v>
      </c>
      <c r="C2851" t="s">
        <v>34</v>
      </c>
      <c r="D2851">
        <v>0</v>
      </c>
      <c r="E2851">
        <v>1</v>
      </c>
      <c r="F2851" s="7">
        <v>65971.82</v>
      </c>
      <c r="G2851">
        <v>0</v>
      </c>
      <c r="H2851" s="7">
        <v>0</v>
      </c>
    </row>
    <row r="2852" spans="1:8">
      <c r="A2852">
        <v>2</v>
      </c>
      <c r="B2852" t="s">
        <v>42</v>
      </c>
      <c r="C2852" t="s">
        <v>33</v>
      </c>
      <c r="D2852">
        <v>0</v>
      </c>
      <c r="E2852">
        <v>1</v>
      </c>
      <c r="F2852" s="7">
        <v>9971.14</v>
      </c>
      <c r="G2852">
        <v>0</v>
      </c>
      <c r="H2852" s="7">
        <v>0</v>
      </c>
    </row>
    <row r="2853" spans="1:8">
      <c r="A2853">
        <v>2</v>
      </c>
      <c r="B2853" t="s">
        <v>42</v>
      </c>
      <c r="C2853" t="s">
        <v>33</v>
      </c>
      <c r="D2853">
        <v>0</v>
      </c>
      <c r="E2853">
        <v>1</v>
      </c>
      <c r="F2853" s="7">
        <v>4700.07</v>
      </c>
      <c r="G2853">
        <v>0</v>
      </c>
      <c r="H2853" s="7">
        <v>0</v>
      </c>
    </row>
    <row r="2854" spans="1:8">
      <c r="A2854">
        <v>2</v>
      </c>
      <c r="B2854" t="s">
        <v>42</v>
      </c>
      <c r="C2854" t="s">
        <v>32</v>
      </c>
      <c r="D2854">
        <v>0</v>
      </c>
      <c r="E2854">
        <v>1</v>
      </c>
      <c r="F2854" s="7">
        <v>349.63</v>
      </c>
      <c r="G2854">
        <v>0</v>
      </c>
      <c r="H2854" s="7">
        <v>0</v>
      </c>
    </row>
    <row r="2855" spans="1:8">
      <c r="A2855">
        <v>2</v>
      </c>
      <c r="B2855" t="s">
        <v>42</v>
      </c>
      <c r="C2855" t="s">
        <v>33</v>
      </c>
      <c r="D2855">
        <v>0</v>
      </c>
      <c r="E2855">
        <v>1</v>
      </c>
      <c r="F2855" s="7">
        <v>5581.28</v>
      </c>
      <c r="G2855">
        <v>0</v>
      </c>
      <c r="H2855" s="7">
        <v>0</v>
      </c>
    </row>
    <row r="2856" spans="1:8">
      <c r="A2856">
        <v>2</v>
      </c>
      <c r="B2856" t="s">
        <v>45</v>
      </c>
      <c r="C2856" t="s">
        <v>33</v>
      </c>
      <c r="D2856">
        <v>0</v>
      </c>
      <c r="E2856">
        <v>1</v>
      </c>
      <c r="F2856" s="7">
        <v>2290.11</v>
      </c>
      <c r="G2856">
        <v>0</v>
      </c>
      <c r="H2856" s="7">
        <v>0</v>
      </c>
    </row>
    <row r="2857" spans="1:8">
      <c r="A2857">
        <v>2</v>
      </c>
      <c r="B2857" t="s">
        <v>42</v>
      </c>
      <c r="C2857" t="s">
        <v>34</v>
      </c>
      <c r="D2857">
        <v>0</v>
      </c>
      <c r="E2857">
        <v>1</v>
      </c>
      <c r="F2857" s="7">
        <v>12165.21</v>
      </c>
      <c r="G2857">
        <v>0</v>
      </c>
      <c r="H2857" s="7">
        <v>0</v>
      </c>
    </row>
    <row r="2858" spans="1:8">
      <c r="A2858">
        <v>2</v>
      </c>
      <c r="B2858" t="s">
        <v>42</v>
      </c>
      <c r="C2858" t="s">
        <v>33</v>
      </c>
      <c r="D2858">
        <v>0</v>
      </c>
      <c r="E2858">
        <v>1</v>
      </c>
      <c r="F2858" s="7">
        <v>1383.91</v>
      </c>
      <c r="G2858">
        <v>0</v>
      </c>
      <c r="H2858" s="7">
        <v>0</v>
      </c>
    </row>
    <row r="2859" spans="1:8">
      <c r="A2859">
        <v>2</v>
      </c>
      <c r="B2859" t="s">
        <v>43</v>
      </c>
      <c r="C2859" t="s">
        <v>35</v>
      </c>
      <c r="D2859">
        <v>0</v>
      </c>
      <c r="E2859">
        <v>1</v>
      </c>
      <c r="F2859" s="7">
        <v>106622.7</v>
      </c>
      <c r="G2859">
        <v>0</v>
      </c>
      <c r="H2859" s="7">
        <v>0</v>
      </c>
    </row>
    <row r="2860" spans="1:8">
      <c r="A2860">
        <v>2</v>
      </c>
      <c r="B2860" t="s">
        <v>45</v>
      </c>
      <c r="C2860" t="s">
        <v>32</v>
      </c>
      <c r="D2860">
        <v>0</v>
      </c>
      <c r="E2860">
        <v>1</v>
      </c>
      <c r="F2860" s="7">
        <v>634.95</v>
      </c>
      <c r="G2860">
        <v>0</v>
      </c>
      <c r="H2860" s="7">
        <v>0</v>
      </c>
    </row>
    <row r="2861" spans="1:8">
      <c r="A2861">
        <v>2</v>
      </c>
      <c r="B2861" t="s">
        <v>42</v>
      </c>
      <c r="C2861" t="s">
        <v>33</v>
      </c>
      <c r="D2861">
        <v>0</v>
      </c>
      <c r="E2861">
        <v>1</v>
      </c>
      <c r="F2861" s="7">
        <v>6013.05</v>
      </c>
      <c r="G2861">
        <v>0</v>
      </c>
      <c r="H2861" s="7">
        <v>0</v>
      </c>
    </row>
    <row r="2862" spans="1:8">
      <c r="A2862">
        <v>2</v>
      </c>
      <c r="B2862" t="s">
        <v>42</v>
      </c>
      <c r="C2862" t="s">
        <v>34</v>
      </c>
      <c r="D2862">
        <v>0</v>
      </c>
      <c r="E2862">
        <v>1</v>
      </c>
      <c r="F2862" s="7">
        <v>15186.43</v>
      </c>
      <c r="G2862">
        <v>0</v>
      </c>
      <c r="H2862" s="7">
        <v>0</v>
      </c>
    </row>
    <row r="2863" spans="1:8">
      <c r="A2863">
        <v>2</v>
      </c>
      <c r="B2863" t="s">
        <v>45</v>
      </c>
      <c r="C2863" t="s">
        <v>33</v>
      </c>
      <c r="D2863">
        <v>0</v>
      </c>
      <c r="E2863">
        <v>1</v>
      </c>
      <c r="F2863" s="7">
        <v>2307.17</v>
      </c>
      <c r="G2863">
        <v>0</v>
      </c>
      <c r="H2863" s="7">
        <v>0</v>
      </c>
    </row>
    <row r="2864" spans="1:8">
      <c r="A2864">
        <v>2</v>
      </c>
      <c r="B2864" t="s">
        <v>42</v>
      </c>
      <c r="C2864" t="s">
        <v>33</v>
      </c>
      <c r="D2864">
        <v>0</v>
      </c>
      <c r="E2864">
        <v>1</v>
      </c>
      <c r="F2864" s="7">
        <v>9541.85</v>
      </c>
      <c r="G2864">
        <v>0</v>
      </c>
      <c r="H2864" s="7">
        <v>0</v>
      </c>
    </row>
    <row r="2865" spans="1:8">
      <c r="A2865">
        <v>2</v>
      </c>
      <c r="B2865" t="s">
        <v>42</v>
      </c>
      <c r="C2865" t="s">
        <v>33</v>
      </c>
      <c r="D2865">
        <v>0</v>
      </c>
      <c r="E2865">
        <v>1</v>
      </c>
      <c r="F2865" s="7">
        <v>5206.23</v>
      </c>
      <c r="G2865">
        <v>0</v>
      </c>
      <c r="H2865" s="7">
        <v>0</v>
      </c>
    </row>
    <row r="2866" spans="1:8">
      <c r="A2866">
        <v>2</v>
      </c>
      <c r="B2866" t="s">
        <v>42</v>
      </c>
      <c r="C2866" t="s">
        <v>33</v>
      </c>
      <c r="D2866">
        <v>0</v>
      </c>
      <c r="E2866">
        <v>1</v>
      </c>
      <c r="F2866" s="7">
        <v>5260.41</v>
      </c>
      <c r="G2866">
        <v>0</v>
      </c>
      <c r="H2866" s="7">
        <v>0</v>
      </c>
    </row>
    <row r="2867" spans="1:8">
      <c r="A2867">
        <v>2</v>
      </c>
      <c r="B2867" t="s">
        <v>42</v>
      </c>
      <c r="C2867" t="s">
        <v>33</v>
      </c>
      <c r="D2867">
        <v>0</v>
      </c>
      <c r="E2867">
        <v>1</v>
      </c>
      <c r="F2867" s="7">
        <v>9105.32</v>
      </c>
      <c r="G2867">
        <v>0</v>
      </c>
      <c r="H2867" s="7">
        <v>0</v>
      </c>
    </row>
    <row r="2868" spans="1:8">
      <c r="A2868">
        <v>2</v>
      </c>
      <c r="B2868" t="s">
        <v>42</v>
      </c>
      <c r="C2868" t="s">
        <v>33</v>
      </c>
      <c r="D2868">
        <v>0</v>
      </c>
      <c r="E2868">
        <v>1</v>
      </c>
      <c r="F2868" s="7">
        <v>4918.9</v>
      </c>
      <c r="G2868">
        <v>0</v>
      </c>
      <c r="H2868" s="7">
        <v>0</v>
      </c>
    </row>
    <row r="2869" spans="1:8">
      <c r="A2869">
        <v>2</v>
      </c>
      <c r="B2869" t="s">
        <v>42</v>
      </c>
      <c r="C2869" t="s">
        <v>34</v>
      </c>
      <c r="D2869">
        <v>0</v>
      </c>
      <c r="E2869">
        <v>1</v>
      </c>
      <c r="F2869" s="7">
        <v>14349.18</v>
      </c>
      <c r="G2869">
        <v>0</v>
      </c>
      <c r="H2869" s="7">
        <v>0</v>
      </c>
    </row>
    <row r="2870" spans="1:8">
      <c r="A2870">
        <v>2</v>
      </c>
      <c r="B2870" t="s">
        <v>42</v>
      </c>
      <c r="C2870" t="s">
        <v>34</v>
      </c>
      <c r="D2870">
        <v>0</v>
      </c>
      <c r="E2870">
        <v>1</v>
      </c>
      <c r="F2870" s="7">
        <v>16947.34</v>
      </c>
      <c r="G2870">
        <v>0</v>
      </c>
      <c r="H2870" s="7">
        <v>0</v>
      </c>
    </row>
    <row r="2871" spans="1:8">
      <c r="A2871">
        <v>2</v>
      </c>
      <c r="B2871" t="s">
        <v>42</v>
      </c>
      <c r="C2871" t="s">
        <v>34</v>
      </c>
      <c r="D2871">
        <v>0</v>
      </c>
      <c r="E2871">
        <v>1</v>
      </c>
      <c r="F2871" s="7">
        <v>10211.96</v>
      </c>
      <c r="G2871">
        <v>0</v>
      </c>
      <c r="H2871" s="7">
        <v>0</v>
      </c>
    </row>
    <row r="2872" spans="1:8">
      <c r="A2872">
        <v>2</v>
      </c>
      <c r="B2872" t="s">
        <v>42</v>
      </c>
      <c r="C2872" t="s">
        <v>33</v>
      </c>
      <c r="D2872">
        <v>0</v>
      </c>
      <c r="E2872">
        <v>1</v>
      </c>
      <c r="F2872" s="7">
        <v>3073.34</v>
      </c>
      <c r="G2872">
        <v>0</v>
      </c>
      <c r="H2872" s="7">
        <v>0</v>
      </c>
    </row>
    <row r="2873" spans="1:8">
      <c r="A2873">
        <v>2</v>
      </c>
      <c r="B2873" t="s">
        <v>42</v>
      </c>
      <c r="C2873" t="s">
        <v>34</v>
      </c>
      <c r="D2873">
        <v>0</v>
      </c>
      <c r="E2873">
        <v>1</v>
      </c>
      <c r="F2873" s="7">
        <v>17453.51</v>
      </c>
      <c r="G2873">
        <v>0</v>
      </c>
      <c r="H2873" s="7">
        <v>0</v>
      </c>
    </row>
    <row r="2874" spans="1:8">
      <c r="A2874">
        <v>2</v>
      </c>
      <c r="B2874" t="s">
        <v>42</v>
      </c>
      <c r="C2874" t="s">
        <v>32</v>
      </c>
      <c r="D2874">
        <v>0</v>
      </c>
      <c r="E2874">
        <v>1</v>
      </c>
      <c r="F2874" s="7">
        <v>514.74</v>
      </c>
      <c r="G2874">
        <v>0</v>
      </c>
      <c r="H2874" s="7">
        <v>0</v>
      </c>
    </row>
    <row r="2875" spans="1:8">
      <c r="A2875">
        <v>2</v>
      </c>
      <c r="B2875" t="s">
        <v>42</v>
      </c>
      <c r="C2875" t="s">
        <v>34</v>
      </c>
      <c r="D2875">
        <v>0</v>
      </c>
      <c r="E2875">
        <v>1</v>
      </c>
      <c r="F2875" s="7">
        <v>12039.23</v>
      </c>
      <c r="G2875">
        <v>0</v>
      </c>
      <c r="H2875" s="7">
        <v>0</v>
      </c>
    </row>
    <row r="2876" spans="1:8">
      <c r="A2876">
        <v>2</v>
      </c>
      <c r="B2876" t="s">
        <v>42</v>
      </c>
      <c r="C2876" t="s">
        <v>33</v>
      </c>
      <c r="D2876">
        <v>0</v>
      </c>
      <c r="E2876">
        <v>1</v>
      </c>
      <c r="F2876" s="7">
        <v>6019.63</v>
      </c>
      <c r="G2876">
        <v>0</v>
      </c>
      <c r="H2876" s="7">
        <v>0</v>
      </c>
    </row>
    <row r="2877" spans="1:8">
      <c r="A2877">
        <v>2</v>
      </c>
      <c r="B2877" t="s">
        <v>42</v>
      </c>
      <c r="C2877" t="s">
        <v>33</v>
      </c>
      <c r="D2877">
        <v>0</v>
      </c>
      <c r="E2877">
        <v>1</v>
      </c>
      <c r="F2877" s="7">
        <v>4478.67</v>
      </c>
      <c r="G2877">
        <v>0</v>
      </c>
      <c r="H2877" s="7">
        <v>0</v>
      </c>
    </row>
    <row r="2878" spans="1:8">
      <c r="A2878">
        <v>2</v>
      </c>
      <c r="B2878" t="s">
        <v>42</v>
      </c>
      <c r="C2878" t="s">
        <v>33</v>
      </c>
      <c r="D2878">
        <v>0</v>
      </c>
      <c r="E2878">
        <v>1</v>
      </c>
      <c r="F2878" s="7">
        <v>6614.92</v>
      </c>
      <c r="G2878">
        <v>0</v>
      </c>
      <c r="H2878" s="7">
        <v>0</v>
      </c>
    </row>
    <row r="2879" spans="1:8">
      <c r="A2879">
        <v>2</v>
      </c>
      <c r="B2879" t="s">
        <v>42</v>
      </c>
      <c r="C2879" t="s">
        <v>33</v>
      </c>
      <c r="D2879">
        <v>0</v>
      </c>
      <c r="E2879">
        <v>1</v>
      </c>
      <c r="F2879" s="7">
        <v>8181.09</v>
      </c>
      <c r="G2879">
        <v>0</v>
      </c>
      <c r="H2879" s="7">
        <v>0</v>
      </c>
    </row>
    <row r="2880" spans="1:8">
      <c r="A2880">
        <v>2</v>
      </c>
      <c r="B2880" t="s">
        <v>44</v>
      </c>
      <c r="C2880" t="s">
        <v>35</v>
      </c>
      <c r="D2880">
        <v>0</v>
      </c>
      <c r="E2880">
        <v>1</v>
      </c>
      <c r="F2880" s="7">
        <v>140396.66</v>
      </c>
      <c r="G2880">
        <v>0</v>
      </c>
      <c r="H2880" s="7">
        <v>0</v>
      </c>
    </row>
    <row r="2881" spans="1:8">
      <c r="A2881">
        <v>2</v>
      </c>
      <c r="B2881" t="s">
        <v>42</v>
      </c>
      <c r="C2881" t="s">
        <v>32</v>
      </c>
      <c r="D2881">
        <v>0</v>
      </c>
      <c r="E2881">
        <v>1</v>
      </c>
      <c r="F2881" s="7">
        <v>425.31</v>
      </c>
      <c r="G2881">
        <v>0</v>
      </c>
      <c r="H2881" s="7">
        <v>0</v>
      </c>
    </row>
    <row r="2882" spans="1:8">
      <c r="A2882">
        <v>2</v>
      </c>
      <c r="B2882" t="s">
        <v>42</v>
      </c>
      <c r="C2882" t="s">
        <v>33</v>
      </c>
      <c r="D2882">
        <v>0</v>
      </c>
      <c r="E2882">
        <v>1</v>
      </c>
      <c r="F2882" s="7">
        <v>2830.73</v>
      </c>
      <c r="G2882">
        <v>0</v>
      </c>
      <c r="H2882" s="7">
        <v>0</v>
      </c>
    </row>
    <row r="2883" spans="1:8">
      <c r="A2883">
        <v>2</v>
      </c>
      <c r="B2883" t="s">
        <v>42</v>
      </c>
      <c r="C2883" t="s">
        <v>33</v>
      </c>
      <c r="D2883">
        <v>0</v>
      </c>
      <c r="E2883">
        <v>1</v>
      </c>
      <c r="F2883" s="7">
        <v>7449.2</v>
      </c>
      <c r="G2883">
        <v>0</v>
      </c>
      <c r="H2883" s="7">
        <v>0</v>
      </c>
    </row>
    <row r="2884" spans="1:8">
      <c r="A2884">
        <v>2</v>
      </c>
      <c r="B2884" t="s">
        <v>42</v>
      </c>
      <c r="C2884" t="s">
        <v>34</v>
      </c>
      <c r="D2884">
        <v>0</v>
      </c>
      <c r="E2884">
        <v>1</v>
      </c>
      <c r="F2884" s="7">
        <v>11528.22</v>
      </c>
      <c r="G2884">
        <v>0</v>
      </c>
      <c r="H2884" s="7">
        <v>0</v>
      </c>
    </row>
    <row r="2885" spans="1:8">
      <c r="A2885">
        <v>2</v>
      </c>
      <c r="B2885" t="s">
        <v>42</v>
      </c>
      <c r="C2885" t="s">
        <v>32</v>
      </c>
      <c r="D2885">
        <v>0</v>
      </c>
      <c r="E2885">
        <v>1</v>
      </c>
      <c r="F2885" s="7">
        <v>162.17</v>
      </c>
      <c r="G2885">
        <v>0</v>
      </c>
      <c r="H2885" s="7">
        <v>0</v>
      </c>
    </row>
    <row r="2886" spans="1:8">
      <c r="A2886">
        <v>2</v>
      </c>
      <c r="B2886" t="s">
        <v>45</v>
      </c>
      <c r="C2886" t="s">
        <v>33</v>
      </c>
      <c r="D2886">
        <v>0</v>
      </c>
      <c r="E2886">
        <v>1</v>
      </c>
      <c r="F2886" s="7">
        <v>1019.87</v>
      </c>
      <c r="G2886">
        <v>0</v>
      </c>
      <c r="H2886" s="7">
        <v>0</v>
      </c>
    </row>
    <row r="2887" spans="1:8">
      <c r="A2887">
        <v>2</v>
      </c>
      <c r="B2887" t="s">
        <v>42</v>
      </c>
      <c r="C2887" t="s">
        <v>33</v>
      </c>
      <c r="D2887">
        <v>0</v>
      </c>
      <c r="E2887">
        <v>1</v>
      </c>
      <c r="F2887" s="7">
        <v>7832.2</v>
      </c>
      <c r="G2887">
        <v>0</v>
      </c>
      <c r="H2887" s="7">
        <v>0</v>
      </c>
    </row>
    <row r="2888" spans="1:8">
      <c r="A2888">
        <v>2</v>
      </c>
      <c r="B2888" t="s">
        <v>42</v>
      </c>
      <c r="C2888" t="s">
        <v>33</v>
      </c>
      <c r="D2888">
        <v>0</v>
      </c>
      <c r="E2888">
        <v>1</v>
      </c>
      <c r="F2888" s="7">
        <v>4151.85</v>
      </c>
      <c r="G2888">
        <v>0</v>
      </c>
      <c r="H2888" s="7">
        <v>0</v>
      </c>
    </row>
    <row r="2889" spans="1:8">
      <c r="A2889">
        <v>2</v>
      </c>
      <c r="B2889" t="s">
        <v>42</v>
      </c>
      <c r="C2889" t="s">
        <v>34</v>
      </c>
      <c r="D2889">
        <v>0</v>
      </c>
      <c r="E2889">
        <v>1</v>
      </c>
      <c r="F2889" s="7">
        <v>18763.84</v>
      </c>
      <c r="G2889">
        <v>0</v>
      </c>
      <c r="H2889" s="7">
        <v>0</v>
      </c>
    </row>
    <row r="2890" spans="1:8">
      <c r="A2890">
        <v>2</v>
      </c>
      <c r="B2890" t="s">
        <v>42</v>
      </c>
      <c r="C2890" t="s">
        <v>33</v>
      </c>
      <c r="D2890">
        <v>0</v>
      </c>
      <c r="E2890">
        <v>1</v>
      </c>
      <c r="F2890" s="7">
        <v>4691.54</v>
      </c>
      <c r="G2890">
        <v>0</v>
      </c>
      <c r="H2890" s="7">
        <v>0</v>
      </c>
    </row>
    <row r="2891" spans="1:8">
      <c r="A2891">
        <v>2</v>
      </c>
      <c r="B2891" t="s">
        <v>42</v>
      </c>
      <c r="C2891" t="s">
        <v>34</v>
      </c>
      <c r="D2891">
        <v>0</v>
      </c>
      <c r="E2891">
        <v>1</v>
      </c>
      <c r="F2891" s="7">
        <v>18062.09</v>
      </c>
      <c r="G2891">
        <v>0</v>
      </c>
      <c r="H2891" s="7">
        <v>0</v>
      </c>
    </row>
    <row r="2892" spans="1:8">
      <c r="A2892">
        <v>2</v>
      </c>
      <c r="B2892" t="s">
        <v>44</v>
      </c>
      <c r="C2892" t="s">
        <v>34</v>
      </c>
      <c r="D2892">
        <v>0</v>
      </c>
      <c r="E2892">
        <v>1</v>
      </c>
      <c r="F2892" s="7">
        <v>48899.07</v>
      </c>
      <c r="G2892">
        <v>0</v>
      </c>
      <c r="H2892" s="7">
        <v>0</v>
      </c>
    </row>
    <row r="2893" spans="1:8">
      <c r="A2893">
        <v>2</v>
      </c>
      <c r="B2893" t="s">
        <v>42</v>
      </c>
      <c r="C2893" t="s">
        <v>33</v>
      </c>
      <c r="D2893">
        <v>0</v>
      </c>
      <c r="E2893">
        <v>1</v>
      </c>
      <c r="F2893" s="7">
        <v>9371.85</v>
      </c>
      <c r="G2893">
        <v>0</v>
      </c>
      <c r="H2893" s="7">
        <v>0</v>
      </c>
    </row>
    <row r="2894" spans="1:8">
      <c r="A2894">
        <v>2</v>
      </c>
      <c r="B2894" t="s">
        <v>44</v>
      </c>
      <c r="C2894" t="s">
        <v>34</v>
      </c>
      <c r="D2894">
        <v>0</v>
      </c>
      <c r="E2894">
        <v>1</v>
      </c>
      <c r="F2894" s="7">
        <v>56432.77</v>
      </c>
      <c r="G2894">
        <v>0</v>
      </c>
      <c r="H2894" s="7">
        <v>0</v>
      </c>
    </row>
    <row r="2895" spans="1:8">
      <c r="A2895">
        <v>2</v>
      </c>
      <c r="B2895" t="s">
        <v>42</v>
      </c>
      <c r="C2895" t="s">
        <v>33</v>
      </c>
      <c r="D2895">
        <v>0</v>
      </c>
      <c r="E2895">
        <v>1</v>
      </c>
      <c r="F2895" s="7">
        <v>7303.17</v>
      </c>
      <c r="G2895">
        <v>0</v>
      </c>
      <c r="H2895" s="7">
        <v>0</v>
      </c>
    </row>
    <row r="2896" spans="1:8">
      <c r="A2896">
        <v>2</v>
      </c>
      <c r="B2896" t="s">
        <v>45</v>
      </c>
      <c r="C2896" t="s">
        <v>32</v>
      </c>
      <c r="D2896">
        <v>0</v>
      </c>
      <c r="E2896">
        <v>1</v>
      </c>
      <c r="F2896" s="7">
        <v>677.53</v>
      </c>
      <c r="G2896">
        <v>0</v>
      </c>
      <c r="H2896" s="7">
        <v>0</v>
      </c>
    </row>
    <row r="2897" spans="1:8">
      <c r="A2897">
        <v>2</v>
      </c>
      <c r="B2897" t="s">
        <v>42</v>
      </c>
      <c r="C2897" t="s">
        <v>33</v>
      </c>
      <c r="D2897">
        <v>0</v>
      </c>
      <c r="E2897">
        <v>1</v>
      </c>
      <c r="F2897" s="7">
        <v>5560.25</v>
      </c>
      <c r="G2897">
        <v>0</v>
      </c>
      <c r="H2897" s="7">
        <v>0</v>
      </c>
    </row>
    <row r="2898" spans="1:8">
      <c r="A2898">
        <v>2</v>
      </c>
      <c r="B2898" t="s">
        <v>46</v>
      </c>
      <c r="C2898" t="s">
        <v>35</v>
      </c>
      <c r="D2898">
        <v>0</v>
      </c>
      <c r="E2898">
        <v>1</v>
      </c>
      <c r="F2898" s="7">
        <v>216179.58</v>
      </c>
      <c r="G2898">
        <v>0</v>
      </c>
      <c r="H2898" s="7">
        <v>0</v>
      </c>
    </row>
    <row r="2899" spans="1:8">
      <c r="A2899">
        <v>2</v>
      </c>
      <c r="B2899" t="s">
        <v>46</v>
      </c>
      <c r="C2899" t="s">
        <v>34</v>
      </c>
      <c r="D2899">
        <v>0</v>
      </c>
      <c r="E2899">
        <v>1</v>
      </c>
      <c r="F2899" s="7">
        <v>62802.61</v>
      </c>
      <c r="G2899">
        <v>0</v>
      </c>
      <c r="H2899" s="7">
        <v>0</v>
      </c>
    </row>
    <row r="2900" spans="1:8">
      <c r="A2900">
        <v>2</v>
      </c>
      <c r="B2900" t="s">
        <v>46</v>
      </c>
      <c r="C2900" t="s">
        <v>35</v>
      </c>
      <c r="D2900">
        <v>0</v>
      </c>
      <c r="E2900">
        <v>1</v>
      </c>
      <c r="F2900" s="7">
        <v>351633.67</v>
      </c>
      <c r="G2900">
        <v>0</v>
      </c>
      <c r="H2900" s="7">
        <v>0</v>
      </c>
    </row>
    <row r="2901" spans="1:8">
      <c r="A2901">
        <v>2</v>
      </c>
      <c r="B2901" t="s">
        <v>46</v>
      </c>
      <c r="C2901" t="s">
        <v>35</v>
      </c>
      <c r="D2901">
        <v>0</v>
      </c>
      <c r="E2901">
        <v>1</v>
      </c>
      <c r="F2901" s="7">
        <v>696979.11</v>
      </c>
      <c r="G2901">
        <v>0</v>
      </c>
      <c r="H2901" s="7">
        <v>0</v>
      </c>
    </row>
    <row r="2902" spans="1:8">
      <c r="A2902">
        <v>2</v>
      </c>
      <c r="B2902" t="s">
        <v>46</v>
      </c>
      <c r="C2902" t="s">
        <v>34</v>
      </c>
      <c r="D2902">
        <v>0</v>
      </c>
      <c r="E2902">
        <v>1</v>
      </c>
      <c r="F2902" s="7">
        <v>44137.21</v>
      </c>
      <c r="G2902">
        <v>0</v>
      </c>
      <c r="H2902" s="7">
        <v>0</v>
      </c>
    </row>
    <row r="2903" spans="1:8">
      <c r="A2903">
        <v>2</v>
      </c>
      <c r="B2903" t="s">
        <v>46</v>
      </c>
      <c r="C2903" t="s">
        <v>34</v>
      </c>
      <c r="D2903">
        <v>0</v>
      </c>
      <c r="E2903">
        <v>1</v>
      </c>
      <c r="F2903" s="7">
        <v>31898.13</v>
      </c>
      <c r="G2903">
        <v>0</v>
      </c>
      <c r="H2903" s="7">
        <v>0</v>
      </c>
    </row>
    <row r="2904" spans="1:8">
      <c r="A2904">
        <v>2</v>
      </c>
      <c r="B2904" t="s">
        <v>46</v>
      </c>
      <c r="C2904" t="s">
        <v>35</v>
      </c>
      <c r="D2904">
        <v>0</v>
      </c>
      <c r="E2904">
        <v>1</v>
      </c>
      <c r="F2904" s="7">
        <v>139524.98</v>
      </c>
      <c r="G2904">
        <v>0</v>
      </c>
      <c r="H2904" s="7">
        <v>0</v>
      </c>
    </row>
    <row r="2905" spans="1:8">
      <c r="A2905">
        <v>2</v>
      </c>
      <c r="B2905" t="s">
        <v>46</v>
      </c>
      <c r="C2905" t="s">
        <v>34</v>
      </c>
      <c r="D2905">
        <v>0</v>
      </c>
      <c r="E2905">
        <v>1</v>
      </c>
      <c r="F2905" s="7">
        <v>23895.37</v>
      </c>
      <c r="G2905">
        <v>0</v>
      </c>
      <c r="H2905" s="7">
        <v>0</v>
      </c>
    </row>
    <row r="2906" spans="1:8">
      <c r="A2906">
        <v>2</v>
      </c>
      <c r="B2906" t="s">
        <v>46</v>
      </c>
      <c r="C2906" t="s">
        <v>35</v>
      </c>
      <c r="D2906">
        <v>0</v>
      </c>
      <c r="E2906">
        <v>1</v>
      </c>
      <c r="F2906" s="7">
        <v>107547.52</v>
      </c>
      <c r="G2906">
        <v>0</v>
      </c>
      <c r="H2906" s="7">
        <v>0</v>
      </c>
    </row>
    <row r="2907" spans="1:8">
      <c r="A2907">
        <v>2</v>
      </c>
      <c r="B2907" t="s">
        <v>46</v>
      </c>
      <c r="C2907" t="s">
        <v>34</v>
      </c>
      <c r="D2907">
        <v>0</v>
      </c>
      <c r="E2907">
        <v>1</v>
      </c>
      <c r="F2907" s="7">
        <v>24889.66</v>
      </c>
      <c r="G2907">
        <v>0</v>
      </c>
      <c r="H2907" s="7">
        <v>0</v>
      </c>
    </row>
    <row r="2908" spans="1:8">
      <c r="A2908">
        <v>2</v>
      </c>
      <c r="B2908" t="s">
        <v>46</v>
      </c>
      <c r="C2908" t="s">
        <v>35</v>
      </c>
      <c r="D2908">
        <v>0</v>
      </c>
      <c r="E2908">
        <v>1</v>
      </c>
      <c r="F2908" s="7">
        <v>262535.15</v>
      </c>
      <c r="G2908">
        <v>0</v>
      </c>
      <c r="H2908" s="7">
        <v>0</v>
      </c>
    </row>
    <row r="2909" spans="1:8">
      <c r="A2909">
        <v>2</v>
      </c>
      <c r="B2909" t="s">
        <v>46</v>
      </c>
      <c r="C2909" t="s">
        <v>35</v>
      </c>
      <c r="D2909">
        <v>0</v>
      </c>
      <c r="E2909">
        <v>1</v>
      </c>
      <c r="F2909" s="7">
        <v>286710.32</v>
      </c>
      <c r="G2909">
        <v>0</v>
      </c>
      <c r="H2909" s="7">
        <v>0</v>
      </c>
    </row>
    <row r="2910" spans="1:8">
      <c r="A2910">
        <v>2</v>
      </c>
      <c r="B2910" t="s">
        <v>46</v>
      </c>
      <c r="C2910" t="s">
        <v>35</v>
      </c>
      <c r="D2910">
        <v>0</v>
      </c>
      <c r="E2910">
        <v>1</v>
      </c>
      <c r="F2910" s="7">
        <v>241906.13</v>
      </c>
      <c r="G2910">
        <v>0</v>
      </c>
      <c r="H2910" s="7">
        <v>0</v>
      </c>
    </row>
    <row r="2911" spans="1:8">
      <c r="A2911">
        <v>2</v>
      </c>
      <c r="B2911" t="s">
        <v>46</v>
      </c>
      <c r="C2911" t="s">
        <v>35</v>
      </c>
      <c r="D2911">
        <v>0</v>
      </c>
      <c r="E2911">
        <v>1</v>
      </c>
      <c r="F2911" s="7">
        <v>227500.21</v>
      </c>
      <c r="G2911">
        <v>0</v>
      </c>
      <c r="H2911" s="7">
        <v>0</v>
      </c>
    </row>
    <row r="2912" spans="1:8">
      <c r="A2912">
        <v>2</v>
      </c>
      <c r="B2912" t="s">
        <v>46</v>
      </c>
      <c r="C2912" t="s">
        <v>35</v>
      </c>
      <c r="D2912">
        <v>0</v>
      </c>
      <c r="E2912">
        <v>1</v>
      </c>
      <c r="F2912" s="7">
        <v>353902.72</v>
      </c>
      <c r="G2912">
        <v>0</v>
      </c>
      <c r="H2912" s="7">
        <v>0</v>
      </c>
    </row>
    <row r="2913" spans="1:8">
      <c r="A2913">
        <v>2</v>
      </c>
      <c r="B2913" t="s">
        <v>46</v>
      </c>
      <c r="C2913" t="s">
        <v>35</v>
      </c>
      <c r="D2913">
        <v>0</v>
      </c>
      <c r="E2913">
        <v>1</v>
      </c>
      <c r="F2913" s="7">
        <v>138805.3</v>
      </c>
      <c r="G2913">
        <v>0</v>
      </c>
      <c r="H2913" s="7">
        <v>0</v>
      </c>
    </row>
    <row r="2914" spans="1:8">
      <c r="A2914">
        <v>2</v>
      </c>
      <c r="B2914" t="s">
        <v>46</v>
      </c>
      <c r="C2914" t="s">
        <v>35</v>
      </c>
      <c r="D2914">
        <v>0</v>
      </c>
      <c r="E2914">
        <v>1</v>
      </c>
      <c r="F2914" s="7">
        <v>126516.27</v>
      </c>
      <c r="G2914">
        <v>0</v>
      </c>
      <c r="H2914" s="7">
        <v>0</v>
      </c>
    </row>
    <row r="2915" spans="1:8">
      <c r="A2915">
        <v>2</v>
      </c>
      <c r="B2915" t="s">
        <v>46</v>
      </c>
      <c r="C2915" t="s">
        <v>35</v>
      </c>
      <c r="D2915">
        <v>0</v>
      </c>
      <c r="E2915">
        <v>1</v>
      </c>
      <c r="F2915" s="7">
        <v>121752.39</v>
      </c>
      <c r="G2915">
        <v>0</v>
      </c>
      <c r="H2915" s="7">
        <v>0</v>
      </c>
    </row>
    <row r="2916" spans="1:8">
      <c r="A2916">
        <v>2</v>
      </c>
      <c r="B2916" t="s">
        <v>46</v>
      </c>
      <c r="C2916" t="s">
        <v>35</v>
      </c>
      <c r="D2916">
        <v>0</v>
      </c>
      <c r="E2916">
        <v>1</v>
      </c>
      <c r="F2916" s="7">
        <v>214226.11</v>
      </c>
      <c r="G2916">
        <v>0</v>
      </c>
      <c r="H2916" s="7">
        <v>0</v>
      </c>
    </row>
    <row r="2917" spans="1:8">
      <c r="A2917">
        <v>2</v>
      </c>
      <c r="B2917" t="s">
        <v>46</v>
      </c>
      <c r="C2917" t="s">
        <v>35</v>
      </c>
      <c r="D2917">
        <v>0</v>
      </c>
      <c r="E2917">
        <v>1</v>
      </c>
      <c r="F2917" s="7">
        <v>140691.04</v>
      </c>
      <c r="G2917">
        <v>0</v>
      </c>
      <c r="H2917" s="7">
        <v>0</v>
      </c>
    </row>
    <row r="2918" spans="1:8">
      <c r="A2918">
        <v>2</v>
      </c>
      <c r="B2918" t="s">
        <v>46</v>
      </c>
      <c r="C2918" t="s">
        <v>34</v>
      </c>
      <c r="D2918">
        <v>0</v>
      </c>
      <c r="E2918">
        <v>1</v>
      </c>
      <c r="F2918" s="7">
        <v>42646.67</v>
      </c>
      <c r="G2918">
        <v>0</v>
      </c>
      <c r="H2918" s="7">
        <v>0</v>
      </c>
    </row>
    <row r="2919" spans="1:8">
      <c r="A2919">
        <v>2</v>
      </c>
      <c r="B2919" t="s">
        <v>46</v>
      </c>
      <c r="C2919" t="s">
        <v>35</v>
      </c>
      <c r="D2919">
        <v>0</v>
      </c>
      <c r="E2919">
        <v>1</v>
      </c>
      <c r="F2919" s="7">
        <v>218881.33</v>
      </c>
      <c r="G2919">
        <v>0</v>
      </c>
      <c r="H2919" s="7">
        <v>0</v>
      </c>
    </row>
    <row r="2920" spans="1:8">
      <c r="A2920">
        <v>2</v>
      </c>
      <c r="B2920" t="s">
        <v>46</v>
      </c>
      <c r="C2920" t="s">
        <v>35</v>
      </c>
      <c r="D2920">
        <v>0</v>
      </c>
      <c r="E2920">
        <v>1</v>
      </c>
      <c r="F2920" s="7">
        <v>200373.08</v>
      </c>
      <c r="G2920">
        <v>0</v>
      </c>
      <c r="H2920" s="7">
        <v>0</v>
      </c>
    </row>
    <row r="2921" spans="1:8">
      <c r="A2921">
        <v>2</v>
      </c>
      <c r="B2921" t="s">
        <v>46</v>
      </c>
      <c r="C2921" t="s">
        <v>34</v>
      </c>
      <c r="D2921">
        <v>0</v>
      </c>
      <c r="E2921">
        <v>1</v>
      </c>
      <c r="F2921" s="7">
        <v>79079.01</v>
      </c>
      <c r="G2921">
        <v>0</v>
      </c>
      <c r="H2921" s="7">
        <v>0</v>
      </c>
    </row>
    <row r="2922" spans="1:8">
      <c r="A2922">
        <v>2</v>
      </c>
      <c r="B2922" t="s">
        <v>46</v>
      </c>
      <c r="C2922" t="s">
        <v>34</v>
      </c>
      <c r="D2922">
        <v>0</v>
      </c>
      <c r="E2922">
        <v>1</v>
      </c>
      <c r="F2922" s="7">
        <v>36775.45</v>
      </c>
      <c r="G2922">
        <v>0</v>
      </c>
      <c r="H2922" s="7">
        <v>0</v>
      </c>
    </row>
    <row r="2923" spans="1:8">
      <c r="A2923">
        <v>2</v>
      </c>
      <c r="B2923" t="s">
        <v>46</v>
      </c>
      <c r="C2923" t="s">
        <v>34</v>
      </c>
      <c r="D2923">
        <v>0</v>
      </c>
      <c r="E2923">
        <v>1</v>
      </c>
      <c r="F2923" s="7">
        <v>49512.11</v>
      </c>
      <c r="G2923">
        <v>0</v>
      </c>
      <c r="H2923" s="7">
        <v>0</v>
      </c>
    </row>
    <row r="2924" spans="1:8">
      <c r="A2924">
        <v>2</v>
      </c>
      <c r="B2924" t="s">
        <v>46</v>
      </c>
      <c r="C2924" t="s">
        <v>35</v>
      </c>
      <c r="D2924">
        <v>0</v>
      </c>
      <c r="E2924">
        <v>1</v>
      </c>
      <c r="F2924" s="7">
        <v>170063.55</v>
      </c>
      <c r="G2924">
        <v>0</v>
      </c>
      <c r="H2924" s="7">
        <v>0</v>
      </c>
    </row>
    <row r="2925" spans="1:8">
      <c r="A2925">
        <v>2</v>
      </c>
      <c r="B2925" t="s">
        <v>46</v>
      </c>
      <c r="C2925" t="s">
        <v>34</v>
      </c>
      <c r="D2925">
        <v>0</v>
      </c>
      <c r="E2925">
        <v>1</v>
      </c>
      <c r="F2925" s="7">
        <v>88510.71</v>
      </c>
      <c r="G2925">
        <v>0</v>
      </c>
      <c r="H2925" s="7">
        <v>0</v>
      </c>
    </row>
    <row r="2926" spans="1:8">
      <c r="A2926">
        <v>2</v>
      </c>
      <c r="B2926" t="s">
        <v>46</v>
      </c>
      <c r="C2926" t="s">
        <v>35</v>
      </c>
      <c r="D2926">
        <v>0</v>
      </c>
      <c r="E2926">
        <v>1</v>
      </c>
      <c r="F2926" s="7">
        <v>116197.94</v>
      </c>
      <c r="G2926">
        <v>0</v>
      </c>
      <c r="H2926" s="7">
        <v>0</v>
      </c>
    </row>
    <row r="2927" spans="1:8">
      <c r="A2927">
        <v>2</v>
      </c>
      <c r="B2927" t="s">
        <v>46</v>
      </c>
      <c r="C2927" t="s">
        <v>35</v>
      </c>
      <c r="D2927">
        <v>0</v>
      </c>
      <c r="E2927">
        <v>1</v>
      </c>
      <c r="F2927" s="7">
        <v>193954.94</v>
      </c>
      <c r="G2927">
        <v>0</v>
      </c>
      <c r="H2927" s="7">
        <v>0</v>
      </c>
    </row>
    <row r="2928" spans="1:8">
      <c r="A2928">
        <v>2</v>
      </c>
      <c r="B2928" t="s">
        <v>46</v>
      </c>
      <c r="C2928" t="s">
        <v>34</v>
      </c>
      <c r="D2928">
        <v>0</v>
      </c>
      <c r="E2928">
        <v>1</v>
      </c>
      <c r="F2928" s="7">
        <v>94841.38</v>
      </c>
      <c r="G2928">
        <v>0</v>
      </c>
      <c r="H2928" s="7">
        <v>0</v>
      </c>
    </row>
    <row r="2929" spans="1:8">
      <c r="A2929">
        <v>2</v>
      </c>
      <c r="B2929" t="s">
        <v>46</v>
      </c>
      <c r="C2929" t="s">
        <v>35</v>
      </c>
      <c r="D2929">
        <v>0</v>
      </c>
      <c r="E2929">
        <v>1</v>
      </c>
      <c r="F2929" s="7">
        <v>275712.54</v>
      </c>
      <c r="G2929">
        <v>0</v>
      </c>
      <c r="H2929" s="7">
        <v>0</v>
      </c>
    </row>
    <row r="2930" spans="1:8">
      <c r="A2930">
        <v>2</v>
      </c>
      <c r="B2930" t="s">
        <v>46</v>
      </c>
      <c r="C2930" t="s">
        <v>34</v>
      </c>
      <c r="D2930">
        <v>0</v>
      </c>
      <c r="E2930">
        <v>1</v>
      </c>
      <c r="F2930" s="7">
        <v>38978.32</v>
      </c>
      <c r="G2930">
        <v>0</v>
      </c>
      <c r="H2930" s="7">
        <v>0</v>
      </c>
    </row>
    <row r="2931" spans="1:8">
      <c r="A2931">
        <v>2</v>
      </c>
      <c r="B2931" t="s">
        <v>46</v>
      </c>
      <c r="C2931" t="s">
        <v>34</v>
      </c>
      <c r="D2931">
        <v>0</v>
      </c>
      <c r="E2931">
        <v>1</v>
      </c>
      <c r="F2931" s="7">
        <v>63116.69</v>
      </c>
      <c r="G2931">
        <v>0</v>
      </c>
      <c r="H2931" s="7">
        <v>0</v>
      </c>
    </row>
    <row r="2932" spans="1:8">
      <c r="A2932">
        <v>2</v>
      </c>
      <c r="B2932" t="s">
        <v>46</v>
      </c>
      <c r="C2932" t="s">
        <v>34</v>
      </c>
      <c r="D2932">
        <v>0</v>
      </c>
      <c r="E2932">
        <v>1</v>
      </c>
      <c r="F2932" s="7">
        <v>28652.4</v>
      </c>
      <c r="G2932">
        <v>0</v>
      </c>
      <c r="H2932" s="7">
        <v>0</v>
      </c>
    </row>
    <row r="2933" spans="1:8">
      <c r="A2933">
        <v>2</v>
      </c>
      <c r="B2933" t="s">
        <v>46</v>
      </c>
      <c r="C2933" t="s">
        <v>35</v>
      </c>
      <c r="D2933">
        <v>0</v>
      </c>
      <c r="E2933">
        <v>1</v>
      </c>
      <c r="F2933" s="7">
        <v>391970.1</v>
      </c>
      <c r="G2933">
        <v>0</v>
      </c>
      <c r="H2933" s="7">
        <v>0</v>
      </c>
    </row>
    <row r="2934" spans="1:8">
      <c r="A2934">
        <v>2</v>
      </c>
      <c r="B2934" t="s">
        <v>46</v>
      </c>
      <c r="C2934" t="s">
        <v>35</v>
      </c>
      <c r="D2934">
        <v>0</v>
      </c>
      <c r="E2934">
        <v>1</v>
      </c>
      <c r="F2934" s="7">
        <v>157570.4</v>
      </c>
      <c r="G2934">
        <v>0</v>
      </c>
      <c r="H2934" s="7">
        <v>0</v>
      </c>
    </row>
    <row r="2935" spans="1:8">
      <c r="A2935">
        <v>2</v>
      </c>
      <c r="B2935" t="s">
        <v>46</v>
      </c>
      <c r="C2935" t="s">
        <v>35</v>
      </c>
      <c r="D2935">
        <v>0</v>
      </c>
      <c r="E2935">
        <v>1</v>
      </c>
      <c r="F2935" s="7">
        <v>152991.7</v>
      </c>
      <c r="G2935">
        <v>0</v>
      </c>
      <c r="H2935" s="7">
        <v>0</v>
      </c>
    </row>
    <row r="2936" spans="1:8">
      <c r="A2936">
        <v>2</v>
      </c>
      <c r="B2936" t="s">
        <v>46</v>
      </c>
      <c r="C2936" t="s">
        <v>35</v>
      </c>
      <c r="D2936">
        <v>0</v>
      </c>
      <c r="E2936">
        <v>1</v>
      </c>
      <c r="F2936" s="7">
        <v>252555.37</v>
      </c>
      <c r="G2936">
        <v>0</v>
      </c>
      <c r="H2936" s="7">
        <v>0</v>
      </c>
    </row>
    <row r="2937" spans="1:8">
      <c r="A2937">
        <v>2</v>
      </c>
      <c r="B2937" t="s">
        <v>46</v>
      </c>
      <c r="C2937" t="s">
        <v>35</v>
      </c>
      <c r="D2937">
        <v>0</v>
      </c>
      <c r="E2937">
        <v>1</v>
      </c>
      <c r="F2937" s="7">
        <v>143669.66</v>
      </c>
      <c r="G2937">
        <v>0</v>
      </c>
      <c r="H2937" s="7">
        <v>0</v>
      </c>
    </row>
    <row r="2938" spans="1:8">
      <c r="A2938">
        <v>2</v>
      </c>
      <c r="B2938" t="s">
        <v>46</v>
      </c>
      <c r="C2938" t="s">
        <v>34</v>
      </c>
      <c r="D2938">
        <v>0</v>
      </c>
      <c r="E2938">
        <v>1</v>
      </c>
      <c r="F2938" s="7">
        <v>77711.94</v>
      </c>
      <c r="G2938">
        <v>0</v>
      </c>
      <c r="H2938" s="7">
        <v>0</v>
      </c>
    </row>
    <row r="2939" spans="1:8">
      <c r="A2939">
        <v>2</v>
      </c>
      <c r="B2939" t="s">
        <v>46</v>
      </c>
      <c r="C2939" t="s">
        <v>34</v>
      </c>
      <c r="D2939">
        <v>0</v>
      </c>
      <c r="E2939">
        <v>1</v>
      </c>
      <c r="F2939" s="7">
        <v>81687.69</v>
      </c>
      <c r="G2939">
        <v>0</v>
      </c>
      <c r="H2939" s="7">
        <v>0</v>
      </c>
    </row>
    <row r="2940" spans="1:8">
      <c r="A2940">
        <v>2</v>
      </c>
      <c r="B2940" t="s">
        <v>46</v>
      </c>
      <c r="C2940" t="s">
        <v>35</v>
      </c>
      <c r="D2940">
        <v>0</v>
      </c>
      <c r="E2940">
        <v>1</v>
      </c>
      <c r="F2940" s="7">
        <v>211454.31</v>
      </c>
      <c r="G2940">
        <v>0</v>
      </c>
      <c r="H2940" s="7">
        <v>0</v>
      </c>
    </row>
    <row r="2941" spans="1:8">
      <c r="A2941">
        <v>2</v>
      </c>
      <c r="B2941" t="s">
        <v>46</v>
      </c>
      <c r="C2941" t="s">
        <v>34</v>
      </c>
      <c r="D2941">
        <v>0</v>
      </c>
      <c r="E2941">
        <v>1</v>
      </c>
      <c r="F2941" s="7">
        <v>70396.7</v>
      </c>
      <c r="G2941">
        <v>0</v>
      </c>
      <c r="H2941" s="7">
        <v>0</v>
      </c>
    </row>
    <row r="2942" spans="1:8">
      <c r="A2942">
        <v>2</v>
      </c>
      <c r="B2942" t="s">
        <v>46</v>
      </c>
      <c r="C2942" t="s">
        <v>34</v>
      </c>
      <c r="D2942">
        <v>0</v>
      </c>
      <c r="E2942">
        <v>1</v>
      </c>
      <c r="F2942" s="7">
        <v>87551.31</v>
      </c>
      <c r="G2942">
        <v>0</v>
      </c>
      <c r="H2942" s="7">
        <v>0</v>
      </c>
    </row>
    <row r="2943" spans="1:8">
      <c r="A2943">
        <v>2</v>
      </c>
      <c r="B2943" t="s">
        <v>46</v>
      </c>
      <c r="C2943" t="s">
        <v>34</v>
      </c>
      <c r="D2943">
        <v>0</v>
      </c>
      <c r="E2943">
        <v>1</v>
      </c>
      <c r="F2943" s="7">
        <v>70060.61</v>
      </c>
      <c r="G2943">
        <v>0</v>
      </c>
      <c r="H2943" s="7">
        <v>0</v>
      </c>
    </row>
    <row r="2944" spans="1:8">
      <c r="A2944">
        <v>2</v>
      </c>
      <c r="B2944" t="s">
        <v>46</v>
      </c>
      <c r="C2944" t="s">
        <v>35</v>
      </c>
      <c r="D2944">
        <v>0</v>
      </c>
      <c r="E2944">
        <v>1</v>
      </c>
      <c r="F2944" s="7">
        <v>119084.3</v>
      </c>
      <c r="G2944">
        <v>0</v>
      </c>
      <c r="H2944" s="7">
        <v>0</v>
      </c>
    </row>
    <row r="2945" spans="1:8">
      <c r="A2945">
        <v>2</v>
      </c>
      <c r="B2945" t="s">
        <v>46</v>
      </c>
      <c r="C2945" t="s">
        <v>34</v>
      </c>
      <c r="D2945">
        <v>0</v>
      </c>
      <c r="E2945">
        <v>1</v>
      </c>
      <c r="F2945" s="7">
        <v>63590.82</v>
      </c>
      <c r="G2945">
        <v>0</v>
      </c>
      <c r="H2945" s="7">
        <v>0</v>
      </c>
    </row>
    <row r="2946" spans="1:8">
      <c r="A2946">
        <v>2</v>
      </c>
      <c r="B2946" t="s">
        <v>46</v>
      </c>
      <c r="C2946" t="s">
        <v>35</v>
      </c>
      <c r="D2946">
        <v>0</v>
      </c>
      <c r="E2946">
        <v>1</v>
      </c>
      <c r="F2946" s="7">
        <v>124919.54</v>
      </c>
      <c r="G2946">
        <v>0</v>
      </c>
      <c r="H2946" s="7">
        <v>0</v>
      </c>
    </row>
    <row r="2947" spans="1:8">
      <c r="A2947">
        <v>2</v>
      </c>
      <c r="B2947" t="s">
        <v>46</v>
      </c>
      <c r="C2947" t="s">
        <v>35</v>
      </c>
      <c r="D2947">
        <v>0</v>
      </c>
      <c r="E2947">
        <v>1</v>
      </c>
      <c r="F2947" s="7">
        <v>481106.85</v>
      </c>
      <c r="G2947">
        <v>0</v>
      </c>
      <c r="H2947" s="7">
        <v>0</v>
      </c>
    </row>
    <row r="2948" spans="1:8">
      <c r="A2948">
        <v>2</v>
      </c>
      <c r="B2948" t="s">
        <v>46</v>
      </c>
      <c r="C2948" t="s">
        <v>34</v>
      </c>
      <c r="D2948">
        <v>0</v>
      </c>
      <c r="E2948">
        <v>1</v>
      </c>
      <c r="F2948" s="7">
        <v>54664.96</v>
      </c>
      <c r="G2948">
        <v>0</v>
      </c>
      <c r="H2948" s="7">
        <v>0</v>
      </c>
    </row>
    <row r="2949" spans="1:8">
      <c r="A2949">
        <v>2</v>
      </c>
      <c r="B2949" t="s">
        <v>46</v>
      </c>
      <c r="C2949" t="s">
        <v>34</v>
      </c>
      <c r="D2949">
        <v>0</v>
      </c>
      <c r="E2949">
        <v>1</v>
      </c>
      <c r="F2949" s="7">
        <v>56316.65</v>
      </c>
      <c r="G2949">
        <v>0</v>
      </c>
      <c r="H2949" s="7">
        <v>0</v>
      </c>
    </row>
    <row r="2950" spans="1:8">
      <c r="A2950">
        <v>2</v>
      </c>
      <c r="B2950" t="s">
        <v>46</v>
      </c>
      <c r="C2950" t="s">
        <v>33</v>
      </c>
      <c r="D2950">
        <v>0</v>
      </c>
      <c r="E2950">
        <v>1</v>
      </c>
      <c r="F2950" s="7">
        <v>9638.88</v>
      </c>
      <c r="G2950">
        <v>0</v>
      </c>
      <c r="H2950" s="7">
        <v>0</v>
      </c>
    </row>
    <row r="2951" spans="1:8">
      <c r="A2951">
        <v>2</v>
      </c>
      <c r="B2951" t="s">
        <v>46</v>
      </c>
      <c r="C2951" t="s">
        <v>34</v>
      </c>
      <c r="D2951">
        <v>0</v>
      </c>
      <c r="E2951">
        <v>1</v>
      </c>
      <c r="F2951" s="7">
        <v>79346.19</v>
      </c>
      <c r="G2951">
        <v>0</v>
      </c>
      <c r="H2951" s="7">
        <v>0</v>
      </c>
    </row>
    <row r="2952" spans="1:8">
      <c r="A2952">
        <v>2</v>
      </c>
      <c r="B2952" t="s">
        <v>46</v>
      </c>
      <c r="C2952" t="s">
        <v>34</v>
      </c>
      <c r="D2952">
        <v>0</v>
      </c>
      <c r="E2952">
        <v>1</v>
      </c>
      <c r="F2952" s="7">
        <v>54168.83</v>
      </c>
      <c r="G2952">
        <v>0</v>
      </c>
      <c r="H2952" s="7">
        <v>0</v>
      </c>
    </row>
    <row r="2953" spans="1:8">
      <c r="A2953">
        <v>2</v>
      </c>
      <c r="B2953" t="s">
        <v>46</v>
      </c>
      <c r="C2953" t="s">
        <v>34</v>
      </c>
      <c r="D2953">
        <v>0</v>
      </c>
      <c r="E2953">
        <v>1</v>
      </c>
      <c r="F2953" s="7">
        <v>93187.96</v>
      </c>
      <c r="G2953">
        <v>0</v>
      </c>
      <c r="H2953" s="7">
        <v>0</v>
      </c>
    </row>
    <row r="2954" spans="1:8">
      <c r="A2954">
        <v>2</v>
      </c>
      <c r="B2954" t="s">
        <v>46</v>
      </c>
      <c r="C2954" t="s">
        <v>35</v>
      </c>
      <c r="D2954">
        <v>0</v>
      </c>
      <c r="E2954">
        <v>1</v>
      </c>
      <c r="F2954" s="7">
        <v>139740.04</v>
      </c>
      <c r="G2954">
        <v>0</v>
      </c>
      <c r="H2954" s="7">
        <v>0</v>
      </c>
    </row>
    <row r="2955" spans="1:8">
      <c r="A2955">
        <v>2</v>
      </c>
      <c r="B2955" t="s">
        <v>46</v>
      </c>
      <c r="C2955" t="s">
        <v>35</v>
      </c>
      <c r="D2955">
        <v>0</v>
      </c>
      <c r="E2955">
        <v>1</v>
      </c>
      <c r="F2955" s="7">
        <v>132890.64</v>
      </c>
      <c r="G2955">
        <v>0</v>
      </c>
      <c r="H2955" s="7">
        <v>0</v>
      </c>
    </row>
    <row r="2956" spans="1:8">
      <c r="A2956">
        <v>2</v>
      </c>
      <c r="B2956" t="s">
        <v>46</v>
      </c>
      <c r="C2956" t="s">
        <v>34</v>
      </c>
      <c r="D2956">
        <v>0</v>
      </c>
      <c r="E2956">
        <v>1</v>
      </c>
      <c r="F2956" s="7">
        <v>31876.77</v>
      </c>
      <c r="G2956">
        <v>0</v>
      </c>
      <c r="H2956" s="7">
        <v>0</v>
      </c>
    </row>
    <row r="2957" spans="1:8">
      <c r="A2957">
        <v>2</v>
      </c>
      <c r="B2957" t="s">
        <v>46</v>
      </c>
      <c r="C2957" t="s">
        <v>35</v>
      </c>
      <c r="D2957">
        <v>0</v>
      </c>
      <c r="E2957">
        <v>1</v>
      </c>
      <c r="F2957" s="7">
        <v>212291.34</v>
      </c>
      <c r="G2957">
        <v>0</v>
      </c>
      <c r="H2957" s="7">
        <v>0</v>
      </c>
    </row>
    <row r="2958" spans="1:8">
      <c r="A2958">
        <v>2</v>
      </c>
      <c r="B2958" t="s">
        <v>46</v>
      </c>
      <c r="C2958" t="s">
        <v>35</v>
      </c>
      <c r="D2958">
        <v>0</v>
      </c>
      <c r="E2958">
        <v>1</v>
      </c>
      <c r="F2958" s="7">
        <v>103835.15</v>
      </c>
      <c r="G2958">
        <v>0</v>
      </c>
      <c r="H2958" s="7">
        <v>0</v>
      </c>
    </row>
    <row r="2959" spans="1:8">
      <c r="A2959">
        <v>2</v>
      </c>
      <c r="B2959" t="s">
        <v>46</v>
      </c>
      <c r="C2959" t="s">
        <v>34</v>
      </c>
      <c r="D2959">
        <v>0</v>
      </c>
      <c r="E2959">
        <v>1</v>
      </c>
      <c r="F2959" s="7">
        <v>67997.07</v>
      </c>
      <c r="G2959">
        <v>0</v>
      </c>
      <c r="H2959" s="7">
        <v>0</v>
      </c>
    </row>
    <row r="2960" spans="1:8">
      <c r="A2960">
        <v>2</v>
      </c>
      <c r="B2960" t="s">
        <v>46</v>
      </c>
      <c r="C2960" t="s">
        <v>35</v>
      </c>
      <c r="D2960">
        <v>0</v>
      </c>
      <c r="E2960">
        <v>1</v>
      </c>
      <c r="F2960" s="7">
        <v>123950.2</v>
      </c>
      <c r="G2960">
        <v>0</v>
      </c>
      <c r="H2960" s="7">
        <v>0</v>
      </c>
    </row>
    <row r="2961" spans="1:8">
      <c r="A2961">
        <v>2</v>
      </c>
      <c r="B2961" t="s">
        <v>46</v>
      </c>
      <c r="C2961" t="s">
        <v>35</v>
      </c>
      <c r="D2961">
        <v>0</v>
      </c>
      <c r="E2961">
        <v>1</v>
      </c>
      <c r="F2961" s="7">
        <v>313452.48</v>
      </c>
      <c r="G2961">
        <v>0</v>
      </c>
      <c r="H2961" s="7">
        <v>0</v>
      </c>
    </row>
    <row r="2962" spans="1:8">
      <c r="A2962">
        <v>2</v>
      </c>
      <c r="B2962" t="s">
        <v>46</v>
      </c>
      <c r="C2962" t="s">
        <v>35</v>
      </c>
      <c r="D2962">
        <v>0</v>
      </c>
      <c r="E2962">
        <v>1</v>
      </c>
      <c r="F2962" s="7">
        <v>168681.06</v>
      </c>
      <c r="G2962">
        <v>0</v>
      </c>
      <c r="H2962" s="7">
        <v>0</v>
      </c>
    </row>
    <row r="2963" spans="1:8">
      <c r="A2963">
        <v>2</v>
      </c>
      <c r="B2963" t="s">
        <v>46</v>
      </c>
      <c r="C2963" t="s">
        <v>35</v>
      </c>
      <c r="D2963">
        <v>0</v>
      </c>
      <c r="E2963">
        <v>1</v>
      </c>
      <c r="F2963" s="7">
        <v>160370.33</v>
      </c>
      <c r="G2963">
        <v>0</v>
      </c>
      <c r="H2963" s="7">
        <v>0</v>
      </c>
    </row>
    <row r="2964" spans="1:8">
      <c r="A2964">
        <v>2</v>
      </c>
      <c r="B2964" t="s">
        <v>42</v>
      </c>
      <c r="C2964" t="s">
        <v>34</v>
      </c>
      <c r="D2964">
        <v>0</v>
      </c>
      <c r="E2964">
        <v>1</v>
      </c>
      <c r="F2964" s="7">
        <v>10324.3</v>
      </c>
      <c r="G2964">
        <v>0</v>
      </c>
      <c r="H2964" s="7">
        <v>0</v>
      </c>
    </row>
    <row r="2965" spans="1:8">
      <c r="A2965">
        <v>2</v>
      </c>
      <c r="B2965" t="s">
        <v>42</v>
      </c>
      <c r="C2965" t="s">
        <v>34</v>
      </c>
      <c r="D2965">
        <v>0</v>
      </c>
      <c r="E2965">
        <v>1</v>
      </c>
      <c r="F2965" s="7">
        <v>24953.83</v>
      </c>
      <c r="G2965">
        <v>0</v>
      </c>
      <c r="H2965" s="7">
        <v>0</v>
      </c>
    </row>
    <row r="2966" spans="1:8">
      <c r="A2966">
        <v>2</v>
      </c>
      <c r="B2966" t="s">
        <v>45</v>
      </c>
      <c r="C2966" t="s">
        <v>33</v>
      </c>
      <c r="D2966">
        <v>0</v>
      </c>
      <c r="E2966">
        <v>1</v>
      </c>
      <c r="F2966" s="7">
        <v>7257.37</v>
      </c>
      <c r="G2966">
        <v>0</v>
      </c>
      <c r="H2966" s="7">
        <v>0</v>
      </c>
    </row>
    <row r="2967" spans="1:8">
      <c r="A2967">
        <v>2</v>
      </c>
      <c r="B2967" t="s">
        <v>44</v>
      </c>
      <c r="C2967" t="s">
        <v>35</v>
      </c>
      <c r="D2967">
        <v>0</v>
      </c>
      <c r="E2967">
        <v>1</v>
      </c>
      <c r="F2967" s="7">
        <v>101226.51</v>
      </c>
      <c r="G2967">
        <v>0</v>
      </c>
      <c r="H2967" s="7">
        <v>0</v>
      </c>
    </row>
    <row r="2968" spans="1:8">
      <c r="A2968">
        <v>2</v>
      </c>
      <c r="B2968" t="s">
        <v>42</v>
      </c>
      <c r="C2968" t="s">
        <v>33</v>
      </c>
      <c r="D2968">
        <v>0</v>
      </c>
      <c r="E2968">
        <v>1</v>
      </c>
      <c r="F2968" s="7">
        <v>3382.36</v>
      </c>
      <c r="G2968">
        <v>0</v>
      </c>
      <c r="H2968" s="7">
        <v>0</v>
      </c>
    </row>
    <row r="2969" spans="1:8">
      <c r="A2969">
        <v>2</v>
      </c>
      <c r="B2969" t="s">
        <v>45</v>
      </c>
      <c r="C2969" t="s">
        <v>33</v>
      </c>
      <c r="D2969">
        <v>0</v>
      </c>
      <c r="E2969">
        <v>1</v>
      </c>
      <c r="F2969" s="7">
        <v>6459.82</v>
      </c>
      <c r="G2969">
        <v>0</v>
      </c>
      <c r="H2969" s="7">
        <v>0</v>
      </c>
    </row>
    <row r="2970" spans="1:8">
      <c r="A2970">
        <v>2</v>
      </c>
      <c r="B2970" t="s">
        <v>42</v>
      </c>
      <c r="C2970" t="s">
        <v>33</v>
      </c>
      <c r="D2970">
        <v>0</v>
      </c>
      <c r="E2970">
        <v>1</v>
      </c>
      <c r="F2970" s="7">
        <v>2678.1</v>
      </c>
      <c r="G2970">
        <v>0</v>
      </c>
      <c r="H2970" s="7">
        <v>0</v>
      </c>
    </row>
    <row r="2971" spans="1:8">
      <c r="A2971">
        <v>2</v>
      </c>
      <c r="B2971" t="s">
        <v>43</v>
      </c>
      <c r="C2971" t="s">
        <v>35</v>
      </c>
      <c r="D2971">
        <v>0</v>
      </c>
      <c r="E2971">
        <v>1</v>
      </c>
      <c r="F2971" s="7">
        <v>365254.36</v>
      </c>
      <c r="G2971">
        <v>0</v>
      </c>
      <c r="H2971" s="7">
        <v>0</v>
      </c>
    </row>
    <row r="2972" spans="1:8">
      <c r="A2972">
        <v>2</v>
      </c>
      <c r="B2972" t="s">
        <v>42</v>
      </c>
      <c r="C2972" t="s">
        <v>34</v>
      </c>
      <c r="D2972">
        <v>0</v>
      </c>
      <c r="E2972">
        <v>1</v>
      </c>
      <c r="F2972" s="7">
        <v>10625.49</v>
      </c>
      <c r="G2972">
        <v>0</v>
      </c>
      <c r="H2972" s="7">
        <v>0</v>
      </c>
    </row>
    <row r="2973" spans="1:8">
      <c r="A2973">
        <v>2</v>
      </c>
      <c r="B2973" t="s">
        <v>45</v>
      </c>
      <c r="C2973" t="s">
        <v>33</v>
      </c>
      <c r="D2973">
        <v>0</v>
      </c>
      <c r="E2973">
        <v>1</v>
      </c>
      <c r="F2973" s="7">
        <v>5230.89</v>
      </c>
      <c r="G2973">
        <v>0</v>
      </c>
      <c r="H2973" s="7">
        <v>0</v>
      </c>
    </row>
    <row r="2974" spans="1:8">
      <c r="A2974">
        <v>2</v>
      </c>
      <c r="B2974" t="s">
        <v>42</v>
      </c>
      <c r="C2974" t="s">
        <v>34</v>
      </c>
      <c r="D2974">
        <v>0</v>
      </c>
      <c r="E2974">
        <v>1</v>
      </c>
      <c r="F2974" s="7">
        <v>31958.09</v>
      </c>
      <c r="G2974">
        <v>0</v>
      </c>
      <c r="H2974" s="7">
        <v>0</v>
      </c>
    </row>
    <row r="2975" spans="1:8">
      <c r="A2975">
        <v>2</v>
      </c>
      <c r="B2975" t="s">
        <v>42</v>
      </c>
      <c r="C2975" t="s">
        <v>33</v>
      </c>
      <c r="D2975">
        <v>0</v>
      </c>
      <c r="E2975">
        <v>1</v>
      </c>
      <c r="F2975" s="7">
        <v>2449.65</v>
      </c>
      <c r="G2975">
        <v>0</v>
      </c>
      <c r="H2975" s="7">
        <v>0</v>
      </c>
    </row>
    <row r="2976" spans="1:8">
      <c r="A2976">
        <v>2</v>
      </c>
      <c r="B2976" t="s">
        <v>42</v>
      </c>
      <c r="C2976" t="s">
        <v>33</v>
      </c>
      <c r="D2976">
        <v>0</v>
      </c>
      <c r="E2976">
        <v>1</v>
      </c>
      <c r="F2976" s="7">
        <v>6723.8</v>
      </c>
      <c r="G2976">
        <v>0</v>
      </c>
      <c r="H2976" s="7">
        <v>0</v>
      </c>
    </row>
    <row r="2977" spans="1:8">
      <c r="A2977">
        <v>2</v>
      </c>
      <c r="B2977" t="s">
        <v>42</v>
      </c>
      <c r="C2977" t="s">
        <v>33</v>
      </c>
      <c r="D2977">
        <v>0</v>
      </c>
      <c r="E2977">
        <v>1</v>
      </c>
      <c r="F2977" s="7">
        <v>1327.37</v>
      </c>
      <c r="G2977">
        <v>0</v>
      </c>
      <c r="H2977" s="7">
        <v>0</v>
      </c>
    </row>
    <row r="2978" spans="1:8">
      <c r="A2978">
        <v>2</v>
      </c>
      <c r="B2978" t="s">
        <v>42</v>
      </c>
      <c r="C2978" t="s">
        <v>34</v>
      </c>
      <c r="D2978">
        <v>0</v>
      </c>
      <c r="E2978">
        <v>1</v>
      </c>
      <c r="F2978" s="7">
        <v>11000.73</v>
      </c>
      <c r="G2978">
        <v>0</v>
      </c>
      <c r="H2978" s="7">
        <v>0</v>
      </c>
    </row>
    <row r="2979" spans="1:8">
      <c r="A2979">
        <v>2</v>
      </c>
      <c r="B2979" t="s">
        <v>42</v>
      </c>
      <c r="C2979" t="s">
        <v>33</v>
      </c>
      <c r="D2979">
        <v>0</v>
      </c>
      <c r="E2979">
        <v>1</v>
      </c>
      <c r="F2979" s="7">
        <v>1576.82</v>
      </c>
      <c r="G2979">
        <v>0</v>
      </c>
      <c r="H2979" s="7">
        <v>0</v>
      </c>
    </row>
    <row r="2980" spans="1:8">
      <c r="A2980">
        <v>2</v>
      </c>
      <c r="B2980" t="s">
        <v>42</v>
      </c>
      <c r="C2980" t="s">
        <v>34</v>
      </c>
      <c r="D2980">
        <v>0</v>
      </c>
      <c r="E2980">
        <v>1</v>
      </c>
      <c r="F2980" s="7">
        <v>14229.35</v>
      </c>
      <c r="G2980">
        <v>0</v>
      </c>
      <c r="H2980" s="7">
        <v>0</v>
      </c>
    </row>
    <row r="2981" spans="1:8">
      <c r="A2981">
        <v>2</v>
      </c>
      <c r="B2981" t="s">
        <v>42</v>
      </c>
      <c r="C2981" t="s">
        <v>33</v>
      </c>
      <c r="D2981">
        <v>0</v>
      </c>
      <c r="E2981">
        <v>1</v>
      </c>
      <c r="F2981" s="7">
        <v>2280.09</v>
      </c>
      <c r="G2981">
        <v>0</v>
      </c>
      <c r="H2981" s="7">
        <v>0</v>
      </c>
    </row>
    <row r="2982" spans="1:8">
      <c r="A2982">
        <v>2</v>
      </c>
      <c r="B2982" t="s">
        <v>43</v>
      </c>
      <c r="C2982" t="s">
        <v>35</v>
      </c>
      <c r="D2982">
        <v>0</v>
      </c>
      <c r="E2982">
        <v>1</v>
      </c>
      <c r="F2982" s="7">
        <v>108157.51</v>
      </c>
      <c r="G2982">
        <v>0</v>
      </c>
      <c r="H2982" s="7">
        <v>0</v>
      </c>
    </row>
    <row r="2983" spans="1:8">
      <c r="A2983">
        <v>2</v>
      </c>
      <c r="B2983" t="s">
        <v>42</v>
      </c>
      <c r="C2983" t="s">
        <v>34</v>
      </c>
      <c r="D2983">
        <v>0</v>
      </c>
      <c r="E2983">
        <v>1</v>
      </c>
      <c r="F2983" s="7">
        <v>10909.31</v>
      </c>
      <c r="G2983">
        <v>0</v>
      </c>
      <c r="H2983" s="7">
        <v>0</v>
      </c>
    </row>
    <row r="2984" spans="1:8">
      <c r="A2984">
        <v>2</v>
      </c>
      <c r="B2984" t="s">
        <v>42</v>
      </c>
      <c r="C2984" t="s">
        <v>33</v>
      </c>
      <c r="D2984">
        <v>0</v>
      </c>
      <c r="E2984">
        <v>1</v>
      </c>
      <c r="F2984" s="7">
        <v>3236.42</v>
      </c>
      <c r="G2984">
        <v>0</v>
      </c>
      <c r="H2984" s="7">
        <v>0</v>
      </c>
    </row>
    <row r="2985" spans="1:8">
      <c r="A2985">
        <v>2</v>
      </c>
      <c r="B2985" t="s">
        <v>42</v>
      </c>
      <c r="C2985" t="s">
        <v>33</v>
      </c>
      <c r="D2985">
        <v>0</v>
      </c>
      <c r="E2985">
        <v>1</v>
      </c>
      <c r="F2985" s="7">
        <v>2153.63</v>
      </c>
      <c r="G2985">
        <v>0</v>
      </c>
      <c r="H2985" s="7">
        <v>0</v>
      </c>
    </row>
    <row r="2986" spans="1:8">
      <c r="A2986">
        <v>2</v>
      </c>
      <c r="B2986" t="s">
        <v>42</v>
      </c>
      <c r="C2986" t="s">
        <v>34</v>
      </c>
      <c r="D2986">
        <v>0</v>
      </c>
      <c r="E2986">
        <v>1</v>
      </c>
      <c r="F2986" s="7">
        <v>15803.6</v>
      </c>
      <c r="G2986">
        <v>0</v>
      </c>
      <c r="H2986" s="7">
        <v>0</v>
      </c>
    </row>
    <row r="2987" spans="1:8">
      <c r="A2987">
        <v>2</v>
      </c>
      <c r="B2987" t="s">
        <v>42</v>
      </c>
      <c r="C2987" t="s">
        <v>33</v>
      </c>
      <c r="D2987">
        <v>0</v>
      </c>
      <c r="E2987">
        <v>1</v>
      </c>
      <c r="F2987" s="7">
        <v>2040.71</v>
      </c>
      <c r="G2987">
        <v>0</v>
      </c>
      <c r="H2987" s="7">
        <v>0</v>
      </c>
    </row>
    <row r="2988" spans="1:8">
      <c r="A2988">
        <v>2</v>
      </c>
      <c r="B2988" t="s">
        <v>42</v>
      </c>
      <c r="C2988" t="s">
        <v>34</v>
      </c>
      <c r="D2988">
        <v>0</v>
      </c>
      <c r="E2988">
        <v>1</v>
      </c>
      <c r="F2988" s="7">
        <v>10693.28</v>
      </c>
      <c r="G2988">
        <v>0</v>
      </c>
      <c r="H2988" s="7">
        <v>0</v>
      </c>
    </row>
    <row r="2989" spans="1:8">
      <c r="A2989">
        <v>2</v>
      </c>
      <c r="B2989" t="s">
        <v>42</v>
      </c>
      <c r="C2989" t="s">
        <v>34</v>
      </c>
      <c r="D2989">
        <v>0</v>
      </c>
      <c r="E2989">
        <v>1</v>
      </c>
      <c r="F2989" s="7">
        <v>13651.49</v>
      </c>
      <c r="G2989">
        <v>0</v>
      </c>
      <c r="H2989" s="7">
        <v>0</v>
      </c>
    </row>
    <row r="2990" spans="1:8">
      <c r="A2990">
        <v>2</v>
      </c>
      <c r="B2990" t="s">
        <v>42</v>
      </c>
      <c r="C2990" t="s">
        <v>33</v>
      </c>
      <c r="D2990">
        <v>0</v>
      </c>
      <c r="E2990">
        <v>1</v>
      </c>
      <c r="F2990" s="7">
        <v>5954.41</v>
      </c>
      <c r="G2990">
        <v>0</v>
      </c>
      <c r="H2990" s="7">
        <v>0</v>
      </c>
    </row>
    <row r="2991" spans="1:8">
      <c r="A2991">
        <v>2</v>
      </c>
      <c r="B2991" t="s">
        <v>42</v>
      </c>
      <c r="C2991" t="s">
        <v>33</v>
      </c>
      <c r="D2991">
        <v>0</v>
      </c>
      <c r="E2991">
        <v>1</v>
      </c>
      <c r="F2991" s="7">
        <v>3493.65</v>
      </c>
      <c r="G2991">
        <v>0</v>
      </c>
      <c r="H2991" s="7">
        <v>0</v>
      </c>
    </row>
    <row r="2992" spans="1:8">
      <c r="A2992">
        <v>2</v>
      </c>
      <c r="B2992" t="s">
        <v>42</v>
      </c>
      <c r="C2992" t="s">
        <v>33</v>
      </c>
      <c r="D2992">
        <v>0</v>
      </c>
      <c r="E2992">
        <v>1</v>
      </c>
      <c r="F2992" s="7">
        <v>7699.52</v>
      </c>
      <c r="G2992">
        <v>0</v>
      </c>
      <c r="H2992" s="7">
        <v>0</v>
      </c>
    </row>
    <row r="2993" spans="1:8">
      <c r="A2993">
        <v>2</v>
      </c>
      <c r="B2993" t="s">
        <v>42</v>
      </c>
      <c r="C2993" t="s">
        <v>33</v>
      </c>
      <c r="D2993">
        <v>0</v>
      </c>
      <c r="E2993">
        <v>1</v>
      </c>
      <c r="F2993" s="7">
        <v>1612.26</v>
      </c>
      <c r="G2993">
        <v>0</v>
      </c>
      <c r="H2993" s="7">
        <v>0</v>
      </c>
    </row>
    <row r="2994" spans="1:8">
      <c r="A2994">
        <v>2</v>
      </c>
      <c r="B2994" t="s">
        <v>42</v>
      </c>
      <c r="C2994" t="s">
        <v>33</v>
      </c>
      <c r="D2994">
        <v>0</v>
      </c>
      <c r="E2994">
        <v>1</v>
      </c>
      <c r="F2994" s="7">
        <v>3000.33</v>
      </c>
      <c r="G2994">
        <v>0</v>
      </c>
      <c r="H2994" s="7">
        <v>0</v>
      </c>
    </row>
    <row r="2995" spans="1:8">
      <c r="A2995">
        <v>2</v>
      </c>
      <c r="B2995" t="s">
        <v>42</v>
      </c>
      <c r="C2995" t="s">
        <v>33</v>
      </c>
      <c r="D2995">
        <v>0</v>
      </c>
      <c r="E2995">
        <v>1</v>
      </c>
      <c r="F2995" s="7">
        <v>5898.58</v>
      </c>
      <c r="G2995">
        <v>0</v>
      </c>
      <c r="H2995" s="7">
        <v>0</v>
      </c>
    </row>
    <row r="2996" spans="1:8">
      <c r="A2996">
        <v>2</v>
      </c>
      <c r="B2996" t="s">
        <v>42</v>
      </c>
      <c r="C2996" t="s">
        <v>33</v>
      </c>
      <c r="D2996">
        <v>0</v>
      </c>
      <c r="E2996">
        <v>1</v>
      </c>
      <c r="F2996" s="7">
        <v>6490.35</v>
      </c>
      <c r="G2996">
        <v>0</v>
      </c>
      <c r="H2996" s="7">
        <v>0</v>
      </c>
    </row>
    <row r="2997" spans="1:8">
      <c r="A2997">
        <v>2</v>
      </c>
      <c r="B2997" t="s">
        <v>42</v>
      </c>
      <c r="C2997" t="s">
        <v>33</v>
      </c>
      <c r="D2997">
        <v>0</v>
      </c>
      <c r="E2997">
        <v>1</v>
      </c>
      <c r="F2997" s="7">
        <v>2388.04</v>
      </c>
      <c r="G2997">
        <v>0</v>
      </c>
      <c r="H2997" s="7">
        <v>0</v>
      </c>
    </row>
    <row r="2998" spans="1:8">
      <c r="A2998">
        <v>2</v>
      </c>
      <c r="B2998" t="s">
        <v>42</v>
      </c>
      <c r="C2998" t="s">
        <v>33</v>
      </c>
      <c r="D2998">
        <v>0</v>
      </c>
      <c r="E2998">
        <v>1</v>
      </c>
      <c r="F2998" s="7">
        <v>5398.19</v>
      </c>
      <c r="G2998">
        <v>0</v>
      </c>
      <c r="H2998" s="7">
        <v>0</v>
      </c>
    </row>
    <row r="2999" spans="1:8">
      <c r="A2999">
        <v>2</v>
      </c>
      <c r="B2999" t="s">
        <v>42</v>
      </c>
      <c r="C2999" t="s">
        <v>33</v>
      </c>
      <c r="D2999">
        <v>0</v>
      </c>
      <c r="E2999">
        <v>1</v>
      </c>
      <c r="F2999" s="7">
        <v>7201.74</v>
      </c>
      <c r="G2999">
        <v>0</v>
      </c>
      <c r="H2999" s="7">
        <v>0</v>
      </c>
    </row>
    <row r="3000" spans="1:8">
      <c r="A3000">
        <v>2</v>
      </c>
      <c r="B3000" t="s">
        <v>42</v>
      </c>
      <c r="C3000" t="s">
        <v>34</v>
      </c>
      <c r="D3000">
        <v>0</v>
      </c>
      <c r="E3000">
        <v>1</v>
      </c>
      <c r="F3000" s="7">
        <v>12882.91</v>
      </c>
      <c r="G3000">
        <v>0</v>
      </c>
      <c r="H3000" s="7">
        <v>0</v>
      </c>
    </row>
    <row r="3001" spans="1:8">
      <c r="A3001">
        <v>2</v>
      </c>
      <c r="B3001" t="s">
        <v>46</v>
      </c>
      <c r="C3001" t="s">
        <v>34</v>
      </c>
      <c r="D3001">
        <v>0</v>
      </c>
      <c r="E3001">
        <v>1</v>
      </c>
      <c r="F3001" s="7">
        <v>71045.05</v>
      </c>
      <c r="G3001">
        <v>0</v>
      </c>
      <c r="H3001" s="7">
        <v>0</v>
      </c>
    </row>
    <row r="3002" spans="1:8">
      <c r="A3002">
        <v>2</v>
      </c>
      <c r="B3002" t="s">
        <v>42</v>
      </c>
      <c r="C3002" t="s">
        <v>33</v>
      </c>
      <c r="D3002">
        <v>0</v>
      </c>
      <c r="E3002">
        <v>1</v>
      </c>
      <c r="F3002" s="7">
        <v>5769.55</v>
      </c>
      <c r="G3002">
        <v>0</v>
      </c>
      <c r="H3002" s="7">
        <v>0</v>
      </c>
    </row>
    <row r="3003" spans="1:8">
      <c r="A3003">
        <v>2</v>
      </c>
      <c r="B3003" t="s">
        <v>42</v>
      </c>
      <c r="C3003" t="s">
        <v>33</v>
      </c>
      <c r="D3003">
        <v>0</v>
      </c>
      <c r="E3003">
        <v>1</v>
      </c>
      <c r="F3003" s="7">
        <v>9633.82</v>
      </c>
      <c r="G3003">
        <v>0</v>
      </c>
      <c r="H3003" s="7">
        <v>0</v>
      </c>
    </row>
    <row r="3004" spans="1:8">
      <c r="A3004">
        <v>2</v>
      </c>
      <c r="B3004" t="s">
        <v>42</v>
      </c>
      <c r="C3004" t="s">
        <v>33</v>
      </c>
      <c r="D3004">
        <v>0</v>
      </c>
      <c r="E3004">
        <v>1</v>
      </c>
      <c r="F3004" s="7">
        <v>7094.53</v>
      </c>
      <c r="G3004">
        <v>0</v>
      </c>
      <c r="H3004" s="7">
        <v>0</v>
      </c>
    </row>
    <row r="3005" spans="1:8">
      <c r="A3005">
        <v>2</v>
      </c>
      <c r="B3005" t="s">
        <v>42</v>
      </c>
      <c r="C3005" t="s">
        <v>34</v>
      </c>
      <c r="D3005">
        <v>0</v>
      </c>
      <c r="E3005">
        <v>1</v>
      </c>
      <c r="F3005" s="7">
        <v>12710.27</v>
      </c>
      <c r="G3005">
        <v>0</v>
      </c>
      <c r="H3005" s="7">
        <v>0</v>
      </c>
    </row>
    <row r="3006" spans="1:8">
      <c r="A3006">
        <v>2</v>
      </c>
      <c r="B3006" t="s">
        <v>42</v>
      </c>
      <c r="C3006" t="s">
        <v>34</v>
      </c>
      <c r="D3006">
        <v>0</v>
      </c>
      <c r="E3006">
        <v>1</v>
      </c>
      <c r="F3006" s="7">
        <v>15630</v>
      </c>
      <c r="G3006">
        <v>0</v>
      </c>
      <c r="H3006" s="7">
        <v>0</v>
      </c>
    </row>
    <row r="3007" spans="1:8">
      <c r="A3007">
        <v>2</v>
      </c>
      <c r="B3007" t="s">
        <v>42</v>
      </c>
      <c r="C3007" t="s">
        <v>32</v>
      </c>
      <c r="D3007">
        <v>0</v>
      </c>
      <c r="E3007">
        <v>1</v>
      </c>
      <c r="F3007" s="7">
        <v>906.96</v>
      </c>
      <c r="G3007">
        <v>0</v>
      </c>
      <c r="H3007" s="7">
        <v>0</v>
      </c>
    </row>
    <row r="3008" spans="1:8">
      <c r="A3008">
        <v>2</v>
      </c>
      <c r="B3008" t="s">
        <v>42</v>
      </c>
      <c r="C3008" t="s">
        <v>32</v>
      </c>
      <c r="D3008">
        <v>0</v>
      </c>
      <c r="E3008">
        <v>1</v>
      </c>
      <c r="F3008" s="7">
        <v>626.6</v>
      </c>
      <c r="G3008">
        <v>0</v>
      </c>
      <c r="H3008" s="7">
        <v>0</v>
      </c>
    </row>
    <row r="3009" spans="1:8">
      <c r="A3009">
        <v>2</v>
      </c>
      <c r="B3009" t="s">
        <v>42</v>
      </c>
      <c r="C3009" t="s">
        <v>32</v>
      </c>
      <c r="D3009">
        <v>0</v>
      </c>
      <c r="E3009">
        <v>1</v>
      </c>
      <c r="F3009" s="7">
        <v>150.35</v>
      </c>
      <c r="G3009">
        <v>0</v>
      </c>
      <c r="H3009" s="7">
        <v>0</v>
      </c>
    </row>
    <row r="3010" spans="1:8">
      <c r="A3010">
        <v>2</v>
      </c>
      <c r="B3010" t="s">
        <v>42</v>
      </c>
      <c r="C3010" t="s">
        <v>34</v>
      </c>
      <c r="D3010">
        <v>0</v>
      </c>
      <c r="E3010">
        <v>1</v>
      </c>
      <c r="F3010" s="7">
        <v>16811.1</v>
      </c>
      <c r="G3010">
        <v>0</v>
      </c>
      <c r="H3010" s="7">
        <v>0</v>
      </c>
    </row>
    <row r="3011" spans="1:8">
      <c r="A3011">
        <v>2</v>
      </c>
      <c r="B3011" t="s">
        <v>42</v>
      </c>
      <c r="C3011" t="s">
        <v>33</v>
      </c>
      <c r="D3011">
        <v>0</v>
      </c>
      <c r="E3011">
        <v>1</v>
      </c>
      <c r="F3011" s="7">
        <v>9707.6</v>
      </c>
      <c r="G3011">
        <v>0</v>
      </c>
      <c r="H3011" s="7">
        <v>0</v>
      </c>
    </row>
    <row r="3012" spans="1:8">
      <c r="A3012">
        <v>2</v>
      </c>
      <c r="B3012" t="s">
        <v>45</v>
      </c>
      <c r="C3012" t="s">
        <v>33</v>
      </c>
      <c r="D3012">
        <v>0</v>
      </c>
      <c r="E3012">
        <v>1</v>
      </c>
      <c r="F3012" s="7">
        <v>3882.8</v>
      </c>
      <c r="G3012">
        <v>0</v>
      </c>
      <c r="H3012" s="7">
        <v>0</v>
      </c>
    </row>
    <row r="3013" spans="1:8">
      <c r="A3013">
        <v>2</v>
      </c>
      <c r="B3013" t="s">
        <v>42</v>
      </c>
      <c r="C3013" t="s">
        <v>33</v>
      </c>
      <c r="D3013">
        <v>0</v>
      </c>
      <c r="E3013">
        <v>1</v>
      </c>
      <c r="F3013" s="7">
        <v>8545.5</v>
      </c>
      <c r="G3013">
        <v>0</v>
      </c>
      <c r="H3013" s="7">
        <v>0</v>
      </c>
    </row>
    <row r="3014" spans="1:8">
      <c r="A3014">
        <v>2</v>
      </c>
      <c r="B3014" t="s">
        <v>42</v>
      </c>
      <c r="C3014" t="s">
        <v>33</v>
      </c>
      <c r="D3014">
        <v>0</v>
      </c>
      <c r="E3014">
        <v>1</v>
      </c>
      <c r="F3014" s="7">
        <v>6373.61</v>
      </c>
      <c r="G3014">
        <v>0</v>
      </c>
      <c r="H3014" s="7">
        <v>0</v>
      </c>
    </row>
    <row r="3015" spans="1:8">
      <c r="A3015">
        <v>2</v>
      </c>
      <c r="B3015" t="s">
        <v>44</v>
      </c>
      <c r="C3015" t="s">
        <v>33</v>
      </c>
      <c r="D3015">
        <v>0</v>
      </c>
      <c r="E3015">
        <v>1</v>
      </c>
      <c r="F3015" s="7">
        <v>9255.25</v>
      </c>
      <c r="G3015">
        <v>0</v>
      </c>
      <c r="H3015" s="7">
        <v>0</v>
      </c>
    </row>
    <row r="3016" spans="1:8">
      <c r="A3016">
        <v>2</v>
      </c>
      <c r="B3016" t="s">
        <v>44</v>
      </c>
      <c r="C3016" t="s">
        <v>34</v>
      </c>
      <c r="D3016">
        <v>0</v>
      </c>
      <c r="E3016">
        <v>1</v>
      </c>
      <c r="F3016" s="7">
        <v>36361.34</v>
      </c>
      <c r="G3016">
        <v>0</v>
      </c>
      <c r="H3016" s="7">
        <v>0</v>
      </c>
    </row>
    <row r="3017" spans="1:8">
      <c r="A3017">
        <v>2</v>
      </c>
      <c r="B3017" t="s">
        <v>44</v>
      </c>
      <c r="C3017" t="s">
        <v>34</v>
      </c>
      <c r="D3017">
        <v>0</v>
      </c>
      <c r="E3017">
        <v>1</v>
      </c>
      <c r="F3017" s="7">
        <v>68968.25</v>
      </c>
      <c r="G3017">
        <v>0</v>
      </c>
      <c r="H3017" s="7">
        <v>0</v>
      </c>
    </row>
    <row r="3018" spans="1:8">
      <c r="A3018">
        <v>2</v>
      </c>
      <c r="B3018" t="s">
        <v>44</v>
      </c>
      <c r="C3018" t="s">
        <v>33</v>
      </c>
      <c r="D3018">
        <v>0</v>
      </c>
      <c r="E3018">
        <v>1</v>
      </c>
      <c r="F3018" s="7">
        <v>8760.71</v>
      </c>
      <c r="G3018">
        <v>0</v>
      </c>
      <c r="H3018" s="7">
        <v>0</v>
      </c>
    </row>
    <row r="3019" spans="1:8">
      <c r="A3019">
        <v>2</v>
      </c>
      <c r="B3019" t="s">
        <v>44</v>
      </c>
      <c r="C3019" t="s">
        <v>34</v>
      </c>
      <c r="D3019">
        <v>0</v>
      </c>
      <c r="E3019">
        <v>1</v>
      </c>
      <c r="F3019" s="7">
        <v>18672.02</v>
      </c>
      <c r="G3019">
        <v>0</v>
      </c>
      <c r="H3019" s="7">
        <v>0</v>
      </c>
    </row>
    <row r="3020" spans="1:8">
      <c r="A3020">
        <v>2</v>
      </c>
      <c r="B3020" t="s">
        <v>44</v>
      </c>
      <c r="C3020" t="s">
        <v>34</v>
      </c>
      <c r="D3020">
        <v>0</v>
      </c>
      <c r="E3020">
        <v>1</v>
      </c>
      <c r="F3020" s="7">
        <v>93793.88</v>
      </c>
      <c r="G3020">
        <v>0</v>
      </c>
      <c r="H3020" s="7">
        <v>0</v>
      </c>
    </row>
    <row r="3021" spans="1:8">
      <c r="A3021">
        <v>2</v>
      </c>
      <c r="B3021" t="s">
        <v>44</v>
      </c>
      <c r="C3021" t="s">
        <v>34</v>
      </c>
      <c r="D3021">
        <v>0</v>
      </c>
      <c r="E3021">
        <v>1</v>
      </c>
      <c r="F3021" s="7">
        <v>51630.01</v>
      </c>
      <c r="G3021">
        <v>0</v>
      </c>
      <c r="H3021" s="7">
        <v>0</v>
      </c>
    </row>
    <row r="3022" spans="1:8">
      <c r="A3022">
        <v>2</v>
      </c>
      <c r="B3022" t="s">
        <v>44</v>
      </c>
      <c r="C3022" t="s">
        <v>34</v>
      </c>
      <c r="D3022">
        <v>0</v>
      </c>
      <c r="E3022">
        <v>1</v>
      </c>
      <c r="F3022" s="7">
        <v>30095.32</v>
      </c>
      <c r="G3022">
        <v>0</v>
      </c>
      <c r="H3022" s="7">
        <v>0</v>
      </c>
    </row>
    <row r="3023" spans="1:8">
      <c r="A3023">
        <v>2</v>
      </c>
      <c r="B3023" t="s">
        <v>44</v>
      </c>
      <c r="C3023" t="s">
        <v>35</v>
      </c>
      <c r="D3023">
        <v>0</v>
      </c>
      <c r="E3023">
        <v>1</v>
      </c>
      <c r="F3023" s="7">
        <v>214983.83</v>
      </c>
      <c r="G3023">
        <v>0</v>
      </c>
      <c r="H3023" s="7">
        <v>0</v>
      </c>
    </row>
    <row r="3024" spans="1:8">
      <c r="A3024">
        <v>2</v>
      </c>
      <c r="B3024" t="s">
        <v>44</v>
      </c>
      <c r="C3024" t="s">
        <v>35</v>
      </c>
      <c r="D3024">
        <v>0</v>
      </c>
      <c r="E3024">
        <v>1</v>
      </c>
      <c r="F3024" s="7">
        <v>295143.53</v>
      </c>
      <c r="G3024">
        <v>0</v>
      </c>
      <c r="H3024" s="7">
        <v>0</v>
      </c>
    </row>
    <row r="3025" spans="1:8">
      <c r="A3025">
        <v>2</v>
      </c>
      <c r="B3025" t="s">
        <v>44</v>
      </c>
      <c r="C3025" t="s">
        <v>35</v>
      </c>
      <c r="D3025">
        <v>0</v>
      </c>
      <c r="E3025">
        <v>1</v>
      </c>
      <c r="F3025" s="7">
        <v>454775.22</v>
      </c>
      <c r="G3025">
        <v>0</v>
      </c>
      <c r="H3025" s="7">
        <v>0</v>
      </c>
    </row>
    <row r="3026" spans="1:8">
      <c r="A3026">
        <v>2</v>
      </c>
      <c r="B3026" t="s">
        <v>44</v>
      </c>
      <c r="C3026" t="s">
        <v>35</v>
      </c>
      <c r="D3026">
        <v>0</v>
      </c>
      <c r="E3026">
        <v>1</v>
      </c>
      <c r="F3026" s="7">
        <v>341122.21</v>
      </c>
      <c r="G3026">
        <v>0</v>
      </c>
      <c r="H3026" s="7">
        <v>0</v>
      </c>
    </row>
    <row r="3027" spans="1:8">
      <c r="A3027">
        <v>2</v>
      </c>
      <c r="B3027" t="s">
        <v>42</v>
      </c>
      <c r="C3027" t="s">
        <v>33</v>
      </c>
      <c r="D3027">
        <v>0</v>
      </c>
      <c r="E3027">
        <v>1</v>
      </c>
      <c r="F3027" s="7">
        <v>5352.59</v>
      </c>
      <c r="G3027">
        <v>0</v>
      </c>
      <c r="H3027" s="7">
        <v>0</v>
      </c>
    </row>
    <row r="3028" spans="1:8">
      <c r="A3028">
        <v>2</v>
      </c>
      <c r="B3028" t="s">
        <v>42</v>
      </c>
      <c r="C3028" t="s">
        <v>33</v>
      </c>
      <c r="D3028">
        <v>0</v>
      </c>
      <c r="E3028">
        <v>1</v>
      </c>
      <c r="F3028" s="7">
        <v>3847.78</v>
      </c>
      <c r="G3028">
        <v>0</v>
      </c>
      <c r="H3028" s="7">
        <v>0</v>
      </c>
    </row>
    <row r="3029" spans="1:8">
      <c r="A3029">
        <v>2</v>
      </c>
      <c r="B3029" t="s">
        <v>42</v>
      </c>
      <c r="C3029" t="s">
        <v>32</v>
      </c>
      <c r="D3029">
        <v>0</v>
      </c>
      <c r="E3029">
        <v>1</v>
      </c>
      <c r="F3029" s="7">
        <v>925.63</v>
      </c>
      <c r="G3029">
        <v>0</v>
      </c>
      <c r="H3029" s="7">
        <v>0</v>
      </c>
    </row>
    <row r="3030" spans="1:8">
      <c r="A3030">
        <v>2</v>
      </c>
      <c r="B3030" t="s">
        <v>42</v>
      </c>
      <c r="C3030" t="s">
        <v>33</v>
      </c>
      <c r="D3030">
        <v>0</v>
      </c>
      <c r="E3030">
        <v>1</v>
      </c>
      <c r="F3030" s="7">
        <v>8024.95</v>
      </c>
      <c r="G3030">
        <v>0</v>
      </c>
      <c r="H3030" s="7">
        <v>0</v>
      </c>
    </row>
    <row r="3031" spans="1:8">
      <c r="A3031">
        <v>2</v>
      </c>
      <c r="B3031" t="s">
        <v>42</v>
      </c>
      <c r="C3031" t="s">
        <v>34</v>
      </c>
      <c r="D3031">
        <v>0</v>
      </c>
      <c r="E3031">
        <v>1</v>
      </c>
      <c r="F3031" s="7">
        <v>11378.85</v>
      </c>
      <c r="G3031">
        <v>0</v>
      </c>
      <c r="H3031" s="7">
        <v>0</v>
      </c>
    </row>
    <row r="3032" spans="1:8">
      <c r="A3032">
        <v>2</v>
      </c>
      <c r="B3032" t="s">
        <v>42</v>
      </c>
      <c r="C3032" t="s">
        <v>34</v>
      </c>
      <c r="D3032">
        <v>0</v>
      </c>
      <c r="E3032">
        <v>1</v>
      </c>
      <c r="F3032" s="7">
        <v>10994.82</v>
      </c>
      <c r="G3032">
        <v>0</v>
      </c>
      <c r="H3032" s="7">
        <v>0</v>
      </c>
    </row>
    <row r="3033" spans="1:8">
      <c r="A3033">
        <v>2</v>
      </c>
      <c r="B3033" t="s">
        <v>42</v>
      </c>
      <c r="C3033" t="s">
        <v>33</v>
      </c>
      <c r="D3033">
        <v>0</v>
      </c>
      <c r="E3033">
        <v>1</v>
      </c>
      <c r="F3033" s="7">
        <v>3414.39</v>
      </c>
      <c r="G3033">
        <v>0</v>
      </c>
      <c r="H3033" s="7">
        <v>0</v>
      </c>
    </row>
    <row r="3034" spans="1:8">
      <c r="A3034">
        <v>2</v>
      </c>
      <c r="B3034" t="s">
        <v>42</v>
      </c>
      <c r="C3034" t="s">
        <v>33</v>
      </c>
      <c r="D3034">
        <v>0</v>
      </c>
      <c r="E3034">
        <v>1</v>
      </c>
      <c r="F3034" s="7">
        <v>1958.03</v>
      </c>
      <c r="G3034">
        <v>0</v>
      </c>
      <c r="H3034" s="7">
        <v>0</v>
      </c>
    </row>
    <row r="3035" spans="1:8">
      <c r="A3035">
        <v>2</v>
      </c>
      <c r="B3035" t="s">
        <v>44</v>
      </c>
      <c r="C3035" t="s">
        <v>35</v>
      </c>
      <c r="D3035">
        <v>0</v>
      </c>
      <c r="E3035">
        <v>1</v>
      </c>
      <c r="F3035" s="7">
        <v>312856</v>
      </c>
      <c r="G3035">
        <v>0</v>
      </c>
      <c r="H3035" s="7">
        <v>0</v>
      </c>
    </row>
    <row r="3036" spans="1:8">
      <c r="A3036">
        <v>2</v>
      </c>
      <c r="B3036" t="s">
        <v>42</v>
      </c>
      <c r="C3036" t="s">
        <v>33</v>
      </c>
      <c r="D3036">
        <v>0</v>
      </c>
      <c r="E3036">
        <v>1</v>
      </c>
      <c r="F3036" s="7">
        <v>1563.69</v>
      </c>
      <c r="G3036">
        <v>0</v>
      </c>
      <c r="H3036" s="7">
        <v>0</v>
      </c>
    </row>
    <row r="3037" spans="1:8">
      <c r="A3037">
        <v>2</v>
      </c>
      <c r="B3037" t="s">
        <v>42</v>
      </c>
      <c r="C3037" t="s">
        <v>32</v>
      </c>
      <c r="D3037">
        <v>0</v>
      </c>
      <c r="E3037">
        <v>1</v>
      </c>
      <c r="F3037" s="7">
        <v>580.51</v>
      </c>
      <c r="G3037">
        <v>0</v>
      </c>
      <c r="H3037" s="7">
        <v>0</v>
      </c>
    </row>
    <row r="3038" spans="1:8">
      <c r="A3038">
        <v>2</v>
      </c>
      <c r="B3038" t="s">
        <v>42</v>
      </c>
      <c r="C3038" t="s">
        <v>33</v>
      </c>
      <c r="D3038">
        <v>0</v>
      </c>
      <c r="E3038">
        <v>1</v>
      </c>
      <c r="F3038" s="7">
        <v>1156.11</v>
      </c>
      <c r="G3038">
        <v>0</v>
      </c>
      <c r="H3038" s="7">
        <v>0</v>
      </c>
    </row>
    <row r="3039" spans="1:8">
      <c r="A3039">
        <v>2</v>
      </c>
      <c r="B3039" t="s">
        <v>45</v>
      </c>
      <c r="C3039" t="s">
        <v>33</v>
      </c>
      <c r="D3039">
        <v>0</v>
      </c>
      <c r="E3039">
        <v>1</v>
      </c>
      <c r="F3039" s="7">
        <v>3462.64</v>
      </c>
      <c r="G3039">
        <v>0</v>
      </c>
      <c r="H3039" s="7">
        <v>0</v>
      </c>
    </row>
    <row r="3040" spans="1:8">
      <c r="A3040">
        <v>2</v>
      </c>
      <c r="B3040" t="s">
        <v>42</v>
      </c>
      <c r="C3040" t="s">
        <v>33</v>
      </c>
      <c r="D3040">
        <v>0</v>
      </c>
      <c r="E3040">
        <v>1</v>
      </c>
      <c r="F3040" s="7">
        <v>1666.17</v>
      </c>
      <c r="G3040">
        <v>0</v>
      </c>
      <c r="H3040" s="7">
        <v>0</v>
      </c>
    </row>
    <row r="3041" spans="1:8">
      <c r="A3041">
        <v>2</v>
      </c>
      <c r="B3041" t="s">
        <v>44</v>
      </c>
      <c r="C3041" t="s">
        <v>34</v>
      </c>
      <c r="D3041">
        <v>0</v>
      </c>
      <c r="E3041">
        <v>1</v>
      </c>
      <c r="F3041" s="7">
        <v>94658.15</v>
      </c>
      <c r="G3041">
        <v>0</v>
      </c>
      <c r="H3041" s="7">
        <v>0</v>
      </c>
    </row>
    <row r="3042" spans="1:8">
      <c r="A3042">
        <v>2</v>
      </c>
      <c r="B3042" t="s">
        <v>44</v>
      </c>
      <c r="C3042" t="s">
        <v>34</v>
      </c>
      <c r="D3042">
        <v>0</v>
      </c>
      <c r="E3042">
        <v>1</v>
      </c>
      <c r="F3042" s="7">
        <v>68588.88</v>
      </c>
      <c r="G3042">
        <v>0</v>
      </c>
      <c r="H3042" s="7">
        <v>0</v>
      </c>
    </row>
    <row r="3043" spans="1:8">
      <c r="A3043">
        <v>2</v>
      </c>
      <c r="B3043" t="s">
        <v>44</v>
      </c>
      <c r="C3043" t="s">
        <v>35</v>
      </c>
      <c r="D3043">
        <v>0</v>
      </c>
      <c r="E3043">
        <v>1</v>
      </c>
      <c r="F3043" s="7">
        <v>132382.57</v>
      </c>
      <c r="G3043">
        <v>0</v>
      </c>
      <c r="H3043" s="7">
        <v>0</v>
      </c>
    </row>
    <row r="3044" spans="1:8">
      <c r="A3044">
        <v>2</v>
      </c>
      <c r="B3044" t="s">
        <v>43</v>
      </c>
      <c r="C3044" t="s">
        <v>35</v>
      </c>
      <c r="D3044">
        <v>0</v>
      </c>
      <c r="E3044">
        <v>1</v>
      </c>
      <c r="F3044" s="7">
        <v>148688.71</v>
      </c>
      <c r="G3044">
        <v>0</v>
      </c>
      <c r="H3044" s="7">
        <v>0</v>
      </c>
    </row>
    <row r="3045" spans="1:8">
      <c r="A3045">
        <v>2</v>
      </c>
      <c r="B3045" t="s">
        <v>42</v>
      </c>
      <c r="C3045" t="s">
        <v>33</v>
      </c>
      <c r="D3045">
        <v>0</v>
      </c>
      <c r="E3045">
        <v>1</v>
      </c>
      <c r="F3045" s="7">
        <v>1860.2</v>
      </c>
      <c r="G3045">
        <v>0</v>
      </c>
      <c r="H3045" s="7">
        <v>0</v>
      </c>
    </row>
    <row r="3046" spans="1:8">
      <c r="A3046">
        <v>2</v>
      </c>
      <c r="B3046" t="s">
        <v>42</v>
      </c>
      <c r="C3046" t="s">
        <v>34</v>
      </c>
      <c r="D3046">
        <v>0</v>
      </c>
      <c r="E3046">
        <v>1</v>
      </c>
      <c r="F3046" s="7">
        <v>10819.89</v>
      </c>
      <c r="G3046">
        <v>0</v>
      </c>
      <c r="H3046" s="7">
        <v>0</v>
      </c>
    </row>
    <row r="3047" spans="1:8">
      <c r="A3047">
        <v>2</v>
      </c>
      <c r="B3047" t="s">
        <v>42</v>
      </c>
      <c r="C3047" t="s">
        <v>33</v>
      </c>
      <c r="D3047">
        <v>0</v>
      </c>
      <c r="E3047">
        <v>1</v>
      </c>
      <c r="F3047" s="7">
        <v>3535.73</v>
      </c>
      <c r="G3047">
        <v>0</v>
      </c>
      <c r="H3047" s="7">
        <v>0</v>
      </c>
    </row>
    <row r="3048" spans="1:8">
      <c r="A3048">
        <v>2</v>
      </c>
      <c r="B3048" t="s">
        <v>42</v>
      </c>
      <c r="C3048" t="s">
        <v>33</v>
      </c>
      <c r="D3048">
        <v>0</v>
      </c>
      <c r="E3048">
        <v>1</v>
      </c>
      <c r="F3048" s="7">
        <v>2739.8</v>
      </c>
      <c r="G3048">
        <v>0</v>
      </c>
      <c r="H3048" s="7">
        <v>0</v>
      </c>
    </row>
    <row r="3049" spans="1:8">
      <c r="A3049">
        <v>2</v>
      </c>
      <c r="B3049" t="s">
        <v>42</v>
      </c>
      <c r="C3049" t="s">
        <v>33</v>
      </c>
      <c r="D3049">
        <v>0</v>
      </c>
      <c r="E3049">
        <v>1</v>
      </c>
      <c r="F3049" s="7">
        <v>7611.48</v>
      </c>
      <c r="G3049">
        <v>0</v>
      </c>
      <c r="H3049" s="7">
        <v>0</v>
      </c>
    </row>
    <row r="3050" spans="1:8">
      <c r="A3050">
        <v>2</v>
      </c>
      <c r="B3050" t="s">
        <v>42</v>
      </c>
      <c r="C3050" t="s">
        <v>33</v>
      </c>
      <c r="D3050">
        <v>0</v>
      </c>
      <c r="E3050">
        <v>1</v>
      </c>
      <c r="F3050" s="7">
        <v>5567.54</v>
      </c>
      <c r="G3050">
        <v>0</v>
      </c>
      <c r="H3050" s="7">
        <v>0</v>
      </c>
    </row>
    <row r="3051" spans="1:8">
      <c r="A3051">
        <v>2</v>
      </c>
      <c r="B3051" t="s">
        <v>42</v>
      </c>
      <c r="C3051" t="s">
        <v>33</v>
      </c>
      <c r="D3051">
        <v>0</v>
      </c>
      <c r="E3051">
        <v>1</v>
      </c>
      <c r="F3051" s="7">
        <v>1946.14</v>
      </c>
      <c r="G3051">
        <v>0</v>
      </c>
      <c r="H3051" s="7">
        <v>0</v>
      </c>
    </row>
    <row r="3052" spans="1:8">
      <c r="A3052">
        <v>2</v>
      </c>
      <c r="B3052" t="s">
        <v>42</v>
      </c>
      <c r="C3052" t="s">
        <v>33</v>
      </c>
      <c r="D3052">
        <v>0</v>
      </c>
      <c r="E3052">
        <v>1</v>
      </c>
      <c r="F3052" s="7">
        <v>1413.15</v>
      </c>
      <c r="G3052">
        <v>0</v>
      </c>
      <c r="H3052" s="7">
        <v>0</v>
      </c>
    </row>
    <row r="3053" spans="1:8">
      <c r="A3053">
        <v>2</v>
      </c>
      <c r="B3053" t="s">
        <v>42</v>
      </c>
      <c r="C3053" t="s">
        <v>34</v>
      </c>
      <c r="D3053">
        <v>0</v>
      </c>
      <c r="E3053">
        <v>1</v>
      </c>
      <c r="F3053" s="7">
        <v>36622.73</v>
      </c>
      <c r="G3053">
        <v>0</v>
      </c>
      <c r="H3053" s="7">
        <v>0</v>
      </c>
    </row>
    <row r="3054" spans="1:8">
      <c r="A3054">
        <v>2</v>
      </c>
      <c r="B3054" t="s">
        <v>42</v>
      </c>
      <c r="C3054" t="s">
        <v>33</v>
      </c>
      <c r="D3054">
        <v>0</v>
      </c>
      <c r="E3054">
        <v>1</v>
      </c>
      <c r="F3054" s="7">
        <v>5222.53</v>
      </c>
      <c r="G3054">
        <v>0</v>
      </c>
      <c r="H3054" s="7">
        <v>0</v>
      </c>
    </row>
    <row r="3055" spans="1:8">
      <c r="A3055">
        <v>2</v>
      </c>
      <c r="B3055" t="s">
        <v>42</v>
      </c>
      <c r="C3055" t="s">
        <v>33</v>
      </c>
      <c r="D3055">
        <v>0</v>
      </c>
      <c r="E3055">
        <v>1</v>
      </c>
      <c r="F3055" s="7">
        <v>4153.3</v>
      </c>
      <c r="G3055">
        <v>0</v>
      </c>
      <c r="H3055" s="7">
        <v>0</v>
      </c>
    </row>
    <row r="3056" spans="1:8">
      <c r="A3056">
        <v>2</v>
      </c>
      <c r="B3056" t="s">
        <v>42</v>
      </c>
      <c r="C3056" t="s">
        <v>34</v>
      </c>
      <c r="D3056">
        <v>0</v>
      </c>
      <c r="E3056">
        <v>1</v>
      </c>
      <c r="F3056" s="7">
        <v>16473.03</v>
      </c>
      <c r="G3056">
        <v>0</v>
      </c>
      <c r="H3056" s="7">
        <v>0</v>
      </c>
    </row>
    <row r="3057" spans="1:8">
      <c r="A3057">
        <v>2</v>
      </c>
      <c r="B3057" t="s">
        <v>42</v>
      </c>
      <c r="C3057" t="s">
        <v>33</v>
      </c>
      <c r="D3057">
        <v>0</v>
      </c>
      <c r="E3057">
        <v>1</v>
      </c>
      <c r="F3057" s="7">
        <v>1863.03</v>
      </c>
      <c r="G3057">
        <v>0</v>
      </c>
      <c r="H3057" s="7">
        <v>0</v>
      </c>
    </row>
    <row r="3058" spans="1:8">
      <c r="A3058">
        <v>2</v>
      </c>
      <c r="B3058" t="s">
        <v>42</v>
      </c>
      <c r="C3058" t="s">
        <v>34</v>
      </c>
      <c r="D3058">
        <v>0</v>
      </c>
      <c r="E3058">
        <v>1</v>
      </c>
      <c r="F3058" s="7">
        <v>20461.89</v>
      </c>
      <c r="G3058">
        <v>0</v>
      </c>
      <c r="H3058" s="7">
        <v>0</v>
      </c>
    </row>
    <row r="3059" spans="1:8">
      <c r="A3059">
        <v>2</v>
      </c>
      <c r="B3059" t="s">
        <v>42</v>
      </c>
      <c r="C3059" t="s">
        <v>33</v>
      </c>
      <c r="D3059">
        <v>0</v>
      </c>
      <c r="E3059">
        <v>1</v>
      </c>
      <c r="F3059" s="7">
        <v>7676.41</v>
      </c>
      <c r="G3059">
        <v>0</v>
      </c>
      <c r="H3059" s="7">
        <v>0</v>
      </c>
    </row>
    <row r="3060" spans="1:8">
      <c r="A3060">
        <v>2</v>
      </c>
      <c r="B3060" t="s">
        <v>42</v>
      </c>
      <c r="C3060" t="s">
        <v>33</v>
      </c>
      <c r="D3060">
        <v>0</v>
      </c>
      <c r="E3060">
        <v>1</v>
      </c>
      <c r="F3060" s="7">
        <v>2531.09</v>
      </c>
      <c r="G3060">
        <v>0</v>
      </c>
      <c r="H3060" s="7">
        <v>0</v>
      </c>
    </row>
    <row r="3061" spans="1:8">
      <c r="A3061">
        <v>2</v>
      </c>
      <c r="B3061" t="s">
        <v>42</v>
      </c>
      <c r="C3061" t="s">
        <v>33</v>
      </c>
      <c r="D3061">
        <v>0</v>
      </c>
      <c r="E3061">
        <v>1</v>
      </c>
      <c r="F3061" s="7">
        <v>6183.46</v>
      </c>
      <c r="G3061">
        <v>0</v>
      </c>
      <c r="H3061" s="7">
        <v>0</v>
      </c>
    </row>
    <row r="3062" spans="1:8">
      <c r="A3062">
        <v>2</v>
      </c>
      <c r="B3062" t="s">
        <v>42</v>
      </c>
      <c r="C3062" t="s">
        <v>34</v>
      </c>
      <c r="D3062">
        <v>0</v>
      </c>
      <c r="E3062">
        <v>1</v>
      </c>
      <c r="F3062" s="7">
        <v>20442.39</v>
      </c>
      <c r="G3062">
        <v>0</v>
      </c>
      <c r="H3062" s="7">
        <v>0</v>
      </c>
    </row>
    <row r="3063" spans="1:8">
      <c r="A3063">
        <v>2</v>
      </c>
      <c r="B3063" t="s">
        <v>42</v>
      </c>
      <c r="C3063" t="s">
        <v>33</v>
      </c>
      <c r="D3063">
        <v>0</v>
      </c>
      <c r="E3063">
        <v>1</v>
      </c>
      <c r="F3063" s="7">
        <v>8596.25</v>
      </c>
      <c r="G3063">
        <v>0</v>
      </c>
      <c r="H3063" s="7">
        <v>0</v>
      </c>
    </row>
    <row r="3064" spans="1:8">
      <c r="A3064">
        <v>2</v>
      </c>
      <c r="B3064" t="s">
        <v>42</v>
      </c>
      <c r="C3064" t="s">
        <v>33</v>
      </c>
      <c r="D3064">
        <v>0</v>
      </c>
      <c r="E3064">
        <v>1</v>
      </c>
      <c r="F3064" s="7">
        <v>9657.66</v>
      </c>
      <c r="G3064">
        <v>0</v>
      </c>
      <c r="H3064" s="7">
        <v>0</v>
      </c>
    </row>
    <row r="3065" spans="1:8">
      <c r="A3065">
        <v>2</v>
      </c>
      <c r="B3065" t="s">
        <v>43</v>
      </c>
      <c r="C3065" t="s">
        <v>36</v>
      </c>
      <c r="D3065">
        <v>1</v>
      </c>
      <c r="E3065">
        <v>1</v>
      </c>
      <c r="F3065" s="7">
        <v>1096187.24</v>
      </c>
      <c r="G3065">
        <v>1</v>
      </c>
      <c r="H3065" s="7">
        <v>1096187.24</v>
      </c>
    </row>
    <row r="3066" spans="1:8">
      <c r="A3066">
        <v>2</v>
      </c>
      <c r="B3066" t="s">
        <v>44</v>
      </c>
      <c r="C3066" t="s">
        <v>36</v>
      </c>
      <c r="D3066">
        <v>1</v>
      </c>
      <c r="E3066">
        <v>1</v>
      </c>
      <c r="F3066" s="7">
        <v>1096187.24</v>
      </c>
      <c r="G3066">
        <v>1</v>
      </c>
      <c r="H3066" s="7">
        <v>1096187.24</v>
      </c>
    </row>
    <row r="3067" spans="1:8">
      <c r="A3067">
        <v>2</v>
      </c>
      <c r="B3067" t="s">
        <v>42</v>
      </c>
      <c r="C3067" t="s">
        <v>33</v>
      </c>
      <c r="D3067">
        <v>0</v>
      </c>
      <c r="E3067">
        <v>1</v>
      </c>
      <c r="F3067" s="7">
        <v>9914.5</v>
      </c>
      <c r="G3067">
        <v>0</v>
      </c>
      <c r="H3067" s="7">
        <v>0</v>
      </c>
    </row>
    <row r="3068" spans="1:8">
      <c r="A3068">
        <v>2</v>
      </c>
      <c r="B3068" t="s">
        <v>42</v>
      </c>
      <c r="C3068" t="s">
        <v>33</v>
      </c>
      <c r="D3068">
        <v>0</v>
      </c>
      <c r="E3068">
        <v>1</v>
      </c>
      <c r="F3068" s="7">
        <v>7182</v>
      </c>
      <c r="G3068">
        <v>0</v>
      </c>
      <c r="H3068" s="7">
        <v>0</v>
      </c>
    </row>
    <row r="3069" spans="1:8">
      <c r="A3069">
        <v>2</v>
      </c>
      <c r="B3069" t="s">
        <v>42</v>
      </c>
      <c r="C3069" t="s">
        <v>34</v>
      </c>
      <c r="D3069">
        <v>0</v>
      </c>
      <c r="E3069">
        <v>1</v>
      </c>
      <c r="F3069" s="7">
        <v>22228.5</v>
      </c>
      <c r="G3069">
        <v>0</v>
      </c>
      <c r="H3069" s="7">
        <v>0</v>
      </c>
    </row>
    <row r="3070" spans="1:8">
      <c r="A3070">
        <v>2</v>
      </c>
      <c r="B3070" t="s">
        <v>42</v>
      </c>
      <c r="C3070" t="s">
        <v>32</v>
      </c>
      <c r="D3070">
        <v>0</v>
      </c>
      <c r="E3070">
        <v>1</v>
      </c>
      <c r="F3070" s="7">
        <v>117.32</v>
      </c>
      <c r="G3070">
        <v>0</v>
      </c>
      <c r="H3070" s="7">
        <v>0</v>
      </c>
    </row>
    <row r="3071" spans="1:8">
      <c r="A3071">
        <v>2</v>
      </c>
      <c r="B3071" t="s">
        <v>45</v>
      </c>
      <c r="C3071" t="s">
        <v>33</v>
      </c>
      <c r="D3071">
        <v>0</v>
      </c>
      <c r="E3071">
        <v>1</v>
      </c>
      <c r="F3071" s="7">
        <v>1225.92</v>
      </c>
      <c r="G3071">
        <v>0</v>
      </c>
      <c r="H3071" s="7">
        <v>0</v>
      </c>
    </row>
    <row r="3072" spans="1:8">
      <c r="A3072">
        <v>2</v>
      </c>
      <c r="B3072" t="s">
        <v>42</v>
      </c>
      <c r="C3072" t="s">
        <v>33</v>
      </c>
      <c r="D3072">
        <v>0</v>
      </c>
      <c r="E3072">
        <v>1</v>
      </c>
      <c r="F3072" s="7">
        <v>2986.97</v>
      </c>
      <c r="G3072">
        <v>0</v>
      </c>
      <c r="H3072" s="7">
        <v>0</v>
      </c>
    </row>
    <row r="3073" spans="1:8">
      <c r="A3073">
        <v>2</v>
      </c>
      <c r="B3073" t="s">
        <v>45</v>
      </c>
      <c r="C3073" t="s">
        <v>33</v>
      </c>
      <c r="D3073">
        <v>0</v>
      </c>
      <c r="E3073">
        <v>1</v>
      </c>
      <c r="F3073" s="7">
        <v>1890.03</v>
      </c>
      <c r="G3073">
        <v>0</v>
      </c>
      <c r="H3073" s="7">
        <v>0</v>
      </c>
    </row>
    <row r="3074" spans="1:8">
      <c r="A3074">
        <v>2</v>
      </c>
      <c r="B3074" t="s">
        <v>44</v>
      </c>
      <c r="C3074" t="s">
        <v>35</v>
      </c>
      <c r="D3074">
        <v>0</v>
      </c>
      <c r="E3074">
        <v>1</v>
      </c>
      <c r="F3074" s="7">
        <v>108659.34</v>
      </c>
      <c r="G3074">
        <v>0</v>
      </c>
      <c r="H3074" s="7">
        <v>0</v>
      </c>
    </row>
    <row r="3075" spans="1:8">
      <c r="A3075">
        <v>2</v>
      </c>
      <c r="B3075" t="s">
        <v>42</v>
      </c>
      <c r="C3075" t="s">
        <v>33</v>
      </c>
      <c r="D3075">
        <v>0</v>
      </c>
      <c r="E3075">
        <v>1</v>
      </c>
      <c r="F3075" s="7">
        <v>5966.29</v>
      </c>
      <c r="G3075">
        <v>0</v>
      </c>
      <c r="H3075" s="7">
        <v>0</v>
      </c>
    </row>
    <row r="3076" spans="1:8">
      <c r="A3076">
        <v>2</v>
      </c>
      <c r="B3076" t="s">
        <v>42</v>
      </c>
      <c r="C3076" t="s">
        <v>33</v>
      </c>
      <c r="D3076">
        <v>0</v>
      </c>
      <c r="E3076">
        <v>1</v>
      </c>
      <c r="F3076" s="7">
        <v>7810.47</v>
      </c>
      <c r="G3076">
        <v>0</v>
      </c>
      <c r="H3076" s="7">
        <v>0</v>
      </c>
    </row>
    <row r="3077" spans="1:8">
      <c r="A3077">
        <v>2</v>
      </c>
      <c r="B3077" t="s">
        <v>45</v>
      </c>
      <c r="C3077" t="s">
        <v>33</v>
      </c>
      <c r="D3077">
        <v>0</v>
      </c>
      <c r="E3077">
        <v>1</v>
      </c>
      <c r="F3077" s="7">
        <v>2307.78</v>
      </c>
      <c r="G3077">
        <v>0</v>
      </c>
      <c r="H3077" s="7">
        <v>0</v>
      </c>
    </row>
    <row r="3078" spans="1:8">
      <c r="A3078">
        <v>2</v>
      </c>
      <c r="B3078" t="s">
        <v>44</v>
      </c>
      <c r="C3078" t="s">
        <v>34</v>
      </c>
      <c r="D3078">
        <v>0</v>
      </c>
      <c r="E3078">
        <v>1</v>
      </c>
      <c r="F3078" s="7">
        <v>97601.12</v>
      </c>
      <c r="G3078">
        <v>0</v>
      </c>
      <c r="H3078" s="7">
        <v>0</v>
      </c>
    </row>
    <row r="3079" spans="1:8">
      <c r="A3079">
        <v>2</v>
      </c>
      <c r="B3079" t="s">
        <v>44</v>
      </c>
      <c r="C3079" t="s">
        <v>34</v>
      </c>
      <c r="D3079">
        <v>0</v>
      </c>
      <c r="E3079">
        <v>1</v>
      </c>
      <c r="F3079" s="7">
        <v>48183.1</v>
      </c>
      <c r="G3079">
        <v>0</v>
      </c>
      <c r="H3079" s="7">
        <v>0</v>
      </c>
    </row>
    <row r="3080" spans="1:8">
      <c r="A3080">
        <v>2</v>
      </c>
      <c r="B3080" t="s">
        <v>44</v>
      </c>
      <c r="C3080" t="s">
        <v>34</v>
      </c>
      <c r="D3080">
        <v>0</v>
      </c>
      <c r="E3080">
        <v>1</v>
      </c>
      <c r="F3080" s="7">
        <v>96785.24</v>
      </c>
      <c r="G3080">
        <v>0</v>
      </c>
      <c r="H3080" s="7">
        <v>0</v>
      </c>
    </row>
    <row r="3081" spans="1:8">
      <c r="A3081">
        <v>2</v>
      </c>
      <c r="B3081" t="s">
        <v>44</v>
      </c>
      <c r="C3081" t="s">
        <v>35</v>
      </c>
      <c r="D3081">
        <v>0</v>
      </c>
      <c r="E3081">
        <v>1</v>
      </c>
      <c r="F3081" s="7">
        <v>256481.7</v>
      </c>
      <c r="G3081">
        <v>0</v>
      </c>
      <c r="H3081" s="7">
        <v>0</v>
      </c>
    </row>
    <row r="3082" spans="1:8">
      <c r="A3082">
        <v>2</v>
      </c>
      <c r="B3082" t="s">
        <v>44</v>
      </c>
      <c r="C3082" t="s">
        <v>34</v>
      </c>
      <c r="D3082">
        <v>0</v>
      </c>
      <c r="E3082">
        <v>1</v>
      </c>
      <c r="F3082" s="7">
        <v>37493.87</v>
      </c>
      <c r="G3082">
        <v>0</v>
      </c>
      <c r="H3082" s="7">
        <v>0</v>
      </c>
    </row>
    <row r="3083" spans="1:8">
      <c r="A3083">
        <v>2</v>
      </c>
      <c r="B3083" t="s">
        <v>44</v>
      </c>
      <c r="C3083" t="s">
        <v>34</v>
      </c>
      <c r="D3083">
        <v>0</v>
      </c>
      <c r="E3083">
        <v>1</v>
      </c>
      <c r="F3083" s="7">
        <v>58981.28</v>
      </c>
      <c r="G3083">
        <v>0</v>
      </c>
      <c r="H3083" s="7">
        <v>0</v>
      </c>
    </row>
    <row r="3084" spans="1:8">
      <c r="A3084">
        <v>2</v>
      </c>
      <c r="B3084" t="s">
        <v>44</v>
      </c>
      <c r="C3084" t="s">
        <v>35</v>
      </c>
      <c r="D3084">
        <v>0</v>
      </c>
      <c r="E3084">
        <v>1</v>
      </c>
      <c r="F3084" s="7">
        <v>293358.03</v>
      </c>
      <c r="G3084">
        <v>0</v>
      </c>
      <c r="H3084" s="7">
        <v>0</v>
      </c>
    </row>
    <row r="3085" spans="1:8">
      <c r="A3085">
        <v>2</v>
      </c>
      <c r="B3085" t="s">
        <v>44</v>
      </c>
      <c r="C3085" t="s">
        <v>35</v>
      </c>
      <c r="D3085">
        <v>0</v>
      </c>
      <c r="E3085">
        <v>1</v>
      </c>
      <c r="F3085" s="7">
        <v>108702.86</v>
      </c>
      <c r="G3085">
        <v>0</v>
      </c>
      <c r="H3085" s="7">
        <v>0</v>
      </c>
    </row>
    <row r="3086" spans="1:8">
      <c r="A3086">
        <v>2</v>
      </c>
      <c r="B3086" t="s">
        <v>44</v>
      </c>
      <c r="C3086" t="s">
        <v>35</v>
      </c>
      <c r="D3086">
        <v>0</v>
      </c>
      <c r="E3086">
        <v>1</v>
      </c>
      <c r="F3086" s="7">
        <v>210833.38</v>
      </c>
      <c r="G3086">
        <v>0</v>
      </c>
      <c r="H3086" s="7">
        <v>0</v>
      </c>
    </row>
    <row r="3087" spans="1:8">
      <c r="A3087">
        <v>2</v>
      </c>
      <c r="B3087" t="s">
        <v>44</v>
      </c>
      <c r="C3087" t="s">
        <v>35</v>
      </c>
      <c r="D3087">
        <v>0</v>
      </c>
      <c r="E3087">
        <v>1</v>
      </c>
      <c r="F3087" s="7">
        <v>106336.36</v>
      </c>
      <c r="G3087">
        <v>0</v>
      </c>
      <c r="H3087" s="7">
        <v>0</v>
      </c>
    </row>
    <row r="3088" spans="1:8">
      <c r="A3088">
        <v>2</v>
      </c>
      <c r="B3088" t="s">
        <v>44</v>
      </c>
      <c r="C3088" t="s">
        <v>35</v>
      </c>
      <c r="D3088">
        <v>0</v>
      </c>
      <c r="E3088">
        <v>1</v>
      </c>
      <c r="F3088" s="7">
        <v>163717.43</v>
      </c>
      <c r="G3088">
        <v>0</v>
      </c>
      <c r="H3088" s="7">
        <v>0</v>
      </c>
    </row>
    <row r="3089" spans="1:8">
      <c r="A3089">
        <v>2</v>
      </c>
      <c r="B3089" t="s">
        <v>44</v>
      </c>
      <c r="C3089" t="s">
        <v>35</v>
      </c>
      <c r="D3089">
        <v>0</v>
      </c>
      <c r="E3089">
        <v>1</v>
      </c>
      <c r="F3089" s="7">
        <v>280267.65</v>
      </c>
      <c r="G3089">
        <v>0</v>
      </c>
      <c r="H3089" s="7">
        <v>0</v>
      </c>
    </row>
    <row r="3090" spans="1:8">
      <c r="A3090">
        <v>2</v>
      </c>
      <c r="B3090" t="s">
        <v>44</v>
      </c>
      <c r="C3090" t="s">
        <v>35</v>
      </c>
      <c r="D3090">
        <v>0</v>
      </c>
      <c r="E3090">
        <v>1</v>
      </c>
      <c r="F3090" s="7">
        <v>381479.99</v>
      </c>
      <c r="G3090">
        <v>0</v>
      </c>
      <c r="H3090" s="7">
        <v>0</v>
      </c>
    </row>
    <row r="3091" spans="1:8">
      <c r="A3091">
        <v>2</v>
      </c>
      <c r="B3091" t="s">
        <v>44</v>
      </c>
      <c r="C3091" t="s">
        <v>35</v>
      </c>
      <c r="D3091">
        <v>0</v>
      </c>
      <c r="E3091">
        <v>1</v>
      </c>
      <c r="F3091" s="7">
        <v>194008.39</v>
      </c>
      <c r="G3091">
        <v>0</v>
      </c>
      <c r="H3091" s="7">
        <v>0</v>
      </c>
    </row>
    <row r="3092" spans="1:8">
      <c r="A3092">
        <v>2</v>
      </c>
      <c r="B3092" t="s">
        <v>44</v>
      </c>
      <c r="C3092" t="s">
        <v>35</v>
      </c>
      <c r="D3092">
        <v>0</v>
      </c>
      <c r="E3092">
        <v>1</v>
      </c>
      <c r="F3092" s="7">
        <v>178805.23</v>
      </c>
      <c r="G3092">
        <v>0</v>
      </c>
      <c r="H3092" s="7">
        <v>0</v>
      </c>
    </row>
    <row r="3093" spans="1:8">
      <c r="A3093">
        <v>2</v>
      </c>
      <c r="B3093" t="s">
        <v>42</v>
      </c>
      <c r="C3093" t="s">
        <v>32</v>
      </c>
      <c r="D3093">
        <v>0</v>
      </c>
      <c r="E3093">
        <v>1</v>
      </c>
      <c r="F3093" s="7">
        <v>385.23</v>
      </c>
      <c r="G3093">
        <v>0</v>
      </c>
      <c r="H3093" s="7">
        <v>0</v>
      </c>
    </row>
    <row r="3094" spans="1:8">
      <c r="A3094">
        <v>2</v>
      </c>
      <c r="B3094" t="s">
        <v>42</v>
      </c>
      <c r="C3094" t="s">
        <v>34</v>
      </c>
      <c r="D3094">
        <v>0</v>
      </c>
      <c r="E3094">
        <v>1</v>
      </c>
      <c r="F3094" s="7">
        <v>14925.71</v>
      </c>
      <c r="G3094">
        <v>0</v>
      </c>
      <c r="H3094" s="7">
        <v>0</v>
      </c>
    </row>
    <row r="3095" spans="1:8">
      <c r="A3095">
        <v>2</v>
      </c>
      <c r="B3095" t="s">
        <v>42</v>
      </c>
      <c r="C3095" t="s">
        <v>33</v>
      </c>
      <c r="D3095">
        <v>0</v>
      </c>
      <c r="E3095">
        <v>1</v>
      </c>
      <c r="F3095" s="7">
        <v>5919.22</v>
      </c>
      <c r="G3095">
        <v>0</v>
      </c>
      <c r="H3095" s="7">
        <v>0</v>
      </c>
    </row>
    <row r="3096" spans="1:8">
      <c r="A3096">
        <v>2</v>
      </c>
      <c r="B3096" t="s">
        <v>42</v>
      </c>
      <c r="C3096" t="s">
        <v>34</v>
      </c>
      <c r="D3096">
        <v>0</v>
      </c>
      <c r="E3096">
        <v>1</v>
      </c>
      <c r="F3096" s="7">
        <v>11689.02</v>
      </c>
      <c r="G3096">
        <v>0</v>
      </c>
      <c r="H3096" s="7">
        <v>0</v>
      </c>
    </row>
    <row r="3097" spans="1:8">
      <c r="A3097">
        <v>2</v>
      </c>
      <c r="B3097" t="s">
        <v>42</v>
      </c>
      <c r="C3097" t="s">
        <v>33</v>
      </c>
      <c r="D3097">
        <v>0</v>
      </c>
      <c r="E3097">
        <v>1</v>
      </c>
      <c r="F3097" s="7">
        <v>6330.85</v>
      </c>
      <c r="G3097">
        <v>0</v>
      </c>
      <c r="H3097" s="7">
        <v>0</v>
      </c>
    </row>
    <row r="3098" spans="1:8">
      <c r="A3098">
        <v>2</v>
      </c>
      <c r="B3098" t="s">
        <v>42</v>
      </c>
      <c r="C3098" t="s">
        <v>33</v>
      </c>
      <c r="D3098">
        <v>0</v>
      </c>
      <c r="E3098">
        <v>1</v>
      </c>
      <c r="F3098" s="7">
        <v>6604.34</v>
      </c>
      <c r="G3098">
        <v>0</v>
      </c>
      <c r="H3098" s="7">
        <v>0</v>
      </c>
    </row>
    <row r="3099" spans="1:8">
      <c r="A3099">
        <v>2</v>
      </c>
      <c r="B3099" t="s">
        <v>42</v>
      </c>
      <c r="C3099" t="s">
        <v>34</v>
      </c>
      <c r="D3099">
        <v>0</v>
      </c>
      <c r="E3099">
        <v>1</v>
      </c>
      <c r="F3099" s="7">
        <v>10625.75</v>
      </c>
      <c r="G3099">
        <v>0</v>
      </c>
      <c r="H3099" s="7">
        <v>0</v>
      </c>
    </row>
    <row r="3100" spans="1:8">
      <c r="A3100">
        <v>2</v>
      </c>
      <c r="B3100" t="s">
        <v>44</v>
      </c>
      <c r="C3100" t="s">
        <v>34</v>
      </c>
      <c r="D3100">
        <v>0</v>
      </c>
      <c r="E3100">
        <v>1</v>
      </c>
      <c r="F3100" s="7">
        <v>74935.58</v>
      </c>
      <c r="G3100">
        <v>0</v>
      </c>
      <c r="H3100" s="7">
        <v>0</v>
      </c>
    </row>
    <row r="3101" spans="1:8">
      <c r="A3101">
        <v>2</v>
      </c>
      <c r="B3101" t="s">
        <v>45</v>
      </c>
      <c r="C3101" t="s">
        <v>33</v>
      </c>
      <c r="D3101">
        <v>0</v>
      </c>
      <c r="E3101">
        <v>1</v>
      </c>
      <c r="F3101" s="7">
        <v>3817.82</v>
      </c>
      <c r="G3101">
        <v>0</v>
      </c>
      <c r="H3101" s="7">
        <v>0</v>
      </c>
    </row>
    <row r="3102" spans="1:8">
      <c r="A3102">
        <v>2</v>
      </c>
      <c r="B3102" t="s">
        <v>44</v>
      </c>
      <c r="C3102" t="s">
        <v>34</v>
      </c>
      <c r="D3102">
        <v>0</v>
      </c>
      <c r="E3102">
        <v>1</v>
      </c>
      <c r="F3102" s="7">
        <v>69734.12</v>
      </c>
      <c r="G3102">
        <v>0</v>
      </c>
      <c r="H3102" s="7">
        <v>0</v>
      </c>
    </row>
    <row r="3103" spans="1:8">
      <c r="A3103">
        <v>2</v>
      </c>
      <c r="B3103" t="s">
        <v>42</v>
      </c>
      <c r="C3103" t="s">
        <v>34</v>
      </c>
      <c r="D3103">
        <v>0</v>
      </c>
      <c r="E3103">
        <v>1</v>
      </c>
      <c r="F3103" s="7">
        <v>10534.49</v>
      </c>
      <c r="G3103">
        <v>0</v>
      </c>
      <c r="H3103" s="7">
        <v>0</v>
      </c>
    </row>
    <row r="3104" spans="1:8">
      <c r="A3104">
        <v>2</v>
      </c>
      <c r="B3104" t="s">
        <v>42</v>
      </c>
      <c r="C3104" t="s">
        <v>33</v>
      </c>
      <c r="D3104">
        <v>0</v>
      </c>
      <c r="E3104">
        <v>1</v>
      </c>
      <c r="F3104" s="7">
        <v>4486.69</v>
      </c>
      <c r="G3104">
        <v>0</v>
      </c>
      <c r="H3104" s="7">
        <v>0</v>
      </c>
    </row>
    <row r="3105" spans="1:8">
      <c r="A3105">
        <v>2</v>
      </c>
      <c r="B3105" t="s">
        <v>42</v>
      </c>
      <c r="C3105" t="s">
        <v>33</v>
      </c>
      <c r="D3105">
        <v>0</v>
      </c>
      <c r="E3105">
        <v>1</v>
      </c>
      <c r="F3105" s="7">
        <v>8757.09</v>
      </c>
      <c r="G3105">
        <v>0</v>
      </c>
      <c r="H3105" s="7">
        <v>0</v>
      </c>
    </row>
    <row r="3106" spans="1:8">
      <c r="A3106">
        <v>2</v>
      </c>
      <c r="B3106" t="s">
        <v>45</v>
      </c>
      <c r="C3106" t="s">
        <v>33</v>
      </c>
      <c r="D3106">
        <v>0</v>
      </c>
      <c r="E3106">
        <v>1</v>
      </c>
      <c r="F3106" s="7">
        <v>1654.94</v>
      </c>
      <c r="G3106">
        <v>0</v>
      </c>
      <c r="H3106" s="7">
        <v>0</v>
      </c>
    </row>
    <row r="3107" spans="1:8">
      <c r="A3107">
        <v>2</v>
      </c>
      <c r="B3107" t="s">
        <v>42</v>
      </c>
      <c r="C3107" t="s">
        <v>33</v>
      </c>
      <c r="D3107">
        <v>0</v>
      </c>
      <c r="E3107">
        <v>1</v>
      </c>
      <c r="F3107" s="7">
        <v>1330.7</v>
      </c>
      <c r="G3107">
        <v>0</v>
      </c>
      <c r="H3107" s="7">
        <v>0</v>
      </c>
    </row>
    <row r="3108" spans="1:8">
      <c r="A3108">
        <v>2</v>
      </c>
      <c r="B3108" t="s">
        <v>42</v>
      </c>
      <c r="C3108" t="s">
        <v>32</v>
      </c>
      <c r="D3108">
        <v>0</v>
      </c>
      <c r="E3108">
        <v>1</v>
      </c>
      <c r="F3108" s="7">
        <v>778.6</v>
      </c>
      <c r="G3108">
        <v>0</v>
      </c>
      <c r="H3108" s="7">
        <v>0</v>
      </c>
    </row>
    <row r="3109" spans="1:8">
      <c r="A3109">
        <v>2</v>
      </c>
      <c r="B3109" t="s">
        <v>42</v>
      </c>
      <c r="C3109" t="s">
        <v>32</v>
      </c>
      <c r="D3109">
        <v>0</v>
      </c>
      <c r="E3109">
        <v>1</v>
      </c>
      <c r="F3109" s="7">
        <v>278.57</v>
      </c>
      <c r="G3109">
        <v>0</v>
      </c>
      <c r="H3109" s="7">
        <v>0</v>
      </c>
    </row>
    <row r="3110" spans="1:8">
      <c r="A3110">
        <v>2</v>
      </c>
      <c r="B3110" t="s">
        <v>42</v>
      </c>
      <c r="C3110" t="s">
        <v>33</v>
      </c>
      <c r="D3110">
        <v>0</v>
      </c>
      <c r="E3110">
        <v>1</v>
      </c>
      <c r="F3110" s="7">
        <v>3239.79</v>
      </c>
      <c r="G3110">
        <v>0</v>
      </c>
      <c r="H3110" s="7">
        <v>0</v>
      </c>
    </row>
    <row r="3111" spans="1:8">
      <c r="A3111">
        <v>2</v>
      </c>
      <c r="B3111" t="s">
        <v>42</v>
      </c>
      <c r="C3111" t="s">
        <v>33</v>
      </c>
      <c r="D3111">
        <v>0</v>
      </c>
      <c r="E3111">
        <v>1</v>
      </c>
      <c r="F3111" s="7">
        <v>2065.59</v>
      </c>
      <c r="G3111">
        <v>0</v>
      </c>
      <c r="H3111" s="7">
        <v>0</v>
      </c>
    </row>
    <row r="3112" spans="1:8">
      <c r="A3112">
        <v>2</v>
      </c>
      <c r="B3112" t="s">
        <v>42</v>
      </c>
      <c r="C3112" t="s">
        <v>33</v>
      </c>
      <c r="D3112">
        <v>0</v>
      </c>
      <c r="E3112">
        <v>1</v>
      </c>
      <c r="F3112" s="7">
        <v>1885.53</v>
      </c>
      <c r="G3112">
        <v>0</v>
      </c>
      <c r="H3112" s="7">
        <v>0</v>
      </c>
    </row>
    <row r="3113" spans="1:8">
      <c r="A3113">
        <v>2</v>
      </c>
      <c r="B3113" t="s">
        <v>44</v>
      </c>
      <c r="C3113" t="s">
        <v>35</v>
      </c>
      <c r="D3113">
        <v>0</v>
      </c>
      <c r="E3113">
        <v>1</v>
      </c>
      <c r="F3113" s="7">
        <v>235419.91</v>
      </c>
      <c r="G3113">
        <v>0</v>
      </c>
      <c r="H3113" s="7">
        <v>0</v>
      </c>
    </row>
    <row r="3114" spans="1:8">
      <c r="A3114">
        <v>2</v>
      </c>
      <c r="B3114" t="s">
        <v>46</v>
      </c>
      <c r="C3114" t="s">
        <v>35</v>
      </c>
      <c r="D3114">
        <v>0</v>
      </c>
      <c r="E3114">
        <v>1</v>
      </c>
      <c r="F3114" s="7">
        <v>141982.52</v>
      </c>
      <c r="G3114">
        <v>0</v>
      </c>
      <c r="H3114" s="7">
        <v>0</v>
      </c>
    </row>
    <row r="3115" spans="1:8">
      <c r="A3115">
        <v>2</v>
      </c>
      <c r="B3115" t="s">
        <v>42</v>
      </c>
      <c r="C3115" t="s">
        <v>33</v>
      </c>
      <c r="D3115">
        <v>0</v>
      </c>
      <c r="E3115">
        <v>1</v>
      </c>
      <c r="F3115" s="7">
        <v>3427.04</v>
      </c>
      <c r="G3115">
        <v>0</v>
      </c>
      <c r="H3115" s="7">
        <v>0</v>
      </c>
    </row>
    <row r="3116" spans="1:8">
      <c r="A3116">
        <v>2</v>
      </c>
      <c r="B3116" t="s">
        <v>42</v>
      </c>
      <c r="C3116" t="s">
        <v>33</v>
      </c>
      <c r="D3116">
        <v>0</v>
      </c>
      <c r="E3116">
        <v>1</v>
      </c>
      <c r="F3116" s="7">
        <v>9687.92</v>
      </c>
      <c r="G3116">
        <v>0</v>
      </c>
      <c r="H3116" s="7">
        <v>0</v>
      </c>
    </row>
    <row r="3117" spans="1:8">
      <c r="A3117">
        <v>2</v>
      </c>
      <c r="B3117" t="s">
        <v>42</v>
      </c>
      <c r="C3117" t="s">
        <v>32</v>
      </c>
      <c r="D3117">
        <v>0</v>
      </c>
      <c r="E3117">
        <v>1</v>
      </c>
      <c r="F3117" s="7">
        <v>772.01</v>
      </c>
      <c r="G3117">
        <v>0</v>
      </c>
      <c r="H3117" s="7">
        <v>0</v>
      </c>
    </row>
    <row r="3118" spans="1:8">
      <c r="A3118">
        <v>2</v>
      </c>
      <c r="B3118" t="s">
        <v>42</v>
      </c>
      <c r="C3118" t="s">
        <v>32</v>
      </c>
      <c r="D3118">
        <v>0</v>
      </c>
      <c r="E3118">
        <v>1</v>
      </c>
      <c r="F3118" s="7">
        <v>898</v>
      </c>
      <c r="G3118">
        <v>0</v>
      </c>
      <c r="H3118" s="7">
        <v>0</v>
      </c>
    </row>
    <row r="3119" spans="1:8">
      <c r="A3119">
        <v>2</v>
      </c>
      <c r="B3119" t="s">
        <v>42</v>
      </c>
      <c r="C3119" t="s">
        <v>33</v>
      </c>
      <c r="D3119">
        <v>0</v>
      </c>
      <c r="E3119">
        <v>1</v>
      </c>
      <c r="F3119" s="7">
        <v>4090.83</v>
      </c>
      <c r="G3119">
        <v>0</v>
      </c>
      <c r="H3119" s="7">
        <v>0</v>
      </c>
    </row>
    <row r="3120" spans="1:8">
      <c r="A3120">
        <v>2</v>
      </c>
      <c r="B3120" t="s">
        <v>42</v>
      </c>
      <c r="C3120" t="s">
        <v>33</v>
      </c>
      <c r="D3120">
        <v>0</v>
      </c>
      <c r="E3120">
        <v>1</v>
      </c>
      <c r="F3120" s="7">
        <v>3319.89</v>
      </c>
      <c r="G3120">
        <v>0</v>
      </c>
      <c r="H3120" s="7">
        <v>0</v>
      </c>
    </row>
    <row r="3121" spans="1:8">
      <c r="A3121">
        <v>2</v>
      </c>
      <c r="B3121" t="s">
        <v>42</v>
      </c>
      <c r="C3121" t="s">
        <v>34</v>
      </c>
      <c r="D3121">
        <v>0</v>
      </c>
      <c r="E3121">
        <v>1</v>
      </c>
      <c r="F3121" s="7">
        <v>16734.5</v>
      </c>
      <c r="G3121">
        <v>0</v>
      </c>
      <c r="H3121" s="7">
        <v>0</v>
      </c>
    </row>
    <row r="3122" spans="1:8">
      <c r="A3122">
        <v>2</v>
      </c>
      <c r="B3122" t="s">
        <v>42</v>
      </c>
      <c r="C3122" t="s">
        <v>34</v>
      </c>
      <c r="D3122">
        <v>0</v>
      </c>
      <c r="E3122">
        <v>1</v>
      </c>
      <c r="F3122" s="7">
        <v>10720.07</v>
      </c>
      <c r="G3122">
        <v>0</v>
      </c>
      <c r="H3122" s="7">
        <v>0</v>
      </c>
    </row>
    <row r="3123" spans="1:8">
      <c r="A3123">
        <v>2</v>
      </c>
      <c r="B3123" t="s">
        <v>42</v>
      </c>
      <c r="C3123" t="s">
        <v>34</v>
      </c>
      <c r="D3123">
        <v>0</v>
      </c>
      <c r="E3123">
        <v>1</v>
      </c>
      <c r="F3123" s="7">
        <v>12786.76</v>
      </c>
      <c r="G3123">
        <v>0</v>
      </c>
      <c r="H3123" s="7">
        <v>0</v>
      </c>
    </row>
    <row r="3124" spans="1:8">
      <c r="A3124">
        <v>2</v>
      </c>
      <c r="B3124" t="s">
        <v>44</v>
      </c>
      <c r="C3124" t="s">
        <v>34</v>
      </c>
      <c r="D3124">
        <v>0</v>
      </c>
      <c r="E3124">
        <v>1</v>
      </c>
      <c r="F3124" s="7">
        <v>71579.52</v>
      </c>
      <c r="G3124">
        <v>0</v>
      </c>
      <c r="H3124" s="7">
        <v>0</v>
      </c>
    </row>
    <row r="3125" spans="1:8">
      <c r="A3125">
        <v>2</v>
      </c>
      <c r="B3125" t="s">
        <v>43</v>
      </c>
      <c r="C3125" t="s">
        <v>35</v>
      </c>
      <c r="D3125">
        <v>0</v>
      </c>
      <c r="E3125">
        <v>1</v>
      </c>
      <c r="F3125" s="7">
        <v>203330.05</v>
      </c>
      <c r="G3125">
        <v>0</v>
      </c>
      <c r="H3125" s="7">
        <v>0</v>
      </c>
    </row>
    <row r="3126" spans="1:8">
      <c r="A3126">
        <v>2</v>
      </c>
      <c r="B3126" t="s">
        <v>42</v>
      </c>
      <c r="C3126" t="s">
        <v>32</v>
      </c>
      <c r="D3126">
        <v>0</v>
      </c>
      <c r="E3126">
        <v>1</v>
      </c>
      <c r="F3126" s="7">
        <v>486.97</v>
      </c>
      <c r="G3126">
        <v>0</v>
      </c>
      <c r="H3126" s="7">
        <v>0</v>
      </c>
    </row>
    <row r="3127" spans="1:8">
      <c r="A3127">
        <v>2</v>
      </c>
      <c r="B3127" t="s">
        <v>44</v>
      </c>
      <c r="C3127" t="s">
        <v>35</v>
      </c>
      <c r="D3127">
        <v>0</v>
      </c>
      <c r="E3127">
        <v>1</v>
      </c>
      <c r="F3127" s="7">
        <v>101485.5</v>
      </c>
      <c r="G3127">
        <v>0</v>
      </c>
      <c r="H3127" s="7">
        <v>0</v>
      </c>
    </row>
    <row r="3128" spans="1:8">
      <c r="A3128">
        <v>2</v>
      </c>
      <c r="B3128" t="s">
        <v>44</v>
      </c>
      <c r="C3128" t="s">
        <v>34</v>
      </c>
      <c r="D3128">
        <v>0</v>
      </c>
      <c r="E3128">
        <v>1</v>
      </c>
      <c r="F3128" s="7">
        <v>57908.35</v>
      </c>
      <c r="G3128">
        <v>0</v>
      </c>
      <c r="H3128" s="7">
        <v>0</v>
      </c>
    </row>
    <row r="3129" spans="1:8">
      <c r="A3129">
        <v>2</v>
      </c>
      <c r="B3129" t="s">
        <v>44</v>
      </c>
      <c r="C3129" t="s">
        <v>34</v>
      </c>
      <c r="D3129">
        <v>0</v>
      </c>
      <c r="E3129">
        <v>1</v>
      </c>
      <c r="F3129" s="7">
        <v>87732.74</v>
      </c>
      <c r="G3129">
        <v>0</v>
      </c>
      <c r="H3129" s="7">
        <v>0</v>
      </c>
    </row>
    <row r="3130" spans="1:8">
      <c r="A3130">
        <v>2</v>
      </c>
      <c r="B3130" t="s">
        <v>44</v>
      </c>
      <c r="C3130" t="s">
        <v>35</v>
      </c>
      <c r="D3130">
        <v>0</v>
      </c>
      <c r="E3130">
        <v>1</v>
      </c>
      <c r="F3130" s="7">
        <v>185611.95</v>
      </c>
      <c r="G3130">
        <v>0</v>
      </c>
      <c r="H3130" s="7">
        <v>0</v>
      </c>
    </row>
    <row r="3131" spans="1:8">
      <c r="A3131">
        <v>2</v>
      </c>
      <c r="B3131" t="s">
        <v>44</v>
      </c>
      <c r="C3131" t="s">
        <v>34</v>
      </c>
      <c r="D3131">
        <v>0</v>
      </c>
      <c r="E3131">
        <v>1</v>
      </c>
      <c r="F3131" s="7">
        <v>89412.56</v>
      </c>
      <c r="G3131">
        <v>0</v>
      </c>
      <c r="H3131" s="7">
        <v>0</v>
      </c>
    </row>
    <row r="3132" spans="1:8">
      <c r="A3132">
        <v>2</v>
      </c>
      <c r="B3132" t="s">
        <v>44</v>
      </c>
      <c r="C3132" t="s">
        <v>35</v>
      </c>
      <c r="D3132">
        <v>0</v>
      </c>
      <c r="E3132">
        <v>1</v>
      </c>
      <c r="F3132" s="7">
        <v>158406.66</v>
      </c>
      <c r="G3132">
        <v>0</v>
      </c>
      <c r="H3132" s="7">
        <v>0</v>
      </c>
    </row>
    <row r="3133" spans="1:8">
      <c r="A3133">
        <v>2</v>
      </c>
      <c r="B3133" t="s">
        <v>44</v>
      </c>
      <c r="C3133" t="s">
        <v>35</v>
      </c>
      <c r="D3133">
        <v>0</v>
      </c>
      <c r="E3133">
        <v>1</v>
      </c>
      <c r="F3133" s="7">
        <v>358456.99</v>
      </c>
      <c r="G3133">
        <v>0</v>
      </c>
      <c r="H3133" s="7">
        <v>0</v>
      </c>
    </row>
    <row r="3134" spans="1:8">
      <c r="A3134">
        <v>2</v>
      </c>
      <c r="B3134" t="s">
        <v>44</v>
      </c>
      <c r="C3134" t="s">
        <v>35</v>
      </c>
      <c r="D3134">
        <v>0</v>
      </c>
      <c r="E3134">
        <v>1</v>
      </c>
      <c r="F3134" s="7">
        <v>245091.49</v>
      </c>
      <c r="G3134">
        <v>0</v>
      </c>
      <c r="H3134" s="7">
        <v>0</v>
      </c>
    </row>
    <row r="3135" spans="1:8">
      <c r="A3135">
        <v>2</v>
      </c>
      <c r="B3135" t="s">
        <v>44</v>
      </c>
      <c r="C3135" t="s">
        <v>35</v>
      </c>
      <c r="D3135">
        <v>0</v>
      </c>
      <c r="E3135">
        <v>1</v>
      </c>
      <c r="F3135" s="7">
        <v>115800.39</v>
      </c>
      <c r="G3135">
        <v>0</v>
      </c>
      <c r="H3135" s="7">
        <v>0</v>
      </c>
    </row>
    <row r="3136" spans="1:8">
      <c r="A3136">
        <v>2</v>
      </c>
      <c r="B3136" t="s">
        <v>44</v>
      </c>
      <c r="C3136" t="s">
        <v>35</v>
      </c>
      <c r="D3136">
        <v>0</v>
      </c>
      <c r="E3136">
        <v>1</v>
      </c>
      <c r="F3136" s="7">
        <v>128357.05</v>
      </c>
      <c r="G3136">
        <v>0</v>
      </c>
      <c r="H3136" s="7">
        <v>0</v>
      </c>
    </row>
    <row r="3137" spans="1:8">
      <c r="A3137">
        <v>2</v>
      </c>
      <c r="B3137" t="s">
        <v>44</v>
      </c>
      <c r="C3137" t="s">
        <v>35</v>
      </c>
      <c r="D3137">
        <v>0</v>
      </c>
      <c r="E3137">
        <v>1</v>
      </c>
      <c r="F3137" s="7">
        <v>256624.13</v>
      </c>
      <c r="G3137">
        <v>0</v>
      </c>
      <c r="H3137" s="7">
        <v>0</v>
      </c>
    </row>
    <row r="3138" spans="1:8">
      <c r="A3138">
        <v>2</v>
      </c>
      <c r="B3138" t="s">
        <v>44</v>
      </c>
      <c r="C3138" t="s">
        <v>34</v>
      </c>
      <c r="D3138">
        <v>0</v>
      </c>
      <c r="E3138">
        <v>1</v>
      </c>
      <c r="F3138" s="7">
        <v>63057.49</v>
      </c>
      <c r="G3138">
        <v>0</v>
      </c>
      <c r="H3138" s="7">
        <v>0</v>
      </c>
    </row>
    <row r="3139" spans="1:8">
      <c r="A3139">
        <v>2</v>
      </c>
      <c r="B3139" t="s">
        <v>44</v>
      </c>
      <c r="C3139" t="s">
        <v>35</v>
      </c>
      <c r="D3139">
        <v>0</v>
      </c>
      <c r="E3139">
        <v>1</v>
      </c>
      <c r="F3139" s="7">
        <v>330334.44</v>
      </c>
      <c r="G3139">
        <v>0</v>
      </c>
      <c r="H3139" s="7">
        <v>0</v>
      </c>
    </row>
    <row r="3140" spans="1:8">
      <c r="A3140">
        <v>2</v>
      </c>
      <c r="B3140" t="s">
        <v>44</v>
      </c>
      <c r="C3140" t="s">
        <v>35</v>
      </c>
      <c r="D3140">
        <v>0</v>
      </c>
      <c r="E3140">
        <v>1</v>
      </c>
      <c r="F3140" s="7">
        <v>279843.2</v>
      </c>
      <c r="G3140">
        <v>0</v>
      </c>
      <c r="H3140" s="7">
        <v>0</v>
      </c>
    </row>
    <row r="3141" spans="1:8">
      <c r="A3141">
        <v>2</v>
      </c>
      <c r="B3141" t="s">
        <v>42</v>
      </c>
      <c r="C3141" t="s">
        <v>33</v>
      </c>
      <c r="D3141">
        <v>0</v>
      </c>
      <c r="E3141">
        <v>1</v>
      </c>
      <c r="F3141" s="7">
        <v>6473.31</v>
      </c>
      <c r="G3141">
        <v>0</v>
      </c>
      <c r="H3141" s="7">
        <v>0</v>
      </c>
    </row>
    <row r="3142" spans="1:8">
      <c r="A3142">
        <v>2</v>
      </c>
      <c r="B3142" t="s">
        <v>42</v>
      </c>
      <c r="C3142" t="s">
        <v>34</v>
      </c>
      <c r="D3142">
        <v>0</v>
      </c>
      <c r="E3142">
        <v>1</v>
      </c>
      <c r="F3142" s="7">
        <v>10399.14</v>
      </c>
      <c r="G3142">
        <v>0</v>
      </c>
      <c r="H3142" s="7">
        <v>0</v>
      </c>
    </row>
    <row r="3143" spans="1:8">
      <c r="A3143">
        <v>2</v>
      </c>
      <c r="B3143" t="s">
        <v>42</v>
      </c>
      <c r="C3143" t="s">
        <v>33</v>
      </c>
      <c r="D3143">
        <v>0</v>
      </c>
      <c r="E3143">
        <v>1</v>
      </c>
      <c r="F3143" s="7">
        <v>3580.23</v>
      </c>
      <c r="G3143">
        <v>0</v>
      </c>
      <c r="H3143" s="7">
        <v>0</v>
      </c>
    </row>
    <row r="3144" spans="1:8">
      <c r="A3144">
        <v>2</v>
      </c>
      <c r="B3144" t="s">
        <v>42</v>
      </c>
      <c r="C3144" t="s">
        <v>33</v>
      </c>
      <c r="D3144">
        <v>0</v>
      </c>
      <c r="E3144">
        <v>1</v>
      </c>
      <c r="F3144" s="7">
        <v>6531.24</v>
      </c>
      <c r="G3144">
        <v>0</v>
      </c>
      <c r="H3144" s="7">
        <v>0</v>
      </c>
    </row>
    <row r="3145" spans="1:8">
      <c r="A3145">
        <v>2</v>
      </c>
      <c r="B3145" t="s">
        <v>42</v>
      </c>
      <c r="C3145" t="s">
        <v>34</v>
      </c>
      <c r="D3145">
        <v>0</v>
      </c>
      <c r="E3145">
        <v>1</v>
      </c>
      <c r="F3145" s="7">
        <v>14462.98</v>
      </c>
      <c r="G3145">
        <v>0</v>
      </c>
      <c r="H3145" s="7">
        <v>0</v>
      </c>
    </row>
    <row r="3146" spans="1:8">
      <c r="A3146">
        <v>2</v>
      </c>
      <c r="B3146" t="s">
        <v>42</v>
      </c>
      <c r="C3146" t="s">
        <v>33</v>
      </c>
      <c r="D3146">
        <v>0</v>
      </c>
      <c r="E3146">
        <v>1</v>
      </c>
      <c r="F3146" s="7">
        <v>3489.41</v>
      </c>
      <c r="G3146">
        <v>0</v>
      </c>
      <c r="H3146" s="7">
        <v>0</v>
      </c>
    </row>
    <row r="3147" spans="1:8">
      <c r="A3147">
        <v>2</v>
      </c>
      <c r="B3147" t="s">
        <v>42</v>
      </c>
      <c r="C3147" t="s">
        <v>33</v>
      </c>
      <c r="D3147">
        <v>0</v>
      </c>
      <c r="E3147">
        <v>1</v>
      </c>
      <c r="F3147" s="7">
        <v>5822.2</v>
      </c>
      <c r="G3147">
        <v>0</v>
      </c>
      <c r="H3147" s="7">
        <v>0</v>
      </c>
    </row>
    <row r="3148" spans="1:8">
      <c r="A3148">
        <v>2</v>
      </c>
      <c r="B3148" t="s">
        <v>42</v>
      </c>
      <c r="C3148" t="s">
        <v>33</v>
      </c>
      <c r="D3148">
        <v>0</v>
      </c>
      <c r="E3148">
        <v>1</v>
      </c>
      <c r="F3148" s="7">
        <v>2768.58</v>
      </c>
      <c r="G3148">
        <v>0</v>
      </c>
      <c r="H3148" s="7">
        <v>0</v>
      </c>
    </row>
    <row r="3149" spans="1:8">
      <c r="A3149">
        <v>2</v>
      </c>
      <c r="B3149" t="s">
        <v>42</v>
      </c>
      <c r="C3149" t="s">
        <v>34</v>
      </c>
      <c r="D3149">
        <v>0</v>
      </c>
      <c r="E3149">
        <v>1</v>
      </c>
      <c r="F3149" s="7">
        <v>11559.81</v>
      </c>
      <c r="G3149">
        <v>0</v>
      </c>
      <c r="H3149" s="7">
        <v>0</v>
      </c>
    </row>
    <row r="3150" spans="1:8">
      <c r="A3150">
        <v>2</v>
      </c>
      <c r="B3150" t="s">
        <v>42</v>
      </c>
      <c r="C3150" t="s">
        <v>33</v>
      </c>
      <c r="D3150">
        <v>0</v>
      </c>
      <c r="E3150">
        <v>1</v>
      </c>
      <c r="F3150" s="7">
        <v>4706.29</v>
      </c>
      <c r="G3150">
        <v>0</v>
      </c>
      <c r="H3150" s="7">
        <v>0</v>
      </c>
    </row>
    <row r="3151" spans="1:8">
      <c r="A3151">
        <v>2</v>
      </c>
      <c r="B3151" t="s">
        <v>42</v>
      </c>
      <c r="C3151" t="s">
        <v>33</v>
      </c>
      <c r="D3151">
        <v>0</v>
      </c>
      <c r="E3151">
        <v>1</v>
      </c>
      <c r="F3151" s="7">
        <v>8216.87</v>
      </c>
      <c r="G3151">
        <v>0</v>
      </c>
      <c r="H3151" s="7">
        <v>0</v>
      </c>
    </row>
    <row r="3152" spans="1:8">
      <c r="A3152">
        <v>2</v>
      </c>
      <c r="B3152" t="s">
        <v>42</v>
      </c>
      <c r="C3152" t="s">
        <v>33</v>
      </c>
      <c r="D3152">
        <v>0</v>
      </c>
      <c r="E3152">
        <v>1</v>
      </c>
      <c r="F3152" s="7">
        <v>5122.98</v>
      </c>
      <c r="G3152">
        <v>0</v>
      </c>
      <c r="H3152" s="7">
        <v>0</v>
      </c>
    </row>
    <row r="3153" spans="1:8">
      <c r="A3153">
        <v>2</v>
      </c>
      <c r="B3153" t="s">
        <v>45</v>
      </c>
      <c r="C3153" t="s">
        <v>33</v>
      </c>
      <c r="D3153">
        <v>0</v>
      </c>
      <c r="E3153">
        <v>1</v>
      </c>
      <c r="F3153" s="7">
        <v>2744.65</v>
      </c>
      <c r="G3153">
        <v>0</v>
      </c>
      <c r="H3153" s="7">
        <v>0</v>
      </c>
    </row>
    <row r="3154" spans="1:8">
      <c r="A3154">
        <v>2</v>
      </c>
      <c r="B3154" t="s">
        <v>43</v>
      </c>
      <c r="C3154" t="s">
        <v>35</v>
      </c>
      <c r="D3154">
        <v>0</v>
      </c>
      <c r="E3154">
        <v>1</v>
      </c>
      <c r="F3154" s="7">
        <v>336413.4</v>
      </c>
      <c r="G3154">
        <v>0</v>
      </c>
      <c r="H3154" s="7">
        <v>0</v>
      </c>
    </row>
    <row r="3155" spans="1:8">
      <c r="A3155">
        <v>2</v>
      </c>
      <c r="B3155" t="s">
        <v>45</v>
      </c>
      <c r="C3155" t="s">
        <v>33</v>
      </c>
      <c r="D3155">
        <v>0</v>
      </c>
      <c r="E3155">
        <v>1</v>
      </c>
      <c r="F3155" s="7">
        <v>1053.29</v>
      </c>
      <c r="G3155">
        <v>0</v>
      </c>
      <c r="H3155" s="7">
        <v>0</v>
      </c>
    </row>
    <row r="3156" spans="1:8">
      <c r="A3156">
        <v>2</v>
      </c>
      <c r="B3156" t="s">
        <v>42</v>
      </c>
      <c r="C3156" t="s">
        <v>33</v>
      </c>
      <c r="D3156">
        <v>0</v>
      </c>
      <c r="E3156">
        <v>1</v>
      </c>
      <c r="F3156" s="7">
        <v>8886.96</v>
      </c>
      <c r="G3156">
        <v>0</v>
      </c>
      <c r="H3156" s="7">
        <v>0</v>
      </c>
    </row>
    <row r="3157" spans="1:8">
      <c r="A3157">
        <v>2</v>
      </c>
      <c r="B3157" t="s">
        <v>42</v>
      </c>
      <c r="C3157" t="s">
        <v>33</v>
      </c>
      <c r="D3157">
        <v>0</v>
      </c>
      <c r="E3157">
        <v>1</v>
      </c>
      <c r="F3157" s="7">
        <v>8543.51</v>
      </c>
      <c r="G3157">
        <v>0</v>
      </c>
      <c r="H3157" s="7">
        <v>0</v>
      </c>
    </row>
    <row r="3158" spans="1:8">
      <c r="A3158">
        <v>2</v>
      </c>
      <c r="B3158" t="s">
        <v>45</v>
      </c>
      <c r="C3158" t="s">
        <v>33</v>
      </c>
      <c r="D3158">
        <v>0</v>
      </c>
      <c r="E3158">
        <v>1</v>
      </c>
      <c r="F3158" s="7">
        <v>7481.76</v>
      </c>
      <c r="G3158">
        <v>0</v>
      </c>
      <c r="H3158" s="7">
        <v>0</v>
      </c>
    </row>
    <row r="3159" spans="1:8">
      <c r="A3159">
        <v>2</v>
      </c>
      <c r="B3159" t="s">
        <v>45</v>
      </c>
      <c r="C3159" t="s">
        <v>33</v>
      </c>
      <c r="D3159">
        <v>0</v>
      </c>
      <c r="E3159">
        <v>1</v>
      </c>
      <c r="F3159" s="7">
        <v>4198.49</v>
      </c>
      <c r="G3159">
        <v>0</v>
      </c>
      <c r="H3159" s="7">
        <v>0</v>
      </c>
    </row>
    <row r="3160" spans="1:8">
      <c r="A3160">
        <v>2</v>
      </c>
      <c r="B3160" t="s">
        <v>42</v>
      </c>
      <c r="C3160" t="s">
        <v>32</v>
      </c>
      <c r="D3160">
        <v>0</v>
      </c>
      <c r="E3160">
        <v>1</v>
      </c>
      <c r="F3160" s="7">
        <v>473.51</v>
      </c>
      <c r="G3160">
        <v>0</v>
      </c>
      <c r="H3160" s="7">
        <v>0</v>
      </c>
    </row>
    <row r="3161" spans="1:8">
      <c r="A3161">
        <v>2</v>
      </c>
      <c r="B3161" t="s">
        <v>42</v>
      </c>
      <c r="C3161" t="s">
        <v>33</v>
      </c>
      <c r="D3161">
        <v>0</v>
      </c>
      <c r="E3161">
        <v>1</v>
      </c>
      <c r="F3161" s="7">
        <v>4481.54</v>
      </c>
      <c r="G3161">
        <v>0</v>
      </c>
      <c r="H3161" s="7">
        <v>0</v>
      </c>
    </row>
    <row r="3162" spans="1:8">
      <c r="A3162">
        <v>2</v>
      </c>
      <c r="B3162" t="s">
        <v>43</v>
      </c>
      <c r="C3162" t="s">
        <v>35</v>
      </c>
      <c r="D3162">
        <v>0</v>
      </c>
      <c r="E3162">
        <v>1</v>
      </c>
      <c r="F3162" s="7">
        <v>132513.7</v>
      </c>
      <c r="G3162">
        <v>0</v>
      </c>
      <c r="H3162" s="7">
        <v>0</v>
      </c>
    </row>
    <row r="3163" spans="1:8">
      <c r="A3163">
        <v>2</v>
      </c>
      <c r="B3163" t="s">
        <v>45</v>
      </c>
      <c r="C3163" t="s">
        <v>33</v>
      </c>
      <c r="D3163">
        <v>0</v>
      </c>
      <c r="E3163">
        <v>1</v>
      </c>
      <c r="F3163" s="7">
        <v>6408.6</v>
      </c>
      <c r="G3163">
        <v>0</v>
      </c>
      <c r="H3163" s="7">
        <v>0</v>
      </c>
    </row>
    <row r="3164" spans="1:8">
      <c r="A3164">
        <v>2</v>
      </c>
      <c r="B3164" t="s">
        <v>42</v>
      </c>
      <c r="C3164" t="s">
        <v>33</v>
      </c>
      <c r="D3164">
        <v>0</v>
      </c>
      <c r="E3164">
        <v>1</v>
      </c>
      <c r="F3164" s="7">
        <v>5398.15</v>
      </c>
      <c r="G3164">
        <v>0</v>
      </c>
      <c r="H3164" s="7">
        <v>0</v>
      </c>
    </row>
    <row r="3165" spans="1:8">
      <c r="A3165">
        <v>2</v>
      </c>
      <c r="B3165" t="s">
        <v>42</v>
      </c>
      <c r="C3165" t="s">
        <v>32</v>
      </c>
      <c r="D3165">
        <v>0</v>
      </c>
      <c r="E3165">
        <v>1</v>
      </c>
      <c r="F3165" s="7">
        <v>722.75</v>
      </c>
      <c r="G3165">
        <v>0</v>
      </c>
      <c r="H3165" s="7">
        <v>0</v>
      </c>
    </row>
    <row r="3166" spans="1:8">
      <c r="A3166">
        <v>2</v>
      </c>
      <c r="B3166" t="s">
        <v>42</v>
      </c>
      <c r="C3166" t="s">
        <v>34</v>
      </c>
      <c r="D3166">
        <v>0</v>
      </c>
      <c r="E3166">
        <v>1</v>
      </c>
      <c r="F3166" s="7">
        <v>11101.89</v>
      </c>
      <c r="G3166">
        <v>0</v>
      </c>
      <c r="H3166" s="7">
        <v>0</v>
      </c>
    </row>
    <row r="3167" spans="1:8">
      <c r="A3167">
        <v>2</v>
      </c>
      <c r="B3167" t="s">
        <v>42</v>
      </c>
      <c r="C3167" t="s">
        <v>32</v>
      </c>
      <c r="D3167">
        <v>0</v>
      </c>
      <c r="E3167">
        <v>1</v>
      </c>
      <c r="F3167" s="7">
        <v>964.93</v>
      </c>
      <c r="G3167">
        <v>0</v>
      </c>
      <c r="H3167" s="7">
        <v>0</v>
      </c>
    </row>
    <row r="3168" spans="1:8">
      <c r="A3168">
        <v>2</v>
      </c>
      <c r="B3168" t="s">
        <v>43</v>
      </c>
      <c r="C3168" t="s">
        <v>35</v>
      </c>
      <c r="D3168">
        <v>1</v>
      </c>
      <c r="E3168">
        <v>1</v>
      </c>
      <c r="F3168" s="7">
        <v>963532.14</v>
      </c>
      <c r="G3168">
        <v>1</v>
      </c>
      <c r="H3168" s="7">
        <v>963532.14</v>
      </c>
    </row>
    <row r="3169" spans="1:8">
      <c r="A3169">
        <v>2</v>
      </c>
      <c r="B3169" t="s">
        <v>44</v>
      </c>
      <c r="C3169" t="s">
        <v>35</v>
      </c>
      <c r="D3169">
        <v>1</v>
      </c>
      <c r="E3169">
        <v>1</v>
      </c>
      <c r="F3169" s="7">
        <v>963532.14</v>
      </c>
      <c r="G3169">
        <v>1</v>
      </c>
      <c r="H3169" s="7">
        <v>963532.14</v>
      </c>
    </row>
    <row r="3170" spans="1:8">
      <c r="A3170">
        <v>2</v>
      </c>
      <c r="B3170" t="s">
        <v>42</v>
      </c>
      <c r="C3170" t="s">
        <v>33</v>
      </c>
      <c r="D3170">
        <v>0</v>
      </c>
      <c r="E3170">
        <v>1</v>
      </c>
      <c r="F3170" s="7">
        <v>2358.86</v>
      </c>
      <c r="G3170">
        <v>0</v>
      </c>
      <c r="H3170" s="7">
        <v>0</v>
      </c>
    </row>
    <row r="3171" spans="1:8">
      <c r="A3171">
        <v>2</v>
      </c>
      <c r="B3171" t="s">
        <v>42</v>
      </c>
      <c r="C3171" t="s">
        <v>33</v>
      </c>
      <c r="D3171">
        <v>0</v>
      </c>
      <c r="E3171">
        <v>1</v>
      </c>
      <c r="F3171" s="7">
        <v>9714.23</v>
      </c>
      <c r="G3171">
        <v>0</v>
      </c>
      <c r="H3171" s="7">
        <v>0</v>
      </c>
    </row>
    <row r="3172" spans="1:8">
      <c r="A3172">
        <v>2</v>
      </c>
      <c r="B3172" t="s">
        <v>42</v>
      </c>
      <c r="C3172" t="s">
        <v>33</v>
      </c>
      <c r="D3172">
        <v>0</v>
      </c>
      <c r="E3172">
        <v>1</v>
      </c>
      <c r="F3172" s="7">
        <v>5184.26</v>
      </c>
      <c r="G3172">
        <v>0</v>
      </c>
      <c r="H3172" s="7">
        <v>0</v>
      </c>
    </row>
    <row r="3173" spans="1:8">
      <c r="A3173">
        <v>2</v>
      </c>
      <c r="B3173" t="s">
        <v>44</v>
      </c>
      <c r="C3173" t="s">
        <v>34</v>
      </c>
      <c r="D3173">
        <v>0</v>
      </c>
      <c r="E3173">
        <v>1</v>
      </c>
      <c r="F3173" s="7">
        <v>60214.51</v>
      </c>
      <c r="G3173">
        <v>0</v>
      </c>
      <c r="H3173" s="7">
        <v>0</v>
      </c>
    </row>
    <row r="3174" spans="1:8">
      <c r="A3174">
        <v>2</v>
      </c>
      <c r="B3174" t="s">
        <v>45</v>
      </c>
      <c r="C3174" t="s">
        <v>32</v>
      </c>
      <c r="D3174">
        <v>0</v>
      </c>
      <c r="E3174">
        <v>1</v>
      </c>
      <c r="F3174" s="7">
        <v>633.34</v>
      </c>
      <c r="G3174">
        <v>0</v>
      </c>
      <c r="H3174" s="7">
        <v>0</v>
      </c>
    </row>
    <row r="3175" spans="1:8">
      <c r="A3175">
        <v>2</v>
      </c>
      <c r="B3175" t="s">
        <v>42</v>
      </c>
      <c r="C3175" t="s">
        <v>32</v>
      </c>
      <c r="D3175">
        <v>0</v>
      </c>
      <c r="E3175">
        <v>1</v>
      </c>
      <c r="F3175" s="7">
        <v>499.09</v>
      </c>
      <c r="G3175">
        <v>0</v>
      </c>
      <c r="H3175" s="7">
        <v>0</v>
      </c>
    </row>
    <row r="3176" spans="1:8">
      <c r="A3176">
        <v>2</v>
      </c>
      <c r="B3176" t="s">
        <v>42</v>
      </c>
      <c r="C3176" t="s">
        <v>33</v>
      </c>
      <c r="D3176">
        <v>0</v>
      </c>
      <c r="E3176">
        <v>1</v>
      </c>
      <c r="F3176" s="7">
        <v>1150.36</v>
      </c>
      <c r="G3176">
        <v>0</v>
      </c>
      <c r="H3176" s="7">
        <v>0</v>
      </c>
    </row>
    <row r="3177" spans="1:8">
      <c r="A3177">
        <v>2</v>
      </c>
      <c r="B3177" t="s">
        <v>42</v>
      </c>
      <c r="C3177" t="s">
        <v>32</v>
      </c>
      <c r="D3177">
        <v>0</v>
      </c>
      <c r="E3177">
        <v>1</v>
      </c>
      <c r="F3177" s="7">
        <v>581.37</v>
      </c>
      <c r="G3177">
        <v>0</v>
      </c>
      <c r="H3177" s="7">
        <v>0</v>
      </c>
    </row>
    <row r="3178" spans="1:8">
      <c r="A3178">
        <v>2</v>
      </c>
      <c r="B3178" t="s">
        <v>45</v>
      </c>
      <c r="C3178" t="s">
        <v>33</v>
      </c>
      <c r="D3178">
        <v>0</v>
      </c>
      <c r="E3178">
        <v>1</v>
      </c>
      <c r="F3178" s="7">
        <v>1131.72</v>
      </c>
      <c r="G3178">
        <v>0</v>
      </c>
      <c r="H3178" s="7">
        <v>0</v>
      </c>
    </row>
    <row r="3179" spans="1:8">
      <c r="A3179">
        <v>2</v>
      </c>
      <c r="B3179" t="s">
        <v>42</v>
      </c>
      <c r="C3179" t="s">
        <v>33</v>
      </c>
      <c r="D3179">
        <v>0</v>
      </c>
      <c r="E3179">
        <v>1</v>
      </c>
      <c r="F3179" s="7">
        <v>6069.06</v>
      </c>
      <c r="G3179">
        <v>0</v>
      </c>
      <c r="H3179" s="7">
        <v>0</v>
      </c>
    </row>
    <row r="3180" spans="1:8">
      <c r="A3180">
        <v>2</v>
      </c>
      <c r="B3180" t="s">
        <v>43</v>
      </c>
      <c r="C3180" t="s">
        <v>33</v>
      </c>
      <c r="D3180">
        <v>0</v>
      </c>
      <c r="E3180">
        <v>1</v>
      </c>
      <c r="F3180" s="7">
        <v>7081.22</v>
      </c>
      <c r="G3180">
        <v>0</v>
      </c>
      <c r="H3180" s="7">
        <v>0</v>
      </c>
    </row>
    <row r="3181" spans="1:8">
      <c r="A3181">
        <v>2</v>
      </c>
      <c r="B3181" t="s">
        <v>42</v>
      </c>
      <c r="C3181" t="s">
        <v>33</v>
      </c>
      <c r="D3181">
        <v>0</v>
      </c>
      <c r="E3181">
        <v>1</v>
      </c>
      <c r="F3181" s="7">
        <v>4373.69</v>
      </c>
      <c r="G3181">
        <v>0</v>
      </c>
      <c r="H3181" s="7">
        <v>0</v>
      </c>
    </row>
    <row r="3182" spans="1:8">
      <c r="A3182">
        <v>2</v>
      </c>
      <c r="B3182" t="s">
        <v>45</v>
      </c>
      <c r="C3182" t="s">
        <v>33</v>
      </c>
      <c r="D3182">
        <v>0</v>
      </c>
      <c r="E3182">
        <v>1</v>
      </c>
      <c r="F3182" s="7">
        <v>4369.05</v>
      </c>
      <c r="G3182">
        <v>0</v>
      </c>
      <c r="H3182" s="7">
        <v>0</v>
      </c>
    </row>
    <row r="3183" spans="1:8">
      <c r="A3183">
        <v>2</v>
      </c>
      <c r="B3183" t="s">
        <v>42</v>
      </c>
      <c r="C3183" t="s">
        <v>33</v>
      </c>
      <c r="D3183">
        <v>0</v>
      </c>
      <c r="E3183">
        <v>1</v>
      </c>
      <c r="F3183" s="7">
        <v>2767.59</v>
      </c>
      <c r="G3183">
        <v>0</v>
      </c>
      <c r="H3183" s="7">
        <v>0</v>
      </c>
    </row>
    <row r="3184" spans="1:8">
      <c r="A3184">
        <v>2</v>
      </c>
      <c r="B3184" t="s">
        <v>42</v>
      </c>
      <c r="C3184" t="s">
        <v>33</v>
      </c>
      <c r="D3184">
        <v>0</v>
      </c>
      <c r="E3184">
        <v>1</v>
      </c>
      <c r="F3184" s="7">
        <v>4821.26</v>
      </c>
      <c r="G3184">
        <v>0</v>
      </c>
      <c r="H3184" s="7">
        <v>0</v>
      </c>
    </row>
    <row r="3185" spans="1:8">
      <c r="A3185">
        <v>2</v>
      </c>
      <c r="B3185" t="s">
        <v>42</v>
      </c>
      <c r="C3185" t="s">
        <v>33</v>
      </c>
      <c r="D3185">
        <v>0</v>
      </c>
      <c r="E3185">
        <v>1</v>
      </c>
      <c r="F3185" s="7">
        <v>2471.19</v>
      </c>
      <c r="G3185">
        <v>0</v>
      </c>
      <c r="H3185" s="7">
        <v>0</v>
      </c>
    </row>
    <row r="3186" spans="1:8">
      <c r="A3186">
        <v>2</v>
      </c>
      <c r="B3186" t="s">
        <v>43</v>
      </c>
      <c r="C3186" t="s">
        <v>34</v>
      </c>
      <c r="D3186">
        <v>0</v>
      </c>
      <c r="E3186">
        <v>1</v>
      </c>
      <c r="F3186" s="7">
        <v>41446.48</v>
      </c>
      <c r="G3186">
        <v>0</v>
      </c>
      <c r="H3186" s="7">
        <v>0</v>
      </c>
    </row>
    <row r="3187" spans="1:8">
      <c r="A3187">
        <v>2</v>
      </c>
      <c r="B3187" t="s">
        <v>42</v>
      </c>
      <c r="C3187" t="s">
        <v>34</v>
      </c>
      <c r="D3187">
        <v>0</v>
      </c>
      <c r="E3187">
        <v>1</v>
      </c>
      <c r="F3187" s="7">
        <v>10006.72</v>
      </c>
      <c r="G3187">
        <v>0</v>
      </c>
      <c r="H3187" s="7">
        <v>0</v>
      </c>
    </row>
    <row r="3188" spans="1:8">
      <c r="A3188">
        <v>2</v>
      </c>
      <c r="B3188" t="s">
        <v>42</v>
      </c>
      <c r="C3188" t="s">
        <v>33</v>
      </c>
      <c r="D3188">
        <v>0</v>
      </c>
      <c r="E3188">
        <v>1</v>
      </c>
      <c r="F3188" s="7">
        <v>6108.27</v>
      </c>
      <c r="G3188">
        <v>0</v>
      </c>
      <c r="H3188" s="7">
        <v>0</v>
      </c>
    </row>
    <row r="3189" spans="1:8">
      <c r="A3189">
        <v>2</v>
      </c>
      <c r="B3189" t="s">
        <v>44</v>
      </c>
      <c r="C3189" t="s">
        <v>35</v>
      </c>
      <c r="D3189">
        <v>0</v>
      </c>
      <c r="E3189">
        <v>1</v>
      </c>
      <c r="F3189" s="7">
        <v>122810.19</v>
      </c>
      <c r="G3189">
        <v>0</v>
      </c>
      <c r="H3189" s="7">
        <v>0</v>
      </c>
    </row>
    <row r="3190" spans="1:8">
      <c r="A3190">
        <v>2</v>
      </c>
      <c r="B3190" t="s">
        <v>42</v>
      </c>
      <c r="C3190" t="s">
        <v>34</v>
      </c>
      <c r="D3190">
        <v>0</v>
      </c>
      <c r="E3190">
        <v>1</v>
      </c>
      <c r="F3190" s="7">
        <v>10738.05</v>
      </c>
      <c r="G3190">
        <v>0</v>
      </c>
      <c r="H3190" s="7">
        <v>0</v>
      </c>
    </row>
    <row r="3191" spans="1:8">
      <c r="A3191">
        <v>2</v>
      </c>
      <c r="B3191" t="s">
        <v>45</v>
      </c>
      <c r="C3191" t="s">
        <v>33</v>
      </c>
      <c r="D3191">
        <v>0</v>
      </c>
      <c r="E3191">
        <v>1</v>
      </c>
      <c r="F3191" s="7">
        <v>4674.03</v>
      </c>
      <c r="G3191">
        <v>0</v>
      </c>
      <c r="H3191" s="7">
        <v>0</v>
      </c>
    </row>
    <row r="3192" spans="1:8">
      <c r="A3192">
        <v>2</v>
      </c>
      <c r="B3192" t="s">
        <v>42</v>
      </c>
      <c r="C3192" t="s">
        <v>33</v>
      </c>
      <c r="D3192">
        <v>0</v>
      </c>
      <c r="E3192">
        <v>1</v>
      </c>
      <c r="F3192" s="7">
        <v>4570.29</v>
      </c>
      <c r="G3192">
        <v>0</v>
      </c>
      <c r="H3192" s="7">
        <v>0</v>
      </c>
    </row>
    <row r="3193" spans="1:8">
      <c r="A3193">
        <v>2</v>
      </c>
      <c r="B3193" t="s">
        <v>45</v>
      </c>
      <c r="C3193" t="s">
        <v>33</v>
      </c>
      <c r="D3193">
        <v>0</v>
      </c>
      <c r="E3193">
        <v>1</v>
      </c>
      <c r="F3193" s="7">
        <v>3995.57</v>
      </c>
      <c r="G3193">
        <v>0</v>
      </c>
      <c r="H3193" s="7">
        <v>0</v>
      </c>
    </row>
    <row r="3194" spans="1:8">
      <c r="A3194">
        <v>2</v>
      </c>
      <c r="B3194" t="s">
        <v>45</v>
      </c>
      <c r="C3194" t="s">
        <v>32</v>
      </c>
      <c r="D3194">
        <v>0</v>
      </c>
      <c r="E3194">
        <v>1</v>
      </c>
      <c r="F3194" s="7">
        <v>702.32</v>
      </c>
      <c r="G3194">
        <v>0</v>
      </c>
      <c r="H3194" s="7">
        <v>0</v>
      </c>
    </row>
    <row r="3195" spans="1:8">
      <c r="A3195">
        <v>2</v>
      </c>
      <c r="B3195" t="s">
        <v>42</v>
      </c>
      <c r="C3195" t="s">
        <v>33</v>
      </c>
      <c r="D3195">
        <v>0</v>
      </c>
      <c r="E3195">
        <v>1</v>
      </c>
      <c r="F3195" s="7">
        <v>7312.49</v>
      </c>
      <c r="G3195">
        <v>0</v>
      </c>
      <c r="H3195" s="7">
        <v>0</v>
      </c>
    </row>
    <row r="3196" spans="1:8">
      <c r="A3196">
        <v>2</v>
      </c>
      <c r="B3196" t="s">
        <v>42</v>
      </c>
      <c r="C3196" t="s">
        <v>33</v>
      </c>
      <c r="D3196">
        <v>0</v>
      </c>
      <c r="E3196">
        <v>1</v>
      </c>
      <c r="F3196" s="7">
        <v>3567.5</v>
      </c>
      <c r="G3196">
        <v>0</v>
      </c>
      <c r="H3196" s="7">
        <v>0</v>
      </c>
    </row>
    <row r="3197" spans="1:8">
      <c r="A3197">
        <v>2</v>
      </c>
      <c r="B3197" t="s">
        <v>42</v>
      </c>
      <c r="C3197" t="s">
        <v>33</v>
      </c>
      <c r="D3197">
        <v>0</v>
      </c>
      <c r="E3197">
        <v>1</v>
      </c>
      <c r="F3197" s="7">
        <v>1994.71</v>
      </c>
      <c r="G3197">
        <v>0</v>
      </c>
      <c r="H3197" s="7">
        <v>0</v>
      </c>
    </row>
    <row r="3198" spans="1:8">
      <c r="A3198">
        <v>2</v>
      </c>
      <c r="B3198" t="s">
        <v>42</v>
      </c>
      <c r="C3198" t="s">
        <v>33</v>
      </c>
      <c r="D3198">
        <v>0</v>
      </c>
      <c r="E3198">
        <v>1</v>
      </c>
      <c r="F3198" s="7">
        <v>1657.09</v>
      </c>
      <c r="G3198">
        <v>0</v>
      </c>
      <c r="H3198" s="7">
        <v>0</v>
      </c>
    </row>
    <row r="3199" spans="1:8">
      <c r="A3199">
        <v>2</v>
      </c>
      <c r="B3199" t="s">
        <v>43</v>
      </c>
      <c r="C3199" t="s">
        <v>34</v>
      </c>
      <c r="D3199">
        <v>0</v>
      </c>
      <c r="E3199">
        <v>1</v>
      </c>
      <c r="F3199" s="7">
        <v>68630.15</v>
      </c>
      <c r="G3199">
        <v>0</v>
      </c>
      <c r="H3199" s="7">
        <v>0</v>
      </c>
    </row>
    <row r="3200" spans="1:8">
      <c r="A3200">
        <v>2</v>
      </c>
      <c r="B3200" t="s">
        <v>42</v>
      </c>
      <c r="C3200" t="s">
        <v>33</v>
      </c>
      <c r="D3200">
        <v>0</v>
      </c>
      <c r="E3200">
        <v>1</v>
      </c>
      <c r="F3200" s="7">
        <v>3095.41</v>
      </c>
      <c r="G3200">
        <v>0</v>
      </c>
      <c r="H3200" s="7">
        <v>0</v>
      </c>
    </row>
    <row r="3201" spans="1:8">
      <c r="A3201">
        <v>2</v>
      </c>
      <c r="B3201" t="s">
        <v>42</v>
      </c>
      <c r="C3201" t="s">
        <v>33</v>
      </c>
      <c r="D3201">
        <v>0</v>
      </c>
      <c r="E3201">
        <v>1</v>
      </c>
      <c r="F3201" s="7">
        <v>1971.81</v>
      </c>
      <c r="G3201">
        <v>0</v>
      </c>
      <c r="H3201" s="7">
        <v>0</v>
      </c>
    </row>
    <row r="3202" spans="1:8">
      <c r="A3202">
        <v>2</v>
      </c>
      <c r="B3202" t="s">
        <v>42</v>
      </c>
      <c r="C3202" t="s">
        <v>33</v>
      </c>
      <c r="D3202">
        <v>0</v>
      </c>
      <c r="E3202">
        <v>1</v>
      </c>
      <c r="F3202" s="7">
        <v>3121.81</v>
      </c>
      <c r="G3202">
        <v>0</v>
      </c>
      <c r="H3202" s="7">
        <v>0</v>
      </c>
    </row>
    <row r="3203" spans="1:8">
      <c r="A3203">
        <v>2</v>
      </c>
      <c r="B3203" t="s">
        <v>42</v>
      </c>
      <c r="C3203" t="s">
        <v>33</v>
      </c>
      <c r="D3203">
        <v>0</v>
      </c>
      <c r="E3203">
        <v>1</v>
      </c>
      <c r="F3203" s="7">
        <v>4987.75</v>
      </c>
      <c r="G3203">
        <v>0</v>
      </c>
      <c r="H3203" s="7">
        <v>0</v>
      </c>
    </row>
    <row r="3204" spans="1:8">
      <c r="A3204">
        <v>2</v>
      </c>
      <c r="B3204" t="s">
        <v>42</v>
      </c>
      <c r="C3204" t="s">
        <v>33</v>
      </c>
      <c r="D3204">
        <v>0</v>
      </c>
      <c r="E3204">
        <v>1</v>
      </c>
      <c r="F3204" s="7">
        <v>5143.81</v>
      </c>
      <c r="G3204">
        <v>0</v>
      </c>
      <c r="H3204" s="7">
        <v>0</v>
      </c>
    </row>
    <row r="3205" spans="1:8">
      <c r="A3205">
        <v>2</v>
      </c>
      <c r="B3205" t="s">
        <v>44</v>
      </c>
      <c r="C3205" t="s">
        <v>34</v>
      </c>
      <c r="D3205">
        <v>0</v>
      </c>
      <c r="E3205">
        <v>1</v>
      </c>
      <c r="F3205" s="7">
        <v>45458.81</v>
      </c>
      <c r="G3205">
        <v>0</v>
      </c>
      <c r="H3205" s="7">
        <v>0</v>
      </c>
    </row>
    <row r="3206" spans="1:8">
      <c r="A3206">
        <v>2</v>
      </c>
      <c r="B3206" t="s">
        <v>42</v>
      </c>
      <c r="C3206" t="s">
        <v>33</v>
      </c>
      <c r="D3206">
        <v>0</v>
      </c>
      <c r="E3206">
        <v>1</v>
      </c>
      <c r="F3206" s="7">
        <v>8723.42</v>
      </c>
      <c r="G3206">
        <v>0</v>
      </c>
      <c r="H3206" s="7">
        <v>0</v>
      </c>
    </row>
    <row r="3207" spans="1:8">
      <c r="A3207">
        <v>2</v>
      </c>
      <c r="B3207" t="s">
        <v>42</v>
      </c>
      <c r="C3207" t="s">
        <v>34</v>
      </c>
      <c r="D3207">
        <v>0</v>
      </c>
      <c r="E3207">
        <v>1</v>
      </c>
      <c r="F3207" s="7">
        <v>10805.83</v>
      </c>
      <c r="G3207">
        <v>0</v>
      </c>
      <c r="H3207" s="7">
        <v>0</v>
      </c>
    </row>
    <row r="3208" spans="1:8">
      <c r="A3208">
        <v>2</v>
      </c>
      <c r="B3208" t="s">
        <v>42</v>
      </c>
      <c r="C3208" t="s">
        <v>33</v>
      </c>
      <c r="D3208">
        <v>0</v>
      </c>
      <c r="E3208">
        <v>1</v>
      </c>
      <c r="F3208" s="7">
        <v>9446.02</v>
      </c>
      <c r="G3208">
        <v>0</v>
      </c>
      <c r="H3208" s="7">
        <v>0</v>
      </c>
    </row>
    <row r="3209" spans="1:8">
      <c r="A3209">
        <v>2</v>
      </c>
      <c r="B3209" t="s">
        <v>42</v>
      </c>
      <c r="C3209" t="s">
        <v>33</v>
      </c>
      <c r="D3209">
        <v>0</v>
      </c>
      <c r="E3209">
        <v>1</v>
      </c>
      <c r="F3209" s="7">
        <v>9145.05</v>
      </c>
      <c r="G3209">
        <v>0</v>
      </c>
      <c r="H3209" s="7">
        <v>0</v>
      </c>
    </row>
    <row r="3210" spans="1:8">
      <c r="A3210">
        <v>2</v>
      </c>
      <c r="B3210" t="s">
        <v>44</v>
      </c>
      <c r="C3210" t="s">
        <v>34</v>
      </c>
      <c r="D3210">
        <v>0</v>
      </c>
      <c r="E3210">
        <v>1</v>
      </c>
      <c r="F3210" s="7">
        <v>55940.69</v>
      </c>
      <c r="G3210">
        <v>0</v>
      </c>
      <c r="H3210" s="7">
        <v>0</v>
      </c>
    </row>
    <row r="3211" spans="1:8">
      <c r="A3211">
        <v>2</v>
      </c>
      <c r="B3211" t="s">
        <v>42</v>
      </c>
      <c r="C3211" t="s">
        <v>33</v>
      </c>
      <c r="D3211">
        <v>0</v>
      </c>
      <c r="E3211">
        <v>1</v>
      </c>
      <c r="F3211" s="7">
        <v>5745.53</v>
      </c>
      <c r="G3211">
        <v>0</v>
      </c>
      <c r="H3211" s="7">
        <v>0</v>
      </c>
    </row>
    <row r="3212" spans="1:8">
      <c r="A3212">
        <v>2</v>
      </c>
      <c r="B3212" t="s">
        <v>42</v>
      </c>
      <c r="C3212" t="s">
        <v>33</v>
      </c>
      <c r="D3212">
        <v>0</v>
      </c>
      <c r="E3212">
        <v>1</v>
      </c>
      <c r="F3212" s="7">
        <v>4249.18</v>
      </c>
      <c r="G3212">
        <v>0</v>
      </c>
      <c r="H3212" s="7">
        <v>0</v>
      </c>
    </row>
    <row r="3213" spans="1:8">
      <c r="A3213">
        <v>2</v>
      </c>
      <c r="B3213" t="s">
        <v>42</v>
      </c>
      <c r="C3213" t="s">
        <v>33</v>
      </c>
      <c r="D3213">
        <v>0</v>
      </c>
      <c r="E3213">
        <v>1</v>
      </c>
      <c r="F3213" s="7">
        <v>7667.38</v>
      </c>
      <c r="G3213">
        <v>0</v>
      </c>
      <c r="H3213" s="7">
        <v>0</v>
      </c>
    </row>
    <row r="3214" spans="1:8">
      <c r="A3214">
        <v>2</v>
      </c>
      <c r="B3214" t="s">
        <v>44</v>
      </c>
      <c r="C3214" t="s">
        <v>34</v>
      </c>
      <c r="D3214">
        <v>0</v>
      </c>
      <c r="E3214">
        <v>1</v>
      </c>
      <c r="F3214" s="7">
        <v>30017.69</v>
      </c>
      <c r="G3214">
        <v>0</v>
      </c>
      <c r="H3214" s="7">
        <v>0</v>
      </c>
    </row>
    <row r="3215" spans="1:8">
      <c r="A3215">
        <v>2</v>
      </c>
      <c r="B3215" t="s">
        <v>42</v>
      </c>
      <c r="C3215" t="s">
        <v>33</v>
      </c>
      <c r="D3215">
        <v>0</v>
      </c>
      <c r="E3215">
        <v>1</v>
      </c>
      <c r="F3215" s="7">
        <v>5812.29</v>
      </c>
      <c r="G3215">
        <v>0</v>
      </c>
      <c r="H3215" s="7">
        <v>0</v>
      </c>
    </row>
    <row r="3216" spans="1:8">
      <c r="A3216">
        <v>2</v>
      </c>
      <c r="B3216" t="s">
        <v>42</v>
      </c>
      <c r="C3216" t="s">
        <v>33</v>
      </c>
      <c r="D3216">
        <v>0</v>
      </c>
      <c r="E3216">
        <v>1</v>
      </c>
      <c r="F3216" s="7">
        <v>2292.68</v>
      </c>
      <c r="G3216">
        <v>0</v>
      </c>
      <c r="H3216" s="7">
        <v>0</v>
      </c>
    </row>
    <row r="3217" spans="1:8">
      <c r="A3217">
        <v>2</v>
      </c>
      <c r="B3217" t="s">
        <v>42</v>
      </c>
      <c r="C3217" t="s">
        <v>33</v>
      </c>
      <c r="D3217">
        <v>0</v>
      </c>
      <c r="E3217">
        <v>1</v>
      </c>
      <c r="F3217" s="7">
        <v>2959.21</v>
      </c>
      <c r="G3217">
        <v>0</v>
      </c>
      <c r="H3217" s="7">
        <v>0</v>
      </c>
    </row>
    <row r="3218" spans="1:8">
      <c r="A3218">
        <v>2</v>
      </c>
      <c r="B3218" t="s">
        <v>42</v>
      </c>
      <c r="C3218" t="s">
        <v>32</v>
      </c>
      <c r="D3218">
        <v>0</v>
      </c>
      <c r="E3218">
        <v>1</v>
      </c>
      <c r="F3218" s="7">
        <v>881.53</v>
      </c>
      <c r="G3218">
        <v>0</v>
      </c>
      <c r="H3218" s="7">
        <v>0</v>
      </c>
    </row>
    <row r="3219" spans="1:8">
      <c r="A3219">
        <v>2</v>
      </c>
      <c r="B3219" t="s">
        <v>42</v>
      </c>
      <c r="C3219" t="s">
        <v>34</v>
      </c>
      <c r="D3219">
        <v>0</v>
      </c>
      <c r="E3219">
        <v>1</v>
      </c>
      <c r="F3219" s="7">
        <v>15245.32</v>
      </c>
      <c r="G3219">
        <v>0</v>
      </c>
      <c r="H3219" s="7">
        <v>0</v>
      </c>
    </row>
    <row r="3220" spans="1:8">
      <c r="A3220">
        <v>2</v>
      </c>
      <c r="B3220" t="s">
        <v>42</v>
      </c>
      <c r="C3220" t="s">
        <v>33</v>
      </c>
      <c r="D3220">
        <v>0</v>
      </c>
      <c r="E3220">
        <v>1</v>
      </c>
      <c r="F3220" s="7">
        <v>4468.28</v>
      </c>
      <c r="G3220">
        <v>0</v>
      </c>
      <c r="H3220" s="7">
        <v>0</v>
      </c>
    </row>
    <row r="3221" spans="1:8">
      <c r="A3221">
        <v>2</v>
      </c>
      <c r="B3221" t="s">
        <v>42</v>
      </c>
      <c r="C3221" t="s">
        <v>33</v>
      </c>
      <c r="D3221">
        <v>0</v>
      </c>
      <c r="E3221">
        <v>1</v>
      </c>
      <c r="F3221" s="7">
        <v>7803.48</v>
      </c>
      <c r="G3221">
        <v>0</v>
      </c>
      <c r="H3221" s="7">
        <v>0</v>
      </c>
    </row>
    <row r="3222" spans="1:8">
      <c r="A3222">
        <v>2</v>
      </c>
      <c r="B3222" t="s">
        <v>42</v>
      </c>
      <c r="C3222" t="s">
        <v>33</v>
      </c>
      <c r="D3222">
        <v>0</v>
      </c>
      <c r="E3222">
        <v>1</v>
      </c>
      <c r="F3222" s="7">
        <v>3293.28</v>
      </c>
      <c r="G3222">
        <v>0</v>
      </c>
      <c r="H3222" s="7">
        <v>0</v>
      </c>
    </row>
    <row r="3223" spans="1:8">
      <c r="A3223">
        <v>2</v>
      </c>
      <c r="B3223" t="s">
        <v>42</v>
      </c>
      <c r="C3223" t="s">
        <v>34</v>
      </c>
      <c r="D3223">
        <v>0</v>
      </c>
      <c r="E3223">
        <v>1</v>
      </c>
      <c r="F3223" s="7">
        <v>18483.96</v>
      </c>
      <c r="G3223">
        <v>0</v>
      </c>
      <c r="H3223" s="7">
        <v>0</v>
      </c>
    </row>
    <row r="3224" spans="1:8">
      <c r="A3224">
        <v>2</v>
      </c>
      <c r="B3224" t="s">
        <v>44</v>
      </c>
      <c r="C3224" t="s">
        <v>35</v>
      </c>
      <c r="D3224">
        <v>0</v>
      </c>
      <c r="E3224">
        <v>1</v>
      </c>
      <c r="F3224" s="7">
        <v>131087.07</v>
      </c>
      <c r="G3224">
        <v>0</v>
      </c>
      <c r="H3224" s="7">
        <v>0</v>
      </c>
    </row>
    <row r="3225" spans="1:8">
      <c r="A3225">
        <v>2</v>
      </c>
      <c r="B3225" t="s">
        <v>45</v>
      </c>
      <c r="C3225" t="s">
        <v>33</v>
      </c>
      <c r="D3225">
        <v>0</v>
      </c>
      <c r="E3225">
        <v>1</v>
      </c>
      <c r="F3225" s="7">
        <v>1160.21</v>
      </c>
      <c r="G3225">
        <v>0</v>
      </c>
      <c r="H3225" s="7">
        <v>0</v>
      </c>
    </row>
    <row r="3226" spans="1:8">
      <c r="A3226">
        <v>2</v>
      </c>
      <c r="B3226" t="s">
        <v>42</v>
      </c>
      <c r="C3226" t="s">
        <v>34</v>
      </c>
      <c r="D3226">
        <v>0</v>
      </c>
      <c r="E3226">
        <v>1</v>
      </c>
      <c r="F3226" s="7">
        <v>21394.15</v>
      </c>
      <c r="G3226">
        <v>0</v>
      </c>
      <c r="H3226" s="7">
        <v>0</v>
      </c>
    </row>
    <row r="3227" spans="1:8">
      <c r="A3227">
        <v>2</v>
      </c>
      <c r="B3227" t="s">
        <v>43</v>
      </c>
      <c r="C3227" t="s">
        <v>34</v>
      </c>
      <c r="D3227">
        <v>0</v>
      </c>
      <c r="E3227">
        <v>1</v>
      </c>
      <c r="F3227" s="7">
        <v>84911.32</v>
      </c>
      <c r="G3227">
        <v>0</v>
      </c>
      <c r="H3227" s="7">
        <v>0</v>
      </c>
    </row>
    <row r="3228" spans="1:8">
      <c r="A3228">
        <v>2</v>
      </c>
      <c r="B3228" t="s">
        <v>44</v>
      </c>
      <c r="C3228" t="s">
        <v>34</v>
      </c>
      <c r="D3228">
        <v>0</v>
      </c>
      <c r="E3228">
        <v>1</v>
      </c>
      <c r="F3228" s="7">
        <v>32733.62</v>
      </c>
      <c r="G3228">
        <v>0</v>
      </c>
      <c r="H3228" s="7">
        <v>0</v>
      </c>
    </row>
    <row r="3229" spans="1:8">
      <c r="A3229">
        <v>2</v>
      </c>
      <c r="B3229" t="s">
        <v>42</v>
      </c>
      <c r="C3229" t="s">
        <v>33</v>
      </c>
      <c r="D3229">
        <v>0</v>
      </c>
      <c r="E3229">
        <v>1</v>
      </c>
      <c r="F3229" s="7">
        <v>2740.48</v>
      </c>
      <c r="G3229">
        <v>0</v>
      </c>
      <c r="H3229" s="7">
        <v>0</v>
      </c>
    </row>
    <row r="3230" spans="1:8">
      <c r="A3230">
        <v>2</v>
      </c>
      <c r="B3230" t="s">
        <v>42</v>
      </c>
      <c r="C3230" t="s">
        <v>33</v>
      </c>
      <c r="D3230">
        <v>0</v>
      </c>
      <c r="E3230">
        <v>1</v>
      </c>
      <c r="F3230" s="7">
        <v>5556.1</v>
      </c>
      <c r="G3230">
        <v>0</v>
      </c>
      <c r="H3230" s="7">
        <v>0</v>
      </c>
    </row>
    <row r="3231" spans="1:8">
      <c r="A3231">
        <v>2</v>
      </c>
      <c r="B3231" t="s">
        <v>42</v>
      </c>
      <c r="C3231" t="s">
        <v>32</v>
      </c>
      <c r="D3231">
        <v>0</v>
      </c>
      <c r="E3231">
        <v>1</v>
      </c>
      <c r="F3231" s="7">
        <v>826.36</v>
      </c>
      <c r="G3231">
        <v>0</v>
      </c>
      <c r="H3231" s="7">
        <v>0</v>
      </c>
    </row>
    <row r="3232" spans="1:8">
      <c r="A3232">
        <v>2</v>
      </c>
      <c r="B3232" t="s">
        <v>42</v>
      </c>
      <c r="C3232" t="s">
        <v>33</v>
      </c>
      <c r="D3232">
        <v>0</v>
      </c>
      <c r="E3232">
        <v>1</v>
      </c>
      <c r="F3232" s="7">
        <v>3308.25</v>
      </c>
      <c r="G3232">
        <v>0</v>
      </c>
      <c r="H3232" s="7">
        <v>0</v>
      </c>
    </row>
    <row r="3233" spans="1:8">
      <c r="A3233">
        <v>2</v>
      </c>
      <c r="B3233" t="s">
        <v>42</v>
      </c>
      <c r="C3233" t="s">
        <v>34</v>
      </c>
      <c r="D3233">
        <v>0</v>
      </c>
      <c r="E3233">
        <v>1</v>
      </c>
      <c r="F3233" s="7">
        <v>28714.16</v>
      </c>
      <c r="G3233">
        <v>0</v>
      </c>
      <c r="H3233" s="7">
        <v>0</v>
      </c>
    </row>
    <row r="3234" spans="1:8">
      <c r="A3234">
        <v>2</v>
      </c>
      <c r="B3234" t="s">
        <v>42</v>
      </c>
      <c r="C3234" t="s">
        <v>34</v>
      </c>
      <c r="D3234">
        <v>0</v>
      </c>
      <c r="E3234">
        <v>1</v>
      </c>
      <c r="F3234" s="7">
        <v>12691.84</v>
      </c>
      <c r="G3234">
        <v>0</v>
      </c>
      <c r="H3234" s="7">
        <v>0</v>
      </c>
    </row>
    <row r="3235" spans="1:8">
      <c r="A3235">
        <v>2</v>
      </c>
      <c r="B3235" t="s">
        <v>42</v>
      </c>
      <c r="C3235" t="s">
        <v>34</v>
      </c>
      <c r="D3235">
        <v>0</v>
      </c>
      <c r="E3235">
        <v>1</v>
      </c>
      <c r="F3235" s="7">
        <v>14841.59</v>
      </c>
      <c r="G3235">
        <v>0</v>
      </c>
      <c r="H3235" s="7">
        <v>0</v>
      </c>
    </row>
    <row r="3236" spans="1:8">
      <c r="A3236">
        <v>2</v>
      </c>
      <c r="B3236" t="s">
        <v>42</v>
      </c>
      <c r="C3236" t="s">
        <v>34</v>
      </c>
      <c r="D3236">
        <v>0</v>
      </c>
      <c r="E3236">
        <v>1</v>
      </c>
      <c r="F3236" s="7">
        <v>25162.93</v>
      </c>
      <c r="G3236">
        <v>0</v>
      </c>
      <c r="H3236" s="7">
        <v>0</v>
      </c>
    </row>
    <row r="3237" spans="1:8">
      <c r="A3237">
        <v>2</v>
      </c>
      <c r="B3237" t="s">
        <v>42</v>
      </c>
      <c r="C3237" t="s">
        <v>33</v>
      </c>
      <c r="D3237">
        <v>0</v>
      </c>
      <c r="E3237">
        <v>1</v>
      </c>
      <c r="F3237" s="7">
        <v>2713.13</v>
      </c>
      <c r="G3237">
        <v>0</v>
      </c>
      <c r="H3237" s="7">
        <v>0</v>
      </c>
    </row>
    <row r="3238" spans="1:8">
      <c r="A3238">
        <v>2</v>
      </c>
      <c r="B3238" t="s">
        <v>42</v>
      </c>
      <c r="C3238" t="s">
        <v>34</v>
      </c>
      <c r="D3238">
        <v>0</v>
      </c>
      <c r="E3238">
        <v>1</v>
      </c>
      <c r="F3238" s="7">
        <v>12129.31</v>
      </c>
      <c r="G3238">
        <v>0</v>
      </c>
      <c r="H3238" s="7">
        <v>0</v>
      </c>
    </row>
    <row r="3239" spans="1:8">
      <c r="A3239">
        <v>2</v>
      </c>
      <c r="B3239" t="s">
        <v>42</v>
      </c>
      <c r="C3239" t="s">
        <v>34</v>
      </c>
      <c r="D3239">
        <v>0</v>
      </c>
      <c r="E3239">
        <v>1</v>
      </c>
      <c r="F3239" s="7">
        <v>28118.46</v>
      </c>
      <c r="G3239">
        <v>0</v>
      </c>
      <c r="H3239" s="7">
        <v>0</v>
      </c>
    </row>
    <row r="3240" spans="1:8">
      <c r="A3240">
        <v>2</v>
      </c>
      <c r="B3240" t="s">
        <v>42</v>
      </c>
      <c r="C3240" t="s">
        <v>33</v>
      </c>
      <c r="D3240">
        <v>0</v>
      </c>
      <c r="E3240">
        <v>1</v>
      </c>
      <c r="F3240" s="7">
        <v>9157.3</v>
      </c>
      <c r="G3240">
        <v>0</v>
      </c>
      <c r="H3240" s="7">
        <v>0</v>
      </c>
    </row>
    <row r="3241" spans="1:8">
      <c r="A3241">
        <v>2</v>
      </c>
      <c r="B3241" t="s">
        <v>42</v>
      </c>
      <c r="C3241" t="s">
        <v>34</v>
      </c>
      <c r="D3241">
        <v>0</v>
      </c>
      <c r="E3241">
        <v>1</v>
      </c>
      <c r="F3241" s="7">
        <v>22012.11</v>
      </c>
      <c r="G3241">
        <v>0</v>
      </c>
      <c r="H3241" s="7">
        <v>0</v>
      </c>
    </row>
    <row r="3242" spans="1:8">
      <c r="A3242">
        <v>2</v>
      </c>
      <c r="B3242" t="s">
        <v>45</v>
      </c>
      <c r="C3242" t="s">
        <v>32</v>
      </c>
      <c r="D3242">
        <v>0</v>
      </c>
      <c r="E3242">
        <v>1</v>
      </c>
      <c r="F3242" s="7">
        <v>981.57</v>
      </c>
      <c r="G3242">
        <v>0</v>
      </c>
      <c r="H3242" s="7">
        <v>0</v>
      </c>
    </row>
    <row r="3243" spans="1:8">
      <c r="A3243">
        <v>2</v>
      </c>
      <c r="B3243" t="s">
        <v>45</v>
      </c>
      <c r="C3243" t="s">
        <v>33</v>
      </c>
      <c r="D3243">
        <v>0</v>
      </c>
      <c r="E3243">
        <v>1</v>
      </c>
      <c r="F3243" s="7">
        <v>2293.28</v>
      </c>
      <c r="G3243">
        <v>0</v>
      </c>
      <c r="H3243" s="7">
        <v>0</v>
      </c>
    </row>
    <row r="3244" spans="1:8">
      <c r="A3244">
        <v>2</v>
      </c>
      <c r="B3244" t="s">
        <v>42</v>
      </c>
      <c r="C3244" t="s">
        <v>34</v>
      </c>
      <c r="D3244">
        <v>0</v>
      </c>
      <c r="E3244">
        <v>1</v>
      </c>
      <c r="F3244" s="7">
        <v>21069.51</v>
      </c>
      <c r="G3244">
        <v>0</v>
      </c>
      <c r="H3244" s="7">
        <v>0</v>
      </c>
    </row>
    <row r="3245" spans="1:8">
      <c r="A3245">
        <v>2</v>
      </c>
      <c r="B3245" t="s">
        <v>42</v>
      </c>
      <c r="C3245" t="s">
        <v>33</v>
      </c>
      <c r="D3245">
        <v>0</v>
      </c>
      <c r="E3245">
        <v>1</v>
      </c>
      <c r="F3245" s="7">
        <v>4865.12</v>
      </c>
      <c r="G3245">
        <v>0</v>
      </c>
      <c r="H3245" s="7">
        <v>0</v>
      </c>
    </row>
    <row r="3246" spans="1:8">
      <c r="A3246">
        <v>2</v>
      </c>
      <c r="B3246" t="s">
        <v>42</v>
      </c>
      <c r="C3246" t="s">
        <v>33</v>
      </c>
      <c r="D3246">
        <v>0</v>
      </c>
      <c r="E3246">
        <v>1</v>
      </c>
      <c r="F3246" s="7">
        <v>2409.12</v>
      </c>
      <c r="G3246">
        <v>0</v>
      </c>
      <c r="H3246" s="7">
        <v>0</v>
      </c>
    </row>
    <row r="3247" spans="1:8">
      <c r="A3247">
        <v>2</v>
      </c>
      <c r="B3247" t="s">
        <v>42</v>
      </c>
      <c r="C3247" t="s">
        <v>33</v>
      </c>
      <c r="D3247">
        <v>0</v>
      </c>
      <c r="E3247">
        <v>1</v>
      </c>
      <c r="F3247" s="7">
        <v>6605.53</v>
      </c>
      <c r="G3247">
        <v>0</v>
      </c>
      <c r="H3247" s="7">
        <v>0</v>
      </c>
    </row>
    <row r="3248" spans="1:8">
      <c r="A3248">
        <v>2</v>
      </c>
      <c r="B3248" t="s">
        <v>43</v>
      </c>
      <c r="C3248" t="s">
        <v>35</v>
      </c>
      <c r="D3248">
        <v>0</v>
      </c>
      <c r="E3248">
        <v>1</v>
      </c>
      <c r="F3248" s="7">
        <v>203471.91</v>
      </c>
      <c r="G3248">
        <v>0</v>
      </c>
      <c r="H3248" s="7">
        <v>0</v>
      </c>
    </row>
    <row r="3249" spans="1:8">
      <c r="A3249">
        <v>2</v>
      </c>
      <c r="B3249" t="s">
        <v>46</v>
      </c>
      <c r="C3249" t="s">
        <v>35</v>
      </c>
      <c r="D3249">
        <v>0</v>
      </c>
      <c r="E3249">
        <v>1</v>
      </c>
      <c r="F3249" s="7">
        <v>254199.52</v>
      </c>
      <c r="G3249">
        <v>0</v>
      </c>
      <c r="H3249" s="7">
        <v>0</v>
      </c>
    </row>
    <row r="3250" spans="1:8">
      <c r="A3250">
        <v>2</v>
      </c>
      <c r="B3250" t="s">
        <v>42</v>
      </c>
      <c r="C3250" t="s">
        <v>33</v>
      </c>
      <c r="D3250">
        <v>0</v>
      </c>
      <c r="E3250">
        <v>1</v>
      </c>
      <c r="F3250" s="7">
        <v>8834.5</v>
      </c>
      <c r="G3250">
        <v>0</v>
      </c>
      <c r="H3250" s="7">
        <v>0</v>
      </c>
    </row>
    <row r="3251" spans="1:8">
      <c r="A3251">
        <v>2</v>
      </c>
      <c r="B3251" t="s">
        <v>42</v>
      </c>
      <c r="C3251" t="s">
        <v>33</v>
      </c>
      <c r="D3251">
        <v>0</v>
      </c>
      <c r="E3251">
        <v>1</v>
      </c>
      <c r="F3251" s="7">
        <v>2290</v>
      </c>
      <c r="G3251">
        <v>0</v>
      </c>
      <c r="H3251" s="7">
        <v>0</v>
      </c>
    </row>
    <row r="3252" spans="1:8">
      <c r="A3252">
        <v>2</v>
      </c>
      <c r="B3252" t="s">
        <v>42</v>
      </c>
      <c r="C3252" t="s">
        <v>33</v>
      </c>
      <c r="D3252">
        <v>0</v>
      </c>
      <c r="E3252">
        <v>1</v>
      </c>
      <c r="F3252" s="7">
        <v>6002.42</v>
      </c>
      <c r="G3252">
        <v>0</v>
      </c>
      <c r="H3252" s="7">
        <v>0</v>
      </c>
    </row>
    <row r="3253" spans="1:8">
      <c r="A3253">
        <v>2</v>
      </c>
      <c r="B3253" t="s">
        <v>42</v>
      </c>
      <c r="C3253" t="s">
        <v>33</v>
      </c>
      <c r="D3253">
        <v>0</v>
      </c>
      <c r="E3253">
        <v>1</v>
      </c>
      <c r="F3253" s="7">
        <v>1102.38</v>
      </c>
      <c r="G3253">
        <v>0</v>
      </c>
      <c r="H3253" s="7">
        <v>0</v>
      </c>
    </row>
    <row r="3254" spans="1:8">
      <c r="A3254">
        <v>2</v>
      </c>
      <c r="B3254" t="s">
        <v>42</v>
      </c>
      <c r="C3254" t="s">
        <v>34</v>
      </c>
      <c r="D3254">
        <v>0</v>
      </c>
      <c r="E3254">
        <v>1</v>
      </c>
      <c r="F3254" s="7">
        <v>17827.48</v>
      </c>
      <c r="G3254">
        <v>0</v>
      </c>
      <c r="H3254" s="7">
        <v>0</v>
      </c>
    </row>
    <row r="3255" spans="1:8">
      <c r="A3255">
        <v>2</v>
      </c>
      <c r="B3255" t="s">
        <v>42</v>
      </c>
      <c r="C3255" t="s">
        <v>33</v>
      </c>
      <c r="D3255">
        <v>0</v>
      </c>
      <c r="E3255">
        <v>1</v>
      </c>
      <c r="F3255" s="7">
        <v>1702.16</v>
      </c>
      <c r="G3255">
        <v>0</v>
      </c>
      <c r="H3255" s="7">
        <v>0</v>
      </c>
    </row>
    <row r="3256" spans="1:8">
      <c r="A3256">
        <v>2</v>
      </c>
      <c r="B3256" t="s">
        <v>43</v>
      </c>
      <c r="C3256" t="s">
        <v>35</v>
      </c>
      <c r="D3256">
        <v>0</v>
      </c>
      <c r="E3256">
        <v>1</v>
      </c>
      <c r="F3256" s="7">
        <v>183763.58</v>
      </c>
      <c r="G3256">
        <v>0</v>
      </c>
      <c r="H3256" s="7">
        <v>0</v>
      </c>
    </row>
    <row r="3257" spans="1:8">
      <c r="A3257">
        <v>2</v>
      </c>
      <c r="B3257" t="s">
        <v>43</v>
      </c>
      <c r="C3257" t="s">
        <v>35</v>
      </c>
      <c r="D3257">
        <v>0</v>
      </c>
      <c r="E3257">
        <v>1</v>
      </c>
      <c r="F3257" s="7">
        <v>308871.37</v>
      </c>
      <c r="G3257">
        <v>0</v>
      </c>
      <c r="H3257" s="7">
        <v>0</v>
      </c>
    </row>
    <row r="3258" spans="1:8">
      <c r="A3258">
        <v>2</v>
      </c>
      <c r="B3258" t="s">
        <v>42</v>
      </c>
      <c r="C3258" t="s">
        <v>34</v>
      </c>
      <c r="D3258">
        <v>0</v>
      </c>
      <c r="E3258">
        <v>1</v>
      </c>
      <c r="F3258" s="7">
        <v>11357.4</v>
      </c>
      <c r="G3258">
        <v>0</v>
      </c>
      <c r="H3258" s="7">
        <v>0</v>
      </c>
    </row>
    <row r="3259" spans="1:8">
      <c r="A3259">
        <v>2</v>
      </c>
      <c r="B3259" t="s">
        <v>42</v>
      </c>
      <c r="C3259" t="s">
        <v>34</v>
      </c>
      <c r="D3259">
        <v>0</v>
      </c>
      <c r="E3259">
        <v>1</v>
      </c>
      <c r="F3259" s="7">
        <v>14775.56</v>
      </c>
      <c r="G3259">
        <v>0</v>
      </c>
      <c r="H3259" s="7">
        <v>0</v>
      </c>
    </row>
    <row r="3260" spans="1:8">
      <c r="A3260">
        <v>2</v>
      </c>
      <c r="B3260" t="s">
        <v>42</v>
      </c>
      <c r="C3260" t="s">
        <v>33</v>
      </c>
      <c r="D3260">
        <v>0</v>
      </c>
      <c r="E3260">
        <v>1</v>
      </c>
      <c r="F3260" s="7">
        <v>2234.3</v>
      </c>
      <c r="G3260">
        <v>0</v>
      </c>
      <c r="H3260" s="7">
        <v>0</v>
      </c>
    </row>
    <row r="3261" spans="1:8">
      <c r="A3261">
        <v>2</v>
      </c>
      <c r="B3261" t="s">
        <v>45</v>
      </c>
      <c r="C3261" t="s">
        <v>33</v>
      </c>
      <c r="D3261">
        <v>0</v>
      </c>
      <c r="E3261">
        <v>1</v>
      </c>
      <c r="F3261" s="7">
        <v>3017.34</v>
      </c>
      <c r="G3261">
        <v>0</v>
      </c>
      <c r="H3261" s="7">
        <v>0</v>
      </c>
    </row>
    <row r="3262" spans="1:8">
      <c r="A3262">
        <v>2</v>
      </c>
      <c r="B3262" t="s">
        <v>45</v>
      </c>
      <c r="C3262" t="s">
        <v>33</v>
      </c>
      <c r="D3262">
        <v>0</v>
      </c>
      <c r="E3262">
        <v>1</v>
      </c>
      <c r="F3262" s="7">
        <v>3627.48</v>
      </c>
      <c r="G3262">
        <v>0</v>
      </c>
      <c r="H3262" s="7">
        <v>0</v>
      </c>
    </row>
    <row r="3263" spans="1:8">
      <c r="A3263">
        <v>2</v>
      </c>
      <c r="B3263" t="s">
        <v>42</v>
      </c>
      <c r="C3263" t="s">
        <v>33</v>
      </c>
      <c r="D3263">
        <v>0</v>
      </c>
      <c r="E3263">
        <v>1</v>
      </c>
      <c r="F3263" s="7">
        <v>2997.75</v>
      </c>
      <c r="G3263">
        <v>0</v>
      </c>
      <c r="H3263" s="7">
        <v>0</v>
      </c>
    </row>
    <row r="3264" spans="1:8">
      <c r="A3264">
        <v>2</v>
      </c>
      <c r="B3264" t="s">
        <v>43</v>
      </c>
      <c r="C3264" t="s">
        <v>35</v>
      </c>
      <c r="D3264">
        <v>0</v>
      </c>
      <c r="E3264">
        <v>1</v>
      </c>
      <c r="F3264" s="7">
        <v>448593.63</v>
      </c>
      <c r="G3264">
        <v>0</v>
      </c>
      <c r="H3264" s="7">
        <v>0</v>
      </c>
    </row>
    <row r="3265" spans="1:8">
      <c r="A3265">
        <v>2</v>
      </c>
      <c r="B3265" t="s">
        <v>42</v>
      </c>
      <c r="C3265" t="s">
        <v>32</v>
      </c>
      <c r="D3265">
        <v>0</v>
      </c>
      <c r="E3265">
        <v>1</v>
      </c>
      <c r="F3265" s="7">
        <v>265.2</v>
      </c>
      <c r="G3265">
        <v>0</v>
      </c>
      <c r="H3265" s="7">
        <v>0</v>
      </c>
    </row>
    <row r="3266" spans="1:8">
      <c r="A3266">
        <v>2</v>
      </c>
      <c r="B3266" t="s">
        <v>42</v>
      </c>
      <c r="C3266" t="s">
        <v>33</v>
      </c>
      <c r="D3266">
        <v>0</v>
      </c>
      <c r="E3266">
        <v>1</v>
      </c>
      <c r="F3266" s="7">
        <v>7766.84</v>
      </c>
      <c r="G3266">
        <v>0</v>
      </c>
      <c r="H3266" s="7">
        <v>0</v>
      </c>
    </row>
    <row r="3267" spans="1:8">
      <c r="A3267">
        <v>2</v>
      </c>
      <c r="B3267" t="s">
        <v>42</v>
      </c>
      <c r="C3267" t="s">
        <v>32</v>
      </c>
      <c r="D3267">
        <v>0</v>
      </c>
      <c r="E3267">
        <v>1</v>
      </c>
      <c r="F3267" s="7">
        <v>149.66</v>
      </c>
      <c r="G3267">
        <v>0</v>
      </c>
      <c r="H3267" s="7">
        <v>0</v>
      </c>
    </row>
    <row r="3268" spans="1:8">
      <c r="A3268">
        <v>2</v>
      </c>
      <c r="B3268" t="s">
        <v>42</v>
      </c>
      <c r="C3268" t="s">
        <v>33</v>
      </c>
      <c r="D3268">
        <v>0</v>
      </c>
      <c r="E3268">
        <v>1</v>
      </c>
      <c r="F3268" s="7">
        <v>7853.17</v>
      </c>
      <c r="G3268">
        <v>0</v>
      </c>
      <c r="H3268" s="7">
        <v>0</v>
      </c>
    </row>
    <row r="3269" spans="1:8">
      <c r="A3269">
        <v>2</v>
      </c>
      <c r="B3269" t="s">
        <v>42</v>
      </c>
      <c r="C3269" t="s">
        <v>34</v>
      </c>
      <c r="D3269">
        <v>0</v>
      </c>
      <c r="E3269">
        <v>1</v>
      </c>
      <c r="F3269" s="7">
        <v>15498.52</v>
      </c>
      <c r="G3269">
        <v>0</v>
      </c>
      <c r="H3269" s="7">
        <v>0</v>
      </c>
    </row>
    <row r="3270" spans="1:8">
      <c r="A3270">
        <v>2</v>
      </c>
      <c r="B3270" t="s">
        <v>42</v>
      </c>
      <c r="C3270" t="s">
        <v>33</v>
      </c>
      <c r="D3270">
        <v>0</v>
      </c>
      <c r="E3270">
        <v>1</v>
      </c>
      <c r="F3270" s="7">
        <v>2619.18</v>
      </c>
      <c r="G3270">
        <v>0</v>
      </c>
      <c r="H3270" s="7">
        <v>0</v>
      </c>
    </row>
    <row r="3271" spans="1:8">
      <c r="A3271">
        <v>2</v>
      </c>
      <c r="B3271" t="s">
        <v>42</v>
      </c>
      <c r="C3271" t="s">
        <v>33</v>
      </c>
      <c r="D3271">
        <v>0</v>
      </c>
      <c r="E3271">
        <v>1</v>
      </c>
      <c r="F3271" s="7">
        <v>2272.46</v>
      </c>
      <c r="G3271">
        <v>0</v>
      </c>
      <c r="H3271" s="7">
        <v>0</v>
      </c>
    </row>
    <row r="3272" spans="1:8">
      <c r="A3272">
        <v>2</v>
      </c>
      <c r="B3272" t="s">
        <v>42</v>
      </c>
      <c r="C3272" t="s">
        <v>33</v>
      </c>
      <c r="D3272">
        <v>0</v>
      </c>
      <c r="E3272">
        <v>1</v>
      </c>
      <c r="F3272" s="7">
        <v>1395.69</v>
      </c>
      <c r="G3272">
        <v>0</v>
      </c>
      <c r="H3272" s="7">
        <v>0</v>
      </c>
    </row>
    <row r="3273" spans="1:8">
      <c r="A3273">
        <v>2</v>
      </c>
      <c r="B3273" t="s">
        <v>42</v>
      </c>
      <c r="C3273" t="s">
        <v>34</v>
      </c>
      <c r="D3273">
        <v>0</v>
      </c>
      <c r="E3273">
        <v>1</v>
      </c>
      <c r="F3273" s="7">
        <v>18658.63</v>
      </c>
      <c r="G3273">
        <v>0</v>
      </c>
      <c r="H3273" s="7">
        <v>0</v>
      </c>
    </row>
    <row r="3274" spans="1:8">
      <c r="A3274">
        <v>2</v>
      </c>
      <c r="B3274" t="s">
        <v>42</v>
      </c>
      <c r="C3274" t="s">
        <v>34</v>
      </c>
      <c r="D3274">
        <v>0</v>
      </c>
      <c r="E3274">
        <v>1</v>
      </c>
      <c r="F3274" s="7">
        <v>20051.7</v>
      </c>
      <c r="G3274">
        <v>0</v>
      </c>
      <c r="H3274" s="7">
        <v>0</v>
      </c>
    </row>
    <row r="3275" spans="1:8">
      <c r="A3275">
        <v>2</v>
      </c>
      <c r="B3275" t="s">
        <v>42</v>
      </c>
      <c r="C3275" t="s">
        <v>33</v>
      </c>
      <c r="D3275">
        <v>0</v>
      </c>
      <c r="E3275">
        <v>1</v>
      </c>
      <c r="F3275" s="7">
        <v>1644.19</v>
      </c>
      <c r="G3275">
        <v>0</v>
      </c>
      <c r="H3275" s="7">
        <v>0</v>
      </c>
    </row>
    <row r="3276" spans="1:8">
      <c r="A3276">
        <v>2</v>
      </c>
      <c r="B3276" t="s">
        <v>42</v>
      </c>
      <c r="C3276" t="s">
        <v>33</v>
      </c>
      <c r="D3276">
        <v>0</v>
      </c>
      <c r="E3276">
        <v>1</v>
      </c>
      <c r="F3276" s="7">
        <v>1445.37</v>
      </c>
      <c r="G3276">
        <v>0</v>
      </c>
      <c r="H3276" s="7">
        <v>0</v>
      </c>
    </row>
    <row r="3277" spans="1:8">
      <c r="A3277">
        <v>2</v>
      </c>
      <c r="B3277" t="s">
        <v>43</v>
      </c>
      <c r="C3277" t="s">
        <v>34</v>
      </c>
      <c r="D3277">
        <v>1</v>
      </c>
      <c r="E3277">
        <v>1</v>
      </c>
      <c r="F3277" s="7">
        <v>14949.84</v>
      </c>
      <c r="G3277">
        <v>1</v>
      </c>
      <c r="H3277" s="7">
        <v>14949.84</v>
      </c>
    </row>
    <row r="3278" spans="1:8">
      <c r="A3278">
        <v>2</v>
      </c>
      <c r="B3278" t="s">
        <v>44</v>
      </c>
      <c r="C3278" t="s">
        <v>34</v>
      </c>
      <c r="D3278">
        <v>1</v>
      </c>
      <c r="E3278">
        <v>1</v>
      </c>
      <c r="F3278" s="7">
        <v>14949.84</v>
      </c>
      <c r="G3278">
        <v>1</v>
      </c>
      <c r="H3278" s="7">
        <v>14949.84</v>
      </c>
    </row>
    <row r="3279" spans="1:8">
      <c r="A3279">
        <v>2</v>
      </c>
      <c r="B3279" t="s">
        <v>42</v>
      </c>
      <c r="C3279" t="s">
        <v>33</v>
      </c>
      <c r="D3279">
        <v>0</v>
      </c>
      <c r="E3279">
        <v>1</v>
      </c>
      <c r="F3279" s="7">
        <v>5647.66</v>
      </c>
      <c r="G3279">
        <v>0</v>
      </c>
      <c r="H3279" s="7">
        <v>0</v>
      </c>
    </row>
    <row r="3280" spans="1:8">
      <c r="A3280">
        <v>2</v>
      </c>
      <c r="B3280" t="s">
        <v>42</v>
      </c>
      <c r="C3280" t="s">
        <v>33</v>
      </c>
      <c r="D3280">
        <v>0</v>
      </c>
      <c r="E3280">
        <v>1</v>
      </c>
      <c r="F3280" s="7">
        <v>5183.53</v>
      </c>
      <c r="G3280">
        <v>0</v>
      </c>
      <c r="H3280" s="7">
        <v>0</v>
      </c>
    </row>
    <row r="3281" spans="1:8">
      <c r="A3281">
        <v>2</v>
      </c>
      <c r="B3281" t="s">
        <v>44</v>
      </c>
      <c r="C3281" t="s">
        <v>35</v>
      </c>
      <c r="D3281">
        <v>0</v>
      </c>
      <c r="E3281">
        <v>1</v>
      </c>
      <c r="F3281" s="7">
        <v>189592.17</v>
      </c>
      <c r="G3281">
        <v>0</v>
      </c>
      <c r="H3281" s="7">
        <v>0</v>
      </c>
    </row>
    <row r="3282" spans="1:8">
      <c r="A3282">
        <v>2</v>
      </c>
      <c r="B3282" t="s">
        <v>45</v>
      </c>
      <c r="C3282" t="s">
        <v>33</v>
      </c>
      <c r="D3282">
        <v>0</v>
      </c>
      <c r="E3282">
        <v>1</v>
      </c>
      <c r="F3282" s="7">
        <v>1841.58</v>
      </c>
      <c r="G3282">
        <v>0</v>
      </c>
      <c r="H3282" s="7">
        <v>0</v>
      </c>
    </row>
    <row r="3283" spans="1:8">
      <c r="A3283">
        <v>2</v>
      </c>
      <c r="B3283" t="s">
        <v>43</v>
      </c>
      <c r="C3283" t="s">
        <v>34</v>
      </c>
      <c r="D3283">
        <v>0</v>
      </c>
      <c r="E3283">
        <v>1</v>
      </c>
      <c r="F3283" s="7">
        <v>23377.76</v>
      </c>
      <c r="G3283">
        <v>0</v>
      </c>
      <c r="H3283" s="7">
        <v>0</v>
      </c>
    </row>
    <row r="3284" spans="1:8">
      <c r="A3284">
        <v>2</v>
      </c>
      <c r="B3284" t="s">
        <v>42</v>
      </c>
      <c r="C3284" t="s">
        <v>34</v>
      </c>
      <c r="D3284">
        <v>0</v>
      </c>
      <c r="E3284">
        <v>1</v>
      </c>
      <c r="F3284" s="7">
        <v>10788.66</v>
      </c>
      <c r="G3284">
        <v>0</v>
      </c>
      <c r="H3284" s="7">
        <v>0</v>
      </c>
    </row>
    <row r="3285" spans="1:8">
      <c r="A3285">
        <v>2</v>
      </c>
      <c r="B3285" t="s">
        <v>42</v>
      </c>
      <c r="C3285" t="s">
        <v>33</v>
      </c>
      <c r="D3285">
        <v>0</v>
      </c>
      <c r="E3285">
        <v>1</v>
      </c>
      <c r="F3285" s="7">
        <v>2636.86</v>
      </c>
      <c r="G3285">
        <v>0</v>
      </c>
      <c r="H3285" s="7">
        <v>0</v>
      </c>
    </row>
    <row r="3286" spans="1:8">
      <c r="A3286">
        <v>2</v>
      </c>
      <c r="B3286" t="s">
        <v>42</v>
      </c>
      <c r="C3286" t="s">
        <v>34</v>
      </c>
      <c r="D3286">
        <v>0</v>
      </c>
      <c r="E3286">
        <v>1</v>
      </c>
      <c r="F3286" s="7">
        <v>12787.03</v>
      </c>
      <c r="G3286">
        <v>0</v>
      </c>
      <c r="H3286" s="7">
        <v>0</v>
      </c>
    </row>
    <row r="3287" spans="1:8">
      <c r="A3287">
        <v>2</v>
      </c>
      <c r="B3287" t="s">
        <v>42</v>
      </c>
      <c r="C3287" t="s">
        <v>34</v>
      </c>
      <c r="D3287">
        <v>0</v>
      </c>
      <c r="E3287">
        <v>1</v>
      </c>
      <c r="F3287" s="7">
        <v>13285.98</v>
      </c>
      <c r="G3287">
        <v>0</v>
      </c>
      <c r="H3287" s="7">
        <v>0</v>
      </c>
    </row>
    <row r="3288" spans="1:8">
      <c r="A3288">
        <v>2</v>
      </c>
      <c r="B3288" t="s">
        <v>44</v>
      </c>
      <c r="C3288" t="s">
        <v>34</v>
      </c>
      <c r="D3288">
        <v>0</v>
      </c>
      <c r="E3288">
        <v>1</v>
      </c>
      <c r="F3288" s="7">
        <v>69038.41</v>
      </c>
      <c r="G3288">
        <v>0</v>
      </c>
      <c r="H3288" s="7">
        <v>0</v>
      </c>
    </row>
    <row r="3289" spans="1:8">
      <c r="A3289">
        <v>2</v>
      </c>
      <c r="B3289" t="s">
        <v>42</v>
      </c>
      <c r="C3289" t="s">
        <v>33</v>
      </c>
      <c r="D3289">
        <v>0</v>
      </c>
      <c r="E3289">
        <v>1</v>
      </c>
      <c r="F3289" s="7">
        <v>5750.69</v>
      </c>
      <c r="G3289">
        <v>0</v>
      </c>
      <c r="H3289" s="7">
        <v>0</v>
      </c>
    </row>
    <row r="3290" spans="1:8">
      <c r="A3290">
        <v>2</v>
      </c>
      <c r="B3290" t="s">
        <v>45</v>
      </c>
      <c r="C3290" t="s">
        <v>33</v>
      </c>
      <c r="D3290">
        <v>0</v>
      </c>
      <c r="E3290">
        <v>1</v>
      </c>
      <c r="F3290" s="7">
        <v>1726.62</v>
      </c>
      <c r="G3290">
        <v>0</v>
      </c>
      <c r="H3290" s="7">
        <v>0</v>
      </c>
    </row>
    <row r="3291" spans="1:8">
      <c r="A3291">
        <v>2</v>
      </c>
      <c r="B3291" t="s">
        <v>42</v>
      </c>
      <c r="C3291" t="s">
        <v>33</v>
      </c>
      <c r="D3291">
        <v>0</v>
      </c>
      <c r="E3291">
        <v>1</v>
      </c>
      <c r="F3291" s="7">
        <v>5908.57</v>
      </c>
      <c r="G3291">
        <v>0</v>
      </c>
      <c r="H3291" s="7">
        <v>0</v>
      </c>
    </row>
    <row r="3292" spans="1:8">
      <c r="A3292">
        <v>2</v>
      </c>
      <c r="B3292" t="s">
        <v>42</v>
      </c>
      <c r="C3292" t="s">
        <v>33</v>
      </c>
      <c r="D3292">
        <v>0</v>
      </c>
      <c r="E3292">
        <v>1</v>
      </c>
      <c r="F3292" s="7">
        <v>9611.47</v>
      </c>
      <c r="G3292">
        <v>0</v>
      </c>
      <c r="H3292" s="7">
        <v>0</v>
      </c>
    </row>
    <row r="3293" spans="1:8">
      <c r="A3293">
        <v>2</v>
      </c>
      <c r="B3293" t="s">
        <v>42</v>
      </c>
      <c r="C3293" t="s">
        <v>34</v>
      </c>
      <c r="D3293">
        <v>0</v>
      </c>
      <c r="E3293">
        <v>1</v>
      </c>
      <c r="F3293" s="7">
        <v>11816.56</v>
      </c>
      <c r="G3293">
        <v>0</v>
      </c>
      <c r="H3293" s="7">
        <v>0</v>
      </c>
    </row>
    <row r="3294" spans="1:8">
      <c r="A3294">
        <v>2</v>
      </c>
      <c r="B3294" t="s">
        <v>42</v>
      </c>
      <c r="C3294" t="s">
        <v>32</v>
      </c>
      <c r="D3294">
        <v>0</v>
      </c>
      <c r="E3294">
        <v>1</v>
      </c>
      <c r="F3294" s="7">
        <v>439.66</v>
      </c>
      <c r="G3294">
        <v>0</v>
      </c>
      <c r="H3294" s="7">
        <v>0</v>
      </c>
    </row>
    <row r="3295" spans="1:8">
      <c r="A3295">
        <v>2</v>
      </c>
      <c r="B3295" t="s">
        <v>42</v>
      </c>
      <c r="C3295" t="s">
        <v>33</v>
      </c>
      <c r="D3295">
        <v>0</v>
      </c>
      <c r="E3295">
        <v>1</v>
      </c>
      <c r="F3295" s="7">
        <v>3470.6</v>
      </c>
      <c r="G3295">
        <v>0</v>
      </c>
      <c r="H3295" s="7">
        <v>0</v>
      </c>
    </row>
    <row r="3296" spans="1:8">
      <c r="A3296">
        <v>2</v>
      </c>
      <c r="B3296" t="s">
        <v>42</v>
      </c>
      <c r="C3296" t="s">
        <v>34</v>
      </c>
      <c r="D3296">
        <v>0</v>
      </c>
      <c r="E3296">
        <v>1</v>
      </c>
      <c r="F3296" s="7">
        <v>13802.16</v>
      </c>
      <c r="G3296">
        <v>0</v>
      </c>
      <c r="H3296" s="7">
        <v>0</v>
      </c>
    </row>
    <row r="3297" spans="1:8">
      <c r="A3297">
        <v>2</v>
      </c>
      <c r="B3297" t="s">
        <v>42</v>
      </c>
      <c r="C3297" t="s">
        <v>33</v>
      </c>
      <c r="D3297">
        <v>0</v>
      </c>
      <c r="E3297">
        <v>1</v>
      </c>
      <c r="F3297" s="7">
        <v>2391.38</v>
      </c>
      <c r="G3297">
        <v>0</v>
      </c>
      <c r="H3297" s="7">
        <v>0</v>
      </c>
    </row>
    <row r="3298" spans="1:8">
      <c r="A3298">
        <v>2</v>
      </c>
      <c r="B3298" t="s">
        <v>42</v>
      </c>
      <c r="C3298" t="s">
        <v>33</v>
      </c>
      <c r="D3298">
        <v>0</v>
      </c>
      <c r="E3298">
        <v>1</v>
      </c>
      <c r="F3298" s="7">
        <v>4738.43</v>
      </c>
      <c r="G3298">
        <v>0</v>
      </c>
      <c r="H3298" s="7">
        <v>0</v>
      </c>
    </row>
    <row r="3299" spans="1:8">
      <c r="A3299">
        <v>2</v>
      </c>
      <c r="B3299" t="s">
        <v>42</v>
      </c>
      <c r="C3299" t="s">
        <v>34</v>
      </c>
      <c r="D3299">
        <v>0</v>
      </c>
      <c r="E3299">
        <v>1</v>
      </c>
      <c r="F3299" s="7">
        <v>12099.05</v>
      </c>
      <c r="G3299">
        <v>0</v>
      </c>
      <c r="H3299" s="7">
        <v>0</v>
      </c>
    </row>
    <row r="3300" spans="1:8">
      <c r="A3300">
        <v>2</v>
      </c>
      <c r="B3300" t="s">
        <v>42</v>
      </c>
      <c r="C3300" t="s">
        <v>34</v>
      </c>
      <c r="D3300">
        <v>0</v>
      </c>
      <c r="E3300">
        <v>1</v>
      </c>
      <c r="F3300" s="7">
        <v>13550.62</v>
      </c>
      <c r="G3300">
        <v>0</v>
      </c>
      <c r="H3300" s="7">
        <v>0</v>
      </c>
    </row>
    <row r="3301" spans="1:8">
      <c r="A3301">
        <v>2</v>
      </c>
      <c r="B3301" t="s">
        <v>42</v>
      </c>
      <c r="C3301" t="s">
        <v>33</v>
      </c>
      <c r="D3301">
        <v>0</v>
      </c>
      <c r="E3301">
        <v>1</v>
      </c>
      <c r="F3301" s="7">
        <v>4539.49</v>
      </c>
      <c r="G3301">
        <v>0</v>
      </c>
      <c r="H3301" s="7">
        <v>0</v>
      </c>
    </row>
    <row r="3302" spans="1:8">
      <c r="A3302">
        <v>2</v>
      </c>
      <c r="B3302" t="s">
        <v>46</v>
      </c>
      <c r="C3302" t="s">
        <v>35</v>
      </c>
      <c r="D3302">
        <v>0</v>
      </c>
      <c r="E3302">
        <v>1</v>
      </c>
      <c r="F3302" s="7">
        <v>233432.28</v>
      </c>
      <c r="G3302">
        <v>0</v>
      </c>
      <c r="H3302" s="7">
        <v>0</v>
      </c>
    </row>
    <row r="3303" spans="1:8">
      <c r="A3303">
        <v>2</v>
      </c>
      <c r="B3303" t="s">
        <v>42</v>
      </c>
      <c r="C3303" t="s">
        <v>34</v>
      </c>
      <c r="D3303">
        <v>0</v>
      </c>
      <c r="E3303">
        <v>1</v>
      </c>
      <c r="F3303" s="7">
        <v>17549.8</v>
      </c>
      <c r="G3303">
        <v>0</v>
      </c>
      <c r="H3303" s="7">
        <v>0</v>
      </c>
    </row>
    <row r="3304" spans="1:8">
      <c r="A3304">
        <v>2</v>
      </c>
      <c r="B3304" t="s">
        <v>42</v>
      </c>
      <c r="C3304" t="s">
        <v>33</v>
      </c>
      <c r="D3304">
        <v>0</v>
      </c>
      <c r="E3304">
        <v>1</v>
      </c>
      <c r="F3304" s="7">
        <v>6416.72</v>
      </c>
      <c r="G3304">
        <v>0</v>
      </c>
      <c r="H3304" s="7">
        <v>0</v>
      </c>
    </row>
    <row r="3305" spans="1:8">
      <c r="A3305">
        <v>2</v>
      </c>
      <c r="B3305" t="s">
        <v>44</v>
      </c>
      <c r="C3305" t="s">
        <v>35</v>
      </c>
      <c r="D3305">
        <v>0</v>
      </c>
      <c r="E3305">
        <v>1</v>
      </c>
      <c r="F3305" s="7">
        <v>232486.18</v>
      </c>
      <c r="G3305">
        <v>0</v>
      </c>
      <c r="H3305" s="7">
        <v>0</v>
      </c>
    </row>
    <row r="3306" spans="1:8">
      <c r="A3306">
        <v>2</v>
      </c>
      <c r="B3306" t="s">
        <v>44</v>
      </c>
      <c r="C3306" t="s">
        <v>34</v>
      </c>
      <c r="D3306">
        <v>0</v>
      </c>
      <c r="E3306">
        <v>1</v>
      </c>
      <c r="F3306" s="7">
        <v>53083.59</v>
      </c>
      <c r="G3306">
        <v>0</v>
      </c>
      <c r="H3306" s="7">
        <v>0</v>
      </c>
    </row>
    <row r="3307" spans="1:8">
      <c r="A3307">
        <v>2</v>
      </c>
      <c r="B3307" t="s">
        <v>44</v>
      </c>
      <c r="C3307" t="s">
        <v>35</v>
      </c>
      <c r="D3307">
        <v>0</v>
      </c>
      <c r="E3307">
        <v>1</v>
      </c>
      <c r="F3307" s="7">
        <v>110520.75</v>
      </c>
      <c r="G3307">
        <v>0</v>
      </c>
      <c r="H3307" s="7">
        <v>0</v>
      </c>
    </row>
    <row r="3308" spans="1:8">
      <c r="A3308">
        <v>2</v>
      </c>
      <c r="B3308" t="s">
        <v>44</v>
      </c>
      <c r="C3308" t="s">
        <v>35</v>
      </c>
      <c r="D3308">
        <v>0</v>
      </c>
      <c r="E3308">
        <v>1</v>
      </c>
      <c r="F3308" s="7">
        <v>104222.89</v>
      </c>
      <c r="G3308">
        <v>0</v>
      </c>
      <c r="H3308" s="7">
        <v>0</v>
      </c>
    </row>
    <row r="3309" spans="1:8">
      <c r="A3309">
        <v>2</v>
      </c>
      <c r="B3309" t="s">
        <v>44</v>
      </c>
      <c r="C3309" t="s">
        <v>35</v>
      </c>
      <c r="D3309">
        <v>0</v>
      </c>
      <c r="E3309">
        <v>1</v>
      </c>
      <c r="F3309" s="7">
        <v>107963.88</v>
      </c>
      <c r="G3309">
        <v>0</v>
      </c>
      <c r="H3309" s="7">
        <v>0</v>
      </c>
    </row>
    <row r="3310" spans="1:8">
      <c r="A3310">
        <v>2</v>
      </c>
      <c r="B3310" t="s">
        <v>44</v>
      </c>
      <c r="C3310" t="s">
        <v>35</v>
      </c>
      <c r="D3310">
        <v>0</v>
      </c>
      <c r="E3310">
        <v>1</v>
      </c>
      <c r="F3310" s="7">
        <v>332574.96</v>
      </c>
      <c r="G3310">
        <v>0</v>
      </c>
      <c r="H3310" s="7">
        <v>0</v>
      </c>
    </row>
    <row r="3311" spans="1:8">
      <c r="A3311">
        <v>2</v>
      </c>
      <c r="B3311" t="s">
        <v>44</v>
      </c>
      <c r="C3311" t="s">
        <v>35</v>
      </c>
      <c r="D3311">
        <v>0</v>
      </c>
      <c r="E3311">
        <v>1</v>
      </c>
      <c r="F3311" s="7">
        <v>234198.21</v>
      </c>
      <c r="G3311">
        <v>0</v>
      </c>
      <c r="H3311" s="7">
        <v>0</v>
      </c>
    </row>
    <row r="3312" spans="1:8">
      <c r="A3312">
        <v>2</v>
      </c>
      <c r="B3312" t="s">
        <v>44</v>
      </c>
      <c r="C3312" t="s">
        <v>35</v>
      </c>
      <c r="D3312">
        <v>0</v>
      </c>
      <c r="E3312">
        <v>1</v>
      </c>
      <c r="F3312" s="7">
        <v>188890.52</v>
      </c>
      <c r="G3312">
        <v>0</v>
      </c>
      <c r="H3312" s="7">
        <v>0</v>
      </c>
    </row>
    <row r="3313" spans="1:8">
      <c r="A3313">
        <v>2</v>
      </c>
      <c r="B3313" t="s">
        <v>44</v>
      </c>
      <c r="C3313" t="s">
        <v>35</v>
      </c>
      <c r="D3313">
        <v>0</v>
      </c>
      <c r="E3313">
        <v>1</v>
      </c>
      <c r="F3313" s="7">
        <v>299336.05</v>
      </c>
      <c r="G3313">
        <v>0</v>
      </c>
      <c r="H3313" s="7">
        <v>0</v>
      </c>
    </row>
    <row r="3314" spans="1:8">
      <c r="A3314">
        <v>2</v>
      </c>
      <c r="B3314" t="s">
        <v>44</v>
      </c>
      <c r="C3314" t="s">
        <v>33</v>
      </c>
      <c r="D3314">
        <v>0</v>
      </c>
      <c r="E3314">
        <v>1</v>
      </c>
      <c r="F3314" s="7">
        <v>6016.03</v>
      </c>
      <c r="G3314">
        <v>0</v>
      </c>
      <c r="H3314" s="7">
        <v>0</v>
      </c>
    </row>
    <row r="3315" spans="1:8">
      <c r="A3315">
        <v>2</v>
      </c>
      <c r="B3315" t="s">
        <v>44</v>
      </c>
      <c r="C3315" t="s">
        <v>35</v>
      </c>
      <c r="D3315">
        <v>0</v>
      </c>
      <c r="E3315">
        <v>1</v>
      </c>
      <c r="F3315" s="7">
        <v>259448.64</v>
      </c>
      <c r="G3315">
        <v>0</v>
      </c>
      <c r="H3315" s="7">
        <v>0</v>
      </c>
    </row>
    <row r="3316" spans="1:8">
      <c r="A3316">
        <v>2</v>
      </c>
      <c r="B3316" t="s">
        <v>44</v>
      </c>
      <c r="C3316" t="s">
        <v>34</v>
      </c>
      <c r="D3316">
        <v>0</v>
      </c>
      <c r="E3316">
        <v>1</v>
      </c>
      <c r="F3316" s="7">
        <v>22948.44</v>
      </c>
      <c r="G3316">
        <v>0</v>
      </c>
      <c r="H3316" s="7">
        <v>0</v>
      </c>
    </row>
    <row r="3317" spans="1:8">
      <c r="A3317">
        <v>2</v>
      </c>
      <c r="B3317" t="s">
        <v>44</v>
      </c>
      <c r="C3317" t="s">
        <v>35</v>
      </c>
      <c r="D3317">
        <v>0</v>
      </c>
      <c r="E3317">
        <v>1</v>
      </c>
      <c r="F3317" s="7">
        <v>142442.16</v>
      </c>
      <c r="G3317">
        <v>0</v>
      </c>
      <c r="H3317" s="7">
        <v>0</v>
      </c>
    </row>
    <row r="3318" spans="1:8">
      <c r="A3318">
        <v>2</v>
      </c>
      <c r="B3318" t="s">
        <v>44</v>
      </c>
      <c r="C3318" t="s">
        <v>34</v>
      </c>
      <c r="D3318">
        <v>0</v>
      </c>
      <c r="E3318">
        <v>1</v>
      </c>
      <c r="F3318" s="7">
        <v>49267.14</v>
      </c>
      <c r="G3318">
        <v>0</v>
      </c>
      <c r="H3318" s="7">
        <v>0</v>
      </c>
    </row>
    <row r="3319" spans="1:8">
      <c r="A3319">
        <v>2</v>
      </c>
      <c r="B3319" t="s">
        <v>44</v>
      </c>
      <c r="C3319" t="s">
        <v>35</v>
      </c>
      <c r="D3319">
        <v>0</v>
      </c>
      <c r="E3319">
        <v>1</v>
      </c>
      <c r="F3319" s="7">
        <v>692460.02</v>
      </c>
      <c r="G3319">
        <v>0</v>
      </c>
      <c r="H3319" s="7">
        <v>0</v>
      </c>
    </row>
    <row r="3320" spans="1:8">
      <c r="A3320">
        <v>2</v>
      </c>
      <c r="B3320" t="s">
        <v>44</v>
      </c>
      <c r="C3320" t="s">
        <v>35</v>
      </c>
      <c r="D3320">
        <v>0</v>
      </c>
      <c r="E3320">
        <v>1</v>
      </c>
      <c r="F3320" s="7">
        <v>211131.43</v>
      </c>
      <c r="G3320">
        <v>0</v>
      </c>
      <c r="H3320" s="7">
        <v>0</v>
      </c>
    </row>
    <row r="3321" spans="1:8">
      <c r="A3321">
        <v>2</v>
      </c>
      <c r="B3321" t="s">
        <v>44</v>
      </c>
      <c r="C3321" t="s">
        <v>35</v>
      </c>
      <c r="D3321">
        <v>0</v>
      </c>
      <c r="E3321">
        <v>1</v>
      </c>
      <c r="F3321" s="7">
        <v>150366.56</v>
      </c>
      <c r="G3321">
        <v>0</v>
      </c>
      <c r="H3321" s="7">
        <v>0</v>
      </c>
    </row>
    <row r="3322" spans="1:8">
      <c r="A3322">
        <v>2</v>
      </c>
      <c r="B3322" t="s">
        <v>44</v>
      </c>
      <c r="C3322" t="s">
        <v>34</v>
      </c>
      <c r="D3322">
        <v>0</v>
      </c>
      <c r="E3322">
        <v>1</v>
      </c>
      <c r="F3322" s="7">
        <v>10511.06</v>
      </c>
      <c r="G3322">
        <v>0</v>
      </c>
      <c r="H3322" s="7">
        <v>0</v>
      </c>
    </row>
    <row r="3323" spans="1:8">
      <c r="A3323">
        <v>2</v>
      </c>
      <c r="B3323" t="s">
        <v>44</v>
      </c>
      <c r="C3323" t="s">
        <v>34</v>
      </c>
      <c r="D3323">
        <v>0</v>
      </c>
      <c r="E3323">
        <v>1</v>
      </c>
      <c r="F3323" s="7">
        <v>44145.7</v>
      </c>
      <c r="G3323">
        <v>0</v>
      </c>
      <c r="H3323" s="7">
        <v>0</v>
      </c>
    </row>
    <row r="3324" spans="1:8">
      <c r="A3324">
        <v>2</v>
      </c>
      <c r="B3324" t="s">
        <v>42</v>
      </c>
      <c r="C3324" t="s">
        <v>32</v>
      </c>
      <c r="D3324">
        <v>0</v>
      </c>
      <c r="E3324">
        <v>1</v>
      </c>
      <c r="F3324" s="7">
        <v>733.57</v>
      </c>
      <c r="G3324">
        <v>0</v>
      </c>
      <c r="H3324" s="7">
        <v>0</v>
      </c>
    </row>
    <row r="3325" spans="1:8">
      <c r="A3325">
        <v>2</v>
      </c>
      <c r="B3325" t="s">
        <v>45</v>
      </c>
      <c r="C3325" t="s">
        <v>33</v>
      </c>
      <c r="D3325">
        <v>0</v>
      </c>
      <c r="E3325">
        <v>1</v>
      </c>
      <c r="F3325" s="7">
        <v>3035.96</v>
      </c>
      <c r="G3325">
        <v>0</v>
      </c>
      <c r="H3325" s="7">
        <v>0</v>
      </c>
    </row>
    <row r="3326" spans="1:8">
      <c r="A3326">
        <v>2</v>
      </c>
      <c r="B3326" t="s">
        <v>42</v>
      </c>
      <c r="C3326" t="s">
        <v>33</v>
      </c>
      <c r="D3326">
        <v>0</v>
      </c>
      <c r="E3326">
        <v>1</v>
      </c>
      <c r="F3326" s="7">
        <v>1330.82</v>
      </c>
      <c r="G3326">
        <v>0</v>
      </c>
      <c r="H3326" s="7">
        <v>0</v>
      </c>
    </row>
    <row r="3327" spans="1:8">
      <c r="A3327">
        <v>2</v>
      </c>
      <c r="B3327" t="s">
        <v>42</v>
      </c>
      <c r="C3327" t="s">
        <v>32</v>
      </c>
      <c r="D3327">
        <v>0</v>
      </c>
      <c r="E3327">
        <v>1</v>
      </c>
      <c r="F3327" s="7">
        <v>478.1</v>
      </c>
      <c r="G3327">
        <v>0</v>
      </c>
      <c r="H3327" s="7">
        <v>0</v>
      </c>
    </row>
    <row r="3328" spans="1:8">
      <c r="A3328">
        <v>2</v>
      </c>
      <c r="B3328" t="s">
        <v>42</v>
      </c>
      <c r="C3328" t="s">
        <v>33</v>
      </c>
      <c r="D3328">
        <v>0</v>
      </c>
      <c r="E3328">
        <v>1</v>
      </c>
      <c r="F3328" s="7">
        <v>1500.44</v>
      </c>
      <c r="G3328">
        <v>0</v>
      </c>
      <c r="H3328" s="7">
        <v>0</v>
      </c>
    </row>
    <row r="3329" spans="1:8">
      <c r="A3329">
        <v>2</v>
      </c>
      <c r="B3329" t="s">
        <v>42</v>
      </c>
      <c r="C3329" t="s">
        <v>33</v>
      </c>
      <c r="D3329">
        <v>0</v>
      </c>
      <c r="E3329">
        <v>1</v>
      </c>
      <c r="F3329" s="7">
        <v>4794.98</v>
      </c>
      <c r="G3329">
        <v>0</v>
      </c>
      <c r="H3329" s="7">
        <v>0</v>
      </c>
    </row>
    <row r="3330" spans="1:8">
      <c r="A3330">
        <v>2</v>
      </c>
      <c r="B3330" t="s">
        <v>45</v>
      </c>
      <c r="C3330" t="s">
        <v>33</v>
      </c>
      <c r="D3330">
        <v>0</v>
      </c>
      <c r="E3330">
        <v>1</v>
      </c>
      <c r="F3330" s="7">
        <v>1777.63</v>
      </c>
      <c r="G3330">
        <v>0</v>
      </c>
      <c r="H3330" s="7">
        <v>0</v>
      </c>
    </row>
    <row r="3331" spans="1:8">
      <c r="A3331">
        <v>2</v>
      </c>
      <c r="B3331" t="s">
        <v>42</v>
      </c>
      <c r="C3331" t="s">
        <v>34</v>
      </c>
      <c r="D3331">
        <v>0</v>
      </c>
      <c r="E3331">
        <v>1</v>
      </c>
      <c r="F3331" s="7">
        <v>12475.89</v>
      </c>
      <c r="G3331">
        <v>0</v>
      </c>
      <c r="H3331" s="7">
        <v>0</v>
      </c>
    </row>
    <row r="3332" spans="1:8">
      <c r="A3332">
        <v>2</v>
      </c>
      <c r="B3332" t="s">
        <v>43</v>
      </c>
      <c r="C3332" t="s">
        <v>35</v>
      </c>
      <c r="D3332">
        <v>0</v>
      </c>
      <c r="E3332">
        <v>1</v>
      </c>
      <c r="F3332" s="7">
        <v>129484.36</v>
      </c>
      <c r="G3332">
        <v>0</v>
      </c>
      <c r="H3332" s="7">
        <v>0</v>
      </c>
    </row>
    <row r="3333" spans="1:8">
      <c r="A3333">
        <v>2</v>
      </c>
      <c r="B3333" t="s">
        <v>42</v>
      </c>
      <c r="C3333" t="s">
        <v>33</v>
      </c>
      <c r="D3333">
        <v>0</v>
      </c>
      <c r="E3333">
        <v>1</v>
      </c>
      <c r="F3333" s="7">
        <v>3887.42</v>
      </c>
      <c r="G3333">
        <v>0</v>
      </c>
      <c r="H3333" s="7">
        <v>0</v>
      </c>
    </row>
    <row r="3334" spans="1:8">
      <c r="A3334">
        <v>2</v>
      </c>
      <c r="B3334" t="s">
        <v>42</v>
      </c>
      <c r="C3334" t="s">
        <v>33</v>
      </c>
      <c r="D3334">
        <v>0</v>
      </c>
      <c r="E3334">
        <v>1</v>
      </c>
      <c r="F3334" s="7">
        <v>8416.21</v>
      </c>
      <c r="G3334">
        <v>0</v>
      </c>
      <c r="H3334" s="7">
        <v>0</v>
      </c>
    </row>
    <row r="3335" spans="1:8">
      <c r="A3335">
        <v>2</v>
      </c>
      <c r="B3335" t="s">
        <v>42</v>
      </c>
      <c r="C3335" t="s">
        <v>33</v>
      </c>
      <c r="D3335">
        <v>0</v>
      </c>
      <c r="E3335">
        <v>1</v>
      </c>
      <c r="F3335" s="7">
        <v>2801.67</v>
      </c>
      <c r="G3335">
        <v>0</v>
      </c>
      <c r="H3335" s="7">
        <v>0</v>
      </c>
    </row>
    <row r="3336" spans="1:8">
      <c r="A3336">
        <v>2</v>
      </c>
      <c r="B3336" t="s">
        <v>42</v>
      </c>
      <c r="C3336" t="s">
        <v>33</v>
      </c>
      <c r="D3336">
        <v>0</v>
      </c>
      <c r="E3336">
        <v>1</v>
      </c>
      <c r="F3336" s="7">
        <v>3065.51</v>
      </c>
      <c r="G3336">
        <v>0</v>
      </c>
      <c r="H3336" s="7">
        <v>0</v>
      </c>
    </row>
    <row r="3337" spans="1:8">
      <c r="A3337">
        <v>2</v>
      </c>
      <c r="B3337" t="s">
        <v>42</v>
      </c>
      <c r="C3337" t="s">
        <v>33</v>
      </c>
      <c r="D3337">
        <v>0</v>
      </c>
      <c r="E3337">
        <v>1</v>
      </c>
      <c r="F3337" s="7">
        <v>3814.9</v>
      </c>
      <c r="G3337">
        <v>0</v>
      </c>
      <c r="H3337" s="7">
        <v>0</v>
      </c>
    </row>
    <row r="3338" spans="1:8">
      <c r="A3338">
        <v>2</v>
      </c>
      <c r="B3338" t="s">
        <v>43</v>
      </c>
      <c r="C3338" t="s">
        <v>35</v>
      </c>
      <c r="D3338">
        <v>0</v>
      </c>
      <c r="E3338">
        <v>1</v>
      </c>
      <c r="F3338" s="7">
        <v>235882.32</v>
      </c>
      <c r="G3338">
        <v>0</v>
      </c>
      <c r="H3338" s="7">
        <v>0</v>
      </c>
    </row>
    <row r="3339" spans="1:8">
      <c r="A3339">
        <v>2</v>
      </c>
      <c r="B3339" t="s">
        <v>46</v>
      </c>
      <c r="C3339" t="s">
        <v>34</v>
      </c>
      <c r="D3339">
        <v>0</v>
      </c>
      <c r="E3339">
        <v>1</v>
      </c>
      <c r="F3339" s="7">
        <v>79037.41</v>
      </c>
      <c r="G3339">
        <v>0</v>
      </c>
      <c r="H3339" s="7">
        <v>0</v>
      </c>
    </row>
    <row r="3340" spans="1:8">
      <c r="A3340">
        <v>2</v>
      </c>
      <c r="B3340" t="s">
        <v>42</v>
      </c>
      <c r="C3340" t="s">
        <v>33</v>
      </c>
      <c r="D3340">
        <v>0</v>
      </c>
      <c r="E3340">
        <v>1</v>
      </c>
      <c r="F3340" s="7">
        <v>4189.91</v>
      </c>
      <c r="G3340">
        <v>0</v>
      </c>
      <c r="H3340" s="7">
        <v>0</v>
      </c>
    </row>
    <row r="3341" spans="1:8">
      <c r="A3341">
        <v>2</v>
      </c>
      <c r="B3341" t="s">
        <v>42</v>
      </c>
      <c r="C3341" t="s">
        <v>33</v>
      </c>
      <c r="D3341">
        <v>0</v>
      </c>
      <c r="E3341">
        <v>1</v>
      </c>
      <c r="F3341" s="7">
        <v>6621.75</v>
      </c>
      <c r="G3341">
        <v>0</v>
      </c>
      <c r="H3341" s="7">
        <v>0</v>
      </c>
    </row>
    <row r="3342" spans="1:8">
      <c r="A3342">
        <v>2</v>
      </c>
      <c r="B3342" t="s">
        <v>43</v>
      </c>
      <c r="C3342" t="s">
        <v>34</v>
      </c>
      <c r="D3342">
        <v>0</v>
      </c>
      <c r="E3342">
        <v>1</v>
      </c>
      <c r="F3342" s="7">
        <v>49367.62</v>
      </c>
      <c r="G3342">
        <v>0</v>
      </c>
      <c r="H3342" s="7">
        <v>0</v>
      </c>
    </row>
    <row r="3343" spans="1:8">
      <c r="A3343">
        <v>2</v>
      </c>
      <c r="B3343" t="s">
        <v>43</v>
      </c>
      <c r="C3343" t="s">
        <v>35</v>
      </c>
      <c r="D3343">
        <v>0</v>
      </c>
      <c r="E3343">
        <v>1</v>
      </c>
      <c r="F3343" s="7">
        <v>162724.99</v>
      </c>
      <c r="G3343">
        <v>0</v>
      </c>
      <c r="H3343" s="7">
        <v>0</v>
      </c>
    </row>
    <row r="3344" spans="1:8">
      <c r="A3344">
        <v>2</v>
      </c>
      <c r="B3344" t="s">
        <v>43</v>
      </c>
      <c r="C3344" t="s">
        <v>35</v>
      </c>
      <c r="D3344">
        <v>0</v>
      </c>
      <c r="E3344">
        <v>1</v>
      </c>
      <c r="F3344" s="7">
        <v>217743.76</v>
      </c>
      <c r="G3344">
        <v>0</v>
      </c>
      <c r="H3344" s="7">
        <v>0</v>
      </c>
    </row>
    <row r="3345" spans="1:8">
      <c r="A3345">
        <v>2</v>
      </c>
      <c r="B3345" t="s">
        <v>43</v>
      </c>
      <c r="C3345" t="s">
        <v>35</v>
      </c>
      <c r="D3345">
        <v>0</v>
      </c>
      <c r="E3345">
        <v>1</v>
      </c>
      <c r="F3345" s="7">
        <v>189352.83</v>
      </c>
      <c r="G3345">
        <v>0</v>
      </c>
      <c r="H3345" s="7">
        <v>0</v>
      </c>
    </row>
    <row r="3346" spans="1:8">
      <c r="A3346">
        <v>2</v>
      </c>
      <c r="B3346" t="s">
        <v>43</v>
      </c>
      <c r="C3346" t="s">
        <v>35</v>
      </c>
      <c r="D3346">
        <v>0</v>
      </c>
      <c r="E3346">
        <v>1</v>
      </c>
      <c r="F3346" s="7">
        <v>191616.27</v>
      </c>
      <c r="G3346">
        <v>0</v>
      </c>
      <c r="H3346" s="7">
        <v>0</v>
      </c>
    </row>
    <row r="3347" spans="1:8">
      <c r="A3347">
        <v>2</v>
      </c>
      <c r="B3347" t="s">
        <v>43</v>
      </c>
      <c r="C3347" t="s">
        <v>36</v>
      </c>
      <c r="D3347">
        <v>0</v>
      </c>
      <c r="E3347">
        <v>1</v>
      </c>
      <c r="F3347" s="7">
        <v>1773020.91</v>
      </c>
      <c r="G3347">
        <v>0</v>
      </c>
      <c r="H3347" s="7">
        <v>0</v>
      </c>
    </row>
    <row r="3348" spans="1:8">
      <c r="A3348">
        <v>2</v>
      </c>
      <c r="B3348" t="s">
        <v>43</v>
      </c>
      <c r="C3348" t="s">
        <v>36</v>
      </c>
      <c r="D3348">
        <v>0</v>
      </c>
      <c r="E3348">
        <v>1</v>
      </c>
      <c r="F3348" s="7">
        <v>1869161.56</v>
      </c>
      <c r="G3348">
        <v>0</v>
      </c>
      <c r="H3348" s="7">
        <v>0</v>
      </c>
    </row>
    <row r="3349" spans="1:8">
      <c r="A3349">
        <v>2</v>
      </c>
      <c r="B3349" t="s">
        <v>43</v>
      </c>
      <c r="C3349" t="s">
        <v>35</v>
      </c>
      <c r="D3349">
        <v>0</v>
      </c>
      <c r="E3349">
        <v>1</v>
      </c>
      <c r="F3349" s="7">
        <v>170610.11</v>
      </c>
      <c r="G3349">
        <v>0</v>
      </c>
      <c r="H3349" s="7">
        <v>0</v>
      </c>
    </row>
    <row r="3350" spans="1:8">
      <c r="A3350">
        <v>2</v>
      </c>
      <c r="B3350" t="s">
        <v>43</v>
      </c>
      <c r="C3350" t="s">
        <v>35</v>
      </c>
      <c r="D3350">
        <v>0</v>
      </c>
      <c r="E3350">
        <v>1</v>
      </c>
      <c r="F3350" s="7">
        <v>939018.7</v>
      </c>
      <c r="G3350">
        <v>0</v>
      </c>
      <c r="H3350" s="7">
        <v>0</v>
      </c>
    </row>
    <row r="3351" spans="1:8">
      <c r="A3351">
        <v>2</v>
      </c>
      <c r="B3351" t="s">
        <v>43</v>
      </c>
      <c r="C3351" t="s">
        <v>35</v>
      </c>
      <c r="D3351">
        <v>0</v>
      </c>
      <c r="E3351">
        <v>1</v>
      </c>
      <c r="F3351" s="7">
        <v>721458.64</v>
      </c>
      <c r="G3351">
        <v>0</v>
      </c>
      <c r="H3351" s="7">
        <v>0</v>
      </c>
    </row>
    <row r="3352" spans="1:8">
      <c r="A3352">
        <v>2</v>
      </c>
      <c r="B3352" t="s">
        <v>43</v>
      </c>
      <c r="C3352" t="s">
        <v>36</v>
      </c>
      <c r="D3352">
        <v>0</v>
      </c>
      <c r="E3352">
        <v>1</v>
      </c>
      <c r="F3352" s="7">
        <v>1487557.25</v>
      </c>
      <c r="G3352">
        <v>0</v>
      </c>
      <c r="H3352" s="7">
        <v>0</v>
      </c>
    </row>
    <row r="3353" spans="1:8">
      <c r="A3353">
        <v>2</v>
      </c>
      <c r="B3353" t="s">
        <v>43</v>
      </c>
      <c r="C3353" t="s">
        <v>35</v>
      </c>
      <c r="D3353">
        <v>0</v>
      </c>
      <c r="E3353">
        <v>1</v>
      </c>
      <c r="F3353" s="7">
        <v>418492.9</v>
      </c>
      <c r="G3353">
        <v>0</v>
      </c>
      <c r="H3353" s="7">
        <v>0</v>
      </c>
    </row>
    <row r="3354" spans="1:8">
      <c r="A3354">
        <v>2</v>
      </c>
      <c r="B3354" t="s">
        <v>43</v>
      </c>
      <c r="C3354" t="s">
        <v>35</v>
      </c>
      <c r="D3354">
        <v>0</v>
      </c>
      <c r="E3354">
        <v>1</v>
      </c>
      <c r="F3354" s="7">
        <v>490747.67</v>
      </c>
      <c r="G3354">
        <v>0</v>
      </c>
      <c r="H3354" s="7">
        <v>0</v>
      </c>
    </row>
    <row r="3355" spans="1:8">
      <c r="A3355">
        <v>2</v>
      </c>
      <c r="B3355" t="s">
        <v>43</v>
      </c>
      <c r="C3355" t="s">
        <v>35</v>
      </c>
      <c r="D3355">
        <v>0</v>
      </c>
      <c r="E3355">
        <v>1</v>
      </c>
      <c r="F3355" s="7">
        <v>257641.56</v>
      </c>
      <c r="G3355">
        <v>0</v>
      </c>
      <c r="H3355" s="7">
        <v>0</v>
      </c>
    </row>
    <row r="3356" spans="1:8">
      <c r="A3356">
        <v>2</v>
      </c>
      <c r="B3356" t="s">
        <v>43</v>
      </c>
      <c r="C3356" t="s">
        <v>35</v>
      </c>
      <c r="D3356">
        <v>0</v>
      </c>
      <c r="E3356">
        <v>1</v>
      </c>
      <c r="F3356" s="7">
        <v>984994.76</v>
      </c>
      <c r="G3356">
        <v>0</v>
      </c>
      <c r="H3356" s="7">
        <v>0</v>
      </c>
    </row>
    <row r="3357" spans="1:8">
      <c r="A3357">
        <v>2</v>
      </c>
      <c r="B3357" t="s">
        <v>43</v>
      </c>
      <c r="C3357" t="s">
        <v>35</v>
      </c>
      <c r="D3357">
        <v>0</v>
      </c>
      <c r="E3357">
        <v>1</v>
      </c>
      <c r="F3357" s="7">
        <v>884591.4</v>
      </c>
      <c r="G3357">
        <v>0</v>
      </c>
      <c r="H3357" s="7">
        <v>0</v>
      </c>
    </row>
    <row r="3358" spans="1:8">
      <c r="A3358">
        <v>2</v>
      </c>
      <c r="B3358" t="s">
        <v>43</v>
      </c>
      <c r="C3358" t="s">
        <v>35</v>
      </c>
      <c r="D3358">
        <v>0</v>
      </c>
      <c r="E3358">
        <v>1</v>
      </c>
      <c r="F3358" s="7">
        <v>376507.72</v>
      </c>
      <c r="G3358">
        <v>0</v>
      </c>
      <c r="H3358" s="7">
        <v>0</v>
      </c>
    </row>
    <row r="3359" spans="1:8">
      <c r="A3359">
        <v>2</v>
      </c>
      <c r="B3359" t="s">
        <v>43</v>
      </c>
      <c r="C3359" t="s">
        <v>35</v>
      </c>
      <c r="D3359">
        <v>0</v>
      </c>
      <c r="E3359">
        <v>1</v>
      </c>
      <c r="F3359" s="7">
        <v>507138.3</v>
      </c>
      <c r="G3359">
        <v>0</v>
      </c>
      <c r="H3359" s="7">
        <v>0</v>
      </c>
    </row>
    <row r="3360" spans="1:8">
      <c r="A3360">
        <v>2</v>
      </c>
      <c r="B3360" t="s">
        <v>43</v>
      </c>
      <c r="C3360" t="s">
        <v>35</v>
      </c>
      <c r="D3360">
        <v>0</v>
      </c>
      <c r="E3360">
        <v>1</v>
      </c>
      <c r="F3360" s="7">
        <v>603258.56</v>
      </c>
      <c r="G3360">
        <v>0</v>
      </c>
      <c r="H3360" s="7">
        <v>0</v>
      </c>
    </row>
    <row r="3361" spans="1:8">
      <c r="A3361">
        <v>2</v>
      </c>
      <c r="B3361" t="s">
        <v>43</v>
      </c>
      <c r="C3361" t="s">
        <v>35</v>
      </c>
      <c r="D3361">
        <v>0</v>
      </c>
      <c r="E3361">
        <v>1</v>
      </c>
      <c r="F3361" s="7">
        <v>129735.3</v>
      </c>
      <c r="G3361">
        <v>0</v>
      </c>
      <c r="H3361" s="7">
        <v>0</v>
      </c>
    </row>
    <row r="3362" spans="1:8">
      <c r="A3362">
        <v>2</v>
      </c>
      <c r="B3362" t="s">
        <v>43</v>
      </c>
      <c r="C3362" t="s">
        <v>35</v>
      </c>
      <c r="D3362">
        <v>0</v>
      </c>
      <c r="E3362">
        <v>1</v>
      </c>
      <c r="F3362" s="7">
        <v>152649.37</v>
      </c>
      <c r="G3362">
        <v>0</v>
      </c>
      <c r="H3362" s="7">
        <v>0</v>
      </c>
    </row>
    <row r="3363" spans="1:8">
      <c r="A3363">
        <v>2</v>
      </c>
      <c r="B3363" t="s">
        <v>42</v>
      </c>
      <c r="C3363" t="s">
        <v>33</v>
      </c>
      <c r="D3363">
        <v>0</v>
      </c>
      <c r="E3363">
        <v>1</v>
      </c>
      <c r="F3363" s="7">
        <v>3714.42</v>
      </c>
      <c r="G3363">
        <v>0</v>
      </c>
      <c r="H3363" s="7">
        <v>0</v>
      </c>
    </row>
    <row r="3364" spans="1:8">
      <c r="A3364">
        <v>2</v>
      </c>
      <c r="B3364" t="s">
        <v>43</v>
      </c>
      <c r="C3364" t="s">
        <v>35</v>
      </c>
      <c r="D3364">
        <v>0</v>
      </c>
      <c r="E3364">
        <v>1</v>
      </c>
      <c r="F3364" s="7">
        <v>135348.62</v>
      </c>
      <c r="G3364">
        <v>0</v>
      </c>
      <c r="H3364" s="7">
        <v>0</v>
      </c>
    </row>
    <row r="3365" spans="1:8">
      <c r="A3365">
        <v>2</v>
      </c>
      <c r="B3365" t="s">
        <v>42</v>
      </c>
      <c r="C3365" t="s">
        <v>33</v>
      </c>
      <c r="D3365">
        <v>0</v>
      </c>
      <c r="E3365">
        <v>1</v>
      </c>
      <c r="F3365" s="7">
        <v>8068.5</v>
      </c>
      <c r="G3365">
        <v>0</v>
      </c>
      <c r="H3365" s="7">
        <v>0</v>
      </c>
    </row>
    <row r="3366" spans="1:8">
      <c r="A3366">
        <v>2</v>
      </c>
      <c r="B3366" t="s">
        <v>42</v>
      </c>
      <c r="C3366" t="s">
        <v>33</v>
      </c>
      <c r="D3366">
        <v>0</v>
      </c>
      <c r="E3366">
        <v>1</v>
      </c>
      <c r="F3366" s="7">
        <v>4890.32</v>
      </c>
      <c r="G3366">
        <v>0</v>
      </c>
      <c r="H3366" s="7">
        <v>0</v>
      </c>
    </row>
    <row r="3367" spans="1:8">
      <c r="A3367">
        <v>2</v>
      </c>
      <c r="B3367" t="s">
        <v>42</v>
      </c>
      <c r="C3367" t="s">
        <v>34</v>
      </c>
      <c r="D3367">
        <v>0</v>
      </c>
      <c r="E3367">
        <v>1</v>
      </c>
      <c r="F3367" s="7">
        <v>27037.66</v>
      </c>
      <c r="G3367">
        <v>0</v>
      </c>
      <c r="H3367" s="7">
        <v>0</v>
      </c>
    </row>
    <row r="3368" spans="1:8">
      <c r="A3368">
        <v>2</v>
      </c>
      <c r="B3368" t="s">
        <v>42</v>
      </c>
      <c r="C3368" t="s">
        <v>33</v>
      </c>
      <c r="D3368">
        <v>0</v>
      </c>
      <c r="E3368">
        <v>1</v>
      </c>
      <c r="F3368" s="7">
        <v>7360.48</v>
      </c>
      <c r="G3368">
        <v>0</v>
      </c>
      <c r="H3368" s="7">
        <v>0</v>
      </c>
    </row>
    <row r="3369" spans="1:8">
      <c r="A3369">
        <v>2</v>
      </c>
      <c r="B3369" t="s">
        <v>42</v>
      </c>
      <c r="C3369" t="s">
        <v>32</v>
      </c>
      <c r="D3369">
        <v>0</v>
      </c>
      <c r="E3369">
        <v>1</v>
      </c>
      <c r="F3369" s="7">
        <v>850.65</v>
      </c>
      <c r="G3369">
        <v>0</v>
      </c>
      <c r="H3369" s="7">
        <v>0</v>
      </c>
    </row>
    <row r="3370" spans="1:8">
      <c r="A3370">
        <v>2</v>
      </c>
      <c r="B3370" t="s">
        <v>42</v>
      </c>
      <c r="C3370" t="s">
        <v>33</v>
      </c>
      <c r="D3370">
        <v>0</v>
      </c>
      <c r="E3370">
        <v>1</v>
      </c>
      <c r="F3370" s="7">
        <v>2276.89</v>
      </c>
      <c r="G3370">
        <v>0</v>
      </c>
      <c r="H3370" s="7">
        <v>0</v>
      </c>
    </row>
    <row r="3371" spans="1:8">
      <c r="A3371">
        <v>2</v>
      </c>
      <c r="B3371" t="s">
        <v>42</v>
      </c>
      <c r="C3371" t="s">
        <v>34</v>
      </c>
      <c r="D3371">
        <v>0</v>
      </c>
      <c r="E3371">
        <v>1</v>
      </c>
      <c r="F3371" s="7">
        <v>30858.63</v>
      </c>
      <c r="G3371">
        <v>0</v>
      </c>
      <c r="H3371" s="7">
        <v>0</v>
      </c>
    </row>
    <row r="3372" spans="1:8">
      <c r="A3372">
        <v>2</v>
      </c>
      <c r="B3372" t="s">
        <v>42</v>
      </c>
      <c r="C3372" t="s">
        <v>33</v>
      </c>
      <c r="D3372">
        <v>0</v>
      </c>
      <c r="E3372">
        <v>1</v>
      </c>
      <c r="F3372" s="7">
        <v>8386.17</v>
      </c>
      <c r="G3372">
        <v>0</v>
      </c>
      <c r="H3372" s="7">
        <v>0</v>
      </c>
    </row>
    <row r="3373" spans="1:8">
      <c r="A3373">
        <v>2</v>
      </c>
      <c r="B3373" t="s">
        <v>42</v>
      </c>
      <c r="C3373" t="s">
        <v>34</v>
      </c>
      <c r="D3373">
        <v>0</v>
      </c>
      <c r="E3373">
        <v>1</v>
      </c>
      <c r="F3373" s="7">
        <v>12029.55</v>
      </c>
      <c r="G3373">
        <v>0</v>
      </c>
      <c r="H3373" s="7">
        <v>0</v>
      </c>
    </row>
    <row r="3374" spans="1:8">
      <c r="A3374">
        <v>2</v>
      </c>
      <c r="B3374" t="s">
        <v>42</v>
      </c>
      <c r="C3374" t="s">
        <v>34</v>
      </c>
      <c r="D3374">
        <v>0</v>
      </c>
      <c r="E3374">
        <v>1</v>
      </c>
      <c r="F3374" s="7">
        <v>10597.26</v>
      </c>
      <c r="G3374">
        <v>0</v>
      </c>
      <c r="H3374" s="7">
        <v>0</v>
      </c>
    </row>
    <row r="3375" spans="1:8">
      <c r="A3375">
        <v>2</v>
      </c>
      <c r="B3375" t="s">
        <v>42</v>
      </c>
      <c r="C3375" t="s">
        <v>33</v>
      </c>
      <c r="D3375">
        <v>0</v>
      </c>
      <c r="E3375">
        <v>1</v>
      </c>
      <c r="F3375" s="7">
        <v>9213.89</v>
      </c>
      <c r="G3375">
        <v>0</v>
      </c>
      <c r="H3375" s="7">
        <v>0</v>
      </c>
    </row>
    <row r="3376" spans="1:8">
      <c r="A3376">
        <v>2</v>
      </c>
      <c r="B3376" t="s">
        <v>42</v>
      </c>
      <c r="C3376" t="s">
        <v>32</v>
      </c>
      <c r="D3376">
        <v>0</v>
      </c>
      <c r="E3376">
        <v>1</v>
      </c>
      <c r="F3376" s="7">
        <v>526.83</v>
      </c>
      <c r="G3376">
        <v>0</v>
      </c>
      <c r="H3376" s="7">
        <v>0</v>
      </c>
    </row>
    <row r="3377" spans="1:8">
      <c r="A3377">
        <v>2</v>
      </c>
      <c r="B3377" t="s">
        <v>42</v>
      </c>
      <c r="C3377" t="s">
        <v>33</v>
      </c>
      <c r="D3377">
        <v>0</v>
      </c>
      <c r="E3377">
        <v>1</v>
      </c>
      <c r="F3377" s="7">
        <v>2837.62</v>
      </c>
      <c r="G3377">
        <v>0</v>
      </c>
      <c r="H3377" s="7">
        <v>0</v>
      </c>
    </row>
    <row r="3378" spans="1:8">
      <c r="A3378">
        <v>2</v>
      </c>
      <c r="B3378" t="s">
        <v>42</v>
      </c>
      <c r="C3378" t="s">
        <v>34</v>
      </c>
      <c r="D3378">
        <v>0</v>
      </c>
      <c r="E3378">
        <v>1</v>
      </c>
      <c r="F3378" s="7">
        <v>12894.97</v>
      </c>
      <c r="G3378">
        <v>0</v>
      </c>
      <c r="H3378" s="7">
        <v>0</v>
      </c>
    </row>
    <row r="3379" spans="1:8">
      <c r="A3379">
        <v>2</v>
      </c>
      <c r="B3379" t="s">
        <v>43</v>
      </c>
      <c r="C3379" t="s">
        <v>35</v>
      </c>
      <c r="D3379">
        <v>0</v>
      </c>
      <c r="E3379">
        <v>1</v>
      </c>
      <c r="F3379" s="7">
        <v>256227.34</v>
      </c>
      <c r="G3379">
        <v>0</v>
      </c>
      <c r="H3379" s="7">
        <v>0</v>
      </c>
    </row>
    <row r="3380" spans="1:8">
      <c r="A3380">
        <v>2</v>
      </c>
      <c r="B3380" t="s">
        <v>42</v>
      </c>
      <c r="C3380" t="s">
        <v>33</v>
      </c>
      <c r="D3380">
        <v>0</v>
      </c>
      <c r="E3380">
        <v>1</v>
      </c>
      <c r="F3380" s="7">
        <v>8348.86</v>
      </c>
      <c r="G3380">
        <v>0</v>
      </c>
      <c r="H3380" s="7">
        <v>0</v>
      </c>
    </row>
    <row r="3381" spans="1:8">
      <c r="A3381">
        <v>2</v>
      </c>
      <c r="B3381" t="s">
        <v>42</v>
      </c>
      <c r="C3381" t="s">
        <v>33</v>
      </c>
      <c r="D3381">
        <v>0</v>
      </c>
      <c r="E3381">
        <v>1</v>
      </c>
      <c r="F3381" s="7">
        <v>5825.97</v>
      </c>
      <c r="G3381">
        <v>0</v>
      </c>
      <c r="H3381" s="7">
        <v>0</v>
      </c>
    </row>
    <row r="3382" spans="1:8">
      <c r="A3382">
        <v>2</v>
      </c>
      <c r="B3382" t="s">
        <v>42</v>
      </c>
      <c r="C3382" t="s">
        <v>32</v>
      </c>
      <c r="D3382">
        <v>0</v>
      </c>
      <c r="E3382">
        <v>1</v>
      </c>
      <c r="F3382" s="7">
        <v>202.28</v>
      </c>
      <c r="G3382">
        <v>0</v>
      </c>
      <c r="H3382" s="7">
        <v>0</v>
      </c>
    </row>
    <row r="3383" spans="1:8">
      <c r="A3383">
        <v>2</v>
      </c>
      <c r="B3383" t="s">
        <v>45</v>
      </c>
      <c r="C3383" t="s">
        <v>33</v>
      </c>
      <c r="D3383">
        <v>0</v>
      </c>
      <c r="E3383">
        <v>1</v>
      </c>
      <c r="F3383" s="7">
        <v>4924.01</v>
      </c>
      <c r="G3383">
        <v>0</v>
      </c>
      <c r="H3383" s="7">
        <v>0</v>
      </c>
    </row>
    <row r="3384" spans="1:8">
      <c r="A3384">
        <v>2</v>
      </c>
      <c r="B3384" t="s">
        <v>44</v>
      </c>
      <c r="C3384" t="s">
        <v>35</v>
      </c>
      <c r="D3384">
        <v>0</v>
      </c>
      <c r="E3384">
        <v>1</v>
      </c>
      <c r="F3384" s="7">
        <v>170099.02</v>
      </c>
      <c r="G3384">
        <v>0</v>
      </c>
      <c r="H3384" s="7">
        <v>0</v>
      </c>
    </row>
    <row r="3385" spans="1:8">
      <c r="A3385">
        <v>2</v>
      </c>
      <c r="B3385" t="s">
        <v>42</v>
      </c>
      <c r="C3385" t="s">
        <v>33</v>
      </c>
      <c r="D3385">
        <v>0</v>
      </c>
      <c r="E3385">
        <v>1</v>
      </c>
      <c r="F3385" s="7">
        <v>2346.51</v>
      </c>
      <c r="G3385">
        <v>0</v>
      </c>
      <c r="H3385" s="7">
        <v>0</v>
      </c>
    </row>
    <row r="3386" spans="1:8">
      <c r="A3386">
        <v>2</v>
      </c>
      <c r="B3386" t="s">
        <v>42</v>
      </c>
      <c r="C3386" t="s">
        <v>33</v>
      </c>
      <c r="D3386">
        <v>0</v>
      </c>
      <c r="E3386">
        <v>1</v>
      </c>
      <c r="F3386" s="7">
        <v>3252.29</v>
      </c>
      <c r="G3386">
        <v>0</v>
      </c>
      <c r="H3386" s="7">
        <v>0</v>
      </c>
    </row>
    <row r="3387" spans="1:8">
      <c r="A3387">
        <v>2</v>
      </c>
      <c r="B3387" t="s">
        <v>42</v>
      </c>
      <c r="C3387" t="s">
        <v>33</v>
      </c>
      <c r="D3387">
        <v>0</v>
      </c>
      <c r="E3387">
        <v>1</v>
      </c>
      <c r="F3387" s="7">
        <v>4147.62</v>
      </c>
      <c r="G3387">
        <v>0</v>
      </c>
      <c r="H3387" s="7">
        <v>0</v>
      </c>
    </row>
    <row r="3388" spans="1:8">
      <c r="A3388">
        <v>2</v>
      </c>
      <c r="B3388" t="s">
        <v>42</v>
      </c>
      <c r="C3388" t="s">
        <v>33</v>
      </c>
      <c r="D3388">
        <v>0</v>
      </c>
      <c r="E3388">
        <v>1</v>
      </c>
      <c r="F3388" s="7">
        <v>3597.85</v>
      </c>
      <c r="G3388">
        <v>0</v>
      </c>
      <c r="H3388" s="7">
        <v>0</v>
      </c>
    </row>
    <row r="3389" spans="1:8">
      <c r="A3389">
        <v>2</v>
      </c>
      <c r="B3389" t="s">
        <v>42</v>
      </c>
      <c r="C3389" t="s">
        <v>33</v>
      </c>
      <c r="D3389">
        <v>0</v>
      </c>
      <c r="E3389">
        <v>1</v>
      </c>
      <c r="F3389" s="7">
        <v>6574.63</v>
      </c>
      <c r="G3389">
        <v>0</v>
      </c>
      <c r="H3389" s="7">
        <v>0</v>
      </c>
    </row>
    <row r="3390" spans="1:8">
      <c r="A3390">
        <v>2</v>
      </c>
      <c r="B3390" t="s">
        <v>42</v>
      </c>
      <c r="C3390" t="s">
        <v>33</v>
      </c>
      <c r="D3390">
        <v>0</v>
      </c>
      <c r="E3390">
        <v>1</v>
      </c>
      <c r="F3390" s="7">
        <v>1895.47</v>
      </c>
      <c r="G3390">
        <v>0</v>
      </c>
      <c r="H3390" s="7">
        <v>0</v>
      </c>
    </row>
    <row r="3391" spans="1:8">
      <c r="A3391">
        <v>2</v>
      </c>
      <c r="B3391" t="s">
        <v>42</v>
      </c>
      <c r="C3391" t="s">
        <v>33</v>
      </c>
      <c r="D3391">
        <v>0</v>
      </c>
      <c r="E3391">
        <v>1</v>
      </c>
      <c r="F3391" s="7">
        <v>5832.27</v>
      </c>
      <c r="G3391">
        <v>0</v>
      </c>
      <c r="H3391" s="7">
        <v>0</v>
      </c>
    </row>
    <row r="3392" spans="1:8">
      <c r="A3392">
        <v>2</v>
      </c>
      <c r="B3392" t="s">
        <v>42</v>
      </c>
      <c r="C3392" t="s">
        <v>33</v>
      </c>
      <c r="D3392">
        <v>0</v>
      </c>
      <c r="E3392">
        <v>1</v>
      </c>
      <c r="F3392" s="7">
        <v>8417.96</v>
      </c>
      <c r="G3392">
        <v>0</v>
      </c>
      <c r="H3392" s="7">
        <v>0</v>
      </c>
    </row>
    <row r="3393" spans="1:8">
      <c r="A3393">
        <v>2</v>
      </c>
      <c r="B3393" t="s">
        <v>42</v>
      </c>
      <c r="C3393" t="s">
        <v>33</v>
      </c>
      <c r="D3393">
        <v>0</v>
      </c>
      <c r="E3393">
        <v>1</v>
      </c>
      <c r="F3393" s="7">
        <v>5127.21</v>
      </c>
      <c r="G3393">
        <v>0</v>
      </c>
      <c r="H3393" s="7">
        <v>0</v>
      </c>
    </row>
    <row r="3394" spans="1:8">
      <c r="A3394">
        <v>2</v>
      </c>
      <c r="B3394" t="s">
        <v>45</v>
      </c>
      <c r="C3394" t="s">
        <v>33</v>
      </c>
      <c r="D3394">
        <v>0</v>
      </c>
      <c r="E3394">
        <v>1</v>
      </c>
      <c r="F3394" s="7">
        <v>3476.19</v>
      </c>
      <c r="G3394">
        <v>0</v>
      </c>
      <c r="H3394" s="7">
        <v>0</v>
      </c>
    </row>
    <row r="3395" spans="1:8">
      <c r="A3395">
        <v>2</v>
      </c>
      <c r="B3395" t="s">
        <v>42</v>
      </c>
      <c r="C3395" t="s">
        <v>34</v>
      </c>
      <c r="D3395">
        <v>0</v>
      </c>
      <c r="E3395">
        <v>1</v>
      </c>
      <c r="F3395" s="7">
        <v>11493.01</v>
      </c>
      <c r="G3395">
        <v>0</v>
      </c>
      <c r="H3395" s="7">
        <v>0</v>
      </c>
    </row>
    <row r="3396" spans="1:8">
      <c r="A3396">
        <v>2</v>
      </c>
      <c r="B3396" t="s">
        <v>42</v>
      </c>
      <c r="C3396" t="s">
        <v>34</v>
      </c>
      <c r="D3396">
        <v>0</v>
      </c>
      <c r="E3396">
        <v>1</v>
      </c>
      <c r="F3396" s="7">
        <v>15470.9</v>
      </c>
      <c r="G3396">
        <v>0</v>
      </c>
      <c r="H3396" s="7">
        <v>0</v>
      </c>
    </row>
    <row r="3397" spans="1:8">
      <c r="A3397">
        <v>2</v>
      </c>
      <c r="B3397" t="s">
        <v>45</v>
      </c>
      <c r="C3397" t="s">
        <v>32</v>
      </c>
      <c r="D3397">
        <v>0</v>
      </c>
      <c r="E3397">
        <v>1</v>
      </c>
      <c r="F3397" s="7">
        <v>394.34</v>
      </c>
      <c r="G3397">
        <v>0</v>
      </c>
      <c r="H3397" s="7">
        <v>0</v>
      </c>
    </row>
    <row r="3398" spans="1:8">
      <c r="A3398">
        <v>2</v>
      </c>
      <c r="B3398" t="s">
        <v>46</v>
      </c>
      <c r="C3398" t="s">
        <v>34</v>
      </c>
      <c r="D3398">
        <v>0</v>
      </c>
      <c r="E3398">
        <v>1</v>
      </c>
      <c r="F3398" s="7">
        <v>60223.17</v>
      </c>
      <c r="G3398">
        <v>0</v>
      </c>
      <c r="H3398" s="7">
        <v>0</v>
      </c>
    </row>
    <row r="3399" spans="1:8">
      <c r="A3399">
        <v>2</v>
      </c>
      <c r="B3399" t="s">
        <v>44</v>
      </c>
      <c r="C3399" t="s">
        <v>34</v>
      </c>
      <c r="D3399">
        <v>0</v>
      </c>
      <c r="E3399">
        <v>1</v>
      </c>
      <c r="F3399" s="7">
        <v>32969.34</v>
      </c>
      <c r="G3399">
        <v>0</v>
      </c>
      <c r="H3399" s="7">
        <v>0</v>
      </c>
    </row>
    <row r="3400" spans="1:8">
      <c r="A3400">
        <v>2</v>
      </c>
      <c r="B3400" t="s">
        <v>42</v>
      </c>
      <c r="C3400" t="s">
        <v>33</v>
      </c>
      <c r="D3400">
        <v>0</v>
      </c>
      <c r="E3400">
        <v>1</v>
      </c>
      <c r="F3400" s="7">
        <v>1266.42</v>
      </c>
      <c r="G3400">
        <v>0</v>
      </c>
      <c r="H3400" s="7">
        <v>0</v>
      </c>
    </row>
    <row r="3401" spans="1:8">
      <c r="A3401">
        <v>2</v>
      </c>
      <c r="B3401" t="s">
        <v>42</v>
      </c>
      <c r="C3401" t="s">
        <v>32</v>
      </c>
      <c r="D3401">
        <v>0</v>
      </c>
      <c r="E3401">
        <v>1</v>
      </c>
      <c r="F3401" s="7">
        <v>694.12</v>
      </c>
      <c r="G3401">
        <v>0</v>
      </c>
      <c r="H3401" s="7">
        <v>0</v>
      </c>
    </row>
    <row r="3402" spans="1:8">
      <c r="A3402">
        <v>2</v>
      </c>
      <c r="B3402" t="s">
        <v>42</v>
      </c>
      <c r="C3402" t="s">
        <v>33</v>
      </c>
      <c r="D3402">
        <v>0</v>
      </c>
      <c r="E3402">
        <v>1</v>
      </c>
      <c r="F3402" s="7">
        <v>1605.63</v>
      </c>
      <c r="G3402">
        <v>0</v>
      </c>
      <c r="H3402" s="7">
        <v>0</v>
      </c>
    </row>
    <row r="3403" spans="1:8">
      <c r="A3403">
        <v>2</v>
      </c>
      <c r="B3403" t="s">
        <v>42</v>
      </c>
      <c r="C3403" t="s">
        <v>34</v>
      </c>
      <c r="D3403">
        <v>0</v>
      </c>
      <c r="E3403">
        <v>1</v>
      </c>
      <c r="F3403" s="7">
        <v>14079.08</v>
      </c>
      <c r="G3403">
        <v>0</v>
      </c>
      <c r="H3403" s="7">
        <v>0</v>
      </c>
    </row>
    <row r="3404" spans="1:8">
      <c r="A3404">
        <v>2</v>
      </c>
      <c r="B3404" t="s">
        <v>42</v>
      </c>
      <c r="C3404" t="s">
        <v>34</v>
      </c>
      <c r="D3404">
        <v>0</v>
      </c>
      <c r="E3404">
        <v>1</v>
      </c>
      <c r="F3404" s="7">
        <v>10967.47</v>
      </c>
      <c r="G3404">
        <v>0</v>
      </c>
      <c r="H3404" s="7">
        <v>0</v>
      </c>
    </row>
    <row r="3405" spans="1:8">
      <c r="A3405">
        <v>2</v>
      </c>
      <c r="B3405" t="s">
        <v>45</v>
      </c>
      <c r="C3405" t="s">
        <v>33</v>
      </c>
      <c r="D3405">
        <v>0</v>
      </c>
      <c r="E3405">
        <v>1</v>
      </c>
      <c r="F3405" s="7">
        <v>4143.87</v>
      </c>
      <c r="G3405">
        <v>0</v>
      </c>
      <c r="H3405" s="7">
        <v>0</v>
      </c>
    </row>
    <row r="3406" spans="1:8">
      <c r="A3406">
        <v>2</v>
      </c>
      <c r="B3406" t="s">
        <v>42</v>
      </c>
      <c r="C3406" t="s">
        <v>33</v>
      </c>
      <c r="D3406">
        <v>0</v>
      </c>
      <c r="E3406">
        <v>1</v>
      </c>
      <c r="F3406" s="7">
        <v>7738.69</v>
      </c>
      <c r="G3406">
        <v>0</v>
      </c>
      <c r="H3406" s="7">
        <v>0</v>
      </c>
    </row>
    <row r="3407" spans="1:8">
      <c r="A3407">
        <v>2</v>
      </c>
      <c r="B3407" t="s">
        <v>42</v>
      </c>
      <c r="C3407" t="s">
        <v>33</v>
      </c>
      <c r="D3407">
        <v>0</v>
      </c>
      <c r="E3407">
        <v>1</v>
      </c>
      <c r="F3407" s="7">
        <v>3783.72</v>
      </c>
      <c r="G3407">
        <v>0</v>
      </c>
      <c r="H3407" s="7">
        <v>0</v>
      </c>
    </row>
    <row r="3408" spans="1:8">
      <c r="A3408">
        <v>2</v>
      </c>
      <c r="B3408" t="s">
        <v>42</v>
      </c>
      <c r="C3408" t="s">
        <v>34</v>
      </c>
      <c r="D3408">
        <v>0</v>
      </c>
      <c r="E3408">
        <v>1</v>
      </c>
      <c r="F3408" s="7">
        <v>23147.49</v>
      </c>
      <c r="G3408">
        <v>0</v>
      </c>
      <c r="H3408" s="7">
        <v>0</v>
      </c>
    </row>
    <row r="3409" spans="1:8">
      <c r="A3409">
        <v>2</v>
      </c>
      <c r="B3409" t="s">
        <v>42</v>
      </c>
      <c r="C3409" t="s">
        <v>32</v>
      </c>
      <c r="D3409">
        <v>0</v>
      </c>
      <c r="E3409">
        <v>1</v>
      </c>
      <c r="F3409" s="7">
        <v>141.03</v>
      </c>
      <c r="G3409">
        <v>0</v>
      </c>
      <c r="H3409" s="7">
        <v>0</v>
      </c>
    </row>
    <row r="3410" spans="1:8">
      <c r="A3410">
        <v>2</v>
      </c>
      <c r="B3410" t="s">
        <v>43</v>
      </c>
      <c r="C3410" t="s">
        <v>35</v>
      </c>
      <c r="D3410">
        <v>0</v>
      </c>
      <c r="E3410">
        <v>1</v>
      </c>
      <c r="F3410" s="7">
        <v>303473.14</v>
      </c>
      <c r="G3410">
        <v>0</v>
      </c>
      <c r="H3410" s="7">
        <v>0</v>
      </c>
    </row>
    <row r="3411" spans="1:8">
      <c r="A3411">
        <v>2</v>
      </c>
      <c r="B3411" t="s">
        <v>42</v>
      </c>
      <c r="C3411" t="s">
        <v>33</v>
      </c>
      <c r="D3411">
        <v>0</v>
      </c>
      <c r="E3411">
        <v>1</v>
      </c>
      <c r="F3411" s="7">
        <v>1196.61</v>
      </c>
      <c r="G3411">
        <v>0</v>
      </c>
      <c r="H3411" s="7">
        <v>0</v>
      </c>
    </row>
    <row r="3412" spans="1:8">
      <c r="A3412">
        <v>2</v>
      </c>
      <c r="B3412" t="s">
        <v>42</v>
      </c>
      <c r="C3412" t="s">
        <v>34</v>
      </c>
      <c r="D3412">
        <v>0</v>
      </c>
      <c r="E3412">
        <v>1</v>
      </c>
      <c r="F3412" s="7">
        <v>19288.9</v>
      </c>
      <c r="G3412">
        <v>0</v>
      </c>
      <c r="H3412" s="7">
        <v>0</v>
      </c>
    </row>
    <row r="3413" spans="1:8">
      <c r="A3413">
        <v>2</v>
      </c>
      <c r="B3413" t="s">
        <v>42</v>
      </c>
      <c r="C3413" t="s">
        <v>33</v>
      </c>
      <c r="D3413">
        <v>0</v>
      </c>
      <c r="E3413">
        <v>1</v>
      </c>
      <c r="F3413" s="7">
        <v>2217.41</v>
      </c>
      <c r="G3413">
        <v>0</v>
      </c>
      <c r="H3413" s="7">
        <v>0</v>
      </c>
    </row>
    <row r="3414" spans="1:8">
      <c r="A3414">
        <v>2</v>
      </c>
      <c r="B3414" t="s">
        <v>42</v>
      </c>
      <c r="C3414" t="s">
        <v>34</v>
      </c>
      <c r="D3414">
        <v>0</v>
      </c>
      <c r="E3414">
        <v>1</v>
      </c>
      <c r="F3414" s="7">
        <v>11391.64</v>
      </c>
      <c r="G3414">
        <v>0</v>
      </c>
      <c r="H3414" s="7">
        <v>0</v>
      </c>
    </row>
    <row r="3415" spans="1:8">
      <c r="A3415">
        <v>2</v>
      </c>
      <c r="B3415" t="s">
        <v>42</v>
      </c>
      <c r="C3415" t="s">
        <v>33</v>
      </c>
      <c r="D3415">
        <v>0</v>
      </c>
      <c r="E3415">
        <v>1</v>
      </c>
      <c r="F3415" s="7">
        <v>2897.59</v>
      </c>
      <c r="G3415">
        <v>0</v>
      </c>
      <c r="H3415" s="7">
        <v>0</v>
      </c>
    </row>
    <row r="3416" spans="1:8">
      <c r="A3416">
        <v>2</v>
      </c>
      <c r="B3416" t="s">
        <v>42</v>
      </c>
      <c r="C3416" t="s">
        <v>33</v>
      </c>
      <c r="D3416">
        <v>0</v>
      </c>
      <c r="E3416">
        <v>1</v>
      </c>
      <c r="F3416" s="7">
        <v>4886.95</v>
      </c>
      <c r="G3416">
        <v>0</v>
      </c>
      <c r="H3416" s="7">
        <v>0</v>
      </c>
    </row>
    <row r="3417" spans="1:8">
      <c r="A3417">
        <v>2</v>
      </c>
      <c r="B3417" t="s">
        <v>42</v>
      </c>
      <c r="C3417" t="s">
        <v>33</v>
      </c>
      <c r="D3417">
        <v>0</v>
      </c>
      <c r="E3417">
        <v>1</v>
      </c>
      <c r="F3417" s="7">
        <v>2556.31</v>
      </c>
      <c r="G3417">
        <v>0</v>
      </c>
      <c r="H3417" s="7">
        <v>0</v>
      </c>
    </row>
    <row r="3418" spans="1:8">
      <c r="A3418">
        <v>2</v>
      </c>
      <c r="B3418" t="s">
        <v>42</v>
      </c>
      <c r="C3418" t="s">
        <v>33</v>
      </c>
      <c r="D3418">
        <v>0</v>
      </c>
      <c r="E3418">
        <v>1</v>
      </c>
      <c r="F3418" s="7">
        <v>1212.07</v>
      </c>
      <c r="G3418">
        <v>0</v>
      </c>
      <c r="H3418" s="7">
        <v>0</v>
      </c>
    </row>
    <row r="3419" spans="1:8">
      <c r="A3419">
        <v>2</v>
      </c>
      <c r="B3419" t="s">
        <v>42</v>
      </c>
      <c r="C3419" t="s">
        <v>33</v>
      </c>
      <c r="D3419">
        <v>0</v>
      </c>
      <c r="E3419">
        <v>1</v>
      </c>
      <c r="F3419" s="7">
        <v>4072.66</v>
      </c>
      <c r="G3419">
        <v>0</v>
      </c>
      <c r="H3419" s="7">
        <v>0</v>
      </c>
    </row>
    <row r="3420" spans="1:8">
      <c r="A3420">
        <v>2</v>
      </c>
      <c r="B3420" t="s">
        <v>42</v>
      </c>
      <c r="C3420" t="s">
        <v>33</v>
      </c>
      <c r="D3420">
        <v>0</v>
      </c>
      <c r="E3420">
        <v>1</v>
      </c>
      <c r="F3420" s="7">
        <v>2441.09</v>
      </c>
      <c r="G3420">
        <v>0</v>
      </c>
      <c r="H3420" s="7">
        <v>0</v>
      </c>
    </row>
    <row r="3421" spans="1:8">
      <c r="A3421">
        <v>2</v>
      </c>
      <c r="B3421" t="s">
        <v>42</v>
      </c>
      <c r="C3421" t="s">
        <v>33</v>
      </c>
      <c r="D3421">
        <v>0</v>
      </c>
      <c r="E3421">
        <v>1</v>
      </c>
      <c r="F3421" s="7">
        <v>7074.35</v>
      </c>
      <c r="G3421">
        <v>0</v>
      </c>
      <c r="H3421" s="7">
        <v>0</v>
      </c>
    </row>
    <row r="3422" spans="1:8">
      <c r="A3422">
        <v>2</v>
      </c>
      <c r="B3422" t="s">
        <v>42</v>
      </c>
      <c r="C3422" t="s">
        <v>33</v>
      </c>
      <c r="D3422">
        <v>0</v>
      </c>
      <c r="E3422">
        <v>1</v>
      </c>
      <c r="F3422" s="7">
        <v>5045.77</v>
      </c>
      <c r="G3422">
        <v>0</v>
      </c>
      <c r="H3422" s="7">
        <v>0</v>
      </c>
    </row>
    <row r="3423" spans="1:8">
      <c r="A3423">
        <v>2</v>
      </c>
      <c r="B3423" t="s">
        <v>42</v>
      </c>
      <c r="C3423" t="s">
        <v>34</v>
      </c>
      <c r="D3423">
        <v>0</v>
      </c>
      <c r="E3423">
        <v>1</v>
      </c>
      <c r="F3423" s="7">
        <v>12542.66</v>
      </c>
      <c r="G3423">
        <v>0</v>
      </c>
      <c r="H3423" s="7">
        <v>0</v>
      </c>
    </row>
    <row r="3424" spans="1:8">
      <c r="A3424">
        <v>2</v>
      </c>
      <c r="B3424" t="s">
        <v>42</v>
      </c>
      <c r="C3424" t="s">
        <v>32</v>
      </c>
      <c r="D3424">
        <v>0</v>
      </c>
      <c r="E3424">
        <v>1</v>
      </c>
      <c r="F3424" s="7">
        <v>34.22</v>
      </c>
      <c r="G3424">
        <v>0</v>
      </c>
      <c r="H3424" s="7">
        <v>0</v>
      </c>
    </row>
    <row r="3425" spans="1:8">
      <c r="A3425">
        <v>2</v>
      </c>
      <c r="B3425" t="s">
        <v>42</v>
      </c>
      <c r="C3425" t="s">
        <v>33</v>
      </c>
      <c r="D3425">
        <v>0</v>
      </c>
      <c r="E3425">
        <v>1</v>
      </c>
      <c r="F3425" s="7">
        <v>8087.5</v>
      </c>
      <c r="G3425">
        <v>0</v>
      </c>
      <c r="H3425" s="7">
        <v>0</v>
      </c>
    </row>
    <row r="3426" spans="1:8">
      <c r="A3426">
        <v>2</v>
      </c>
      <c r="B3426" t="s">
        <v>42</v>
      </c>
      <c r="C3426" t="s">
        <v>34</v>
      </c>
      <c r="D3426">
        <v>0</v>
      </c>
      <c r="E3426">
        <v>1</v>
      </c>
      <c r="F3426" s="7">
        <v>18714.87</v>
      </c>
      <c r="G3426">
        <v>0</v>
      </c>
      <c r="H3426" s="7">
        <v>0</v>
      </c>
    </row>
    <row r="3427" spans="1:8">
      <c r="A3427">
        <v>2</v>
      </c>
      <c r="B3427" t="s">
        <v>42</v>
      </c>
      <c r="C3427" t="s">
        <v>34</v>
      </c>
      <c r="D3427">
        <v>0</v>
      </c>
      <c r="E3427">
        <v>1</v>
      </c>
      <c r="F3427" s="7">
        <v>10965.89</v>
      </c>
      <c r="G3427">
        <v>0</v>
      </c>
      <c r="H3427" s="7">
        <v>0</v>
      </c>
    </row>
    <row r="3428" spans="1:8">
      <c r="A3428">
        <v>2</v>
      </c>
      <c r="B3428" t="s">
        <v>42</v>
      </c>
      <c r="C3428" t="s">
        <v>33</v>
      </c>
      <c r="D3428">
        <v>0</v>
      </c>
      <c r="E3428">
        <v>1</v>
      </c>
      <c r="F3428" s="7">
        <v>7707.04</v>
      </c>
      <c r="G3428">
        <v>0</v>
      </c>
      <c r="H3428" s="7">
        <v>0</v>
      </c>
    </row>
    <row r="3429" spans="1:8">
      <c r="A3429">
        <v>2</v>
      </c>
      <c r="B3429" t="s">
        <v>42</v>
      </c>
      <c r="C3429" t="s">
        <v>33</v>
      </c>
      <c r="D3429">
        <v>0</v>
      </c>
      <c r="E3429">
        <v>1</v>
      </c>
      <c r="F3429" s="7">
        <v>2980.24</v>
      </c>
      <c r="G3429">
        <v>0</v>
      </c>
      <c r="H3429" s="7">
        <v>0</v>
      </c>
    </row>
    <row r="3430" spans="1:8">
      <c r="A3430">
        <v>2</v>
      </c>
      <c r="B3430" t="s">
        <v>42</v>
      </c>
      <c r="C3430" t="s">
        <v>34</v>
      </c>
      <c r="D3430">
        <v>0</v>
      </c>
      <c r="E3430">
        <v>1</v>
      </c>
      <c r="F3430" s="7">
        <v>20603.4</v>
      </c>
      <c r="G3430">
        <v>0</v>
      </c>
      <c r="H3430" s="7">
        <v>0</v>
      </c>
    </row>
    <row r="3431" spans="1:8">
      <c r="A3431">
        <v>2</v>
      </c>
      <c r="B3431" t="s">
        <v>42</v>
      </c>
      <c r="C3431" t="s">
        <v>34</v>
      </c>
      <c r="D3431">
        <v>0</v>
      </c>
      <c r="E3431">
        <v>1</v>
      </c>
      <c r="F3431" s="7">
        <v>14514.14</v>
      </c>
      <c r="G3431">
        <v>0</v>
      </c>
      <c r="H3431" s="7">
        <v>0</v>
      </c>
    </row>
    <row r="3432" spans="1:8">
      <c r="A3432">
        <v>2</v>
      </c>
      <c r="B3432" t="s">
        <v>42</v>
      </c>
      <c r="C3432" t="s">
        <v>34</v>
      </c>
      <c r="D3432">
        <v>0</v>
      </c>
      <c r="E3432">
        <v>1</v>
      </c>
      <c r="F3432" s="7">
        <v>18782.2</v>
      </c>
      <c r="G3432">
        <v>0</v>
      </c>
      <c r="H3432" s="7">
        <v>0</v>
      </c>
    </row>
    <row r="3433" spans="1:8">
      <c r="A3433">
        <v>2</v>
      </c>
      <c r="B3433" t="s">
        <v>42</v>
      </c>
      <c r="C3433" t="s">
        <v>34</v>
      </c>
      <c r="D3433">
        <v>0</v>
      </c>
      <c r="E3433">
        <v>1</v>
      </c>
      <c r="F3433" s="7">
        <v>19332.44</v>
      </c>
      <c r="G3433">
        <v>0</v>
      </c>
      <c r="H3433" s="7">
        <v>0</v>
      </c>
    </row>
    <row r="3434" spans="1:8">
      <c r="A3434">
        <v>2</v>
      </c>
      <c r="B3434" t="s">
        <v>42</v>
      </c>
      <c r="C3434" t="s">
        <v>33</v>
      </c>
      <c r="D3434">
        <v>0</v>
      </c>
      <c r="E3434">
        <v>1</v>
      </c>
      <c r="F3434" s="7">
        <v>3286.78</v>
      </c>
      <c r="G3434">
        <v>0</v>
      </c>
      <c r="H3434" s="7">
        <v>0</v>
      </c>
    </row>
    <row r="3435" spans="1:8">
      <c r="A3435">
        <v>2</v>
      </c>
      <c r="B3435" t="s">
        <v>42</v>
      </c>
      <c r="C3435" t="s">
        <v>34</v>
      </c>
      <c r="D3435">
        <v>0</v>
      </c>
      <c r="E3435">
        <v>1</v>
      </c>
      <c r="F3435" s="7">
        <v>21987.06</v>
      </c>
      <c r="G3435">
        <v>0</v>
      </c>
      <c r="H3435" s="7">
        <v>0</v>
      </c>
    </row>
    <row r="3436" spans="1:8">
      <c r="A3436">
        <v>2</v>
      </c>
      <c r="B3436" t="s">
        <v>42</v>
      </c>
      <c r="C3436" t="s">
        <v>34</v>
      </c>
      <c r="D3436">
        <v>0</v>
      </c>
      <c r="E3436">
        <v>1</v>
      </c>
      <c r="F3436" s="7">
        <v>13839.11</v>
      </c>
      <c r="G3436">
        <v>0</v>
      </c>
      <c r="H3436" s="7">
        <v>0</v>
      </c>
    </row>
    <row r="3437" spans="1:8">
      <c r="A3437">
        <v>2</v>
      </c>
      <c r="B3437" t="s">
        <v>42</v>
      </c>
      <c r="C3437" t="s">
        <v>33</v>
      </c>
      <c r="D3437">
        <v>0</v>
      </c>
      <c r="E3437">
        <v>1</v>
      </c>
      <c r="F3437" s="7">
        <v>3879.64</v>
      </c>
      <c r="G3437">
        <v>0</v>
      </c>
      <c r="H3437" s="7">
        <v>0</v>
      </c>
    </row>
    <row r="3438" spans="1:8">
      <c r="A3438">
        <v>2</v>
      </c>
      <c r="B3438" t="s">
        <v>42</v>
      </c>
      <c r="C3438" t="s">
        <v>32</v>
      </c>
      <c r="D3438">
        <v>0</v>
      </c>
      <c r="E3438">
        <v>1</v>
      </c>
      <c r="F3438" s="7">
        <v>38.88</v>
      </c>
      <c r="G3438">
        <v>0</v>
      </c>
      <c r="H3438" s="7">
        <v>0</v>
      </c>
    </row>
    <row r="3439" spans="1:8">
      <c r="A3439">
        <v>2</v>
      </c>
      <c r="B3439" t="s">
        <v>42</v>
      </c>
      <c r="C3439" t="s">
        <v>33</v>
      </c>
      <c r="D3439">
        <v>0</v>
      </c>
      <c r="E3439">
        <v>1</v>
      </c>
      <c r="F3439" s="7">
        <v>2942.66</v>
      </c>
      <c r="G3439">
        <v>0</v>
      </c>
      <c r="H3439" s="7">
        <v>0</v>
      </c>
    </row>
    <row r="3440" spans="1:8">
      <c r="A3440">
        <v>2</v>
      </c>
      <c r="B3440" t="s">
        <v>42</v>
      </c>
      <c r="C3440" t="s">
        <v>34</v>
      </c>
      <c r="D3440">
        <v>0</v>
      </c>
      <c r="E3440">
        <v>1</v>
      </c>
      <c r="F3440" s="7">
        <v>10024.14</v>
      </c>
      <c r="G3440">
        <v>0</v>
      </c>
      <c r="H3440" s="7">
        <v>0</v>
      </c>
    </row>
    <row r="3441" spans="1:8">
      <c r="A3441">
        <v>2</v>
      </c>
      <c r="B3441" t="s">
        <v>45</v>
      </c>
      <c r="C3441" t="s">
        <v>33</v>
      </c>
      <c r="D3441">
        <v>0</v>
      </c>
      <c r="E3441">
        <v>1</v>
      </c>
      <c r="F3441" s="7">
        <v>3949.99</v>
      </c>
      <c r="G3441">
        <v>0</v>
      </c>
      <c r="H3441" s="7">
        <v>0</v>
      </c>
    </row>
    <row r="3442" spans="1:8">
      <c r="A3442">
        <v>2</v>
      </c>
      <c r="B3442" t="s">
        <v>45</v>
      </c>
      <c r="C3442" t="s">
        <v>33</v>
      </c>
      <c r="D3442">
        <v>0</v>
      </c>
      <c r="E3442">
        <v>1</v>
      </c>
      <c r="F3442" s="7">
        <v>7888.3</v>
      </c>
      <c r="G3442">
        <v>0</v>
      </c>
      <c r="H3442" s="7">
        <v>0</v>
      </c>
    </row>
    <row r="3443" spans="1:8">
      <c r="A3443">
        <v>2</v>
      </c>
      <c r="B3443" t="s">
        <v>42</v>
      </c>
      <c r="C3443" t="s">
        <v>33</v>
      </c>
      <c r="D3443">
        <v>0</v>
      </c>
      <c r="E3443">
        <v>1</v>
      </c>
      <c r="F3443" s="7">
        <v>4994.3</v>
      </c>
      <c r="G3443">
        <v>0</v>
      </c>
      <c r="H3443" s="7">
        <v>0</v>
      </c>
    </row>
    <row r="3444" spans="1:8">
      <c r="A3444">
        <v>2</v>
      </c>
      <c r="B3444" t="s">
        <v>42</v>
      </c>
      <c r="C3444" t="s">
        <v>34</v>
      </c>
      <c r="D3444">
        <v>0</v>
      </c>
      <c r="E3444">
        <v>1</v>
      </c>
      <c r="F3444" s="7">
        <v>14213.84</v>
      </c>
      <c r="G3444">
        <v>0</v>
      </c>
      <c r="H3444" s="7">
        <v>0</v>
      </c>
    </row>
    <row r="3445" spans="1:8">
      <c r="A3445">
        <v>2</v>
      </c>
      <c r="B3445" t="s">
        <v>45</v>
      </c>
      <c r="C3445" t="s">
        <v>33</v>
      </c>
      <c r="D3445">
        <v>0</v>
      </c>
      <c r="E3445">
        <v>1</v>
      </c>
      <c r="F3445" s="7">
        <v>3868.15</v>
      </c>
      <c r="G3445">
        <v>0</v>
      </c>
      <c r="H3445" s="7">
        <v>0</v>
      </c>
    </row>
    <row r="3446" spans="1:8">
      <c r="A3446">
        <v>2</v>
      </c>
      <c r="B3446" t="s">
        <v>45</v>
      </c>
      <c r="C3446" t="s">
        <v>33</v>
      </c>
      <c r="D3446">
        <v>0</v>
      </c>
      <c r="E3446">
        <v>1</v>
      </c>
      <c r="F3446" s="7">
        <v>8723.05</v>
      </c>
      <c r="G3446">
        <v>0</v>
      </c>
      <c r="H3446" s="7">
        <v>0</v>
      </c>
    </row>
    <row r="3447" spans="1:8">
      <c r="A3447">
        <v>2</v>
      </c>
      <c r="B3447" t="s">
        <v>42</v>
      </c>
      <c r="C3447" t="s">
        <v>33</v>
      </c>
      <c r="D3447">
        <v>0</v>
      </c>
      <c r="E3447">
        <v>1</v>
      </c>
      <c r="F3447" s="7">
        <v>7204.66</v>
      </c>
      <c r="G3447">
        <v>0</v>
      </c>
      <c r="H3447" s="7">
        <v>0</v>
      </c>
    </row>
    <row r="3448" spans="1:8">
      <c r="A3448">
        <v>2</v>
      </c>
      <c r="B3448" t="s">
        <v>42</v>
      </c>
      <c r="C3448" t="s">
        <v>32</v>
      </c>
      <c r="D3448">
        <v>0</v>
      </c>
      <c r="E3448">
        <v>1</v>
      </c>
      <c r="F3448" s="7">
        <v>764.8</v>
      </c>
      <c r="G3448">
        <v>0</v>
      </c>
      <c r="H3448" s="7">
        <v>0</v>
      </c>
    </row>
    <row r="3449" spans="1:8">
      <c r="A3449">
        <v>2</v>
      </c>
      <c r="B3449" t="s">
        <v>42</v>
      </c>
      <c r="C3449" t="s">
        <v>33</v>
      </c>
      <c r="D3449">
        <v>0</v>
      </c>
      <c r="E3449">
        <v>1</v>
      </c>
      <c r="F3449" s="7">
        <v>5910.1</v>
      </c>
      <c r="G3449">
        <v>0</v>
      </c>
      <c r="H3449" s="7">
        <v>0</v>
      </c>
    </row>
    <row r="3450" spans="1:8">
      <c r="A3450">
        <v>2</v>
      </c>
      <c r="B3450" t="s">
        <v>42</v>
      </c>
      <c r="C3450" t="s">
        <v>33</v>
      </c>
      <c r="D3450">
        <v>0</v>
      </c>
      <c r="E3450">
        <v>1</v>
      </c>
      <c r="F3450" s="7">
        <v>9877.48</v>
      </c>
      <c r="G3450">
        <v>0</v>
      </c>
      <c r="H3450" s="7">
        <v>0</v>
      </c>
    </row>
    <row r="3451" spans="1:8">
      <c r="A3451">
        <v>2</v>
      </c>
      <c r="B3451" t="s">
        <v>42</v>
      </c>
      <c r="C3451" t="s">
        <v>33</v>
      </c>
      <c r="D3451">
        <v>0</v>
      </c>
      <c r="E3451">
        <v>1</v>
      </c>
      <c r="F3451" s="7">
        <v>8194.49</v>
      </c>
      <c r="G3451">
        <v>0</v>
      </c>
      <c r="H3451" s="7">
        <v>0</v>
      </c>
    </row>
    <row r="3452" spans="1:8">
      <c r="A3452">
        <v>2</v>
      </c>
      <c r="B3452" t="s">
        <v>42</v>
      </c>
      <c r="C3452" t="s">
        <v>33</v>
      </c>
      <c r="D3452">
        <v>0</v>
      </c>
      <c r="E3452">
        <v>1</v>
      </c>
      <c r="F3452" s="7">
        <v>1477.91</v>
      </c>
      <c r="G3452">
        <v>0</v>
      </c>
      <c r="H3452" s="7">
        <v>0</v>
      </c>
    </row>
    <row r="3453" spans="1:8">
      <c r="A3453">
        <v>2</v>
      </c>
      <c r="B3453" t="s">
        <v>42</v>
      </c>
      <c r="C3453" t="s">
        <v>33</v>
      </c>
      <c r="D3453">
        <v>0</v>
      </c>
      <c r="E3453">
        <v>1</v>
      </c>
      <c r="F3453" s="7">
        <v>4004.23</v>
      </c>
      <c r="G3453">
        <v>0</v>
      </c>
      <c r="H3453" s="7">
        <v>0</v>
      </c>
    </row>
    <row r="3454" spans="1:8">
      <c r="A3454">
        <v>2</v>
      </c>
      <c r="B3454" t="s">
        <v>42</v>
      </c>
      <c r="C3454" t="s">
        <v>32</v>
      </c>
      <c r="D3454">
        <v>0</v>
      </c>
      <c r="E3454">
        <v>1</v>
      </c>
      <c r="F3454" s="7">
        <v>423.81</v>
      </c>
      <c r="G3454">
        <v>0</v>
      </c>
      <c r="H3454" s="7">
        <v>0</v>
      </c>
    </row>
    <row r="3455" spans="1:8">
      <c r="A3455">
        <v>2</v>
      </c>
      <c r="B3455" t="s">
        <v>45</v>
      </c>
      <c r="C3455" t="s">
        <v>33</v>
      </c>
      <c r="D3455">
        <v>0</v>
      </c>
      <c r="E3455">
        <v>1</v>
      </c>
      <c r="F3455" s="7">
        <v>6012.68</v>
      </c>
      <c r="G3455">
        <v>0</v>
      </c>
      <c r="H3455" s="7">
        <v>0</v>
      </c>
    </row>
    <row r="3456" spans="1:8">
      <c r="A3456">
        <v>2</v>
      </c>
      <c r="B3456" t="s">
        <v>42</v>
      </c>
      <c r="C3456" t="s">
        <v>33</v>
      </c>
      <c r="D3456">
        <v>0</v>
      </c>
      <c r="E3456">
        <v>1</v>
      </c>
      <c r="F3456" s="7">
        <v>2478.71</v>
      </c>
      <c r="G3456">
        <v>0</v>
      </c>
      <c r="H3456" s="7">
        <v>0</v>
      </c>
    </row>
    <row r="3457" spans="1:8">
      <c r="A3457">
        <v>2</v>
      </c>
      <c r="B3457" t="s">
        <v>42</v>
      </c>
      <c r="C3457" t="s">
        <v>34</v>
      </c>
      <c r="D3457">
        <v>0</v>
      </c>
      <c r="E3457">
        <v>1</v>
      </c>
      <c r="F3457" s="7">
        <v>10592.75</v>
      </c>
      <c r="G3457">
        <v>0</v>
      </c>
      <c r="H3457" s="7">
        <v>0</v>
      </c>
    </row>
    <row r="3458" spans="1:8">
      <c r="A3458">
        <v>2</v>
      </c>
      <c r="B3458" t="s">
        <v>42</v>
      </c>
      <c r="C3458" t="s">
        <v>33</v>
      </c>
      <c r="D3458">
        <v>0</v>
      </c>
      <c r="E3458">
        <v>1</v>
      </c>
      <c r="F3458" s="7">
        <v>6382.51</v>
      </c>
      <c r="G3458">
        <v>0</v>
      </c>
      <c r="H3458" s="7">
        <v>0</v>
      </c>
    </row>
    <row r="3459" spans="1:8">
      <c r="A3459">
        <v>2</v>
      </c>
      <c r="B3459" t="s">
        <v>42</v>
      </c>
      <c r="C3459" t="s">
        <v>33</v>
      </c>
      <c r="D3459">
        <v>0</v>
      </c>
      <c r="E3459">
        <v>1</v>
      </c>
      <c r="F3459" s="7">
        <v>5840.15</v>
      </c>
      <c r="G3459">
        <v>0</v>
      </c>
      <c r="H3459" s="7">
        <v>0</v>
      </c>
    </row>
    <row r="3460" spans="1:8">
      <c r="A3460">
        <v>2</v>
      </c>
      <c r="B3460" t="s">
        <v>42</v>
      </c>
      <c r="C3460" t="s">
        <v>33</v>
      </c>
      <c r="D3460">
        <v>0</v>
      </c>
      <c r="E3460">
        <v>1</v>
      </c>
      <c r="F3460" s="7">
        <v>7767.92</v>
      </c>
      <c r="G3460">
        <v>0</v>
      </c>
      <c r="H3460" s="7">
        <v>0</v>
      </c>
    </row>
    <row r="3461" spans="1:8">
      <c r="A3461">
        <v>2</v>
      </c>
      <c r="B3461" t="s">
        <v>42</v>
      </c>
      <c r="C3461" t="s">
        <v>32</v>
      </c>
      <c r="D3461">
        <v>0</v>
      </c>
      <c r="E3461">
        <v>1</v>
      </c>
      <c r="F3461" s="7">
        <v>740.95</v>
      </c>
      <c r="G3461">
        <v>0</v>
      </c>
      <c r="H3461" s="7">
        <v>0</v>
      </c>
    </row>
    <row r="3462" spans="1:8">
      <c r="A3462">
        <v>2</v>
      </c>
      <c r="B3462" t="s">
        <v>43</v>
      </c>
      <c r="C3462" t="s">
        <v>34</v>
      </c>
      <c r="D3462">
        <v>0</v>
      </c>
      <c r="E3462">
        <v>1</v>
      </c>
      <c r="F3462" s="7">
        <v>67234.96</v>
      </c>
      <c r="G3462">
        <v>0</v>
      </c>
      <c r="H3462" s="7">
        <v>0</v>
      </c>
    </row>
    <row r="3463" spans="1:8">
      <c r="A3463">
        <v>2</v>
      </c>
      <c r="B3463" t="s">
        <v>42</v>
      </c>
      <c r="C3463" t="s">
        <v>33</v>
      </c>
      <c r="D3463">
        <v>0</v>
      </c>
      <c r="E3463">
        <v>1</v>
      </c>
      <c r="F3463" s="7">
        <v>3088.09</v>
      </c>
      <c r="G3463">
        <v>0</v>
      </c>
      <c r="H3463" s="7">
        <v>0</v>
      </c>
    </row>
    <row r="3464" spans="1:8">
      <c r="A3464">
        <v>2</v>
      </c>
      <c r="B3464" t="s">
        <v>42</v>
      </c>
      <c r="C3464" t="s">
        <v>34</v>
      </c>
      <c r="D3464">
        <v>0</v>
      </c>
      <c r="E3464">
        <v>1</v>
      </c>
      <c r="F3464" s="7">
        <v>14198.34</v>
      </c>
      <c r="G3464">
        <v>0</v>
      </c>
      <c r="H3464" s="7">
        <v>0</v>
      </c>
    </row>
    <row r="3465" spans="1:8">
      <c r="A3465">
        <v>2</v>
      </c>
      <c r="B3465" t="s">
        <v>42</v>
      </c>
      <c r="C3465" t="s">
        <v>34</v>
      </c>
      <c r="D3465">
        <v>0</v>
      </c>
      <c r="E3465">
        <v>1</v>
      </c>
      <c r="F3465" s="7">
        <v>29414.89</v>
      </c>
      <c r="G3465">
        <v>0</v>
      </c>
      <c r="H3465" s="7">
        <v>0</v>
      </c>
    </row>
    <row r="3466" spans="1:8">
      <c r="A3466">
        <v>2</v>
      </c>
      <c r="B3466" t="s">
        <v>42</v>
      </c>
      <c r="C3466" t="s">
        <v>32</v>
      </c>
      <c r="D3466">
        <v>0</v>
      </c>
      <c r="E3466">
        <v>1</v>
      </c>
      <c r="F3466" s="7">
        <v>402.22</v>
      </c>
      <c r="G3466">
        <v>0</v>
      </c>
      <c r="H3466" s="7">
        <v>0</v>
      </c>
    </row>
    <row r="3467" spans="1:8">
      <c r="A3467">
        <v>2</v>
      </c>
      <c r="B3467" t="s">
        <v>42</v>
      </c>
      <c r="C3467" t="s">
        <v>33</v>
      </c>
      <c r="D3467">
        <v>0</v>
      </c>
      <c r="E3467">
        <v>1</v>
      </c>
      <c r="F3467" s="7">
        <v>6934.8</v>
      </c>
      <c r="G3467">
        <v>0</v>
      </c>
      <c r="H3467" s="7">
        <v>0</v>
      </c>
    </row>
    <row r="3468" spans="1:8">
      <c r="A3468">
        <v>2</v>
      </c>
      <c r="B3468" t="s">
        <v>42</v>
      </c>
      <c r="C3468" t="s">
        <v>33</v>
      </c>
      <c r="D3468">
        <v>0</v>
      </c>
      <c r="E3468">
        <v>1</v>
      </c>
      <c r="F3468" s="7">
        <v>9614.45</v>
      </c>
      <c r="G3468">
        <v>0</v>
      </c>
      <c r="H3468" s="7">
        <v>0</v>
      </c>
    </row>
    <row r="3469" spans="1:8">
      <c r="A3469">
        <v>2</v>
      </c>
      <c r="B3469" t="s">
        <v>42</v>
      </c>
      <c r="C3469" t="s">
        <v>33</v>
      </c>
      <c r="D3469">
        <v>0</v>
      </c>
      <c r="E3469">
        <v>1</v>
      </c>
      <c r="F3469" s="7">
        <v>7856.39</v>
      </c>
      <c r="G3469">
        <v>0</v>
      </c>
      <c r="H3469" s="7">
        <v>0</v>
      </c>
    </row>
    <row r="3470" spans="1:8">
      <c r="A3470">
        <v>2</v>
      </c>
      <c r="B3470" t="s">
        <v>42</v>
      </c>
      <c r="C3470" t="s">
        <v>33</v>
      </c>
      <c r="D3470">
        <v>0</v>
      </c>
      <c r="E3470">
        <v>1</v>
      </c>
      <c r="F3470" s="7">
        <v>1125.82</v>
      </c>
      <c r="G3470">
        <v>0</v>
      </c>
      <c r="H3470" s="7">
        <v>0</v>
      </c>
    </row>
    <row r="3471" spans="1:8">
      <c r="A3471">
        <v>2</v>
      </c>
      <c r="B3471" t="s">
        <v>42</v>
      </c>
      <c r="C3471" t="s">
        <v>32</v>
      </c>
      <c r="D3471">
        <v>0</v>
      </c>
      <c r="E3471">
        <v>1</v>
      </c>
      <c r="F3471" s="7">
        <v>208.35</v>
      </c>
      <c r="G3471">
        <v>0</v>
      </c>
      <c r="H3471" s="7">
        <v>0</v>
      </c>
    </row>
    <row r="3472" spans="1:8">
      <c r="A3472">
        <v>2</v>
      </c>
      <c r="B3472" t="s">
        <v>42</v>
      </c>
      <c r="C3472" t="s">
        <v>33</v>
      </c>
      <c r="D3472">
        <v>0</v>
      </c>
      <c r="E3472">
        <v>1</v>
      </c>
      <c r="F3472" s="7">
        <v>3719.89</v>
      </c>
      <c r="G3472">
        <v>0</v>
      </c>
      <c r="H3472" s="7">
        <v>0</v>
      </c>
    </row>
    <row r="3473" spans="1:8">
      <c r="A3473">
        <v>2</v>
      </c>
      <c r="B3473" t="s">
        <v>42</v>
      </c>
      <c r="C3473" t="s">
        <v>34</v>
      </c>
      <c r="D3473">
        <v>0</v>
      </c>
      <c r="E3473">
        <v>1</v>
      </c>
      <c r="F3473" s="7">
        <v>10967.31</v>
      </c>
      <c r="G3473">
        <v>0</v>
      </c>
      <c r="H3473" s="7">
        <v>0</v>
      </c>
    </row>
    <row r="3474" spans="1:8">
      <c r="A3474">
        <v>2</v>
      </c>
      <c r="B3474" t="s">
        <v>45</v>
      </c>
      <c r="C3474" t="s">
        <v>32</v>
      </c>
      <c r="D3474">
        <v>0</v>
      </c>
      <c r="E3474">
        <v>1</v>
      </c>
      <c r="F3474" s="7">
        <v>923.14</v>
      </c>
      <c r="G3474">
        <v>0</v>
      </c>
      <c r="H3474" s="7">
        <v>0</v>
      </c>
    </row>
    <row r="3475" spans="1:8">
      <c r="A3475">
        <v>2</v>
      </c>
      <c r="B3475" t="s">
        <v>42</v>
      </c>
      <c r="C3475" t="s">
        <v>33</v>
      </c>
      <c r="D3475">
        <v>0</v>
      </c>
      <c r="E3475">
        <v>1</v>
      </c>
      <c r="F3475" s="7">
        <v>5975.88</v>
      </c>
      <c r="G3475">
        <v>0</v>
      </c>
      <c r="H3475" s="7">
        <v>0</v>
      </c>
    </row>
    <row r="3476" spans="1:8">
      <c r="A3476">
        <v>2</v>
      </c>
      <c r="B3476" t="s">
        <v>42</v>
      </c>
      <c r="C3476" t="s">
        <v>33</v>
      </c>
      <c r="D3476">
        <v>0</v>
      </c>
      <c r="E3476">
        <v>1</v>
      </c>
      <c r="F3476" s="7">
        <v>3703.76</v>
      </c>
      <c r="G3476">
        <v>0</v>
      </c>
      <c r="H3476" s="7">
        <v>0</v>
      </c>
    </row>
    <row r="3477" spans="1:8">
      <c r="A3477">
        <v>2</v>
      </c>
      <c r="B3477" t="s">
        <v>42</v>
      </c>
      <c r="C3477" t="s">
        <v>33</v>
      </c>
      <c r="D3477">
        <v>0</v>
      </c>
      <c r="E3477">
        <v>1</v>
      </c>
      <c r="F3477" s="7">
        <v>4356.91</v>
      </c>
      <c r="G3477">
        <v>0</v>
      </c>
      <c r="H3477" s="7">
        <v>0</v>
      </c>
    </row>
    <row r="3478" spans="1:8">
      <c r="A3478">
        <v>2</v>
      </c>
      <c r="B3478" t="s">
        <v>42</v>
      </c>
      <c r="C3478" t="s">
        <v>33</v>
      </c>
      <c r="D3478">
        <v>0</v>
      </c>
      <c r="E3478">
        <v>1</v>
      </c>
      <c r="F3478" s="7">
        <v>2396.83</v>
      </c>
      <c r="G3478">
        <v>0</v>
      </c>
      <c r="H3478" s="7">
        <v>0</v>
      </c>
    </row>
    <row r="3479" spans="1:8">
      <c r="A3479">
        <v>2</v>
      </c>
      <c r="B3479" t="s">
        <v>44</v>
      </c>
      <c r="C3479" t="s">
        <v>35</v>
      </c>
      <c r="D3479">
        <v>0</v>
      </c>
      <c r="E3479">
        <v>1</v>
      </c>
      <c r="F3479" s="7">
        <v>205054.97</v>
      </c>
      <c r="G3479">
        <v>0</v>
      </c>
      <c r="H3479" s="7">
        <v>0</v>
      </c>
    </row>
    <row r="3480" spans="1:8">
      <c r="A3480">
        <v>2</v>
      </c>
      <c r="B3480" t="s">
        <v>42</v>
      </c>
      <c r="C3480" t="s">
        <v>32</v>
      </c>
      <c r="D3480">
        <v>0</v>
      </c>
      <c r="E3480">
        <v>1</v>
      </c>
      <c r="F3480" s="7">
        <v>647.06</v>
      </c>
      <c r="G3480">
        <v>0</v>
      </c>
      <c r="H3480" s="7">
        <v>0</v>
      </c>
    </row>
    <row r="3481" spans="1:8">
      <c r="A3481">
        <v>2</v>
      </c>
      <c r="B3481" t="s">
        <v>42</v>
      </c>
      <c r="C3481" t="s">
        <v>33</v>
      </c>
      <c r="D3481">
        <v>0</v>
      </c>
      <c r="E3481">
        <v>1</v>
      </c>
      <c r="F3481" s="7">
        <v>5514.73</v>
      </c>
      <c r="G3481">
        <v>0</v>
      </c>
      <c r="H3481" s="7">
        <v>0</v>
      </c>
    </row>
    <row r="3482" spans="1:8">
      <c r="A3482">
        <v>2</v>
      </c>
      <c r="B3482" t="s">
        <v>42</v>
      </c>
      <c r="C3482" t="s">
        <v>33</v>
      </c>
      <c r="D3482">
        <v>0</v>
      </c>
      <c r="E3482">
        <v>1</v>
      </c>
      <c r="F3482" s="7">
        <v>7734.86</v>
      </c>
      <c r="G3482">
        <v>0</v>
      </c>
      <c r="H3482" s="7">
        <v>0</v>
      </c>
    </row>
    <row r="3483" spans="1:8">
      <c r="A3483">
        <v>2</v>
      </c>
      <c r="B3483" t="s">
        <v>42</v>
      </c>
      <c r="C3483" t="s">
        <v>33</v>
      </c>
      <c r="D3483">
        <v>0</v>
      </c>
      <c r="E3483">
        <v>1</v>
      </c>
      <c r="F3483" s="7">
        <v>2676.46</v>
      </c>
      <c r="G3483">
        <v>0</v>
      </c>
      <c r="H3483" s="7">
        <v>0</v>
      </c>
    </row>
    <row r="3484" spans="1:8">
      <c r="A3484">
        <v>2</v>
      </c>
      <c r="B3484" t="s">
        <v>42</v>
      </c>
      <c r="C3484" t="s">
        <v>33</v>
      </c>
      <c r="D3484">
        <v>0</v>
      </c>
      <c r="E3484">
        <v>1</v>
      </c>
      <c r="F3484" s="7">
        <v>1602.18</v>
      </c>
      <c r="G3484">
        <v>0</v>
      </c>
      <c r="H3484" s="7">
        <v>0</v>
      </c>
    </row>
    <row r="3485" spans="1:8">
      <c r="A3485">
        <v>2</v>
      </c>
      <c r="B3485" t="s">
        <v>42</v>
      </c>
      <c r="C3485" t="s">
        <v>34</v>
      </c>
      <c r="D3485">
        <v>0</v>
      </c>
      <c r="E3485">
        <v>1</v>
      </c>
      <c r="F3485" s="7">
        <v>23938.64</v>
      </c>
      <c r="G3485">
        <v>0</v>
      </c>
      <c r="H3485" s="7">
        <v>0</v>
      </c>
    </row>
    <row r="3486" spans="1:8">
      <c r="A3486">
        <v>2</v>
      </c>
      <c r="B3486" t="s">
        <v>42</v>
      </c>
      <c r="C3486" t="s">
        <v>33</v>
      </c>
      <c r="D3486">
        <v>0</v>
      </c>
      <c r="E3486">
        <v>1</v>
      </c>
      <c r="F3486" s="7">
        <v>9418.88</v>
      </c>
      <c r="G3486">
        <v>0</v>
      </c>
      <c r="H3486" s="7">
        <v>0</v>
      </c>
    </row>
    <row r="3487" spans="1:8">
      <c r="A3487">
        <v>2</v>
      </c>
      <c r="B3487" t="s">
        <v>42</v>
      </c>
      <c r="C3487" t="s">
        <v>34</v>
      </c>
      <c r="D3487">
        <v>0</v>
      </c>
      <c r="E3487">
        <v>1</v>
      </c>
      <c r="F3487" s="7">
        <v>11265.41</v>
      </c>
      <c r="G3487">
        <v>0</v>
      </c>
      <c r="H3487" s="7">
        <v>0</v>
      </c>
    </row>
    <row r="3488" spans="1:8">
      <c r="A3488">
        <v>2</v>
      </c>
      <c r="B3488" t="s">
        <v>42</v>
      </c>
      <c r="C3488" t="s">
        <v>33</v>
      </c>
      <c r="D3488">
        <v>0</v>
      </c>
      <c r="E3488">
        <v>1</v>
      </c>
      <c r="F3488" s="7">
        <v>1044.89</v>
      </c>
      <c r="G3488">
        <v>0</v>
      </c>
      <c r="H3488" s="7">
        <v>0</v>
      </c>
    </row>
    <row r="3489" spans="1:8">
      <c r="A3489">
        <v>2</v>
      </c>
      <c r="B3489" t="s">
        <v>42</v>
      </c>
      <c r="C3489" t="s">
        <v>33</v>
      </c>
      <c r="D3489">
        <v>0</v>
      </c>
      <c r="E3489">
        <v>1</v>
      </c>
      <c r="F3489" s="7">
        <v>4944.69</v>
      </c>
      <c r="G3489">
        <v>0</v>
      </c>
      <c r="H3489" s="7">
        <v>0</v>
      </c>
    </row>
    <row r="3490" spans="1:8">
      <c r="A3490">
        <v>2</v>
      </c>
      <c r="B3490" t="s">
        <v>42</v>
      </c>
      <c r="C3490" t="s">
        <v>33</v>
      </c>
      <c r="D3490">
        <v>0</v>
      </c>
      <c r="E3490">
        <v>1</v>
      </c>
      <c r="F3490" s="7">
        <v>2185.46</v>
      </c>
      <c r="G3490">
        <v>0</v>
      </c>
      <c r="H3490" s="7">
        <v>0</v>
      </c>
    </row>
    <row r="3491" spans="1:8">
      <c r="A3491">
        <v>2</v>
      </c>
      <c r="B3491" t="s">
        <v>42</v>
      </c>
      <c r="C3491" t="s">
        <v>33</v>
      </c>
      <c r="D3491">
        <v>0</v>
      </c>
      <c r="E3491">
        <v>1</v>
      </c>
      <c r="F3491" s="7">
        <v>9222.29</v>
      </c>
      <c r="G3491">
        <v>0</v>
      </c>
      <c r="H3491" s="7">
        <v>0</v>
      </c>
    </row>
    <row r="3492" spans="1:8">
      <c r="A3492">
        <v>2</v>
      </c>
      <c r="B3492" t="s">
        <v>42</v>
      </c>
      <c r="C3492" t="s">
        <v>34</v>
      </c>
      <c r="D3492">
        <v>0</v>
      </c>
      <c r="E3492">
        <v>1</v>
      </c>
      <c r="F3492" s="7">
        <v>46256.91</v>
      </c>
      <c r="G3492">
        <v>0</v>
      </c>
      <c r="H3492" s="7">
        <v>0</v>
      </c>
    </row>
    <row r="3493" spans="1:8">
      <c r="A3493">
        <v>2</v>
      </c>
      <c r="B3493" t="s">
        <v>42</v>
      </c>
      <c r="C3493" t="s">
        <v>33</v>
      </c>
      <c r="D3493">
        <v>0</v>
      </c>
      <c r="E3493">
        <v>1</v>
      </c>
      <c r="F3493" s="7">
        <v>3220.95</v>
      </c>
      <c r="G3493">
        <v>0</v>
      </c>
      <c r="H3493" s="7">
        <v>0</v>
      </c>
    </row>
    <row r="3494" spans="1:8">
      <c r="A3494">
        <v>2</v>
      </c>
      <c r="B3494" t="s">
        <v>42</v>
      </c>
      <c r="C3494" t="s">
        <v>34</v>
      </c>
      <c r="D3494">
        <v>0</v>
      </c>
      <c r="E3494">
        <v>1</v>
      </c>
      <c r="F3494" s="7">
        <v>15730.19</v>
      </c>
      <c r="G3494">
        <v>0</v>
      </c>
      <c r="H3494" s="7">
        <v>0</v>
      </c>
    </row>
    <row r="3495" spans="1:8">
      <c r="A3495">
        <v>2</v>
      </c>
      <c r="B3495" t="s">
        <v>42</v>
      </c>
      <c r="C3495" t="s">
        <v>33</v>
      </c>
      <c r="D3495">
        <v>0</v>
      </c>
      <c r="E3495">
        <v>1</v>
      </c>
      <c r="F3495" s="7">
        <v>9877.72</v>
      </c>
      <c r="G3495">
        <v>0</v>
      </c>
      <c r="H3495" s="7">
        <v>0</v>
      </c>
    </row>
    <row r="3496" spans="1:8">
      <c r="A3496">
        <v>2</v>
      </c>
      <c r="B3496" t="s">
        <v>42</v>
      </c>
      <c r="C3496" t="s">
        <v>32</v>
      </c>
      <c r="D3496">
        <v>0</v>
      </c>
      <c r="E3496">
        <v>1</v>
      </c>
      <c r="F3496" s="7">
        <v>979.03</v>
      </c>
      <c r="G3496">
        <v>0</v>
      </c>
      <c r="H3496" s="7">
        <v>0</v>
      </c>
    </row>
    <row r="3497" spans="1:8">
      <c r="A3497">
        <v>2</v>
      </c>
      <c r="B3497" t="s">
        <v>42</v>
      </c>
      <c r="C3497" t="s">
        <v>33</v>
      </c>
      <c r="D3497">
        <v>0</v>
      </c>
      <c r="E3497">
        <v>1</v>
      </c>
      <c r="F3497" s="7">
        <v>4497.18</v>
      </c>
      <c r="G3497">
        <v>0</v>
      </c>
      <c r="H3497" s="7">
        <v>0</v>
      </c>
    </row>
    <row r="3498" spans="1:8">
      <c r="A3498">
        <v>2</v>
      </c>
      <c r="B3498" t="s">
        <v>42</v>
      </c>
      <c r="C3498" t="s">
        <v>33</v>
      </c>
      <c r="D3498">
        <v>0</v>
      </c>
      <c r="E3498">
        <v>1</v>
      </c>
      <c r="F3498" s="7">
        <v>7891.04</v>
      </c>
      <c r="G3498">
        <v>0</v>
      </c>
      <c r="H3498" s="7">
        <v>0</v>
      </c>
    </row>
    <row r="3499" spans="1:8">
      <c r="A3499">
        <v>2</v>
      </c>
      <c r="B3499" t="s">
        <v>42</v>
      </c>
      <c r="C3499" t="s">
        <v>33</v>
      </c>
      <c r="D3499">
        <v>0</v>
      </c>
      <c r="E3499">
        <v>1</v>
      </c>
      <c r="F3499" s="7">
        <v>2707.95</v>
      </c>
      <c r="G3499">
        <v>0</v>
      </c>
      <c r="H3499" s="7">
        <v>0</v>
      </c>
    </row>
    <row r="3500" spans="1:8">
      <c r="A3500">
        <v>2</v>
      </c>
      <c r="B3500" t="s">
        <v>42</v>
      </c>
      <c r="C3500" t="s">
        <v>34</v>
      </c>
      <c r="D3500">
        <v>0</v>
      </c>
      <c r="E3500">
        <v>1</v>
      </c>
      <c r="F3500" s="7">
        <v>11762.79</v>
      </c>
      <c r="G3500">
        <v>0</v>
      </c>
      <c r="H3500" s="7">
        <v>0</v>
      </c>
    </row>
    <row r="3501" spans="1:8">
      <c r="A3501">
        <v>2</v>
      </c>
      <c r="B3501" t="s">
        <v>42</v>
      </c>
      <c r="C3501" t="s">
        <v>34</v>
      </c>
      <c r="D3501">
        <v>0</v>
      </c>
      <c r="E3501">
        <v>1</v>
      </c>
      <c r="F3501" s="7">
        <v>11163.43</v>
      </c>
      <c r="G3501">
        <v>0</v>
      </c>
      <c r="H3501" s="7">
        <v>0</v>
      </c>
    </row>
    <row r="3502" spans="1:8">
      <c r="A3502">
        <v>2</v>
      </c>
      <c r="B3502" t="s">
        <v>42</v>
      </c>
      <c r="C3502" t="s">
        <v>33</v>
      </c>
      <c r="D3502">
        <v>0</v>
      </c>
      <c r="E3502">
        <v>1</v>
      </c>
      <c r="F3502" s="7">
        <v>4538.3</v>
      </c>
      <c r="G3502">
        <v>0</v>
      </c>
      <c r="H3502" s="7">
        <v>0</v>
      </c>
    </row>
    <row r="3503" spans="1:8">
      <c r="A3503">
        <v>2</v>
      </c>
      <c r="B3503" t="s">
        <v>42</v>
      </c>
      <c r="C3503" t="s">
        <v>33</v>
      </c>
      <c r="D3503">
        <v>0</v>
      </c>
      <c r="E3503">
        <v>1</v>
      </c>
      <c r="F3503" s="7">
        <v>1130.94</v>
      </c>
      <c r="G3503">
        <v>0</v>
      </c>
      <c r="H3503" s="7">
        <v>0</v>
      </c>
    </row>
    <row r="3504" spans="1:8">
      <c r="A3504">
        <v>2</v>
      </c>
      <c r="B3504" t="s">
        <v>42</v>
      </c>
      <c r="C3504" t="s">
        <v>33</v>
      </c>
      <c r="D3504">
        <v>0</v>
      </c>
      <c r="E3504">
        <v>1</v>
      </c>
      <c r="F3504" s="7">
        <v>4235.51</v>
      </c>
      <c r="G3504">
        <v>0</v>
      </c>
      <c r="H3504" s="7">
        <v>0</v>
      </c>
    </row>
    <row r="3505" spans="1:8">
      <c r="A3505">
        <v>2</v>
      </c>
      <c r="B3505" t="s">
        <v>42</v>
      </c>
      <c r="C3505" t="s">
        <v>33</v>
      </c>
      <c r="D3505">
        <v>0</v>
      </c>
      <c r="E3505">
        <v>1</v>
      </c>
      <c r="F3505" s="7">
        <v>5374.49</v>
      </c>
      <c r="G3505">
        <v>0</v>
      </c>
      <c r="H3505" s="7">
        <v>0</v>
      </c>
    </row>
    <row r="3506" spans="1:8">
      <c r="A3506">
        <v>2</v>
      </c>
      <c r="B3506" t="s">
        <v>42</v>
      </c>
      <c r="C3506" t="s">
        <v>33</v>
      </c>
      <c r="D3506">
        <v>0</v>
      </c>
      <c r="E3506">
        <v>1</v>
      </c>
      <c r="F3506" s="7">
        <v>3186.6</v>
      </c>
      <c r="G3506">
        <v>0</v>
      </c>
      <c r="H3506" s="7">
        <v>0</v>
      </c>
    </row>
    <row r="3507" spans="1:8">
      <c r="A3507">
        <v>2</v>
      </c>
      <c r="B3507" t="s">
        <v>42</v>
      </c>
      <c r="C3507" t="s">
        <v>33</v>
      </c>
      <c r="D3507">
        <v>0</v>
      </c>
      <c r="E3507">
        <v>1</v>
      </c>
      <c r="F3507" s="7">
        <v>2390.56</v>
      </c>
      <c r="G3507">
        <v>0</v>
      </c>
      <c r="H3507" s="7">
        <v>0</v>
      </c>
    </row>
    <row r="3508" spans="1:8">
      <c r="A3508">
        <v>2</v>
      </c>
      <c r="B3508" t="s">
        <v>42</v>
      </c>
      <c r="C3508" t="s">
        <v>34</v>
      </c>
      <c r="D3508">
        <v>0</v>
      </c>
      <c r="E3508">
        <v>1</v>
      </c>
      <c r="F3508" s="7">
        <v>20144.74</v>
      </c>
      <c r="G3508">
        <v>0</v>
      </c>
      <c r="H3508" s="7">
        <v>0</v>
      </c>
    </row>
    <row r="3509" spans="1:8">
      <c r="A3509">
        <v>2</v>
      </c>
      <c r="B3509" t="s">
        <v>42</v>
      </c>
      <c r="C3509" t="s">
        <v>34</v>
      </c>
      <c r="D3509">
        <v>0</v>
      </c>
      <c r="E3509">
        <v>1</v>
      </c>
      <c r="F3509" s="7">
        <v>16165.8</v>
      </c>
      <c r="G3509">
        <v>0</v>
      </c>
      <c r="H3509" s="7">
        <v>0</v>
      </c>
    </row>
    <row r="3510" spans="1:8">
      <c r="A3510">
        <v>2</v>
      </c>
      <c r="B3510" t="s">
        <v>42</v>
      </c>
      <c r="C3510" t="s">
        <v>33</v>
      </c>
      <c r="D3510">
        <v>0</v>
      </c>
      <c r="E3510">
        <v>1</v>
      </c>
      <c r="F3510" s="7">
        <v>9191.09</v>
      </c>
      <c r="G3510">
        <v>0</v>
      </c>
      <c r="H3510" s="7">
        <v>0</v>
      </c>
    </row>
    <row r="3511" spans="1:8">
      <c r="A3511">
        <v>2</v>
      </c>
      <c r="B3511" t="s">
        <v>42</v>
      </c>
      <c r="C3511" t="s">
        <v>33</v>
      </c>
      <c r="D3511">
        <v>0</v>
      </c>
      <c r="E3511">
        <v>1</v>
      </c>
      <c r="F3511" s="7">
        <v>1338.19</v>
      </c>
      <c r="G3511">
        <v>0</v>
      </c>
      <c r="H3511" s="7">
        <v>0</v>
      </c>
    </row>
    <row r="3512" spans="1:8">
      <c r="A3512">
        <v>2</v>
      </c>
      <c r="B3512" t="s">
        <v>42</v>
      </c>
      <c r="C3512" t="s">
        <v>33</v>
      </c>
      <c r="D3512">
        <v>0</v>
      </c>
      <c r="E3512">
        <v>1</v>
      </c>
      <c r="F3512" s="7">
        <v>5203.95</v>
      </c>
      <c r="G3512">
        <v>0</v>
      </c>
      <c r="H3512" s="7">
        <v>0</v>
      </c>
    </row>
    <row r="3513" spans="1:8">
      <c r="A3513">
        <v>2</v>
      </c>
      <c r="B3513" t="s">
        <v>42</v>
      </c>
      <c r="C3513" t="s">
        <v>33</v>
      </c>
      <c r="D3513">
        <v>0</v>
      </c>
      <c r="E3513">
        <v>1</v>
      </c>
      <c r="F3513" s="7">
        <v>1360.43</v>
      </c>
      <c r="G3513">
        <v>0</v>
      </c>
      <c r="H3513" s="7">
        <v>0</v>
      </c>
    </row>
    <row r="3514" spans="1:8">
      <c r="A3514">
        <v>2</v>
      </c>
      <c r="B3514" t="s">
        <v>42</v>
      </c>
      <c r="C3514" t="s">
        <v>33</v>
      </c>
      <c r="D3514">
        <v>0</v>
      </c>
      <c r="E3514">
        <v>1</v>
      </c>
      <c r="F3514" s="7">
        <v>3042.92</v>
      </c>
      <c r="G3514">
        <v>0</v>
      </c>
      <c r="H3514" s="7">
        <v>0</v>
      </c>
    </row>
    <row r="3515" spans="1:8">
      <c r="A3515">
        <v>2</v>
      </c>
      <c r="B3515" t="s">
        <v>42</v>
      </c>
      <c r="C3515" t="s">
        <v>33</v>
      </c>
      <c r="D3515">
        <v>0</v>
      </c>
      <c r="E3515">
        <v>1</v>
      </c>
      <c r="F3515" s="7">
        <v>7890.99</v>
      </c>
      <c r="G3515">
        <v>0</v>
      </c>
      <c r="H3515" s="7">
        <v>0</v>
      </c>
    </row>
    <row r="3516" spans="1:8">
      <c r="A3516">
        <v>2</v>
      </c>
      <c r="B3516" t="s">
        <v>43</v>
      </c>
      <c r="C3516" t="s">
        <v>35</v>
      </c>
      <c r="D3516">
        <v>0</v>
      </c>
      <c r="E3516">
        <v>1</v>
      </c>
      <c r="F3516" s="7">
        <v>150142.45</v>
      </c>
      <c r="G3516">
        <v>0</v>
      </c>
      <c r="H3516" s="7">
        <v>0</v>
      </c>
    </row>
    <row r="3517" spans="1:8">
      <c r="A3517">
        <v>2</v>
      </c>
      <c r="B3517" t="s">
        <v>42</v>
      </c>
      <c r="C3517" t="s">
        <v>33</v>
      </c>
      <c r="D3517">
        <v>0</v>
      </c>
      <c r="E3517">
        <v>1</v>
      </c>
      <c r="F3517" s="7">
        <v>4957.02</v>
      </c>
      <c r="G3517">
        <v>0</v>
      </c>
      <c r="H3517" s="7">
        <v>0</v>
      </c>
    </row>
    <row r="3518" spans="1:8">
      <c r="A3518">
        <v>2</v>
      </c>
      <c r="B3518" t="s">
        <v>42</v>
      </c>
      <c r="C3518" t="s">
        <v>34</v>
      </c>
      <c r="D3518">
        <v>0</v>
      </c>
      <c r="E3518">
        <v>1</v>
      </c>
      <c r="F3518" s="7">
        <v>20603.53</v>
      </c>
      <c r="G3518">
        <v>0</v>
      </c>
      <c r="H3518" s="7">
        <v>0</v>
      </c>
    </row>
    <row r="3519" spans="1:8">
      <c r="A3519">
        <v>2</v>
      </c>
      <c r="B3519" t="s">
        <v>42</v>
      </c>
      <c r="C3519" t="s">
        <v>33</v>
      </c>
      <c r="D3519">
        <v>0</v>
      </c>
      <c r="E3519">
        <v>1</v>
      </c>
      <c r="F3519" s="7">
        <v>7402.3</v>
      </c>
      <c r="G3519">
        <v>0</v>
      </c>
      <c r="H3519" s="7">
        <v>0</v>
      </c>
    </row>
    <row r="3520" spans="1:8">
      <c r="A3520">
        <v>2</v>
      </c>
      <c r="B3520" t="s">
        <v>42</v>
      </c>
      <c r="C3520" t="s">
        <v>33</v>
      </c>
      <c r="D3520">
        <v>0</v>
      </c>
      <c r="E3520">
        <v>1</v>
      </c>
      <c r="F3520" s="7">
        <v>1216.72</v>
      </c>
      <c r="G3520">
        <v>0</v>
      </c>
      <c r="H3520" s="7">
        <v>0</v>
      </c>
    </row>
    <row r="3521" spans="1:8">
      <c r="A3521">
        <v>2</v>
      </c>
      <c r="B3521" t="s">
        <v>44</v>
      </c>
      <c r="C3521" t="s">
        <v>34</v>
      </c>
      <c r="D3521">
        <v>0</v>
      </c>
      <c r="E3521">
        <v>1</v>
      </c>
      <c r="F3521" s="7">
        <v>13939.21</v>
      </c>
      <c r="G3521">
        <v>0</v>
      </c>
      <c r="H3521" s="7">
        <v>0</v>
      </c>
    </row>
    <row r="3522" spans="1:8">
      <c r="A3522">
        <v>2</v>
      </c>
      <c r="B3522" t="s">
        <v>43</v>
      </c>
      <c r="C3522" t="s">
        <v>35</v>
      </c>
      <c r="D3522">
        <v>0</v>
      </c>
      <c r="E3522">
        <v>1</v>
      </c>
      <c r="F3522" s="7">
        <v>156474.87</v>
      </c>
      <c r="G3522">
        <v>0</v>
      </c>
      <c r="H3522" s="7">
        <v>0</v>
      </c>
    </row>
    <row r="3523" spans="1:8">
      <c r="A3523">
        <v>2</v>
      </c>
      <c r="B3523" t="s">
        <v>45</v>
      </c>
      <c r="C3523" t="s">
        <v>33</v>
      </c>
      <c r="D3523">
        <v>0</v>
      </c>
      <c r="E3523">
        <v>1</v>
      </c>
      <c r="F3523" s="7">
        <v>5871.06</v>
      </c>
      <c r="G3523">
        <v>0</v>
      </c>
      <c r="H3523" s="7">
        <v>0</v>
      </c>
    </row>
    <row r="3524" spans="1:8">
      <c r="A3524">
        <v>2</v>
      </c>
      <c r="B3524" t="s">
        <v>45</v>
      </c>
      <c r="C3524" t="s">
        <v>33</v>
      </c>
      <c r="D3524">
        <v>0</v>
      </c>
      <c r="E3524">
        <v>1</v>
      </c>
      <c r="F3524" s="7">
        <v>2351.74</v>
      </c>
      <c r="G3524">
        <v>0</v>
      </c>
      <c r="H3524" s="7">
        <v>0</v>
      </c>
    </row>
    <row r="3525" spans="1:8">
      <c r="A3525">
        <v>2</v>
      </c>
      <c r="B3525" t="s">
        <v>42</v>
      </c>
      <c r="C3525" t="s">
        <v>33</v>
      </c>
      <c r="D3525">
        <v>0</v>
      </c>
      <c r="E3525">
        <v>1</v>
      </c>
      <c r="F3525" s="7">
        <v>4681.64</v>
      </c>
      <c r="G3525">
        <v>0</v>
      </c>
      <c r="H3525" s="7">
        <v>0</v>
      </c>
    </row>
    <row r="3526" spans="1:8">
      <c r="A3526">
        <v>2</v>
      </c>
      <c r="B3526" t="s">
        <v>42</v>
      </c>
      <c r="C3526" t="s">
        <v>34</v>
      </c>
      <c r="D3526">
        <v>0</v>
      </c>
      <c r="E3526">
        <v>1</v>
      </c>
      <c r="F3526" s="7">
        <v>10819.72</v>
      </c>
      <c r="G3526">
        <v>0</v>
      </c>
      <c r="H3526" s="7">
        <v>0</v>
      </c>
    </row>
    <row r="3527" spans="1:8">
      <c r="A3527">
        <v>2</v>
      </c>
      <c r="B3527" t="s">
        <v>45</v>
      </c>
      <c r="C3527" t="s">
        <v>33</v>
      </c>
      <c r="D3527">
        <v>0</v>
      </c>
      <c r="E3527">
        <v>1</v>
      </c>
      <c r="F3527" s="7">
        <v>1046.5</v>
      </c>
      <c r="G3527">
        <v>0</v>
      </c>
      <c r="H3527" s="7">
        <v>0</v>
      </c>
    </row>
    <row r="3528" spans="1:8">
      <c r="A3528">
        <v>2</v>
      </c>
      <c r="B3528" t="s">
        <v>42</v>
      </c>
      <c r="C3528" t="s">
        <v>33</v>
      </c>
      <c r="D3528">
        <v>0</v>
      </c>
      <c r="E3528">
        <v>1</v>
      </c>
      <c r="F3528" s="7">
        <v>5904.7</v>
      </c>
      <c r="G3528">
        <v>0</v>
      </c>
      <c r="H3528" s="7">
        <v>0</v>
      </c>
    </row>
    <row r="3529" spans="1:8">
      <c r="A3529">
        <v>2</v>
      </c>
      <c r="B3529" t="s">
        <v>42</v>
      </c>
      <c r="C3529" t="s">
        <v>33</v>
      </c>
      <c r="D3529">
        <v>0</v>
      </c>
      <c r="E3529">
        <v>1</v>
      </c>
      <c r="F3529" s="7">
        <v>7118.18</v>
      </c>
      <c r="G3529">
        <v>0</v>
      </c>
      <c r="H3529" s="7">
        <v>0</v>
      </c>
    </row>
    <row r="3530" spans="1:8">
      <c r="A3530">
        <v>2</v>
      </c>
      <c r="B3530" t="s">
        <v>42</v>
      </c>
      <c r="C3530" t="s">
        <v>33</v>
      </c>
      <c r="D3530">
        <v>0</v>
      </c>
      <c r="E3530">
        <v>1</v>
      </c>
      <c r="F3530" s="7">
        <v>6022.26</v>
      </c>
      <c r="G3530">
        <v>0</v>
      </c>
      <c r="H3530" s="7">
        <v>0</v>
      </c>
    </row>
    <row r="3531" spans="1:8">
      <c r="A3531">
        <v>2</v>
      </c>
      <c r="B3531" t="s">
        <v>45</v>
      </c>
      <c r="C3531" t="s">
        <v>33</v>
      </c>
      <c r="D3531">
        <v>0</v>
      </c>
      <c r="E3531">
        <v>1</v>
      </c>
      <c r="F3531" s="7">
        <v>5360.4</v>
      </c>
      <c r="G3531">
        <v>0</v>
      </c>
      <c r="H3531" s="7">
        <v>0</v>
      </c>
    </row>
    <row r="3532" spans="1:8">
      <c r="A3532">
        <v>2</v>
      </c>
      <c r="B3532" t="s">
        <v>42</v>
      </c>
      <c r="C3532" t="s">
        <v>34</v>
      </c>
      <c r="D3532">
        <v>0</v>
      </c>
      <c r="E3532">
        <v>1</v>
      </c>
      <c r="F3532" s="7">
        <v>11667.76</v>
      </c>
      <c r="G3532">
        <v>0</v>
      </c>
      <c r="H3532" s="7">
        <v>0</v>
      </c>
    </row>
    <row r="3533" spans="1:8">
      <c r="A3533">
        <v>2</v>
      </c>
      <c r="B3533" t="s">
        <v>42</v>
      </c>
      <c r="C3533" t="s">
        <v>33</v>
      </c>
      <c r="D3533">
        <v>0</v>
      </c>
      <c r="E3533">
        <v>1</v>
      </c>
      <c r="F3533" s="7">
        <v>2316.7</v>
      </c>
      <c r="G3533">
        <v>0</v>
      </c>
      <c r="H3533" s="7">
        <v>0</v>
      </c>
    </row>
    <row r="3534" spans="1:8">
      <c r="A3534">
        <v>2</v>
      </c>
      <c r="B3534" t="s">
        <v>42</v>
      </c>
      <c r="C3534" t="s">
        <v>33</v>
      </c>
      <c r="D3534">
        <v>0</v>
      </c>
      <c r="E3534">
        <v>1</v>
      </c>
      <c r="F3534" s="7">
        <v>7049.83</v>
      </c>
      <c r="G3534">
        <v>0</v>
      </c>
      <c r="H3534" s="7">
        <v>0</v>
      </c>
    </row>
    <row r="3535" spans="1:8">
      <c r="A3535">
        <v>2</v>
      </c>
      <c r="B3535" t="s">
        <v>42</v>
      </c>
      <c r="C3535" t="s">
        <v>33</v>
      </c>
      <c r="D3535">
        <v>0</v>
      </c>
      <c r="E3535">
        <v>1</v>
      </c>
      <c r="F3535" s="7">
        <v>2110.53</v>
      </c>
      <c r="G3535">
        <v>0</v>
      </c>
      <c r="H3535" s="7">
        <v>0</v>
      </c>
    </row>
    <row r="3536" spans="1:8">
      <c r="A3536">
        <v>2</v>
      </c>
      <c r="B3536" t="s">
        <v>42</v>
      </c>
      <c r="C3536" t="s">
        <v>33</v>
      </c>
      <c r="D3536">
        <v>0</v>
      </c>
      <c r="E3536">
        <v>1</v>
      </c>
      <c r="F3536" s="7">
        <v>5758.46</v>
      </c>
      <c r="G3536">
        <v>0</v>
      </c>
      <c r="H3536" s="7">
        <v>0</v>
      </c>
    </row>
    <row r="3537" spans="1:8">
      <c r="A3537">
        <v>2</v>
      </c>
      <c r="B3537" t="s">
        <v>44</v>
      </c>
      <c r="C3537" t="s">
        <v>34</v>
      </c>
      <c r="D3537">
        <v>0</v>
      </c>
      <c r="E3537">
        <v>1</v>
      </c>
      <c r="F3537" s="7">
        <v>89518.58</v>
      </c>
      <c r="G3537">
        <v>0</v>
      </c>
      <c r="H3537" s="7">
        <v>0</v>
      </c>
    </row>
    <row r="3538" spans="1:8">
      <c r="A3538">
        <v>2</v>
      </c>
      <c r="B3538" t="s">
        <v>44</v>
      </c>
      <c r="C3538" t="s">
        <v>34</v>
      </c>
      <c r="D3538">
        <v>0</v>
      </c>
      <c r="E3538">
        <v>1</v>
      </c>
      <c r="F3538" s="7">
        <v>28369.42</v>
      </c>
      <c r="G3538">
        <v>0</v>
      </c>
      <c r="H3538" s="7">
        <v>0</v>
      </c>
    </row>
    <row r="3539" spans="1:8">
      <c r="A3539">
        <v>2</v>
      </c>
      <c r="B3539" t="s">
        <v>42</v>
      </c>
      <c r="C3539" t="s">
        <v>33</v>
      </c>
      <c r="D3539">
        <v>0</v>
      </c>
      <c r="E3539">
        <v>1</v>
      </c>
      <c r="F3539" s="7">
        <v>2900.55</v>
      </c>
      <c r="G3539">
        <v>0</v>
      </c>
      <c r="H3539" s="7">
        <v>0</v>
      </c>
    </row>
    <row r="3540" spans="1:8">
      <c r="A3540">
        <v>2</v>
      </c>
      <c r="B3540" t="s">
        <v>45</v>
      </c>
      <c r="C3540" t="s">
        <v>33</v>
      </c>
      <c r="D3540">
        <v>0</v>
      </c>
      <c r="E3540">
        <v>1</v>
      </c>
      <c r="F3540" s="7">
        <v>4390.62</v>
      </c>
      <c r="G3540">
        <v>0</v>
      </c>
      <c r="H3540" s="7">
        <v>0</v>
      </c>
    </row>
    <row r="3541" spans="1:8">
      <c r="A3541">
        <v>2</v>
      </c>
      <c r="B3541" t="s">
        <v>42</v>
      </c>
      <c r="C3541" t="s">
        <v>34</v>
      </c>
      <c r="D3541">
        <v>0</v>
      </c>
      <c r="E3541">
        <v>1</v>
      </c>
      <c r="F3541" s="7">
        <v>12343.16</v>
      </c>
      <c r="G3541">
        <v>0</v>
      </c>
      <c r="H3541" s="7">
        <v>0</v>
      </c>
    </row>
    <row r="3542" spans="1:8">
      <c r="A3542">
        <v>2</v>
      </c>
      <c r="B3542" t="s">
        <v>42</v>
      </c>
      <c r="C3542" t="s">
        <v>32</v>
      </c>
      <c r="D3542">
        <v>0</v>
      </c>
      <c r="E3542">
        <v>1</v>
      </c>
      <c r="F3542" s="7">
        <v>873.3</v>
      </c>
      <c r="G3542">
        <v>0</v>
      </c>
      <c r="H3542" s="7">
        <v>0</v>
      </c>
    </row>
    <row r="3543" spans="1:8">
      <c r="A3543">
        <v>2</v>
      </c>
      <c r="B3543" t="s">
        <v>42</v>
      </c>
      <c r="C3543" t="s">
        <v>32</v>
      </c>
      <c r="D3543">
        <v>0</v>
      </c>
      <c r="E3543">
        <v>1</v>
      </c>
      <c r="F3543" s="7">
        <v>545.55</v>
      </c>
      <c r="G3543">
        <v>0</v>
      </c>
      <c r="H3543" s="7">
        <v>0</v>
      </c>
    </row>
    <row r="3544" spans="1:8">
      <c r="A3544">
        <v>2</v>
      </c>
      <c r="B3544" t="s">
        <v>42</v>
      </c>
      <c r="C3544" t="s">
        <v>34</v>
      </c>
      <c r="D3544">
        <v>0</v>
      </c>
      <c r="E3544">
        <v>1</v>
      </c>
      <c r="F3544" s="7">
        <v>11987.41</v>
      </c>
      <c r="G3544">
        <v>0</v>
      </c>
      <c r="H3544" s="7">
        <v>0</v>
      </c>
    </row>
    <row r="3545" spans="1:8">
      <c r="A3545">
        <v>2</v>
      </c>
      <c r="B3545" t="s">
        <v>42</v>
      </c>
      <c r="C3545" t="s">
        <v>33</v>
      </c>
      <c r="D3545">
        <v>0</v>
      </c>
      <c r="E3545">
        <v>1</v>
      </c>
      <c r="F3545" s="7">
        <v>2692.22</v>
      </c>
      <c r="G3545">
        <v>0</v>
      </c>
      <c r="H3545" s="7">
        <v>0</v>
      </c>
    </row>
    <row r="3546" spans="1:8">
      <c r="A3546">
        <v>2</v>
      </c>
      <c r="B3546" t="s">
        <v>45</v>
      </c>
      <c r="C3546" t="s">
        <v>33</v>
      </c>
      <c r="D3546">
        <v>0</v>
      </c>
      <c r="E3546">
        <v>1</v>
      </c>
      <c r="F3546" s="7">
        <v>7594.57</v>
      </c>
      <c r="G3546">
        <v>0</v>
      </c>
      <c r="H3546" s="7">
        <v>0</v>
      </c>
    </row>
    <row r="3547" spans="1:8">
      <c r="A3547">
        <v>2</v>
      </c>
      <c r="B3547" t="s">
        <v>42</v>
      </c>
      <c r="C3547" t="s">
        <v>33</v>
      </c>
      <c r="D3547">
        <v>0</v>
      </c>
      <c r="E3547">
        <v>1</v>
      </c>
      <c r="F3547" s="7">
        <v>8048.16</v>
      </c>
      <c r="G3547">
        <v>0</v>
      </c>
      <c r="H3547" s="7">
        <v>0</v>
      </c>
    </row>
    <row r="3548" spans="1:8">
      <c r="A3548">
        <v>2</v>
      </c>
      <c r="B3548" t="s">
        <v>44</v>
      </c>
      <c r="C3548" t="s">
        <v>35</v>
      </c>
      <c r="D3548">
        <v>0</v>
      </c>
      <c r="E3548">
        <v>1</v>
      </c>
      <c r="F3548" s="7">
        <v>169734.47</v>
      </c>
      <c r="G3548">
        <v>0</v>
      </c>
      <c r="H3548" s="7">
        <v>0</v>
      </c>
    </row>
    <row r="3549" spans="1:8">
      <c r="A3549">
        <v>2</v>
      </c>
      <c r="B3549" t="s">
        <v>44</v>
      </c>
      <c r="C3549" t="s">
        <v>35</v>
      </c>
      <c r="D3549">
        <v>0</v>
      </c>
      <c r="E3549">
        <v>1</v>
      </c>
      <c r="F3549" s="7">
        <v>113758.88</v>
      </c>
      <c r="G3549">
        <v>0</v>
      </c>
      <c r="H3549" s="7">
        <v>0</v>
      </c>
    </row>
    <row r="3550" spans="1:8">
      <c r="A3550">
        <v>2</v>
      </c>
      <c r="B3550" t="s">
        <v>45</v>
      </c>
      <c r="C3550" t="s">
        <v>33</v>
      </c>
      <c r="D3550">
        <v>0</v>
      </c>
      <c r="E3550">
        <v>1</v>
      </c>
      <c r="F3550" s="7">
        <v>5301.22</v>
      </c>
      <c r="G3550">
        <v>0</v>
      </c>
      <c r="H3550" s="7">
        <v>0</v>
      </c>
    </row>
    <row r="3551" spans="1:8">
      <c r="A3551">
        <v>2</v>
      </c>
      <c r="B3551" t="s">
        <v>45</v>
      </c>
      <c r="C3551" t="s">
        <v>33</v>
      </c>
      <c r="D3551">
        <v>0</v>
      </c>
      <c r="E3551">
        <v>1</v>
      </c>
      <c r="F3551" s="7">
        <v>1377.34</v>
      </c>
      <c r="G3551">
        <v>0</v>
      </c>
      <c r="H3551" s="7">
        <v>0</v>
      </c>
    </row>
    <row r="3552" spans="1:8">
      <c r="A3552">
        <v>2</v>
      </c>
      <c r="B3552" t="s">
        <v>42</v>
      </c>
      <c r="C3552" t="s">
        <v>33</v>
      </c>
      <c r="D3552">
        <v>0</v>
      </c>
      <c r="E3552">
        <v>1</v>
      </c>
      <c r="F3552" s="7">
        <v>9583.89</v>
      </c>
      <c r="G3552">
        <v>0</v>
      </c>
      <c r="H3552" s="7">
        <v>0</v>
      </c>
    </row>
    <row r="3553" spans="1:8">
      <c r="A3553">
        <v>2</v>
      </c>
      <c r="B3553" t="s">
        <v>42</v>
      </c>
      <c r="C3553" t="s">
        <v>34</v>
      </c>
      <c r="D3553">
        <v>0</v>
      </c>
      <c r="E3553">
        <v>1</v>
      </c>
      <c r="F3553" s="7">
        <v>18864.22</v>
      </c>
      <c r="G3553">
        <v>0</v>
      </c>
      <c r="H3553" s="7">
        <v>0</v>
      </c>
    </row>
    <row r="3554" spans="1:8">
      <c r="A3554">
        <v>2</v>
      </c>
      <c r="B3554" t="s">
        <v>43</v>
      </c>
      <c r="C3554" t="s">
        <v>34</v>
      </c>
      <c r="D3554">
        <v>0</v>
      </c>
      <c r="E3554">
        <v>1</v>
      </c>
      <c r="F3554" s="7">
        <v>50333.01</v>
      </c>
      <c r="G3554">
        <v>0</v>
      </c>
      <c r="H3554" s="7">
        <v>0</v>
      </c>
    </row>
    <row r="3555" spans="1:8">
      <c r="A3555">
        <v>2</v>
      </c>
      <c r="B3555" t="s">
        <v>42</v>
      </c>
      <c r="C3555" t="s">
        <v>33</v>
      </c>
      <c r="D3555">
        <v>0</v>
      </c>
      <c r="E3555">
        <v>1</v>
      </c>
      <c r="F3555" s="7">
        <v>4592.82</v>
      </c>
      <c r="G3555">
        <v>0</v>
      </c>
      <c r="H3555" s="7">
        <v>0</v>
      </c>
    </row>
    <row r="3556" spans="1:8">
      <c r="A3556">
        <v>2</v>
      </c>
      <c r="B3556" t="s">
        <v>42</v>
      </c>
      <c r="C3556" t="s">
        <v>33</v>
      </c>
      <c r="D3556">
        <v>0</v>
      </c>
      <c r="E3556">
        <v>1</v>
      </c>
      <c r="F3556" s="7">
        <v>2362.45</v>
      </c>
      <c r="G3556">
        <v>0</v>
      </c>
      <c r="H3556" s="7">
        <v>0</v>
      </c>
    </row>
    <row r="3557" spans="1:8">
      <c r="A3557">
        <v>2</v>
      </c>
      <c r="B3557" t="s">
        <v>42</v>
      </c>
      <c r="C3557" t="s">
        <v>33</v>
      </c>
      <c r="D3557">
        <v>0</v>
      </c>
      <c r="E3557">
        <v>1</v>
      </c>
      <c r="F3557" s="7">
        <v>6808.86</v>
      </c>
      <c r="G3557">
        <v>0</v>
      </c>
      <c r="H3557" s="7">
        <v>0</v>
      </c>
    </row>
    <row r="3558" spans="1:8">
      <c r="A3558">
        <v>2</v>
      </c>
      <c r="B3558" t="s">
        <v>43</v>
      </c>
      <c r="C3558" t="s">
        <v>35</v>
      </c>
      <c r="D3558">
        <v>0</v>
      </c>
      <c r="E3558">
        <v>1</v>
      </c>
      <c r="F3558" s="7">
        <v>119451.25</v>
      </c>
      <c r="G3558">
        <v>0</v>
      </c>
      <c r="H3558" s="7">
        <v>0</v>
      </c>
    </row>
    <row r="3559" spans="1:8">
      <c r="A3559">
        <v>2</v>
      </c>
      <c r="B3559" t="s">
        <v>43</v>
      </c>
      <c r="C3559" t="s">
        <v>34</v>
      </c>
      <c r="D3559">
        <v>0</v>
      </c>
      <c r="E3559">
        <v>1</v>
      </c>
      <c r="F3559" s="7">
        <v>60949.25</v>
      </c>
      <c r="G3559">
        <v>0</v>
      </c>
      <c r="H3559" s="7">
        <v>0</v>
      </c>
    </row>
    <row r="3560" spans="1:8">
      <c r="A3560">
        <v>2</v>
      </c>
      <c r="B3560" t="s">
        <v>43</v>
      </c>
      <c r="C3560" t="s">
        <v>35</v>
      </c>
      <c r="D3560">
        <v>0</v>
      </c>
      <c r="E3560">
        <v>1</v>
      </c>
      <c r="F3560" s="7">
        <v>227236.78</v>
      </c>
      <c r="G3560">
        <v>0</v>
      </c>
      <c r="H3560" s="7">
        <v>0</v>
      </c>
    </row>
    <row r="3561" spans="1:8">
      <c r="A3561">
        <v>2</v>
      </c>
      <c r="B3561" t="s">
        <v>43</v>
      </c>
      <c r="C3561" t="s">
        <v>35</v>
      </c>
      <c r="D3561">
        <v>0</v>
      </c>
      <c r="E3561">
        <v>1</v>
      </c>
      <c r="F3561" s="7">
        <v>351219.8</v>
      </c>
      <c r="G3561">
        <v>0</v>
      </c>
      <c r="H3561" s="7">
        <v>0</v>
      </c>
    </row>
    <row r="3562" spans="1:8">
      <c r="A3562">
        <v>2</v>
      </c>
      <c r="B3562" t="s">
        <v>43</v>
      </c>
      <c r="C3562" t="s">
        <v>34</v>
      </c>
      <c r="D3562">
        <v>0</v>
      </c>
      <c r="E3562">
        <v>1</v>
      </c>
      <c r="F3562" s="7">
        <v>64185.86</v>
      </c>
      <c r="G3562">
        <v>0</v>
      </c>
      <c r="H3562" s="7">
        <v>0</v>
      </c>
    </row>
    <row r="3563" spans="1:8">
      <c r="A3563">
        <v>2</v>
      </c>
      <c r="B3563" t="s">
        <v>43</v>
      </c>
      <c r="C3563" t="s">
        <v>36</v>
      </c>
      <c r="D3563">
        <v>0</v>
      </c>
      <c r="E3563">
        <v>1</v>
      </c>
      <c r="F3563" s="7">
        <v>1231953.95</v>
      </c>
      <c r="G3563">
        <v>0</v>
      </c>
      <c r="H3563" s="7">
        <v>0</v>
      </c>
    </row>
    <row r="3564" spans="1:8">
      <c r="A3564">
        <v>2</v>
      </c>
      <c r="B3564" t="s">
        <v>43</v>
      </c>
      <c r="C3564" t="s">
        <v>36</v>
      </c>
      <c r="D3564">
        <v>0</v>
      </c>
      <c r="E3564">
        <v>1</v>
      </c>
      <c r="F3564" s="7">
        <v>2474181.78</v>
      </c>
      <c r="G3564">
        <v>0</v>
      </c>
      <c r="H3564" s="7">
        <v>0</v>
      </c>
    </row>
    <row r="3565" spans="1:8">
      <c r="A3565">
        <v>2</v>
      </c>
      <c r="B3565" t="s">
        <v>43</v>
      </c>
      <c r="C3565" t="s">
        <v>35</v>
      </c>
      <c r="D3565">
        <v>0</v>
      </c>
      <c r="E3565">
        <v>1</v>
      </c>
      <c r="F3565" s="7">
        <v>367966.09</v>
      </c>
      <c r="G3565">
        <v>0</v>
      </c>
      <c r="H3565" s="7">
        <v>0</v>
      </c>
    </row>
    <row r="3566" spans="1:8">
      <c r="A3566">
        <v>2</v>
      </c>
      <c r="B3566" t="s">
        <v>43</v>
      </c>
      <c r="C3566" t="s">
        <v>35</v>
      </c>
      <c r="D3566">
        <v>0</v>
      </c>
      <c r="E3566">
        <v>1</v>
      </c>
      <c r="F3566" s="7">
        <v>602938.9</v>
      </c>
      <c r="G3566">
        <v>0</v>
      </c>
      <c r="H3566" s="7">
        <v>0</v>
      </c>
    </row>
    <row r="3567" spans="1:8">
      <c r="A3567">
        <v>2</v>
      </c>
      <c r="B3567" t="s">
        <v>43</v>
      </c>
      <c r="C3567" t="s">
        <v>36</v>
      </c>
      <c r="D3567">
        <v>0</v>
      </c>
      <c r="E3567">
        <v>1</v>
      </c>
      <c r="F3567" s="7">
        <v>1232150.93</v>
      </c>
      <c r="G3567">
        <v>0</v>
      </c>
      <c r="H3567" s="7">
        <v>0</v>
      </c>
    </row>
    <row r="3568" spans="1:8">
      <c r="A3568">
        <v>2</v>
      </c>
      <c r="B3568" t="s">
        <v>43</v>
      </c>
      <c r="C3568" t="s">
        <v>35</v>
      </c>
      <c r="D3568">
        <v>0</v>
      </c>
      <c r="E3568">
        <v>1</v>
      </c>
      <c r="F3568" s="7">
        <v>521278.47</v>
      </c>
      <c r="G3568">
        <v>0</v>
      </c>
      <c r="H3568" s="7">
        <v>0</v>
      </c>
    </row>
    <row r="3569" spans="1:8">
      <c r="A3569">
        <v>2</v>
      </c>
      <c r="B3569" t="s">
        <v>43</v>
      </c>
      <c r="C3569" t="s">
        <v>35</v>
      </c>
      <c r="D3569">
        <v>0</v>
      </c>
      <c r="E3569">
        <v>1</v>
      </c>
      <c r="F3569" s="7">
        <v>844849.66</v>
      </c>
      <c r="G3569">
        <v>0</v>
      </c>
      <c r="H3569" s="7">
        <v>0</v>
      </c>
    </row>
    <row r="3570" spans="1:8">
      <c r="A3570">
        <v>2</v>
      </c>
      <c r="B3570" t="s">
        <v>43</v>
      </c>
      <c r="C3570" t="s">
        <v>35</v>
      </c>
      <c r="D3570">
        <v>0</v>
      </c>
      <c r="E3570">
        <v>1</v>
      </c>
      <c r="F3570" s="7">
        <v>378843.29</v>
      </c>
      <c r="G3570">
        <v>0</v>
      </c>
      <c r="H3570" s="7">
        <v>0</v>
      </c>
    </row>
    <row r="3571" spans="1:8">
      <c r="A3571">
        <v>2</v>
      </c>
      <c r="B3571" t="s">
        <v>43</v>
      </c>
      <c r="C3571" t="s">
        <v>35</v>
      </c>
      <c r="D3571">
        <v>0</v>
      </c>
      <c r="E3571">
        <v>1</v>
      </c>
      <c r="F3571" s="7">
        <v>285251.82</v>
      </c>
      <c r="G3571">
        <v>0</v>
      </c>
      <c r="H3571" s="7">
        <v>0</v>
      </c>
    </row>
    <row r="3572" spans="1:8">
      <c r="A3572">
        <v>2</v>
      </c>
      <c r="B3572" t="s">
        <v>43</v>
      </c>
      <c r="C3572" t="s">
        <v>35</v>
      </c>
      <c r="D3572">
        <v>0</v>
      </c>
      <c r="E3572">
        <v>1</v>
      </c>
      <c r="F3572" s="7">
        <v>232336.31</v>
      </c>
      <c r="G3572">
        <v>0</v>
      </c>
      <c r="H3572" s="7">
        <v>0</v>
      </c>
    </row>
    <row r="3573" spans="1:8">
      <c r="A3573">
        <v>2</v>
      </c>
      <c r="B3573" t="s">
        <v>43</v>
      </c>
      <c r="C3573" t="s">
        <v>35</v>
      </c>
      <c r="D3573">
        <v>0</v>
      </c>
      <c r="E3573">
        <v>1</v>
      </c>
      <c r="F3573" s="7">
        <v>896122.8</v>
      </c>
      <c r="G3573">
        <v>0</v>
      </c>
      <c r="H3573" s="7">
        <v>0</v>
      </c>
    </row>
    <row r="3574" spans="1:8">
      <c r="A3574">
        <v>2</v>
      </c>
      <c r="B3574" t="s">
        <v>43</v>
      </c>
      <c r="C3574" t="s">
        <v>35</v>
      </c>
      <c r="D3574">
        <v>0</v>
      </c>
      <c r="E3574">
        <v>1</v>
      </c>
      <c r="F3574" s="7">
        <v>414959.03</v>
      </c>
      <c r="G3574">
        <v>0</v>
      </c>
      <c r="H3574" s="7">
        <v>0</v>
      </c>
    </row>
    <row r="3575" spans="1:8">
      <c r="A3575">
        <v>2</v>
      </c>
      <c r="B3575" t="s">
        <v>43</v>
      </c>
      <c r="C3575" t="s">
        <v>35</v>
      </c>
      <c r="D3575">
        <v>0</v>
      </c>
      <c r="E3575">
        <v>1</v>
      </c>
      <c r="F3575" s="7">
        <v>317831.06</v>
      </c>
      <c r="G3575">
        <v>0</v>
      </c>
      <c r="H3575" s="7">
        <v>0</v>
      </c>
    </row>
    <row r="3576" spans="1:8">
      <c r="A3576">
        <v>2</v>
      </c>
      <c r="B3576" t="s">
        <v>43</v>
      </c>
      <c r="C3576" t="s">
        <v>35</v>
      </c>
      <c r="D3576">
        <v>0</v>
      </c>
      <c r="E3576">
        <v>1</v>
      </c>
      <c r="F3576" s="7">
        <v>548202.26</v>
      </c>
      <c r="G3576">
        <v>0</v>
      </c>
      <c r="H3576" s="7">
        <v>0</v>
      </c>
    </row>
    <row r="3577" spans="1:8">
      <c r="A3577">
        <v>2</v>
      </c>
      <c r="B3577" t="s">
        <v>43</v>
      </c>
      <c r="C3577" t="s">
        <v>35</v>
      </c>
      <c r="D3577">
        <v>0</v>
      </c>
      <c r="E3577">
        <v>1</v>
      </c>
      <c r="F3577" s="7">
        <v>180173.39</v>
      </c>
      <c r="G3577">
        <v>0</v>
      </c>
      <c r="H3577" s="7">
        <v>0</v>
      </c>
    </row>
    <row r="3578" spans="1:8">
      <c r="A3578">
        <v>2</v>
      </c>
      <c r="B3578" t="s">
        <v>43</v>
      </c>
      <c r="C3578" t="s">
        <v>35</v>
      </c>
      <c r="D3578">
        <v>0</v>
      </c>
      <c r="E3578">
        <v>1</v>
      </c>
      <c r="F3578" s="7">
        <v>243853.63</v>
      </c>
      <c r="G3578">
        <v>0</v>
      </c>
      <c r="H3578" s="7">
        <v>0</v>
      </c>
    </row>
    <row r="3579" spans="1:8">
      <c r="A3579">
        <v>2</v>
      </c>
      <c r="B3579" t="s">
        <v>43</v>
      </c>
      <c r="C3579" t="s">
        <v>36</v>
      </c>
      <c r="D3579">
        <v>0</v>
      </c>
      <c r="E3579">
        <v>1</v>
      </c>
      <c r="F3579" s="7">
        <v>1339661.93</v>
      </c>
      <c r="G3579">
        <v>0</v>
      </c>
      <c r="H3579" s="7">
        <v>0</v>
      </c>
    </row>
    <row r="3580" spans="1:8">
      <c r="A3580">
        <v>2</v>
      </c>
      <c r="B3580" t="s">
        <v>43</v>
      </c>
      <c r="C3580" t="s">
        <v>35</v>
      </c>
      <c r="D3580">
        <v>0</v>
      </c>
      <c r="E3580">
        <v>1</v>
      </c>
      <c r="F3580" s="7">
        <v>744654.21</v>
      </c>
      <c r="G3580">
        <v>0</v>
      </c>
      <c r="H3580" s="7">
        <v>0</v>
      </c>
    </row>
    <row r="3581" spans="1:8">
      <c r="A3581">
        <v>2</v>
      </c>
      <c r="B3581" t="s">
        <v>42</v>
      </c>
      <c r="C3581" t="s">
        <v>34</v>
      </c>
      <c r="D3581">
        <v>0</v>
      </c>
      <c r="E3581">
        <v>1</v>
      </c>
      <c r="F3581" s="7">
        <v>10039.29</v>
      </c>
      <c r="G3581">
        <v>0</v>
      </c>
      <c r="H3581" s="7">
        <v>0</v>
      </c>
    </row>
    <row r="3582" spans="1:8">
      <c r="A3582">
        <v>2</v>
      </c>
      <c r="B3582" t="s">
        <v>42</v>
      </c>
      <c r="C3582" t="s">
        <v>32</v>
      </c>
      <c r="D3582">
        <v>0</v>
      </c>
      <c r="E3582">
        <v>1</v>
      </c>
      <c r="F3582" s="7">
        <v>537.8</v>
      </c>
      <c r="G3582">
        <v>0</v>
      </c>
      <c r="H3582" s="7">
        <v>0</v>
      </c>
    </row>
    <row r="3583" spans="1:8">
      <c r="A3583">
        <v>2</v>
      </c>
      <c r="B3583" t="s">
        <v>45</v>
      </c>
      <c r="C3583" t="s">
        <v>33</v>
      </c>
      <c r="D3583">
        <v>0</v>
      </c>
      <c r="E3583">
        <v>1</v>
      </c>
      <c r="F3583" s="7">
        <v>3925.8</v>
      </c>
      <c r="G3583">
        <v>0</v>
      </c>
      <c r="H3583" s="7">
        <v>0</v>
      </c>
    </row>
    <row r="3584" spans="1:8">
      <c r="A3584">
        <v>2</v>
      </c>
      <c r="B3584" t="s">
        <v>44</v>
      </c>
      <c r="C3584" t="s">
        <v>35</v>
      </c>
      <c r="D3584">
        <v>0</v>
      </c>
      <c r="E3584">
        <v>1</v>
      </c>
      <c r="F3584" s="7">
        <v>158934.62</v>
      </c>
      <c r="G3584">
        <v>0</v>
      </c>
      <c r="H3584" s="7">
        <v>0</v>
      </c>
    </row>
    <row r="3585" spans="1:8">
      <c r="A3585">
        <v>2</v>
      </c>
      <c r="B3585" t="s">
        <v>45</v>
      </c>
      <c r="C3585" t="s">
        <v>32</v>
      </c>
      <c r="D3585">
        <v>0</v>
      </c>
      <c r="E3585">
        <v>1</v>
      </c>
      <c r="F3585" s="7">
        <v>482.58</v>
      </c>
      <c r="G3585">
        <v>0</v>
      </c>
      <c r="H3585" s="7">
        <v>0</v>
      </c>
    </row>
    <row r="3586" spans="1:8">
      <c r="A3586">
        <v>2</v>
      </c>
      <c r="B3586" t="s">
        <v>43</v>
      </c>
      <c r="C3586" t="s">
        <v>35</v>
      </c>
      <c r="D3586">
        <v>0</v>
      </c>
      <c r="E3586">
        <v>1</v>
      </c>
      <c r="F3586" s="7">
        <v>107159.07</v>
      </c>
      <c r="G3586">
        <v>0</v>
      </c>
      <c r="H3586" s="7">
        <v>0</v>
      </c>
    </row>
    <row r="3587" spans="1:8">
      <c r="A3587">
        <v>2</v>
      </c>
      <c r="B3587" t="s">
        <v>42</v>
      </c>
      <c r="C3587" t="s">
        <v>33</v>
      </c>
      <c r="D3587">
        <v>0</v>
      </c>
      <c r="E3587">
        <v>1</v>
      </c>
      <c r="F3587" s="7">
        <v>5536.65</v>
      </c>
      <c r="G3587">
        <v>0</v>
      </c>
      <c r="H3587" s="7">
        <v>0</v>
      </c>
    </row>
    <row r="3588" spans="1:8">
      <c r="A3588">
        <v>2</v>
      </c>
      <c r="B3588" t="s">
        <v>42</v>
      </c>
      <c r="C3588" t="s">
        <v>33</v>
      </c>
      <c r="D3588">
        <v>0</v>
      </c>
      <c r="E3588">
        <v>1</v>
      </c>
      <c r="F3588" s="7">
        <v>4640.64</v>
      </c>
      <c r="G3588">
        <v>0</v>
      </c>
      <c r="H3588" s="7">
        <v>0</v>
      </c>
    </row>
    <row r="3589" spans="1:8">
      <c r="A3589">
        <v>2</v>
      </c>
      <c r="B3589" t="s">
        <v>42</v>
      </c>
      <c r="C3589" t="s">
        <v>32</v>
      </c>
      <c r="D3589">
        <v>0</v>
      </c>
      <c r="E3589">
        <v>1</v>
      </c>
      <c r="F3589" s="7">
        <v>205.26</v>
      </c>
      <c r="G3589">
        <v>0</v>
      </c>
      <c r="H3589" s="7">
        <v>0</v>
      </c>
    </row>
    <row r="3590" spans="1:8">
      <c r="A3590">
        <v>2</v>
      </c>
      <c r="B3590" t="s">
        <v>42</v>
      </c>
      <c r="C3590" t="s">
        <v>34</v>
      </c>
      <c r="D3590">
        <v>0</v>
      </c>
      <c r="E3590">
        <v>1</v>
      </c>
      <c r="F3590" s="7">
        <v>10375.5</v>
      </c>
      <c r="G3590">
        <v>0</v>
      </c>
      <c r="H3590" s="7">
        <v>0</v>
      </c>
    </row>
    <row r="3591" spans="1:8">
      <c r="A3591">
        <v>2</v>
      </c>
      <c r="B3591" t="s">
        <v>42</v>
      </c>
      <c r="C3591" t="s">
        <v>33</v>
      </c>
      <c r="D3591">
        <v>0</v>
      </c>
      <c r="E3591">
        <v>1</v>
      </c>
      <c r="F3591" s="7">
        <v>1760.56</v>
      </c>
      <c r="G3591">
        <v>0</v>
      </c>
      <c r="H3591" s="7">
        <v>0</v>
      </c>
    </row>
    <row r="3592" spans="1:8">
      <c r="A3592">
        <v>2</v>
      </c>
      <c r="B3592" t="s">
        <v>42</v>
      </c>
      <c r="C3592" t="s">
        <v>33</v>
      </c>
      <c r="D3592">
        <v>0</v>
      </c>
      <c r="E3592">
        <v>1</v>
      </c>
      <c r="F3592" s="7">
        <v>7656.3</v>
      </c>
      <c r="G3592">
        <v>0</v>
      </c>
      <c r="H3592" s="7">
        <v>0</v>
      </c>
    </row>
    <row r="3593" spans="1:8">
      <c r="A3593">
        <v>2</v>
      </c>
      <c r="B3593" t="s">
        <v>44</v>
      </c>
      <c r="C3593" t="s">
        <v>34</v>
      </c>
      <c r="D3593">
        <v>0</v>
      </c>
      <c r="E3593">
        <v>1</v>
      </c>
      <c r="F3593" s="7">
        <v>74226.4</v>
      </c>
      <c r="G3593">
        <v>0</v>
      </c>
      <c r="H3593" s="7">
        <v>0</v>
      </c>
    </row>
    <row r="3594" spans="1:8">
      <c r="A3594">
        <v>2</v>
      </c>
      <c r="B3594" t="s">
        <v>42</v>
      </c>
      <c r="C3594" t="s">
        <v>33</v>
      </c>
      <c r="D3594">
        <v>0</v>
      </c>
      <c r="E3594">
        <v>1</v>
      </c>
      <c r="F3594" s="7">
        <v>2181.96</v>
      </c>
      <c r="G3594">
        <v>0</v>
      </c>
      <c r="H3594" s="7">
        <v>0</v>
      </c>
    </row>
    <row r="3595" spans="1:8">
      <c r="A3595">
        <v>2</v>
      </c>
      <c r="B3595" t="s">
        <v>45</v>
      </c>
      <c r="C3595" t="s">
        <v>33</v>
      </c>
      <c r="D3595">
        <v>0</v>
      </c>
      <c r="E3595">
        <v>1</v>
      </c>
      <c r="F3595" s="7">
        <v>1739.48</v>
      </c>
      <c r="G3595">
        <v>0</v>
      </c>
      <c r="H3595" s="7">
        <v>0</v>
      </c>
    </row>
    <row r="3596" spans="1:8">
      <c r="A3596">
        <v>2</v>
      </c>
      <c r="B3596" t="s">
        <v>45</v>
      </c>
      <c r="C3596" t="s">
        <v>33</v>
      </c>
      <c r="D3596">
        <v>0</v>
      </c>
      <c r="E3596">
        <v>1</v>
      </c>
      <c r="F3596" s="7">
        <v>2731.05</v>
      </c>
      <c r="G3596">
        <v>0</v>
      </c>
      <c r="H3596" s="7">
        <v>0</v>
      </c>
    </row>
    <row r="3597" spans="1:8">
      <c r="A3597">
        <v>2</v>
      </c>
      <c r="B3597" t="s">
        <v>45</v>
      </c>
      <c r="C3597" t="s">
        <v>32</v>
      </c>
      <c r="D3597">
        <v>0</v>
      </c>
      <c r="E3597">
        <v>1</v>
      </c>
      <c r="F3597" s="7">
        <v>391.84</v>
      </c>
      <c r="G3597">
        <v>0</v>
      </c>
      <c r="H3597" s="7">
        <v>0</v>
      </c>
    </row>
    <row r="3598" spans="1:8">
      <c r="A3598">
        <v>2</v>
      </c>
      <c r="B3598" t="s">
        <v>45</v>
      </c>
      <c r="C3598" t="s">
        <v>32</v>
      </c>
      <c r="D3598">
        <v>0</v>
      </c>
      <c r="E3598">
        <v>1</v>
      </c>
      <c r="F3598" s="7">
        <v>621.68</v>
      </c>
      <c r="G3598">
        <v>0</v>
      </c>
      <c r="H3598" s="7">
        <v>0</v>
      </c>
    </row>
    <row r="3599" spans="1:8">
      <c r="A3599">
        <v>2</v>
      </c>
      <c r="B3599" t="s">
        <v>42</v>
      </c>
      <c r="C3599" t="s">
        <v>33</v>
      </c>
      <c r="D3599">
        <v>0</v>
      </c>
      <c r="E3599">
        <v>1</v>
      </c>
      <c r="F3599" s="7">
        <v>6531.31</v>
      </c>
      <c r="G3599">
        <v>0</v>
      </c>
      <c r="H3599" s="7">
        <v>0</v>
      </c>
    </row>
    <row r="3600" spans="1:8">
      <c r="A3600">
        <v>2</v>
      </c>
      <c r="B3600" t="s">
        <v>42</v>
      </c>
      <c r="C3600" t="s">
        <v>33</v>
      </c>
      <c r="D3600">
        <v>0</v>
      </c>
      <c r="E3600">
        <v>1</v>
      </c>
      <c r="F3600" s="7">
        <v>2101.83</v>
      </c>
      <c r="G3600">
        <v>0</v>
      </c>
      <c r="H3600" s="7">
        <v>0</v>
      </c>
    </row>
    <row r="3601" spans="1:8">
      <c r="A3601">
        <v>2</v>
      </c>
      <c r="B3601" t="s">
        <v>42</v>
      </c>
      <c r="C3601" t="s">
        <v>32</v>
      </c>
      <c r="D3601">
        <v>0</v>
      </c>
      <c r="E3601">
        <v>1</v>
      </c>
      <c r="F3601" s="7">
        <v>92.37</v>
      </c>
      <c r="G3601">
        <v>0</v>
      </c>
      <c r="H3601" s="7">
        <v>0</v>
      </c>
    </row>
    <row r="3602" spans="1:8">
      <c r="A3602">
        <v>2</v>
      </c>
      <c r="B3602" t="s">
        <v>42</v>
      </c>
      <c r="C3602" t="s">
        <v>33</v>
      </c>
      <c r="D3602">
        <v>0</v>
      </c>
      <c r="E3602">
        <v>1</v>
      </c>
      <c r="F3602" s="7">
        <v>9627.9</v>
      </c>
      <c r="G3602">
        <v>0</v>
      </c>
      <c r="H3602" s="7">
        <v>0</v>
      </c>
    </row>
    <row r="3603" spans="1:8">
      <c r="A3603">
        <v>2</v>
      </c>
      <c r="B3603" t="s">
        <v>42</v>
      </c>
      <c r="C3603" t="s">
        <v>34</v>
      </c>
      <c r="D3603">
        <v>0</v>
      </c>
      <c r="E3603">
        <v>1</v>
      </c>
      <c r="F3603" s="7">
        <v>13330.81</v>
      </c>
      <c r="G3603">
        <v>0</v>
      </c>
      <c r="H3603" s="7">
        <v>0</v>
      </c>
    </row>
    <row r="3604" spans="1:8">
      <c r="A3604">
        <v>2</v>
      </c>
      <c r="B3604" t="s">
        <v>42</v>
      </c>
      <c r="C3604" t="s">
        <v>33</v>
      </c>
      <c r="D3604">
        <v>0</v>
      </c>
      <c r="E3604">
        <v>1</v>
      </c>
      <c r="F3604" s="7">
        <v>9677.36</v>
      </c>
      <c r="G3604">
        <v>0</v>
      </c>
      <c r="H3604" s="7">
        <v>0</v>
      </c>
    </row>
    <row r="3605" spans="1:8">
      <c r="A3605">
        <v>2</v>
      </c>
      <c r="B3605" t="s">
        <v>46</v>
      </c>
      <c r="C3605" t="s">
        <v>33</v>
      </c>
      <c r="D3605">
        <v>0</v>
      </c>
      <c r="E3605">
        <v>1</v>
      </c>
      <c r="F3605" s="7">
        <v>9047.91</v>
      </c>
      <c r="G3605">
        <v>0</v>
      </c>
      <c r="H3605" s="7">
        <v>0</v>
      </c>
    </row>
    <row r="3606" spans="1:8">
      <c r="A3606">
        <v>2</v>
      </c>
      <c r="B3606" t="s">
        <v>42</v>
      </c>
      <c r="C3606" t="s">
        <v>34</v>
      </c>
      <c r="D3606">
        <v>0</v>
      </c>
      <c r="E3606">
        <v>1</v>
      </c>
      <c r="F3606" s="7">
        <v>12368.9</v>
      </c>
      <c r="G3606">
        <v>0</v>
      </c>
      <c r="H3606" s="7">
        <v>0</v>
      </c>
    </row>
    <row r="3607" spans="1:8">
      <c r="A3607">
        <v>2</v>
      </c>
      <c r="B3607" t="s">
        <v>42</v>
      </c>
      <c r="C3607" t="s">
        <v>34</v>
      </c>
      <c r="D3607">
        <v>0</v>
      </c>
      <c r="E3607">
        <v>1</v>
      </c>
      <c r="F3607" s="7">
        <v>10554.67</v>
      </c>
      <c r="G3607">
        <v>0</v>
      </c>
      <c r="H3607" s="7">
        <v>0</v>
      </c>
    </row>
    <row r="3608" spans="1:8">
      <c r="A3608">
        <v>2</v>
      </c>
      <c r="B3608" t="s">
        <v>42</v>
      </c>
      <c r="C3608" t="s">
        <v>33</v>
      </c>
      <c r="D3608">
        <v>0</v>
      </c>
      <c r="E3608">
        <v>1</v>
      </c>
      <c r="F3608" s="7">
        <v>2929.78</v>
      </c>
      <c r="G3608">
        <v>0</v>
      </c>
      <c r="H3608" s="7">
        <v>0</v>
      </c>
    </row>
    <row r="3609" spans="1:8">
      <c r="A3609">
        <v>2</v>
      </c>
      <c r="B3609" t="s">
        <v>45</v>
      </c>
      <c r="C3609" t="s">
        <v>33</v>
      </c>
      <c r="D3609">
        <v>0</v>
      </c>
      <c r="E3609">
        <v>1</v>
      </c>
      <c r="F3609" s="7">
        <v>3106.9</v>
      </c>
      <c r="G3609">
        <v>0</v>
      </c>
      <c r="H3609" s="7">
        <v>0</v>
      </c>
    </row>
    <row r="3610" spans="1:8">
      <c r="A3610">
        <v>2</v>
      </c>
      <c r="B3610" t="s">
        <v>42</v>
      </c>
      <c r="C3610" t="s">
        <v>34</v>
      </c>
      <c r="D3610">
        <v>0</v>
      </c>
      <c r="E3610">
        <v>1</v>
      </c>
      <c r="F3610" s="7">
        <v>30709.74</v>
      </c>
      <c r="G3610">
        <v>0</v>
      </c>
      <c r="H3610" s="7">
        <v>0</v>
      </c>
    </row>
    <row r="3611" spans="1:8">
      <c r="A3611">
        <v>2</v>
      </c>
      <c r="B3611" t="s">
        <v>42</v>
      </c>
      <c r="C3611" t="s">
        <v>34</v>
      </c>
      <c r="D3611">
        <v>0</v>
      </c>
      <c r="E3611">
        <v>1</v>
      </c>
      <c r="F3611" s="7">
        <v>12230.25</v>
      </c>
      <c r="G3611">
        <v>0</v>
      </c>
      <c r="H3611" s="7">
        <v>0</v>
      </c>
    </row>
    <row r="3612" spans="1:8">
      <c r="A3612">
        <v>2</v>
      </c>
      <c r="B3612" t="s">
        <v>46</v>
      </c>
      <c r="C3612" t="s">
        <v>35</v>
      </c>
      <c r="D3612">
        <v>0</v>
      </c>
      <c r="E3612">
        <v>1</v>
      </c>
      <c r="F3612" s="7">
        <v>161238.92</v>
      </c>
      <c r="G3612">
        <v>0</v>
      </c>
      <c r="H3612" s="7">
        <v>0</v>
      </c>
    </row>
    <row r="3613" spans="1:8">
      <c r="A3613">
        <v>2</v>
      </c>
      <c r="B3613" t="s">
        <v>46</v>
      </c>
      <c r="C3613" t="s">
        <v>34</v>
      </c>
      <c r="D3613">
        <v>0</v>
      </c>
      <c r="E3613">
        <v>1</v>
      </c>
      <c r="F3613" s="7">
        <v>27505.56</v>
      </c>
      <c r="G3613">
        <v>0</v>
      </c>
      <c r="H3613" s="7">
        <v>0</v>
      </c>
    </row>
    <row r="3614" spans="1:8">
      <c r="A3614">
        <v>2</v>
      </c>
      <c r="B3614" t="s">
        <v>46</v>
      </c>
      <c r="C3614" t="s">
        <v>35</v>
      </c>
      <c r="D3614">
        <v>0</v>
      </c>
      <c r="E3614">
        <v>1</v>
      </c>
      <c r="F3614" s="7">
        <v>392853.36</v>
      </c>
      <c r="G3614">
        <v>0</v>
      </c>
      <c r="H3614" s="7">
        <v>0</v>
      </c>
    </row>
    <row r="3615" spans="1:8">
      <c r="A3615">
        <v>2</v>
      </c>
      <c r="B3615" t="s">
        <v>46</v>
      </c>
      <c r="C3615" t="s">
        <v>35</v>
      </c>
      <c r="D3615">
        <v>0</v>
      </c>
      <c r="E3615">
        <v>1</v>
      </c>
      <c r="F3615" s="7">
        <v>201398.6</v>
      </c>
      <c r="G3615">
        <v>0</v>
      </c>
      <c r="H3615" s="7">
        <v>0</v>
      </c>
    </row>
    <row r="3616" spans="1:8">
      <c r="A3616">
        <v>2</v>
      </c>
      <c r="B3616" t="s">
        <v>46</v>
      </c>
      <c r="C3616" t="s">
        <v>35</v>
      </c>
      <c r="D3616">
        <v>0</v>
      </c>
      <c r="E3616">
        <v>1</v>
      </c>
      <c r="F3616" s="7">
        <v>155944.68</v>
      </c>
      <c r="G3616">
        <v>0</v>
      </c>
      <c r="H3616" s="7">
        <v>0</v>
      </c>
    </row>
    <row r="3617" spans="1:8">
      <c r="A3617">
        <v>2</v>
      </c>
      <c r="B3617" t="s">
        <v>46</v>
      </c>
      <c r="C3617" t="s">
        <v>35</v>
      </c>
      <c r="D3617">
        <v>0</v>
      </c>
      <c r="E3617">
        <v>1</v>
      </c>
      <c r="F3617" s="7">
        <v>152980.34</v>
      </c>
      <c r="G3617">
        <v>0</v>
      </c>
      <c r="H3617" s="7">
        <v>0</v>
      </c>
    </row>
    <row r="3618" spans="1:8">
      <c r="A3618">
        <v>2</v>
      </c>
      <c r="B3618" t="s">
        <v>46</v>
      </c>
      <c r="C3618" t="s">
        <v>35</v>
      </c>
      <c r="D3618">
        <v>0</v>
      </c>
      <c r="E3618">
        <v>1</v>
      </c>
      <c r="F3618" s="7">
        <v>258194.98</v>
      </c>
      <c r="G3618">
        <v>0</v>
      </c>
      <c r="H3618" s="7">
        <v>0</v>
      </c>
    </row>
    <row r="3619" spans="1:8">
      <c r="A3619">
        <v>2</v>
      </c>
      <c r="B3619" t="s">
        <v>46</v>
      </c>
      <c r="C3619" t="s">
        <v>35</v>
      </c>
      <c r="D3619">
        <v>0</v>
      </c>
      <c r="E3619">
        <v>1</v>
      </c>
      <c r="F3619" s="7">
        <v>102737.96</v>
      </c>
      <c r="G3619">
        <v>0</v>
      </c>
      <c r="H3619" s="7">
        <v>0</v>
      </c>
    </row>
    <row r="3620" spans="1:8">
      <c r="A3620">
        <v>2</v>
      </c>
      <c r="B3620" t="s">
        <v>46</v>
      </c>
      <c r="C3620" t="s">
        <v>35</v>
      </c>
      <c r="D3620">
        <v>0</v>
      </c>
      <c r="E3620">
        <v>1</v>
      </c>
      <c r="F3620" s="7">
        <v>451450.27</v>
      </c>
      <c r="G3620">
        <v>0</v>
      </c>
      <c r="H3620" s="7">
        <v>0</v>
      </c>
    </row>
    <row r="3621" spans="1:8">
      <c r="A3621">
        <v>2</v>
      </c>
      <c r="B3621" t="s">
        <v>46</v>
      </c>
      <c r="C3621" t="s">
        <v>34</v>
      </c>
      <c r="D3621">
        <v>0</v>
      </c>
      <c r="E3621">
        <v>1</v>
      </c>
      <c r="F3621" s="7">
        <v>54843.76</v>
      </c>
      <c r="G3621">
        <v>0</v>
      </c>
      <c r="H3621" s="7">
        <v>0</v>
      </c>
    </row>
    <row r="3622" spans="1:8">
      <c r="A3622">
        <v>2</v>
      </c>
      <c r="B3622" t="s">
        <v>46</v>
      </c>
      <c r="C3622" t="s">
        <v>35</v>
      </c>
      <c r="D3622">
        <v>0</v>
      </c>
      <c r="E3622">
        <v>1</v>
      </c>
      <c r="F3622" s="7">
        <v>382001.01</v>
      </c>
      <c r="G3622">
        <v>0</v>
      </c>
      <c r="H3622" s="7">
        <v>0</v>
      </c>
    </row>
    <row r="3623" spans="1:8">
      <c r="A3623">
        <v>2</v>
      </c>
      <c r="B3623" t="s">
        <v>46</v>
      </c>
      <c r="C3623" t="s">
        <v>35</v>
      </c>
      <c r="D3623">
        <v>0</v>
      </c>
      <c r="E3623">
        <v>1</v>
      </c>
      <c r="F3623" s="7">
        <v>119675.03</v>
      </c>
      <c r="G3623">
        <v>0</v>
      </c>
      <c r="H3623" s="7">
        <v>0</v>
      </c>
    </row>
    <row r="3624" spans="1:8">
      <c r="A3624">
        <v>2</v>
      </c>
      <c r="B3624" t="s">
        <v>46</v>
      </c>
      <c r="C3624" t="s">
        <v>35</v>
      </c>
      <c r="D3624">
        <v>0</v>
      </c>
      <c r="E3624">
        <v>1</v>
      </c>
      <c r="F3624" s="7">
        <v>283675.61</v>
      </c>
      <c r="G3624">
        <v>0</v>
      </c>
      <c r="H3624" s="7">
        <v>0</v>
      </c>
    </row>
    <row r="3625" spans="1:8">
      <c r="A3625">
        <v>2</v>
      </c>
      <c r="B3625" t="s">
        <v>46</v>
      </c>
      <c r="C3625" t="s">
        <v>35</v>
      </c>
      <c r="D3625">
        <v>0</v>
      </c>
      <c r="E3625">
        <v>1</v>
      </c>
      <c r="F3625" s="7">
        <v>222925.42</v>
      </c>
      <c r="G3625">
        <v>0</v>
      </c>
      <c r="H3625" s="7">
        <v>0</v>
      </c>
    </row>
    <row r="3626" spans="1:8">
      <c r="A3626">
        <v>2</v>
      </c>
      <c r="B3626" t="s">
        <v>46</v>
      </c>
      <c r="C3626" t="s">
        <v>34</v>
      </c>
      <c r="D3626">
        <v>0</v>
      </c>
      <c r="E3626">
        <v>1</v>
      </c>
      <c r="F3626" s="7">
        <v>70325.16</v>
      </c>
      <c r="G3626">
        <v>0</v>
      </c>
      <c r="H3626" s="7">
        <v>0</v>
      </c>
    </row>
    <row r="3627" spans="1:8">
      <c r="A3627">
        <v>2</v>
      </c>
      <c r="B3627" t="s">
        <v>46</v>
      </c>
      <c r="C3627" t="s">
        <v>35</v>
      </c>
      <c r="D3627">
        <v>0</v>
      </c>
      <c r="E3627">
        <v>1</v>
      </c>
      <c r="F3627" s="7">
        <v>378605.9</v>
      </c>
      <c r="G3627">
        <v>0</v>
      </c>
      <c r="H3627" s="7">
        <v>0</v>
      </c>
    </row>
    <row r="3628" spans="1:8">
      <c r="A3628">
        <v>2</v>
      </c>
      <c r="B3628" t="s">
        <v>46</v>
      </c>
      <c r="C3628" t="s">
        <v>35</v>
      </c>
      <c r="D3628">
        <v>0</v>
      </c>
      <c r="E3628">
        <v>1</v>
      </c>
      <c r="F3628" s="7">
        <v>186350.94</v>
      </c>
      <c r="G3628">
        <v>0</v>
      </c>
      <c r="H3628" s="7">
        <v>0</v>
      </c>
    </row>
    <row r="3629" spans="1:8">
      <c r="A3629">
        <v>2</v>
      </c>
      <c r="B3629" t="s">
        <v>46</v>
      </c>
      <c r="C3629" t="s">
        <v>34</v>
      </c>
      <c r="D3629">
        <v>0</v>
      </c>
      <c r="E3629">
        <v>1</v>
      </c>
      <c r="F3629" s="7">
        <v>81518.63</v>
      </c>
      <c r="G3629">
        <v>0</v>
      </c>
      <c r="H3629" s="7">
        <v>0</v>
      </c>
    </row>
    <row r="3630" spans="1:8">
      <c r="A3630">
        <v>2</v>
      </c>
      <c r="B3630" t="s">
        <v>46</v>
      </c>
      <c r="C3630" t="s">
        <v>34</v>
      </c>
      <c r="D3630">
        <v>0</v>
      </c>
      <c r="E3630">
        <v>1</v>
      </c>
      <c r="F3630" s="7">
        <v>73309.71</v>
      </c>
      <c r="G3630">
        <v>0</v>
      </c>
      <c r="H3630" s="7">
        <v>0</v>
      </c>
    </row>
    <row r="3631" spans="1:8">
      <c r="A3631">
        <v>2</v>
      </c>
      <c r="B3631" t="s">
        <v>46</v>
      </c>
      <c r="C3631" t="s">
        <v>35</v>
      </c>
      <c r="D3631">
        <v>0</v>
      </c>
      <c r="E3631">
        <v>1</v>
      </c>
      <c r="F3631" s="7">
        <v>142596.78</v>
      </c>
      <c r="G3631">
        <v>0</v>
      </c>
      <c r="H3631" s="7">
        <v>0</v>
      </c>
    </row>
    <row r="3632" spans="1:8">
      <c r="A3632">
        <v>2</v>
      </c>
      <c r="B3632" t="s">
        <v>46</v>
      </c>
      <c r="C3632" t="s">
        <v>34</v>
      </c>
      <c r="D3632">
        <v>0</v>
      </c>
      <c r="E3632">
        <v>1</v>
      </c>
      <c r="F3632" s="7">
        <v>57817.21</v>
      </c>
      <c r="G3632">
        <v>0</v>
      </c>
      <c r="H3632" s="7">
        <v>0</v>
      </c>
    </row>
    <row r="3633" spans="1:8">
      <c r="A3633">
        <v>2</v>
      </c>
      <c r="B3633" t="s">
        <v>46</v>
      </c>
      <c r="C3633" t="s">
        <v>35</v>
      </c>
      <c r="D3633">
        <v>0</v>
      </c>
      <c r="E3633">
        <v>1</v>
      </c>
      <c r="F3633" s="7">
        <v>295815.29</v>
      </c>
      <c r="G3633">
        <v>0</v>
      </c>
      <c r="H3633" s="7">
        <v>0</v>
      </c>
    </row>
    <row r="3634" spans="1:8">
      <c r="A3634">
        <v>2</v>
      </c>
      <c r="B3634" t="s">
        <v>46</v>
      </c>
      <c r="C3634" t="s">
        <v>35</v>
      </c>
      <c r="D3634">
        <v>0</v>
      </c>
      <c r="E3634">
        <v>1</v>
      </c>
      <c r="F3634" s="7">
        <v>696235.62</v>
      </c>
      <c r="G3634">
        <v>0</v>
      </c>
      <c r="H3634" s="7">
        <v>0</v>
      </c>
    </row>
    <row r="3635" spans="1:8">
      <c r="A3635">
        <v>2</v>
      </c>
      <c r="B3635" t="s">
        <v>46</v>
      </c>
      <c r="C3635" t="s">
        <v>34</v>
      </c>
      <c r="D3635">
        <v>0</v>
      </c>
      <c r="E3635">
        <v>1</v>
      </c>
      <c r="F3635" s="7">
        <v>10391.99</v>
      </c>
      <c r="G3635">
        <v>0</v>
      </c>
      <c r="H3635" s="7">
        <v>0</v>
      </c>
    </row>
    <row r="3636" spans="1:8">
      <c r="A3636">
        <v>2</v>
      </c>
      <c r="B3636" t="s">
        <v>46</v>
      </c>
      <c r="C3636" t="s">
        <v>34</v>
      </c>
      <c r="D3636">
        <v>0</v>
      </c>
      <c r="E3636">
        <v>1</v>
      </c>
      <c r="F3636" s="7">
        <v>51613.5</v>
      </c>
      <c r="G3636">
        <v>0</v>
      </c>
      <c r="H3636" s="7">
        <v>0</v>
      </c>
    </row>
    <row r="3637" spans="1:8">
      <c r="A3637">
        <v>2</v>
      </c>
      <c r="B3637" t="s">
        <v>46</v>
      </c>
      <c r="C3637" t="s">
        <v>34</v>
      </c>
      <c r="D3637">
        <v>0</v>
      </c>
      <c r="E3637">
        <v>1</v>
      </c>
      <c r="F3637" s="7">
        <v>19748.91</v>
      </c>
      <c r="G3637">
        <v>0</v>
      </c>
      <c r="H3637" s="7">
        <v>0</v>
      </c>
    </row>
    <row r="3638" spans="1:8">
      <c r="A3638">
        <v>2</v>
      </c>
      <c r="B3638" t="s">
        <v>46</v>
      </c>
      <c r="C3638" t="s">
        <v>34</v>
      </c>
      <c r="D3638">
        <v>0</v>
      </c>
      <c r="E3638">
        <v>1</v>
      </c>
      <c r="F3638" s="7">
        <v>22391.5</v>
      </c>
      <c r="G3638">
        <v>0</v>
      </c>
      <c r="H3638" s="7">
        <v>0</v>
      </c>
    </row>
    <row r="3639" spans="1:8">
      <c r="A3639">
        <v>2</v>
      </c>
      <c r="B3639" t="s">
        <v>46</v>
      </c>
      <c r="C3639" t="s">
        <v>34</v>
      </c>
      <c r="D3639">
        <v>0</v>
      </c>
      <c r="E3639">
        <v>1</v>
      </c>
      <c r="F3639" s="7">
        <v>15427.16</v>
      </c>
      <c r="G3639">
        <v>0</v>
      </c>
      <c r="H3639" s="7">
        <v>0</v>
      </c>
    </row>
    <row r="3640" spans="1:8">
      <c r="A3640">
        <v>2</v>
      </c>
      <c r="B3640" t="s">
        <v>46</v>
      </c>
      <c r="C3640" t="s">
        <v>35</v>
      </c>
      <c r="D3640">
        <v>0</v>
      </c>
      <c r="E3640">
        <v>1</v>
      </c>
      <c r="F3640" s="7">
        <v>130148.62</v>
      </c>
      <c r="G3640">
        <v>0</v>
      </c>
      <c r="H3640" s="7">
        <v>0</v>
      </c>
    </row>
    <row r="3641" spans="1:8">
      <c r="A3641">
        <v>2</v>
      </c>
      <c r="B3641" t="s">
        <v>46</v>
      </c>
      <c r="C3641" t="s">
        <v>35</v>
      </c>
      <c r="D3641">
        <v>0</v>
      </c>
      <c r="E3641">
        <v>1</v>
      </c>
      <c r="F3641" s="7">
        <v>224321.58</v>
      </c>
      <c r="G3641">
        <v>0</v>
      </c>
      <c r="H3641" s="7">
        <v>0</v>
      </c>
    </row>
    <row r="3642" spans="1:8">
      <c r="A3642">
        <v>2</v>
      </c>
      <c r="B3642" t="s">
        <v>46</v>
      </c>
      <c r="C3642" t="s">
        <v>35</v>
      </c>
      <c r="D3642">
        <v>0</v>
      </c>
      <c r="E3642">
        <v>1</v>
      </c>
      <c r="F3642" s="7">
        <v>356617.79</v>
      </c>
      <c r="G3642">
        <v>0</v>
      </c>
      <c r="H3642" s="7">
        <v>0</v>
      </c>
    </row>
    <row r="3643" spans="1:8">
      <c r="A3643">
        <v>2</v>
      </c>
      <c r="B3643" t="s">
        <v>46</v>
      </c>
      <c r="C3643" t="s">
        <v>35</v>
      </c>
      <c r="D3643">
        <v>0</v>
      </c>
      <c r="E3643">
        <v>1</v>
      </c>
      <c r="F3643" s="7">
        <v>167104.98</v>
      </c>
      <c r="G3643">
        <v>0</v>
      </c>
      <c r="H3643" s="7">
        <v>0</v>
      </c>
    </row>
    <row r="3644" spans="1:8">
      <c r="A3644">
        <v>2</v>
      </c>
      <c r="B3644" t="s">
        <v>46</v>
      </c>
      <c r="C3644" t="s">
        <v>35</v>
      </c>
      <c r="D3644">
        <v>0</v>
      </c>
      <c r="E3644">
        <v>1</v>
      </c>
      <c r="F3644" s="7">
        <v>178961.93</v>
      </c>
      <c r="G3644">
        <v>0</v>
      </c>
      <c r="H3644" s="7">
        <v>0</v>
      </c>
    </row>
    <row r="3645" spans="1:8">
      <c r="A3645">
        <v>2</v>
      </c>
      <c r="B3645" t="s">
        <v>46</v>
      </c>
      <c r="C3645" t="s">
        <v>35</v>
      </c>
      <c r="D3645">
        <v>0</v>
      </c>
      <c r="E3645">
        <v>1</v>
      </c>
      <c r="F3645" s="7">
        <v>156690.67</v>
      </c>
      <c r="G3645">
        <v>0</v>
      </c>
      <c r="H3645" s="7">
        <v>0</v>
      </c>
    </row>
    <row r="3646" spans="1:8">
      <c r="A3646">
        <v>2</v>
      </c>
      <c r="B3646" t="s">
        <v>46</v>
      </c>
      <c r="C3646" t="s">
        <v>35</v>
      </c>
      <c r="D3646">
        <v>0</v>
      </c>
      <c r="E3646">
        <v>1</v>
      </c>
      <c r="F3646" s="7">
        <v>215815.13</v>
      </c>
      <c r="G3646">
        <v>0</v>
      </c>
      <c r="H3646" s="7">
        <v>0</v>
      </c>
    </row>
    <row r="3647" spans="1:8">
      <c r="A3647">
        <v>2</v>
      </c>
      <c r="B3647" t="s">
        <v>46</v>
      </c>
      <c r="C3647" t="s">
        <v>35</v>
      </c>
      <c r="D3647">
        <v>0</v>
      </c>
      <c r="E3647">
        <v>1</v>
      </c>
      <c r="F3647" s="7">
        <v>295618.46</v>
      </c>
      <c r="G3647">
        <v>0</v>
      </c>
      <c r="H3647" s="7">
        <v>0</v>
      </c>
    </row>
    <row r="3648" spans="1:8">
      <c r="A3648">
        <v>2</v>
      </c>
      <c r="B3648" t="s">
        <v>46</v>
      </c>
      <c r="C3648" t="s">
        <v>35</v>
      </c>
      <c r="D3648">
        <v>0</v>
      </c>
      <c r="E3648">
        <v>1</v>
      </c>
      <c r="F3648" s="7">
        <v>332188.93</v>
      </c>
      <c r="G3648">
        <v>0</v>
      </c>
      <c r="H3648" s="7">
        <v>0</v>
      </c>
    </row>
    <row r="3649" spans="1:8">
      <c r="A3649">
        <v>2</v>
      </c>
      <c r="B3649" t="s">
        <v>46</v>
      </c>
      <c r="C3649" t="s">
        <v>35</v>
      </c>
      <c r="D3649">
        <v>0</v>
      </c>
      <c r="E3649">
        <v>1</v>
      </c>
      <c r="F3649" s="7">
        <v>101576.37</v>
      </c>
      <c r="G3649">
        <v>0</v>
      </c>
      <c r="H3649" s="7">
        <v>0</v>
      </c>
    </row>
    <row r="3650" spans="1:8">
      <c r="A3650">
        <v>2</v>
      </c>
      <c r="B3650" t="s">
        <v>46</v>
      </c>
      <c r="C3650" t="s">
        <v>35</v>
      </c>
      <c r="D3650">
        <v>0</v>
      </c>
      <c r="E3650">
        <v>1</v>
      </c>
      <c r="F3650" s="7">
        <v>133213.71</v>
      </c>
      <c r="G3650">
        <v>0</v>
      </c>
      <c r="H3650" s="7">
        <v>0</v>
      </c>
    </row>
    <row r="3651" spans="1:8">
      <c r="A3651">
        <v>2</v>
      </c>
      <c r="B3651" t="s">
        <v>46</v>
      </c>
      <c r="C3651" t="s">
        <v>35</v>
      </c>
      <c r="D3651">
        <v>0</v>
      </c>
      <c r="E3651">
        <v>1</v>
      </c>
      <c r="F3651" s="7">
        <v>168729.73</v>
      </c>
      <c r="G3651">
        <v>0</v>
      </c>
      <c r="H3651" s="7">
        <v>0</v>
      </c>
    </row>
    <row r="3652" spans="1:8">
      <c r="A3652">
        <v>2</v>
      </c>
      <c r="B3652" t="s">
        <v>46</v>
      </c>
      <c r="C3652" t="s">
        <v>34</v>
      </c>
      <c r="D3652">
        <v>0</v>
      </c>
      <c r="E3652">
        <v>1</v>
      </c>
      <c r="F3652" s="7">
        <v>10321.88</v>
      </c>
      <c r="G3652">
        <v>0</v>
      </c>
      <c r="H3652" s="7">
        <v>0</v>
      </c>
    </row>
    <row r="3653" spans="1:8">
      <c r="A3653">
        <v>2</v>
      </c>
      <c r="B3653" t="s">
        <v>46</v>
      </c>
      <c r="C3653" t="s">
        <v>35</v>
      </c>
      <c r="D3653">
        <v>0</v>
      </c>
      <c r="E3653">
        <v>1</v>
      </c>
      <c r="F3653" s="7">
        <v>287474.24</v>
      </c>
      <c r="G3653">
        <v>0</v>
      </c>
      <c r="H3653" s="7">
        <v>0</v>
      </c>
    </row>
    <row r="3654" spans="1:8">
      <c r="A3654">
        <v>2</v>
      </c>
      <c r="B3654" t="s">
        <v>46</v>
      </c>
      <c r="C3654" t="s">
        <v>34</v>
      </c>
      <c r="D3654">
        <v>0</v>
      </c>
      <c r="E3654">
        <v>1</v>
      </c>
      <c r="F3654" s="7">
        <v>84299.07</v>
      </c>
      <c r="G3654">
        <v>0</v>
      </c>
      <c r="H3654" s="7">
        <v>0</v>
      </c>
    </row>
    <row r="3655" spans="1:8">
      <c r="A3655">
        <v>2</v>
      </c>
      <c r="B3655" t="s">
        <v>46</v>
      </c>
      <c r="C3655" t="s">
        <v>35</v>
      </c>
      <c r="D3655">
        <v>0</v>
      </c>
      <c r="E3655">
        <v>1</v>
      </c>
      <c r="F3655" s="7">
        <v>111692.26</v>
      </c>
      <c r="G3655">
        <v>0</v>
      </c>
      <c r="H3655" s="7">
        <v>0</v>
      </c>
    </row>
    <row r="3656" spans="1:8">
      <c r="A3656">
        <v>2</v>
      </c>
      <c r="B3656" t="s">
        <v>46</v>
      </c>
      <c r="C3656" t="s">
        <v>34</v>
      </c>
      <c r="D3656">
        <v>0</v>
      </c>
      <c r="E3656">
        <v>1</v>
      </c>
      <c r="F3656" s="7">
        <v>73061.34</v>
      </c>
      <c r="G3656">
        <v>0</v>
      </c>
      <c r="H3656" s="7">
        <v>0</v>
      </c>
    </row>
    <row r="3657" spans="1:8">
      <c r="A3657">
        <v>2</v>
      </c>
      <c r="B3657" t="s">
        <v>46</v>
      </c>
      <c r="C3657" t="s">
        <v>35</v>
      </c>
      <c r="D3657">
        <v>0</v>
      </c>
      <c r="E3657">
        <v>1</v>
      </c>
      <c r="F3657" s="7">
        <v>221099.31</v>
      </c>
      <c r="G3657">
        <v>0</v>
      </c>
      <c r="H3657" s="7">
        <v>0</v>
      </c>
    </row>
    <row r="3658" spans="1:8">
      <c r="A3658">
        <v>2</v>
      </c>
      <c r="B3658" t="s">
        <v>46</v>
      </c>
      <c r="C3658" t="s">
        <v>35</v>
      </c>
      <c r="D3658">
        <v>0</v>
      </c>
      <c r="E3658">
        <v>1</v>
      </c>
      <c r="F3658" s="7">
        <v>208690.04</v>
      </c>
      <c r="G3658">
        <v>0</v>
      </c>
      <c r="H3658" s="7">
        <v>0</v>
      </c>
    </row>
    <row r="3659" spans="1:8">
      <c r="A3659">
        <v>2</v>
      </c>
      <c r="B3659" t="s">
        <v>46</v>
      </c>
      <c r="C3659" t="s">
        <v>35</v>
      </c>
      <c r="D3659">
        <v>0</v>
      </c>
      <c r="E3659">
        <v>1</v>
      </c>
      <c r="F3659" s="7">
        <v>130711.51</v>
      </c>
      <c r="G3659">
        <v>0</v>
      </c>
      <c r="H3659" s="7">
        <v>0</v>
      </c>
    </row>
    <row r="3660" spans="1:8">
      <c r="A3660">
        <v>2</v>
      </c>
      <c r="B3660" t="s">
        <v>46</v>
      </c>
      <c r="C3660" t="s">
        <v>34</v>
      </c>
      <c r="D3660">
        <v>0</v>
      </c>
      <c r="E3660">
        <v>1</v>
      </c>
      <c r="F3660" s="7">
        <v>98893.95</v>
      </c>
      <c r="G3660">
        <v>0</v>
      </c>
      <c r="H3660" s="7">
        <v>0</v>
      </c>
    </row>
    <row r="3661" spans="1:8">
      <c r="A3661">
        <v>2</v>
      </c>
      <c r="B3661" t="s">
        <v>46</v>
      </c>
      <c r="C3661" t="s">
        <v>34</v>
      </c>
      <c r="D3661">
        <v>0</v>
      </c>
      <c r="E3661">
        <v>1</v>
      </c>
      <c r="F3661" s="7">
        <v>73242.08</v>
      </c>
      <c r="G3661">
        <v>0</v>
      </c>
      <c r="H3661" s="7">
        <v>0</v>
      </c>
    </row>
    <row r="3662" spans="1:8">
      <c r="A3662">
        <v>2</v>
      </c>
      <c r="B3662" t="s">
        <v>46</v>
      </c>
      <c r="C3662" t="s">
        <v>35</v>
      </c>
      <c r="D3662">
        <v>0</v>
      </c>
      <c r="E3662">
        <v>1</v>
      </c>
      <c r="F3662" s="7">
        <v>105879.16</v>
      </c>
      <c r="G3662">
        <v>0</v>
      </c>
      <c r="H3662" s="7">
        <v>0</v>
      </c>
    </row>
    <row r="3663" spans="1:8">
      <c r="A3663">
        <v>2</v>
      </c>
      <c r="B3663" t="s">
        <v>46</v>
      </c>
      <c r="C3663" t="s">
        <v>34</v>
      </c>
      <c r="D3663">
        <v>0</v>
      </c>
      <c r="E3663">
        <v>1</v>
      </c>
      <c r="F3663" s="7">
        <v>42829.9</v>
      </c>
      <c r="G3663">
        <v>0</v>
      </c>
      <c r="H3663" s="7">
        <v>0</v>
      </c>
    </row>
    <row r="3664" spans="1:8">
      <c r="A3664">
        <v>2</v>
      </c>
      <c r="B3664" t="s">
        <v>46</v>
      </c>
      <c r="C3664" t="s">
        <v>35</v>
      </c>
      <c r="D3664">
        <v>0</v>
      </c>
      <c r="E3664">
        <v>1</v>
      </c>
      <c r="F3664" s="7">
        <v>257619.2</v>
      </c>
      <c r="G3664">
        <v>0</v>
      </c>
      <c r="H3664" s="7">
        <v>0</v>
      </c>
    </row>
    <row r="3665" spans="1:8">
      <c r="A3665">
        <v>2</v>
      </c>
      <c r="B3665" t="s">
        <v>46</v>
      </c>
      <c r="C3665" t="s">
        <v>35</v>
      </c>
      <c r="D3665">
        <v>0</v>
      </c>
      <c r="E3665">
        <v>1</v>
      </c>
      <c r="F3665" s="7">
        <v>119973.24</v>
      </c>
      <c r="G3665">
        <v>0</v>
      </c>
      <c r="H3665" s="7">
        <v>0</v>
      </c>
    </row>
    <row r="3666" spans="1:8">
      <c r="A3666">
        <v>2</v>
      </c>
      <c r="B3666" t="s">
        <v>46</v>
      </c>
      <c r="C3666" t="s">
        <v>35</v>
      </c>
      <c r="D3666">
        <v>0</v>
      </c>
      <c r="E3666">
        <v>1</v>
      </c>
      <c r="F3666" s="7">
        <v>177096.09</v>
      </c>
      <c r="G3666">
        <v>0</v>
      </c>
      <c r="H3666" s="7">
        <v>0</v>
      </c>
    </row>
    <row r="3667" spans="1:8">
      <c r="A3667">
        <v>2</v>
      </c>
      <c r="B3667" t="s">
        <v>46</v>
      </c>
      <c r="C3667" t="s">
        <v>34</v>
      </c>
      <c r="D3667">
        <v>0</v>
      </c>
      <c r="E3667">
        <v>1</v>
      </c>
      <c r="F3667" s="7">
        <v>48513.85</v>
      </c>
      <c r="G3667">
        <v>0</v>
      </c>
      <c r="H3667" s="7">
        <v>0</v>
      </c>
    </row>
    <row r="3668" spans="1:8">
      <c r="A3668">
        <v>2</v>
      </c>
      <c r="B3668" t="s">
        <v>46</v>
      </c>
      <c r="C3668" t="s">
        <v>34</v>
      </c>
      <c r="D3668">
        <v>0</v>
      </c>
      <c r="E3668">
        <v>1</v>
      </c>
      <c r="F3668" s="7">
        <v>66892.29</v>
      </c>
      <c r="G3668">
        <v>0</v>
      </c>
      <c r="H3668" s="7">
        <v>0</v>
      </c>
    </row>
    <row r="3669" spans="1:8">
      <c r="A3669">
        <v>2</v>
      </c>
      <c r="B3669" t="s">
        <v>46</v>
      </c>
      <c r="C3669" t="s">
        <v>34</v>
      </c>
      <c r="D3669">
        <v>0</v>
      </c>
      <c r="E3669">
        <v>1</v>
      </c>
      <c r="F3669" s="7">
        <v>12615.19</v>
      </c>
      <c r="G3669">
        <v>0</v>
      </c>
      <c r="H3669" s="7">
        <v>0</v>
      </c>
    </row>
    <row r="3670" spans="1:8">
      <c r="A3670">
        <v>2</v>
      </c>
      <c r="B3670" t="s">
        <v>46</v>
      </c>
      <c r="C3670" t="s">
        <v>34</v>
      </c>
      <c r="D3670">
        <v>0</v>
      </c>
      <c r="E3670">
        <v>1</v>
      </c>
      <c r="F3670" s="7">
        <v>43249.45</v>
      </c>
      <c r="G3670">
        <v>0</v>
      </c>
      <c r="H3670" s="7">
        <v>0</v>
      </c>
    </row>
    <row r="3671" spans="1:8">
      <c r="A3671">
        <v>2</v>
      </c>
      <c r="B3671" t="s">
        <v>46</v>
      </c>
      <c r="C3671" t="s">
        <v>35</v>
      </c>
      <c r="D3671">
        <v>0</v>
      </c>
      <c r="E3671">
        <v>1</v>
      </c>
      <c r="F3671" s="7">
        <v>438969.05</v>
      </c>
      <c r="G3671">
        <v>0</v>
      </c>
      <c r="H3671" s="7">
        <v>0</v>
      </c>
    </row>
    <row r="3672" spans="1:8">
      <c r="A3672">
        <v>2</v>
      </c>
      <c r="B3672" t="s">
        <v>46</v>
      </c>
      <c r="C3672" t="s">
        <v>34</v>
      </c>
      <c r="D3672">
        <v>0</v>
      </c>
      <c r="E3672">
        <v>1</v>
      </c>
      <c r="F3672" s="7">
        <v>10443.68</v>
      </c>
      <c r="G3672">
        <v>0</v>
      </c>
      <c r="H3672" s="7">
        <v>0</v>
      </c>
    </row>
    <row r="3673" spans="1:8">
      <c r="A3673">
        <v>2</v>
      </c>
      <c r="B3673" t="s">
        <v>46</v>
      </c>
      <c r="C3673" t="s">
        <v>34</v>
      </c>
      <c r="D3673">
        <v>0</v>
      </c>
      <c r="E3673">
        <v>1</v>
      </c>
      <c r="F3673" s="7">
        <v>61344.23</v>
      </c>
      <c r="G3673">
        <v>0</v>
      </c>
      <c r="H3673" s="7">
        <v>0</v>
      </c>
    </row>
    <row r="3674" spans="1:8">
      <c r="A3674">
        <v>2</v>
      </c>
      <c r="B3674" t="s">
        <v>46</v>
      </c>
      <c r="C3674" t="s">
        <v>35</v>
      </c>
      <c r="D3674">
        <v>0</v>
      </c>
      <c r="E3674">
        <v>1</v>
      </c>
      <c r="F3674" s="7">
        <v>208929.58</v>
      </c>
      <c r="G3674">
        <v>0</v>
      </c>
      <c r="H3674" s="7">
        <v>0</v>
      </c>
    </row>
    <row r="3675" spans="1:8">
      <c r="A3675">
        <v>2</v>
      </c>
      <c r="B3675" t="s">
        <v>46</v>
      </c>
      <c r="C3675" t="s">
        <v>34</v>
      </c>
      <c r="D3675">
        <v>0</v>
      </c>
      <c r="E3675">
        <v>1</v>
      </c>
      <c r="F3675" s="7">
        <v>16624.23</v>
      </c>
      <c r="G3675">
        <v>0</v>
      </c>
      <c r="H3675" s="7">
        <v>0</v>
      </c>
    </row>
    <row r="3676" spans="1:8">
      <c r="A3676">
        <v>2</v>
      </c>
      <c r="B3676" t="s">
        <v>46</v>
      </c>
      <c r="C3676" t="s">
        <v>35</v>
      </c>
      <c r="D3676">
        <v>0</v>
      </c>
      <c r="E3676">
        <v>1</v>
      </c>
      <c r="F3676" s="7">
        <v>333871.74</v>
      </c>
      <c r="G3676">
        <v>0</v>
      </c>
      <c r="H3676" s="7">
        <v>0</v>
      </c>
    </row>
    <row r="3677" spans="1:8">
      <c r="A3677">
        <v>2</v>
      </c>
      <c r="B3677" t="s">
        <v>46</v>
      </c>
      <c r="C3677" t="s">
        <v>35</v>
      </c>
      <c r="D3677">
        <v>0</v>
      </c>
      <c r="E3677">
        <v>1</v>
      </c>
      <c r="F3677" s="7">
        <v>250326.22</v>
      </c>
      <c r="G3677">
        <v>0</v>
      </c>
      <c r="H3677" s="7">
        <v>0</v>
      </c>
    </row>
    <row r="3678" spans="1:8">
      <c r="A3678">
        <v>2</v>
      </c>
      <c r="B3678" t="s">
        <v>46</v>
      </c>
      <c r="C3678" t="s">
        <v>35</v>
      </c>
      <c r="D3678">
        <v>0</v>
      </c>
      <c r="E3678">
        <v>1</v>
      </c>
      <c r="F3678" s="7">
        <v>188118.26</v>
      </c>
      <c r="G3678">
        <v>0</v>
      </c>
      <c r="H3678" s="7">
        <v>0</v>
      </c>
    </row>
    <row r="3679" spans="1:8">
      <c r="A3679">
        <v>2</v>
      </c>
      <c r="B3679" t="s">
        <v>46</v>
      </c>
      <c r="C3679" t="s">
        <v>35</v>
      </c>
      <c r="D3679">
        <v>0</v>
      </c>
      <c r="E3679">
        <v>1</v>
      </c>
      <c r="F3679" s="7">
        <v>126065.07</v>
      </c>
      <c r="G3679">
        <v>0</v>
      </c>
      <c r="H3679" s="7">
        <v>0</v>
      </c>
    </row>
    <row r="3680" spans="1:8">
      <c r="A3680">
        <v>2</v>
      </c>
      <c r="B3680" t="s">
        <v>46</v>
      </c>
      <c r="C3680" t="s">
        <v>35</v>
      </c>
      <c r="D3680">
        <v>0</v>
      </c>
      <c r="E3680">
        <v>1</v>
      </c>
      <c r="F3680" s="7">
        <v>121400.87</v>
      </c>
      <c r="G3680">
        <v>0</v>
      </c>
      <c r="H3680" s="7">
        <v>0</v>
      </c>
    </row>
    <row r="3681" spans="1:8">
      <c r="A3681">
        <v>2</v>
      </c>
      <c r="B3681" t="s">
        <v>46</v>
      </c>
      <c r="C3681" t="s">
        <v>35</v>
      </c>
      <c r="D3681">
        <v>0</v>
      </c>
      <c r="E3681">
        <v>1</v>
      </c>
      <c r="F3681" s="7">
        <v>348792.33</v>
      </c>
      <c r="G3681">
        <v>0</v>
      </c>
      <c r="H3681" s="7">
        <v>0</v>
      </c>
    </row>
    <row r="3682" spans="1:8">
      <c r="A3682">
        <v>2</v>
      </c>
      <c r="B3682" t="s">
        <v>46</v>
      </c>
      <c r="C3682" t="s">
        <v>35</v>
      </c>
      <c r="D3682">
        <v>0</v>
      </c>
      <c r="E3682">
        <v>1</v>
      </c>
      <c r="F3682" s="7">
        <v>502911.34</v>
      </c>
      <c r="G3682">
        <v>0</v>
      </c>
      <c r="H3682" s="7">
        <v>0</v>
      </c>
    </row>
    <row r="3683" spans="1:8">
      <c r="A3683">
        <v>2</v>
      </c>
      <c r="B3683" t="s">
        <v>46</v>
      </c>
      <c r="C3683" t="s">
        <v>35</v>
      </c>
      <c r="D3683">
        <v>0</v>
      </c>
      <c r="E3683">
        <v>1</v>
      </c>
      <c r="F3683" s="7">
        <v>232769.1</v>
      </c>
      <c r="G3683">
        <v>0</v>
      </c>
      <c r="H3683" s="7">
        <v>0</v>
      </c>
    </row>
    <row r="3684" spans="1:8">
      <c r="A3684">
        <v>2</v>
      </c>
      <c r="B3684" t="s">
        <v>42</v>
      </c>
      <c r="C3684" t="s">
        <v>32</v>
      </c>
      <c r="D3684">
        <v>0</v>
      </c>
      <c r="E3684">
        <v>1</v>
      </c>
      <c r="F3684" s="7">
        <v>799.18</v>
      </c>
      <c r="G3684">
        <v>0</v>
      </c>
      <c r="H3684" s="7">
        <v>0</v>
      </c>
    </row>
    <row r="3685" spans="1:8">
      <c r="A3685">
        <v>2</v>
      </c>
      <c r="B3685" t="s">
        <v>45</v>
      </c>
      <c r="C3685" t="s">
        <v>33</v>
      </c>
      <c r="D3685">
        <v>0</v>
      </c>
      <c r="E3685">
        <v>1</v>
      </c>
      <c r="F3685" s="7">
        <v>5619.13</v>
      </c>
      <c r="G3685">
        <v>0</v>
      </c>
      <c r="H3685" s="7">
        <v>0</v>
      </c>
    </row>
    <row r="3686" spans="1:8">
      <c r="A3686">
        <v>2</v>
      </c>
      <c r="B3686" t="s">
        <v>44</v>
      </c>
      <c r="C3686" t="s">
        <v>35</v>
      </c>
      <c r="D3686">
        <v>0</v>
      </c>
      <c r="E3686">
        <v>1</v>
      </c>
      <c r="F3686" s="7">
        <v>165664.94</v>
      </c>
      <c r="G3686">
        <v>0</v>
      </c>
      <c r="H3686" s="7">
        <v>0</v>
      </c>
    </row>
    <row r="3687" spans="1:8">
      <c r="A3687">
        <v>2</v>
      </c>
      <c r="B3687" t="s">
        <v>42</v>
      </c>
      <c r="C3687" t="s">
        <v>33</v>
      </c>
      <c r="D3687">
        <v>0</v>
      </c>
      <c r="E3687">
        <v>1</v>
      </c>
      <c r="F3687" s="7">
        <v>4696.36</v>
      </c>
      <c r="G3687">
        <v>0</v>
      </c>
      <c r="H3687" s="7">
        <v>0</v>
      </c>
    </row>
    <row r="3688" spans="1:8">
      <c r="A3688">
        <v>2</v>
      </c>
      <c r="B3688" t="s">
        <v>42</v>
      </c>
      <c r="C3688" t="s">
        <v>33</v>
      </c>
      <c r="D3688">
        <v>0</v>
      </c>
      <c r="E3688">
        <v>1</v>
      </c>
      <c r="F3688" s="7">
        <v>3738.26</v>
      </c>
      <c r="G3688">
        <v>0</v>
      </c>
      <c r="H3688" s="7">
        <v>0</v>
      </c>
    </row>
    <row r="3689" spans="1:8">
      <c r="A3689">
        <v>2</v>
      </c>
      <c r="B3689" t="s">
        <v>43</v>
      </c>
      <c r="C3689" t="s">
        <v>34</v>
      </c>
      <c r="D3689">
        <v>1</v>
      </c>
      <c r="E3689">
        <v>1</v>
      </c>
      <c r="F3689" s="7">
        <v>18627.02</v>
      </c>
      <c r="G3689">
        <v>1</v>
      </c>
      <c r="H3689" s="7">
        <v>18627.02</v>
      </c>
    </row>
    <row r="3690" spans="1:8">
      <c r="A3690">
        <v>2</v>
      </c>
      <c r="B3690" t="s">
        <v>44</v>
      </c>
      <c r="C3690" t="s">
        <v>34</v>
      </c>
      <c r="D3690">
        <v>1</v>
      </c>
      <c r="E3690">
        <v>1</v>
      </c>
      <c r="F3690" s="7">
        <v>18627.02</v>
      </c>
      <c r="G3690">
        <v>1</v>
      </c>
      <c r="H3690" s="7">
        <v>18627.02</v>
      </c>
    </row>
    <row r="3691" spans="1:8">
      <c r="A3691">
        <v>2</v>
      </c>
      <c r="B3691" t="s">
        <v>45</v>
      </c>
      <c r="C3691" t="s">
        <v>33</v>
      </c>
      <c r="D3691">
        <v>0</v>
      </c>
      <c r="E3691">
        <v>1</v>
      </c>
      <c r="F3691" s="7">
        <v>4122.31</v>
      </c>
      <c r="G3691">
        <v>0</v>
      </c>
      <c r="H3691" s="7">
        <v>0</v>
      </c>
    </row>
    <row r="3692" spans="1:8">
      <c r="A3692">
        <v>2</v>
      </c>
      <c r="B3692" t="s">
        <v>44</v>
      </c>
      <c r="C3692" t="s">
        <v>34</v>
      </c>
      <c r="D3692">
        <v>0</v>
      </c>
      <c r="E3692">
        <v>1</v>
      </c>
      <c r="F3692" s="7">
        <v>82399.46</v>
      </c>
      <c r="G3692">
        <v>0</v>
      </c>
      <c r="H3692" s="7">
        <v>0</v>
      </c>
    </row>
    <row r="3693" spans="1:8">
      <c r="A3693">
        <v>2</v>
      </c>
      <c r="B3693" t="s">
        <v>42</v>
      </c>
      <c r="C3693" t="s">
        <v>33</v>
      </c>
      <c r="D3693">
        <v>0</v>
      </c>
      <c r="E3693">
        <v>1</v>
      </c>
      <c r="F3693" s="7">
        <v>3779.27</v>
      </c>
      <c r="G3693">
        <v>0</v>
      </c>
      <c r="H3693" s="7">
        <v>0</v>
      </c>
    </row>
    <row r="3694" spans="1:8">
      <c r="A3694">
        <v>2</v>
      </c>
      <c r="B3694" t="s">
        <v>45</v>
      </c>
      <c r="C3694" t="s">
        <v>33</v>
      </c>
      <c r="D3694">
        <v>0</v>
      </c>
      <c r="E3694">
        <v>1</v>
      </c>
      <c r="F3694" s="7">
        <v>4215.24</v>
      </c>
      <c r="G3694">
        <v>0</v>
      </c>
      <c r="H3694" s="7">
        <v>0</v>
      </c>
    </row>
    <row r="3695" spans="1:8">
      <c r="A3695">
        <v>2</v>
      </c>
      <c r="B3695" t="s">
        <v>42</v>
      </c>
      <c r="C3695" t="s">
        <v>33</v>
      </c>
      <c r="D3695">
        <v>0</v>
      </c>
      <c r="E3695">
        <v>1</v>
      </c>
      <c r="F3695" s="7">
        <v>4296.12</v>
      </c>
      <c r="G3695">
        <v>0</v>
      </c>
      <c r="H3695" s="7">
        <v>0</v>
      </c>
    </row>
    <row r="3696" spans="1:8">
      <c r="A3696">
        <v>2</v>
      </c>
      <c r="B3696" t="s">
        <v>42</v>
      </c>
      <c r="C3696" t="s">
        <v>33</v>
      </c>
      <c r="D3696">
        <v>0</v>
      </c>
      <c r="E3696">
        <v>1</v>
      </c>
      <c r="F3696" s="7">
        <v>9059.91</v>
      </c>
      <c r="G3696">
        <v>0</v>
      </c>
      <c r="H3696" s="7">
        <v>0</v>
      </c>
    </row>
    <row r="3697" spans="1:8">
      <c r="A3697">
        <v>2</v>
      </c>
      <c r="B3697" t="s">
        <v>42</v>
      </c>
      <c r="C3697" t="s">
        <v>33</v>
      </c>
      <c r="D3697">
        <v>0</v>
      </c>
      <c r="E3697">
        <v>1</v>
      </c>
      <c r="F3697" s="7">
        <v>4878.63</v>
      </c>
      <c r="G3697">
        <v>0</v>
      </c>
      <c r="H3697" s="7">
        <v>0</v>
      </c>
    </row>
    <row r="3698" spans="1:8">
      <c r="A3698">
        <v>2</v>
      </c>
      <c r="B3698" t="s">
        <v>42</v>
      </c>
      <c r="C3698" t="s">
        <v>33</v>
      </c>
      <c r="D3698">
        <v>0</v>
      </c>
      <c r="E3698">
        <v>1</v>
      </c>
      <c r="F3698" s="7">
        <v>9264.89</v>
      </c>
      <c r="G3698">
        <v>0</v>
      </c>
      <c r="H3698" s="7">
        <v>0</v>
      </c>
    </row>
    <row r="3699" spans="1:8">
      <c r="A3699">
        <v>2</v>
      </c>
      <c r="B3699" t="s">
        <v>45</v>
      </c>
      <c r="C3699" t="s">
        <v>33</v>
      </c>
      <c r="D3699">
        <v>0</v>
      </c>
      <c r="E3699">
        <v>1</v>
      </c>
      <c r="F3699" s="7">
        <v>8499.58</v>
      </c>
      <c r="G3699">
        <v>0</v>
      </c>
      <c r="H3699" s="7">
        <v>0</v>
      </c>
    </row>
    <row r="3700" spans="1:8">
      <c r="A3700">
        <v>2</v>
      </c>
      <c r="B3700" t="s">
        <v>42</v>
      </c>
      <c r="C3700" t="s">
        <v>33</v>
      </c>
      <c r="D3700">
        <v>0</v>
      </c>
      <c r="E3700">
        <v>1</v>
      </c>
      <c r="F3700" s="7">
        <v>3208.39</v>
      </c>
      <c r="G3700">
        <v>0</v>
      </c>
      <c r="H3700" s="7">
        <v>0</v>
      </c>
    </row>
    <row r="3701" spans="1:8">
      <c r="A3701">
        <v>2</v>
      </c>
      <c r="B3701" t="s">
        <v>42</v>
      </c>
      <c r="C3701" t="s">
        <v>33</v>
      </c>
      <c r="D3701">
        <v>0</v>
      </c>
      <c r="E3701">
        <v>1</v>
      </c>
      <c r="F3701" s="7">
        <v>1939.74</v>
      </c>
      <c r="G3701">
        <v>0</v>
      </c>
      <c r="H3701" s="7">
        <v>0</v>
      </c>
    </row>
    <row r="3702" spans="1:8">
      <c r="A3702">
        <v>2</v>
      </c>
      <c r="B3702" t="s">
        <v>42</v>
      </c>
      <c r="C3702" t="s">
        <v>34</v>
      </c>
      <c r="D3702">
        <v>0</v>
      </c>
      <c r="E3702">
        <v>1</v>
      </c>
      <c r="F3702" s="7">
        <v>12956.39</v>
      </c>
      <c r="G3702">
        <v>0</v>
      </c>
      <c r="H3702" s="7">
        <v>0</v>
      </c>
    </row>
    <row r="3703" spans="1:8">
      <c r="A3703">
        <v>2</v>
      </c>
      <c r="B3703" t="s">
        <v>42</v>
      </c>
      <c r="C3703" t="s">
        <v>33</v>
      </c>
      <c r="D3703">
        <v>0</v>
      </c>
      <c r="E3703">
        <v>1</v>
      </c>
      <c r="F3703" s="7">
        <v>4054.4</v>
      </c>
      <c r="G3703">
        <v>0</v>
      </c>
      <c r="H3703" s="7">
        <v>0</v>
      </c>
    </row>
    <row r="3704" spans="1:8">
      <c r="A3704">
        <v>2</v>
      </c>
      <c r="B3704" t="s">
        <v>42</v>
      </c>
      <c r="C3704" t="s">
        <v>33</v>
      </c>
      <c r="D3704">
        <v>0</v>
      </c>
      <c r="E3704">
        <v>1</v>
      </c>
      <c r="F3704" s="7">
        <v>2688.02</v>
      </c>
      <c r="G3704">
        <v>0</v>
      </c>
      <c r="H3704" s="7">
        <v>0</v>
      </c>
    </row>
    <row r="3705" spans="1:8">
      <c r="A3705">
        <v>2</v>
      </c>
      <c r="B3705" t="s">
        <v>42</v>
      </c>
      <c r="C3705" t="s">
        <v>32</v>
      </c>
      <c r="D3705">
        <v>0</v>
      </c>
      <c r="E3705">
        <v>1</v>
      </c>
      <c r="F3705" s="7">
        <v>183.35</v>
      </c>
      <c r="G3705">
        <v>0</v>
      </c>
      <c r="H3705" s="7">
        <v>0</v>
      </c>
    </row>
    <row r="3706" spans="1:8">
      <c r="A3706">
        <v>2</v>
      </c>
      <c r="B3706" t="s">
        <v>42</v>
      </c>
      <c r="C3706" t="s">
        <v>33</v>
      </c>
      <c r="D3706">
        <v>0</v>
      </c>
      <c r="E3706">
        <v>1</v>
      </c>
      <c r="F3706" s="7">
        <v>2577.79</v>
      </c>
      <c r="G3706">
        <v>0</v>
      </c>
      <c r="H3706" s="7">
        <v>0</v>
      </c>
    </row>
    <row r="3707" spans="1:8">
      <c r="A3707">
        <v>2</v>
      </c>
      <c r="B3707" t="s">
        <v>42</v>
      </c>
      <c r="C3707" t="s">
        <v>33</v>
      </c>
      <c r="D3707">
        <v>0</v>
      </c>
      <c r="E3707">
        <v>1</v>
      </c>
      <c r="F3707" s="7">
        <v>6142.72</v>
      </c>
      <c r="G3707">
        <v>0</v>
      </c>
      <c r="H3707" s="7">
        <v>0</v>
      </c>
    </row>
    <row r="3708" spans="1:8">
      <c r="A3708">
        <v>2</v>
      </c>
      <c r="B3708" t="s">
        <v>42</v>
      </c>
      <c r="C3708" t="s">
        <v>34</v>
      </c>
      <c r="D3708">
        <v>0</v>
      </c>
      <c r="E3708">
        <v>1</v>
      </c>
      <c r="F3708" s="7">
        <v>15025.01</v>
      </c>
      <c r="G3708">
        <v>0</v>
      </c>
      <c r="H3708" s="7">
        <v>0</v>
      </c>
    </row>
    <row r="3709" spans="1:8">
      <c r="A3709">
        <v>2</v>
      </c>
      <c r="B3709" t="s">
        <v>42</v>
      </c>
      <c r="C3709" t="s">
        <v>34</v>
      </c>
      <c r="D3709">
        <v>0</v>
      </c>
      <c r="E3709">
        <v>1</v>
      </c>
      <c r="F3709" s="7">
        <v>14037.48</v>
      </c>
      <c r="G3709">
        <v>0</v>
      </c>
      <c r="H3709" s="7">
        <v>0</v>
      </c>
    </row>
    <row r="3710" spans="1:8">
      <c r="A3710">
        <v>2</v>
      </c>
      <c r="B3710" t="s">
        <v>42</v>
      </c>
      <c r="C3710" t="s">
        <v>33</v>
      </c>
      <c r="D3710">
        <v>0</v>
      </c>
      <c r="E3710">
        <v>1</v>
      </c>
      <c r="F3710" s="7">
        <v>3181.52</v>
      </c>
      <c r="G3710">
        <v>0</v>
      </c>
      <c r="H3710" s="7">
        <v>0</v>
      </c>
    </row>
    <row r="3711" spans="1:8">
      <c r="A3711">
        <v>2</v>
      </c>
      <c r="B3711" t="s">
        <v>45</v>
      </c>
      <c r="C3711" t="s">
        <v>33</v>
      </c>
      <c r="D3711">
        <v>0</v>
      </c>
      <c r="E3711">
        <v>1</v>
      </c>
      <c r="F3711" s="7">
        <v>6174.06</v>
      </c>
      <c r="G3711">
        <v>0</v>
      </c>
      <c r="H3711" s="7">
        <v>0</v>
      </c>
    </row>
    <row r="3712" spans="1:8">
      <c r="A3712">
        <v>2</v>
      </c>
      <c r="B3712" t="s">
        <v>42</v>
      </c>
      <c r="C3712" t="s">
        <v>32</v>
      </c>
      <c r="D3712">
        <v>0</v>
      </c>
      <c r="E3712">
        <v>1</v>
      </c>
      <c r="F3712" s="7">
        <v>688.58</v>
      </c>
      <c r="G3712">
        <v>0</v>
      </c>
      <c r="H3712" s="7">
        <v>0</v>
      </c>
    </row>
    <row r="3713" spans="1:8">
      <c r="A3713">
        <v>2</v>
      </c>
      <c r="B3713" t="s">
        <v>42</v>
      </c>
      <c r="C3713" t="s">
        <v>33</v>
      </c>
      <c r="D3713">
        <v>0</v>
      </c>
      <c r="E3713">
        <v>1</v>
      </c>
      <c r="F3713" s="7">
        <v>6557.5</v>
      </c>
      <c r="G3713">
        <v>0</v>
      </c>
      <c r="H3713" s="7">
        <v>0</v>
      </c>
    </row>
    <row r="3714" spans="1:8">
      <c r="A3714">
        <v>2</v>
      </c>
      <c r="B3714" t="s">
        <v>42</v>
      </c>
      <c r="C3714" t="s">
        <v>33</v>
      </c>
      <c r="D3714">
        <v>0</v>
      </c>
      <c r="E3714">
        <v>1</v>
      </c>
      <c r="F3714" s="7">
        <v>5096.21</v>
      </c>
      <c r="G3714">
        <v>0</v>
      </c>
      <c r="H3714" s="7">
        <v>0</v>
      </c>
    </row>
    <row r="3715" spans="1:8">
      <c r="A3715">
        <v>2</v>
      </c>
      <c r="B3715" t="s">
        <v>42</v>
      </c>
      <c r="C3715" t="s">
        <v>33</v>
      </c>
      <c r="D3715">
        <v>0</v>
      </c>
      <c r="E3715">
        <v>1</v>
      </c>
      <c r="F3715" s="7">
        <v>6517.62</v>
      </c>
      <c r="G3715">
        <v>0</v>
      </c>
      <c r="H3715" s="7">
        <v>0</v>
      </c>
    </row>
    <row r="3716" spans="1:8">
      <c r="A3716">
        <v>2</v>
      </c>
      <c r="B3716" t="s">
        <v>42</v>
      </c>
      <c r="C3716" t="s">
        <v>33</v>
      </c>
      <c r="D3716">
        <v>0</v>
      </c>
      <c r="E3716">
        <v>1</v>
      </c>
      <c r="F3716" s="7">
        <v>6601.34</v>
      </c>
      <c r="G3716">
        <v>0</v>
      </c>
      <c r="H3716" s="7">
        <v>0</v>
      </c>
    </row>
    <row r="3717" spans="1:8">
      <c r="A3717">
        <v>2</v>
      </c>
      <c r="B3717" t="s">
        <v>44</v>
      </c>
      <c r="C3717" t="s">
        <v>34</v>
      </c>
      <c r="D3717">
        <v>0</v>
      </c>
      <c r="E3717">
        <v>1</v>
      </c>
      <c r="F3717" s="7">
        <v>22251.46</v>
      </c>
      <c r="G3717">
        <v>0</v>
      </c>
      <c r="H3717" s="7">
        <v>0</v>
      </c>
    </row>
    <row r="3718" spans="1:8">
      <c r="A3718">
        <v>2</v>
      </c>
      <c r="B3718" t="s">
        <v>42</v>
      </c>
      <c r="C3718" t="s">
        <v>33</v>
      </c>
      <c r="D3718">
        <v>0</v>
      </c>
      <c r="E3718">
        <v>1</v>
      </c>
      <c r="F3718" s="7">
        <v>2530.52</v>
      </c>
      <c r="G3718">
        <v>0</v>
      </c>
      <c r="H3718" s="7">
        <v>0</v>
      </c>
    </row>
    <row r="3719" spans="1:8">
      <c r="A3719">
        <v>2</v>
      </c>
      <c r="B3719" t="s">
        <v>42</v>
      </c>
      <c r="C3719" t="s">
        <v>34</v>
      </c>
      <c r="D3719">
        <v>0</v>
      </c>
      <c r="E3719">
        <v>1</v>
      </c>
      <c r="F3719" s="7">
        <v>17925.91</v>
      </c>
      <c r="G3719">
        <v>0</v>
      </c>
      <c r="H3719" s="7">
        <v>0</v>
      </c>
    </row>
    <row r="3720" spans="1:8">
      <c r="A3720">
        <v>2</v>
      </c>
      <c r="B3720" t="s">
        <v>42</v>
      </c>
      <c r="C3720" t="s">
        <v>32</v>
      </c>
      <c r="D3720">
        <v>0</v>
      </c>
      <c r="E3720">
        <v>1</v>
      </c>
      <c r="F3720" s="7">
        <v>956.17</v>
      </c>
      <c r="G3720">
        <v>0</v>
      </c>
      <c r="H3720" s="7">
        <v>0</v>
      </c>
    </row>
    <row r="3721" spans="1:8">
      <c r="A3721">
        <v>2</v>
      </c>
      <c r="B3721" t="s">
        <v>42</v>
      </c>
      <c r="C3721" t="s">
        <v>33</v>
      </c>
      <c r="D3721">
        <v>0</v>
      </c>
      <c r="E3721">
        <v>1</v>
      </c>
      <c r="F3721" s="7">
        <v>7663.4</v>
      </c>
      <c r="G3721">
        <v>0</v>
      </c>
      <c r="H3721" s="7">
        <v>0</v>
      </c>
    </row>
    <row r="3722" spans="1:8">
      <c r="A3722">
        <v>2</v>
      </c>
      <c r="B3722" t="s">
        <v>42</v>
      </c>
      <c r="C3722" t="s">
        <v>34</v>
      </c>
      <c r="D3722">
        <v>0</v>
      </c>
      <c r="E3722">
        <v>1</v>
      </c>
      <c r="F3722" s="7">
        <v>25704.52</v>
      </c>
      <c r="G3722">
        <v>0</v>
      </c>
      <c r="H3722" s="7">
        <v>0</v>
      </c>
    </row>
    <row r="3723" spans="1:8">
      <c r="A3723">
        <v>2</v>
      </c>
      <c r="B3723" t="s">
        <v>42</v>
      </c>
      <c r="C3723" t="s">
        <v>33</v>
      </c>
      <c r="D3723">
        <v>0</v>
      </c>
      <c r="E3723">
        <v>1</v>
      </c>
      <c r="F3723" s="7">
        <v>3453.72</v>
      </c>
      <c r="G3723">
        <v>0</v>
      </c>
      <c r="H3723" s="7">
        <v>0</v>
      </c>
    </row>
    <row r="3724" spans="1:8">
      <c r="A3724">
        <v>2</v>
      </c>
      <c r="B3724" t="s">
        <v>42</v>
      </c>
      <c r="C3724" t="s">
        <v>32</v>
      </c>
      <c r="D3724">
        <v>0</v>
      </c>
      <c r="E3724">
        <v>1</v>
      </c>
      <c r="F3724" s="7">
        <v>562.14</v>
      </c>
      <c r="G3724">
        <v>0</v>
      </c>
      <c r="H3724" s="7">
        <v>0</v>
      </c>
    </row>
    <row r="3725" spans="1:8">
      <c r="A3725">
        <v>2</v>
      </c>
      <c r="B3725" t="s">
        <v>42</v>
      </c>
      <c r="C3725" t="s">
        <v>34</v>
      </c>
      <c r="D3725">
        <v>0</v>
      </c>
      <c r="E3725">
        <v>1</v>
      </c>
      <c r="F3725" s="7">
        <v>33459.4</v>
      </c>
      <c r="G3725">
        <v>0</v>
      </c>
      <c r="H3725" s="7">
        <v>0</v>
      </c>
    </row>
    <row r="3726" spans="1:8">
      <c r="A3726">
        <v>2</v>
      </c>
      <c r="B3726" t="s">
        <v>42</v>
      </c>
      <c r="C3726" t="s">
        <v>32</v>
      </c>
      <c r="D3726">
        <v>0</v>
      </c>
      <c r="E3726">
        <v>1</v>
      </c>
      <c r="F3726" s="7">
        <v>735.15</v>
      </c>
      <c r="G3726">
        <v>0</v>
      </c>
      <c r="H3726" s="7">
        <v>0</v>
      </c>
    </row>
    <row r="3727" spans="1:8">
      <c r="A3727">
        <v>2</v>
      </c>
      <c r="B3727" t="s">
        <v>42</v>
      </c>
      <c r="C3727" t="s">
        <v>33</v>
      </c>
      <c r="D3727">
        <v>0</v>
      </c>
      <c r="E3727">
        <v>1</v>
      </c>
      <c r="F3727" s="7">
        <v>3503.31</v>
      </c>
      <c r="G3727">
        <v>0</v>
      </c>
      <c r="H3727" s="7">
        <v>0</v>
      </c>
    </row>
    <row r="3728" spans="1:8">
      <c r="A3728">
        <v>3</v>
      </c>
      <c r="B3728" t="s">
        <v>42</v>
      </c>
      <c r="C3728" t="s">
        <v>34</v>
      </c>
      <c r="D3728">
        <v>0</v>
      </c>
      <c r="E3728">
        <v>1</v>
      </c>
      <c r="F3728" s="7">
        <v>20971</v>
      </c>
      <c r="G3728">
        <v>0</v>
      </c>
      <c r="H3728" s="7">
        <v>0</v>
      </c>
    </row>
    <row r="3729" spans="1:8">
      <c r="A3729">
        <v>3</v>
      </c>
      <c r="B3729" t="s">
        <v>42</v>
      </c>
      <c r="C3729" t="s">
        <v>34</v>
      </c>
      <c r="D3729">
        <v>0</v>
      </c>
      <c r="E3729">
        <v>1</v>
      </c>
      <c r="F3729" s="7">
        <v>27659.67</v>
      </c>
      <c r="G3729">
        <v>0</v>
      </c>
      <c r="H3729" s="7">
        <v>0</v>
      </c>
    </row>
    <row r="3730" spans="1:8">
      <c r="A3730">
        <v>3</v>
      </c>
      <c r="B3730" t="s">
        <v>45</v>
      </c>
      <c r="C3730" t="s">
        <v>33</v>
      </c>
      <c r="D3730">
        <v>0</v>
      </c>
      <c r="E3730">
        <v>1</v>
      </c>
      <c r="F3730" s="7">
        <v>2673.5</v>
      </c>
      <c r="G3730">
        <v>0</v>
      </c>
      <c r="H3730" s="7">
        <v>0</v>
      </c>
    </row>
    <row r="3731" spans="1:8">
      <c r="A3731">
        <v>3</v>
      </c>
      <c r="B3731" t="s">
        <v>42</v>
      </c>
      <c r="C3731" t="s">
        <v>32</v>
      </c>
      <c r="D3731">
        <v>0</v>
      </c>
      <c r="E3731">
        <v>1</v>
      </c>
      <c r="F3731" s="7">
        <v>501.11</v>
      </c>
      <c r="G3731">
        <v>0</v>
      </c>
      <c r="H3731" s="7">
        <v>0</v>
      </c>
    </row>
    <row r="3732" spans="1:8">
      <c r="A3732">
        <v>3</v>
      </c>
      <c r="B3732" t="s">
        <v>42</v>
      </c>
      <c r="C3732" t="s">
        <v>34</v>
      </c>
      <c r="D3732">
        <v>0</v>
      </c>
      <c r="E3732">
        <v>1</v>
      </c>
      <c r="F3732" s="7">
        <v>11866.89</v>
      </c>
      <c r="G3732">
        <v>0</v>
      </c>
      <c r="H3732" s="7">
        <v>0</v>
      </c>
    </row>
    <row r="3733" spans="1:8">
      <c r="A3733">
        <v>3</v>
      </c>
      <c r="B3733" t="s">
        <v>42</v>
      </c>
      <c r="C3733" t="s">
        <v>33</v>
      </c>
      <c r="D3733">
        <v>0</v>
      </c>
      <c r="E3733">
        <v>1</v>
      </c>
      <c r="F3733" s="7">
        <v>2108.36</v>
      </c>
      <c r="G3733">
        <v>0</v>
      </c>
      <c r="H3733" s="7">
        <v>0</v>
      </c>
    </row>
    <row r="3734" spans="1:8">
      <c r="A3734">
        <v>3</v>
      </c>
      <c r="B3734" t="s">
        <v>42</v>
      </c>
      <c r="C3734" t="s">
        <v>33</v>
      </c>
      <c r="D3734">
        <v>0</v>
      </c>
      <c r="E3734">
        <v>1</v>
      </c>
      <c r="F3734" s="7">
        <v>6967.64</v>
      </c>
      <c r="G3734">
        <v>0</v>
      </c>
      <c r="H3734" s="7">
        <v>0</v>
      </c>
    </row>
    <row r="3735" spans="1:8">
      <c r="A3735">
        <v>3</v>
      </c>
      <c r="B3735" t="s">
        <v>42</v>
      </c>
      <c r="C3735" t="s">
        <v>33</v>
      </c>
      <c r="D3735">
        <v>0</v>
      </c>
      <c r="E3735">
        <v>1</v>
      </c>
      <c r="F3735" s="7">
        <v>4136.97</v>
      </c>
      <c r="G3735">
        <v>0</v>
      </c>
      <c r="H3735" s="7">
        <v>0</v>
      </c>
    </row>
    <row r="3736" spans="1:8">
      <c r="A3736">
        <v>3</v>
      </c>
      <c r="B3736" t="s">
        <v>42</v>
      </c>
      <c r="C3736" t="s">
        <v>33</v>
      </c>
      <c r="D3736">
        <v>0</v>
      </c>
      <c r="E3736">
        <v>1</v>
      </c>
      <c r="F3736" s="7">
        <v>1094.13</v>
      </c>
      <c r="G3736">
        <v>0</v>
      </c>
      <c r="H3736" s="7">
        <v>0</v>
      </c>
    </row>
    <row r="3737" spans="1:8">
      <c r="A3737">
        <v>3</v>
      </c>
      <c r="B3737" t="s">
        <v>46</v>
      </c>
      <c r="C3737" t="s">
        <v>34</v>
      </c>
      <c r="D3737">
        <v>0</v>
      </c>
      <c r="E3737">
        <v>1</v>
      </c>
      <c r="F3737" s="7">
        <v>36563.86</v>
      </c>
      <c r="G3737">
        <v>0</v>
      </c>
      <c r="H3737" s="7">
        <v>0</v>
      </c>
    </row>
    <row r="3738" spans="1:8">
      <c r="A3738">
        <v>3</v>
      </c>
      <c r="B3738" t="s">
        <v>42</v>
      </c>
      <c r="C3738" t="s">
        <v>34</v>
      </c>
      <c r="D3738">
        <v>0</v>
      </c>
      <c r="E3738">
        <v>1</v>
      </c>
      <c r="F3738" s="7">
        <v>24826.85</v>
      </c>
      <c r="G3738">
        <v>0</v>
      </c>
      <c r="H3738" s="7">
        <v>0</v>
      </c>
    </row>
    <row r="3739" spans="1:8">
      <c r="A3739">
        <v>3</v>
      </c>
      <c r="B3739" t="s">
        <v>46</v>
      </c>
      <c r="C3739" t="s">
        <v>34</v>
      </c>
      <c r="D3739">
        <v>0</v>
      </c>
      <c r="E3739">
        <v>1</v>
      </c>
      <c r="F3739" s="7">
        <v>23669.02</v>
      </c>
      <c r="G3739">
        <v>0</v>
      </c>
      <c r="H3739" s="7">
        <v>0</v>
      </c>
    </row>
    <row r="3740" spans="1:8">
      <c r="A3740">
        <v>3</v>
      </c>
      <c r="B3740" t="s">
        <v>46</v>
      </c>
      <c r="C3740" t="s">
        <v>35</v>
      </c>
      <c r="D3740">
        <v>0</v>
      </c>
      <c r="E3740">
        <v>1</v>
      </c>
      <c r="F3740" s="7">
        <v>143254.72</v>
      </c>
      <c r="G3740">
        <v>0</v>
      </c>
      <c r="H3740" s="7">
        <v>0</v>
      </c>
    </row>
    <row r="3741" spans="1:8">
      <c r="A3741">
        <v>3</v>
      </c>
      <c r="B3741" t="s">
        <v>46</v>
      </c>
      <c r="C3741" t="s">
        <v>35</v>
      </c>
      <c r="D3741">
        <v>0</v>
      </c>
      <c r="E3741">
        <v>1</v>
      </c>
      <c r="F3741" s="7">
        <v>439543.98</v>
      </c>
      <c r="G3741">
        <v>0</v>
      </c>
      <c r="H3741" s="7">
        <v>0</v>
      </c>
    </row>
    <row r="3742" spans="1:8">
      <c r="A3742">
        <v>3</v>
      </c>
      <c r="B3742" t="s">
        <v>46</v>
      </c>
      <c r="C3742" t="s">
        <v>35</v>
      </c>
      <c r="D3742">
        <v>0</v>
      </c>
      <c r="E3742">
        <v>1</v>
      </c>
      <c r="F3742" s="7">
        <v>140728.41</v>
      </c>
      <c r="G3742">
        <v>0</v>
      </c>
      <c r="H3742" s="7">
        <v>0</v>
      </c>
    </row>
    <row r="3743" spans="1:8">
      <c r="A3743">
        <v>3</v>
      </c>
      <c r="B3743" t="s">
        <v>46</v>
      </c>
      <c r="C3743" t="s">
        <v>35</v>
      </c>
      <c r="D3743">
        <v>0</v>
      </c>
      <c r="E3743">
        <v>1</v>
      </c>
      <c r="F3743" s="7">
        <v>159116.29</v>
      </c>
      <c r="G3743">
        <v>0</v>
      </c>
      <c r="H3743" s="7">
        <v>0</v>
      </c>
    </row>
    <row r="3744" spans="1:8">
      <c r="A3744">
        <v>3</v>
      </c>
      <c r="B3744" t="s">
        <v>46</v>
      </c>
      <c r="C3744" t="s">
        <v>35</v>
      </c>
      <c r="D3744">
        <v>0</v>
      </c>
      <c r="E3744">
        <v>1</v>
      </c>
      <c r="F3744" s="7">
        <v>140313.48</v>
      </c>
      <c r="G3744">
        <v>0</v>
      </c>
      <c r="H3744" s="7">
        <v>0</v>
      </c>
    </row>
    <row r="3745" spans="1:8">
      <c r="A3745">
        <v>3</v>
      </c>
      <c r="B3745" t="s">
        <v>46</v>
      </c>
      <c r="C3745" t="s">
        <v>34</v>
      </c>
      <c r="D3745">
        <v>0</v>
      </c>
      <c r="E3745">
        <v>1</v>
      </c>
      <c r="F3745" s="7">
        <v>98313.86</v>
      </c>
      <c r="G3745">
        <v>0</v>
      </c>
      <c r="H3745" s="7">
        <v>0</v>
      </c>
    </row>
    <row r="3746" spans="1:8">
      <c r="A3746">
        <v>3</v>
      </c>
      <c r="B3746" t="s">
        <v>46</v>
      </c>
      <c r="C3746" t="s">
        <v>35</v>
      </c>
      <c r="D3746">
        <v>0</v>
      </c>
      <c r="E3746">
        <v>1</v>
      </c>
      <c r="F3746" s="7">
        <v>302642.08</v>
      </c>
      <c r="G3746">
        <v>0</v>
      </c>
      <c r="H3746" s="7">
        <v>0</v>
      </c>
    </row>
    <row r="3747" spans="1:8">
      <c r="A3747">
        <v>3</v>
      </c>
      <c r="B3747" t="s">
        <v>46</v>
      </c>
      <c r="C3747" t="s">
        <v>35</v>
      </c>
      <c r="D3747">
        <v>0</v>
      </c>
      <c r="E3747">
        <v>1</v>
      </c>
      <c r="F3747" s="7">
        <v>194242.46</v>
      </c>
      <c r="G3747">
        <v>0</v>
      </c>
      <c r="H3747" s="7">
        <v>0</v>
      </c>
    </row>
    <row r="3748" spans="1:8">
      <c r="A3748">
        <v>3</v>
      </c>
      <c r="B3748" t="s">
        <v>46</v>
      </c>
      <c r="C3748" t="s">
        <v>35</v>
      </c>
      <c r="D3748">
        <v>0</v>
      </c>
      <c r="E3748">
        <v>1</v>
      </c>
      <c r="F3748" s="7">
        <v>236510.08</v>
      </c>
      <c r="G3748">
        <v>0</v>
      </c>
      <c r="H3748" s="7">
        <v>0</v>
      </c>
    </row>
    <row r="3749" spans="1:8">
      <c r="A3749">
        <v>3</v>
      </c>
      <c r="B3749" t="s">
        <v>46</v>
      </c>
      <c r="C3749" t="s">
        <v>34</v>
      </c>
      <c r="D3749">
        <v>0</v>
      </c>
      <c r="E3749">
        <v>1</v>
      </c>
      <c r="F3749" s="7">
        <v>76284.92</v>
      </c>
      <c r="G3749">
        <v>0</v>
      </c>
      <c r="H3749" s="7">
        <v>0</v>
      </c>
    </row>
    <row r="3750" spans="1:8">
      <c r="A3750">
        <v>3</v>
      </c>
      <c r="B3750" t="s">
        <v>46</v>
      </c>
      <c r="C3750" t="s">
        <v>34</v>
      </c>
      <c r="D3750">
        <v>0</v>
      </c>
      <c r="E3750">
        <v>1</v>
      </c>
      <c r="F3750" s="7">
        <v>34936.53</v>
      </c>
      <c r="G3750">
        <v>0</v>
      </c>
      <c r="H3750" s="7">
        <v>0</v>
      </c>
    </row>
    <row r="3751" spans="1:8">
      <c r="A3751">
        <v>3</v>
      </c>
      <c r="B3751" t="s">
        <v>46</v>
      </c>
      <c r="C3751" t="s">
        <v>35</v>
      </c>
      <c r="D3751">
        <v>0</v>
      </c>
      <c r="E3751">
        <v>1</v>
      </c>
      <c r="F3751" s="7">
        <v>148620.65</v>
      </c>
      <c r="G3751">
        <v>0</v>
      </c>
      <c r="H3751" s="7">
        <v>0</v>
      </c>
    </row>
    <row r="3752" spans="1:8">
      <c r="A3752">
        <v>3</v>
      </c>
      <c r="B3752" t="s">
        <v>46</v>
      </c>
      <c r="C3752" t="s">
        <v>34</v>
      </c>
      <c r="D3752">
        <v>0</v>
      </c>
      <c r="E3752">
        <v>1</v>
      </c>
      <c r="F3752" s="7">
        <v>46013.11</v>
      </c>
      <c r="G3752">
        <v>0</v>
      </c>
      <c r="H3752" s="7">
        <v>0</v>
      </c>
    </row>
    <row r="3753" spans="1:8">
      <c r="A3753">
        <v>3</v>
      </c>
      <c r="B3753" t="s">
        <v>46</v>
      </c>
      <c r="C3753" t="s">
        <v>35</v>
      </c>
      <c r="D3753">
        <v>0</v>
      </c>
      <c r="E3753">
        <v>1</v>
      </c>
      <c r="F3753" s="7">
        <v>155624</v>
      </c>
      <c r="G3753">
        <v>0</v>
      </c>
      <c r="H3753" s="7">
        <v>0</v>
      </c>
    </row>
    <row r="3754" spans="1:8">
      <c r="A3754">
        <v>3</v>
      </c>
      <c r="B3754" t="s">
        <v>46</v>
      </c>
      <c r="C3754" t="s">
        <v>35</v>
      </c>
      <c r="D3754">
        <v>0</v>
      </c>
      <c r="E3754">
        <v>1</v>
      </c>
      <c r="F3754" s="7">
        <v>151132.51</v>
      </c>
      <c r="G3754">
        <v>0</v>
      </c>
      <c r="H3754" s="7">
        <v>0</v>
      </c>
    </row>
    <row r="3755" spans="1:8">
      <c r="A3755">
        <v>3</v>
      </c>
      <c r="B3755" t="s">
        <v>46</v>
      </c>
      <c r="C3755" t="s">
        <v>34</v>
      </c>
      <c r="D3755">
        <v>0</v>
      </c>
      <c r="E3755">
        <v>1</v>
      </c>
      <c r="F3755" s="7">
        <v>22624.41</v>
      </c>
      <c r="G3755">
        <v>0</v>
      </c>
      <c r="H3755" s="7">
        <v>0</v>
      </c>
    </row>
    <row r="3756" spans="1:8">
      <c r="A3756">
        <v>3</v>
      </c>
      <c r="B3756" t="s">
        <v>46</v>
      </c>
      <c r="C3756" t="s">
        <v>35</v>
      </c>
      <c r="D3756">
        <v>0</v>
      </c>
      <c r="E3756">
        <v>1</v>
      </c>
      <c r="F3756" s="7">
        <v>168846.2</v>
      </c>
      <c r="G3756">
        <v>0</v>
      </c>
      <c r="H3756" s="7">
        <v>0</v>
      </c>
    </row>
    <row r="3757" spans="1:8">
      <c r="A3757">
        <v>3</v>
      </c>
      <c r="B3757" t="s">
        <v>46</v>
      </c>
      <c r="C3757" t="s">
        <v>33</v>
      </c>
      <c r="D3757">
        <v>0</v>
      </c>
      <c r="E3757">
        <v>1</v>
      </c>
      <c r="F3757" s="7">
        <v>1332.59</v>
      </c>
      <c r="G3757">
        <v>0</v>
      </c>
      <c r="H3757" s="7">
        <v>0</v>
      </c>
    </row>
    <row r="3758" spans="1:8">
      <c r="A3758">
        <v>3</v>
      </c>
      <c r="B3758" t="s">
        <v>46</v>
      </c>
      <c r="C3758" t="s">
        <v>35</v>
      </c>
      <c r="D3758">
        <v>0</v>
      </c>
      <c r="E3758">
        <v>1</v>
      </c>
      <c r="F3758" s="7">
        <v>263407.81</v>
      </c>
      <c r="G3758">
        <v>0</v>
      </c>
      <c r="H3758" s="7">
        <v>0</v>
      </c>
    </row>
    <row r="3759" spans="1:8">
      <c r="A3759">
        <v>3</v>
      </c>
      <c r="B3759" t="s">
        <v>46</v>
      </c>
      <c r="C3759" t="s">
        <v>35</v>
      </c>
      <c r="D3759">
        <v>0</v>
      </c>
      <c r="E3759">
        <v>1</v>
      </c>
      <c r="F3759" s="7">
        <v>196198.94</v>
      </c>
      <c r="G3759">
        <v>0</v>
      </c>
      <c r="H3759" s="7">
        <v>0</v>
      </c>
    </row>
    <row r="3760" spans="1:8">
      <c r="A3760">
        <v>3</v>
      </c>
      <c r="B3760" t="s">
        <v>46</v>
      </c>
      <c r="C3760" t="s">
        <v>35</v>
      </c>
      <c r="D3760">
        <v>0</v>
      </c>
      <c r="E3760">
        <v>1</v>
      </c>
      <c r="F3760" s="7">
        <v>437567.49</v>
      </c>
      <c r="G3760">
        <v>0</v>
      </c>
      <c r="H3760" s="7">
        <v>0</v>
      </c>
    </row>
    <row r="3761" spans="1:8">
      <c r="A3761">
        <v>3</v>
      </c>
      <c r="B3761" t="s">
        <v>46</v>
      </c>
      <c r="C3761" t="s">
        <v>34</v>
      </c>
      <c r="D3761">
        <v>0</v>
      </c>
      <c r="E3761">
        <v>1</v>
      </c>
      <c r="F3761" s="7">
        <v>20997.64</v>
      </c>
      <c r="G3761">
        <v>0</v>
      </c>
      <c r="H3761" s="7">
        <v>0</v>
      </c>
    </row>
    <row r="3762" spans="1:8">
      <c r="A3762">
        <v>3</v>
      </c>
      <c r="B3762" t="s">
        <v>46</v>
      </c>
      <c r="C3762" t="s">
        <v>34</v>
      </c>
      <c r="D3762">
        <v>0</v>
      </c>
      <c r="E3762">
        <v>1</v>
      </c>
      <c r="F3762" s="7">
        <v>56164.21</v>
      </c>
      <c r="G3762">
        <v>0</v>
      </c>
      <c r="H3762" s="7">
        <v>0</v>
      </c>
    </row>
    <row r="3763" spans="1:8">
      <c r="A3763">
        <v>3</v>
      </c>
      <c r="B3763" t="s">
        <v>46</v>
      </c>
      <c r="C3763" t="s">
        <v>34</v>
      </c>
      <c r="D3763">
        <v>0</v>
      </c>
      <c r="E3763">
        <v>1</v>
      </c>
      <c r="F3763" s="7">
        <v>38923.13</v>
      </c>
      <c r="G3763">
        <v>0</v>
      </c>
      <c r="H3763" s="7">
        <v>0</v>
      </c>
    </row>
    <row r="3764" spans="1:8">
      <c r="A3764">
        <v>3</v>
      </c>
      <c r="B3764" t="s">
        <v>46</v>
      </c>
      <c r="C3764" t="s">
        <v>35</v>
      </c>
      <c r="D3764">
        <v>0</v>
      </c>
      <c r="E3764">
        <v>1</v>
      </c>
      <c r="F3764" s="7">
        <v>101640.69</v>
      </c>
      <c r="G3764">
        <v>0</v>
      </c>
      <c r="H3764" s="7">
        <v>0</v>
      </c>
    </row>
    <row r="3765" spans="1:8">
      <c r="A3765">
        <v>3</v>
      </c>
      <c r="B3765" t="s">
        <v>46</v>
      </c>
      <c r="C3765" t="s">
        <v>33</v>
      </c>
      <c r="D3765">
        <v>0</v>
      </c>
      <c r="E3765">
        <v>1</v>
      </c>
      <c r="F3765" s="7">
        <v>7314.79</v>
      </c>
      <c r="G3765">
        <v>0</v>
      </c>
      <c r="H3765" s="7">
        <v>0</v>
      </c>
    </row>
    <row r="3766" spans="1:8">
      <c r="A3766">
        <v>3</v>
      </c>
      <c r="B3766" t="s">
        <v>46</v>
      </c>
      <c r="C3766" t="s">
        <v>34</v>
      </c>
      <c r="D3766">
        <v>0</v>
      </c>
      <c r="E3766">
        <v>1</v>
      </c>
      <c r="F3766" s="7">
        <v>95659.6</v>
      </c>
      <c r="G3766">
        <v>0</v>
      </c>
      <c r="H3766" s="7">
        <v>0</v>
      </c>
    </row>
    <row r="3767" spans="1:8">
      <c r="A3767">
        <v>3</v>
      </c>
      <c r="B3767" t="s">
        <v>46</v>
      </c>
      <c r="C3767" t="s">
        <v>35</v>
      </c>
      <c r="D3767">
        <v>0</v>
      </c>
      <c r="E3767">
        <v>1</v>
      </c>
      <c r="F3767" s="7">
        <v>108216.36</v>
      </c>
      <c r="G3767">
        <v>0</v>
      </c>
      <c r="H3767" s="7">
        <v>0</v>
      </c>
    </row>
    <row r="3768" spans="1:8">
      <c r="A3768">
        <v>3</v>
      </c>
      <c r="B3768" t="s">
        <v>46</v>
      </c>
      <c r="C3768" t="s">
        <v>35</v>
      </c>
      <c r="D3768">
        <v>0</v>
      </c>
      <c r="E3768">
        <v>1</v>
      </c>
      <c r="F3768" s="7">
        <v>289025.75</v>
      </c>
      <c r="G3768">
        <v>0</v>
      </c>
      <c r="H3768" s="7">
        <v>0</v>
      </c>
    </row>
    <row r="3769" spans="1:8">
      <c r="A3769">
        <v>3</v>
      </c>
      <c r="B3769" t="s">
        <v>46</v>
      </c>
      <c r="C3769" t="s">
        <v>35</v>
      </c>
      <c r="D3769">
        <v>0</v>
      </c>
      <c r="E3769">
        <v>1</v>
      </c>
      <c r="F3769" s="7">
        <v>289264.94</v>
      </c>
      <c r="G3769">
        <v>0</v>
      </c>
      <c r="H3769" s="7">
        <v>0</v>
      </c>
    </row>
    <row r="3770" spans="1:8">
      <c r="A3770">
        <v>3</v>
      </c>
      <c r="B3770" t="s">
        <v>46</v>
      </c>
      <c r="C3770" t="s">
        <v>35</v>
      </c>
      <c r="D3770">
        <v>0</v>
      </c>
      <c r="E3770">
        <v>1</v>
      </c>
      <c r="F3770" s="7">
        <v>129977.85</v>
      </c>
      <c r="G3770">
        <v>0</v>
      </c>
      <c r="H3770" s="7">
        <v>0</v>
      </c>
    </row>
    <row r="3771" spans="1:8">
      <c r="A3771">
        <v>3</v>
      </c>
      <c r="B3771" t="s">
        <v>46</v>
      </c>
      <c r="C3771" t="s">
        <v>35</v>
      </c>
      <c r="D3771">
        <v>0</v>
      </c>
      <c r="E3771">
        <v>1</v>
      </c>
      <c r="F3771" s="7">
        <v>285360.2</v>
      </c>
      <c r="G3771">
        <v>0</v>
      </c>
      <c r="H3771" s="7">
        <v>0</v>
      </c>
    </row>
    <row r="3772" spans="1:8">
      <c r="A3772">
        <v>3</v>
      </c>
      <c r="B3772" t="s">
        <v>46</v>
      </c>
      <c r="C3772" t="s">
        <v>35</v>
      </c>
      <c r="D3772">
        <v>0</v>
      </c>
      <c r="E3772">
        <v>1</v>
      </c>
      <c r="F3772" s="7">
        <v>351903.76</v>
      </c>
      <c r="G3772">
        <v>0</v>
      </c>
      <c r="H3772" s="7">
        <v>0</v>
      </c>
    </row>
    <row r="3773" spans="1:8">
      <c r="A3773">
        <v>3</v>
      </c>
      <c r="B3773" t="s">
        <v>46</v>
      </c>
      <c r="C3773" t="s">
        <v>35</v>
      </c>
      <c r="D3773">
        <v>0</v>
      </c>
      <c r="E3773">
        <v>1</v>
      </c>
      <c r="F3773" s="7">
        <v>132864.71</v>
      </c>
      <c r="G3773">
        <v>0</v>
      </c>
      <c r="H3773" s="7">
        <v>0</v>
      </c>
    </row>
    <row r="3774" spans="1:8">
      <c r="A3774">
        <v>3</v>
      </c>
      <c r="B3774" t="s">
        <v>46</v>
      </c>
      <c r="C3774" t="s">
        <v>34</v>
      </c>
      <c r="D3774">
        <v>0</v>
      </c>
      <c r="E3774">
        <v>1</v>
      </c>
      <c r="F3774" s="7">
        <v>94578.73</v>
      </c>
      <c r="G3774">
        <v>0</v>
      </c>
      <c r="H3774" s="7">
        <v>0</v>
      </c>
    </row>
    <row r="3775" spans="1:8">
      <c r="A3775">
        <v>3</v>
      </c>
      <c r="B3775" t="s">
        <v>46</v>
      </c>
      <c r="C3775" t="s">
        <v>35</v>
      </c>
      <c r="D3775">
        <v>0</v>
      </c>
      <c r="E3775">
        <v>1</v>
      </c>
      <c r="F3775" s="7">
        <v>223593.6</v>
      </c>
      <c r="G3775">
        <v>0</v>
      </c>
      <c r="H3775" s="7">
        <v>0</v>
      </c>
    </row>
    <row r="3776" spans="1:8">
      <c r="A3776">
        <v>3</v>
      </c>
      <c r="B3776" t="s">
        <v>46</v>
      </c>
      <c r="C3776" t="s">
        <v>35</v>
      </c>
      <c r="D3776">
        <v>0</v>
      </c>
      <c r="E3776">
        <v>1</v>
      </c>
      <c r="F3776" s="7">
        <v>228724.76</v>
      </c>
      <c r="G3776">
        <v>0</v>
      </c>
      <c r="H3776" s="7">
        <v>0</v>
      </c>
    </row>
    <row r="3777" spans="1:8">
      <c r="A3777">
        <v>3</v>
      </c>
      <c r="B3777" t="s">
        <v>46</v>
      </c>
      <c r="C3777" t="s">
        <v>35</v>
      </c>
      <c r="D3777">
        <v>0</v>
      </c>
      <c r="E3777">
        <v>1</v>
      </c>
      <c r="F3777" s="7">
        <v>176732.94</v>
      </c>
      <c r="G3777">
        <v>0</v>
      </c>
      <c r="H3777" s="7">
        <v>0</v>
      </c>
    </row>
    <row r="3778" spans="1:8">
      <c r="A3778">
        <v>3</v>
      </c>
      <c r="B3778" t="s">
        <v>46</v>
      </c>
      <c r="C3778" t="s">
        <v>34</v>
      </c>
      <c r="D3778">
        <v>0</v>
      </c>
      <c r="E3778">
        <v>1</v>
      </c>
      <c r="F3778" s="7">
        <v>93078.04</v>
      </c>
      <c r="G3778">
        <v>0</v>
      </c>
      <c r="H3778" s="7">
        <v>0</v>
      </c>
    </row>
    <row r="3779" spans="1:8">
      <c r="A3779">
        <v>3</v>
      </c>
      <c r="B3779" t="s">
        <v>46</v>
      </c>
      <c r="C3779" t="s">
        <v>35</v>
      </c>
      <c r="D3779">
        <v>0</v>
      </c>
      <c r="E3779">
        <v>1</v>
      </c>
      <c r="F3779" s="7">
        <v>194800.13</v>
      </c>
      <c r="G3779">
        <v>0</v>
      </c>
      <c r="H3779" s="7">
        <v>0</v>
      </c>
    </row>
    <row r="3780" spans="1:8">
      <c r="A3780">
        <v>3</v>
      </c>
      <c r="B3780" t="s">
        <v>46</v>
      </c>
      <c r="C3780" t="s">
        <v>35</v>
      </c>
      <c r="D3780">
        <v>0</v>
      </c>
      <c r="E3780">
        <v>1</v>
      </c>
      <c r="F3780" s="7">
        <v>227590.61</v>
      </c>
      <c r="G3780">
        <v>0</v>
      </c>
      <c r="H3780" s="7">
        <v>0</v>
      </c>
    </row>
    <row r="3781" spans="1:8">
      <c r="A3781">
        <v>3</v>
      </c>
      <c r="B3781" t="s">
        <v>46</v>
      </c>
      <c r="C3781" t="s">
        <v>34</v>
      </c>
      <c r="D3781">
        <v>0</v>
      </c>
      <c r="E3781">
        <v>1</v>
      </c>
      <c r="F3781" s="7">
        <v>56556.28</v>
      </c>
      <c r="G3781">
        <v>0</v>
      </c>
      <c r="H3781" s="7">
        <v>0</v>
      </c>
    </row>
    <row r="3782" spans="1:8">
      <c r="A3782">
        <v>3</v>
      </c>
      <c r="B3782" t="s">
        <v>46</v>
      </c>
      <c r="C3782" t="s">
        <v>34</v>
      </c>
      <c r="D3782">
        <v>0</v>
      </c>
      <c r="E3782">
        <v>1</v>
      </c>
      <c r="F3782" s="7">
        <v>11055.14</v>
      </c>
      <c r="G3782">
        <v>0</v>
      </c>
      <c r="H3782" s="7">
        <v>0</v>
      </c>
    </row>
    <row r="3783" spans="1:8">
      <c r="A3783">
        <v>3</v>
      </c>
      <c r="B3783" t="s">
        <v>42</v>
      </c>
      <c r="C3783" t="s">
        <v>34</v>
      </c>
      <c r="D3783">
        <v>0</v>
      </c>
      <c r="E3783">
        <v>1</v>
      </c>
      <c r="F3783" s="7">
        <v>13012.92</v>
      </c>
      <c r="G3783">
        <v>0</v>
      </c>
      <c r="H3783" s="7">
        <v>0</v>
      </c>
    </row>
    <row r="3784" spans="1:8">
      <c r="A3784">
        <v>3</v>
      </c>
      <c r="B3784" t="s">
        <v>44</v>
      </c>
      <c r="C3784" t="s">
        <v>34</v>
      </c>
      <c r="D3784">
        <v>0</v>
      </c>
      <c r="E3784">
        <v>1</v>
      </c>
      <c r="F3784" s="7">
        <v>13326.35</v>
      </c>
      <c r="G3784">
        <v>0</v>
      </c>
      <c r="H3784" s="7">
        <v>0</v>
      </c>
    </row>
    <row r="3785" spans="1:8">
      <c r="A3785">
        <v>3</v>
      </c>
      <c r="B3785" t="s">
        <v>42</v>
      </c>
      <c r="C3785" t="s">
        <v>33</v>
      </c>
      <c r="D3785">
        <v>0</v>
      </c>
      <c r="E3785">
        <v>1</v>
      </c>
      <c r="F3785" s="7">
        <v>2791.64</v>
      </c>
      <c r="G3785">
        <v>0</v>
      </c>
      <c r="H3785" s="7">
        <v>0</v>
      </c>
    </row>
    <row r="3786" spans="1:8">
      <c r="A3786">
        <v>3</v>
      </c>
      <c r="B3786" t="s">
        <v>42</v>
      </c>
      <c r="C3786" t="s">
        <v>32</v>
      </c>
      <c r="D3786">
        <v>0</v>
      </c>
      <c r="E3786">
        <v>1</v>
      </c>
      <c r="F3786" s="7">
        <v>380.76</v>
      </c>
      <c r="G3786">
        <v>0</v>
      </c>
      <c r="H3786" s="7">
        <v>0</v>
      </c>
    </row>
    <row r="3787" spans="1:8">
      <c r="A3787">
        <v>3</v>
      </c>
      <c r="B3787" t="s">
        <v>42</v>
      </c>
      <c r="C3787" t="s">
        <v>34</v>
      </c>
      <c r="D3787">
        <v>0</v>
      </c>
      <c r="E3787">
        <v>1</v>
      </c>
      <c r="F3787" s="7">
        <v>12885.43</v>
      </c>
      <c r="G3787">
        <v>0</v>
      </c>
      <c r="H3787" s="7">
        <v>0</v>
      </c>
    </row>
    <row r="3788" spans="1:8">
      <c r="A3788">
        <v>3</v>
      </c>
      <c r="B3788" t="s">
        <v>43</v>
      </c>
      <c r="C3788" t="s">
        <v>35</v>
      </c>
      <c r="D3788">
        <v>0</v>
      </c>
      <c r="E3788">
        <v>1</v>
      </c>
      <c r="F3788" s="7">
        <v>149995.94</v>
      </c>
      <c r="G3788">
        <v>0</v>
      </c>
      <c r="H3788" s="7">
        <v>0</v>
      </c>
    </row>
    <row r="3789" spans="1:8">
      <c r="A3789">
        <v>3</v>
      </c>
      <c r="B3789" t="s">
        <v>42</v>
      </c>
      <c r="C3789" t="s">
        <v>33</v>
      </c>
      <c r="D3789">
        <v>0</v>
      </c>
      <c r="E3789">
        <v>1</v>
      </c>
      <c r="F3789" s="7">
        <v>2789.37</v>
      </c>
      <c r="G3789">
        <v>0</v>
      </c>
      <c r="H3789" s="7">
        <v>0</v>
      </c>
    </row>
    <row r="3790" spans="1:8">
      <c r="A3790">
        <v>3</v>
      </c>
      <c r="B3790" t="s">
        <v>45</v>
      </c>
      <c r="C3790" t="s">
        <v>33</v>
      </c>
      <c r="D3790">
        <v>0</v>
      </c>
      <c r="E3790">
        <v>1</v>
      </c>
      <c r="F3790" s="7">
        <v>3332.58</v>
      </c>
      <c r="G3790">
        <v>0</v>
      </c>
      <c r="H3790" s="7">
        <v>0</v>
      </c>
    </row>
    <row r="3791" spans="1:8">
      <c r="A3791">
        <v>3</v>
      </c>
      <c r="B3791" t="s">
        <v>45</v>
      </c>
      <c r="C3791" t="s">
        <v>33</v>
      </c>
      <c r="D3791">
        <v>0</v>
      </c>
      <c r="E3791">
        <v>1</v>
      </c>
      <c r="F3791" s="7">
        <v>4364.24</v>
      </c>
      <c r="G3791">
        <v>0</v>
      </c>
      <c r="H3791" s="7">
        <v>0</v>
      </c>
    </row>
    <row r="3792" spans="1:8">
      <c r="A3792">
        <v>3</v>
      </c>
      <c r="B3792" t="s">
        <v>42</v>
      </c>
      <c r="C3792" t="s">
        <v>34</v>
      </c>
      <c r="D3792">
        <v>0</v>
      </c>
      <c r="E3792">
        <v>1</v>
      </c>
      <c r="F3792" s="7">
        <v>22475.23</v>
      </c>
      <c r="G3792">
        <v>0</v>
      </c>
      <c r="H3792" s="7">
        <v>0</v>
      </c>
    </row>
    <row r="3793" spans="1:8">
      <c r="A3793">
        <v>3</v>
      </c>
      <c r="B3793" t="s">
        <v>42</v>
      </c>
      <c r="C3793" t="s">
        <v>34</v>
      </c>
      <c r="D3793">
        <v>0</v>
      </c>
      <c r="E3793">
        <v>1</v>
      </c>
      <c r="F3793" s="7">
        <v>25389.14</v>
      </c>
      <c r="G3793">
        <v>0</v>
      </c>
      <c r="H3793" s="7">
        <v>0</v>
      </c>
    </row>
    <row r="3794" spans="1:8">
      <c r="A3794">
        <v>3</v>
      </c>
      <c r="B3794" t="s">
        <v>42</v>
      </c>
      <c r="C3794" t="s">
        <v>33</v>
      </c>
      <c r="D3794">
        <v>0</v>
      </c>
      <c r="E3794">
        <v>1</v>
      </c>
      <c r="F3794" s="7">
        <v>2455.51</v>
      </c>
      <c r="G3794">
        <v>0</v>
      </c>
      <c r="H3794" s="7">
        <v>0</v>
      </c>
    </row>
    <row r="3795" spans="1:8">
      <c r="A3795">
        <v>3</v>
      </c>
      <c r="B3795" t="s">
        <v>42</v>
      </c>
      <c r="C3795" t="s">
        <v>33</v>
      </c>
      <c r="D3795">
        <v>0</v>
      </c>
      <c r="E3795">
        <v>1</v>
      </c>
      <c r="F3795" s="7">
        <v>4402.18</v>
      </c>
      <c r="G3795">
        <v>0</v>
      </c>
      <c r="H3795" s="7">
        <v>0</v>
      </c>
    </row>
    <row r="3796" spans="1:8">
      <c r="A3796">
        <v>3</v>
      </c>
      <c r="B3796" t="s">
        <v>42</v>
      </c>
      <c r="C3796" t="s">
        <v>34</v>
      </c>
      <c r="D3796">
        <v>0</v>
      </c>
      <c r="E3796">
        <v>1</v>
      </c>
      <c r="F3796" s="7">
        <v>21568.37</v>
      </c>
      <c r="G3796">
        <v>0</v>
      </c>
      <c r="H3796" s="7">
        <v>0</v>
      </c>
    </row>
    <row r="3797" spans="1:8">
      <c r="A3797">
        <v>3</v>
      </c>
      <c r="B3797" t="s">
        <v>42</v>
      </c>
      <c r="C3797" t="s">
        <v>34</v>
      </c>
      <c r="D3797">
        <v>0</v>
      </c>
      <c r="E3797">
        <v>1</v>
      </c>
      <c r="F3797" s="7">
        <v>10531.72</v>
      </c>
      <c r="G3797">
        <v>0</v>
      </c>
      <c r="H3797" s="7">
        <v>0</v>
      </c>
    </row>
    <row r="3798" spans="1:8">
      <c r="A3798">
        <v>3</v>
      </c>
      <c r="B3798" t="s">
        <v>42</v>
      </c>
      <c r="C3798" t="s">
        <v>34</v>
      </c>
      <c r="D3798">
        <v>0</v>
      </c>
      <c r="E3798">
        <v>1</v>
      </c>
      <c r="F3798" s="7">
        <v>18491.91</v>
      </c>
      <c r="G3798">
        <v>0</v>
      </c>
      <c r="H3798" s="7">
        <v>0</v>
      </c>
    </row>
    <row r="3799" spans="1:8">
      <c r="A3799">
        <v>3</v>
      </c>
      <c r="B3799" t="s">
        <v>42</v>
      </c>
      <c r="C3799" t="s">
        <v>34</v>
      </c>
      <c r="D3799">
        <v>0</v>
      </c>
      <c r="E3799">
        <v>1</v>
      </c>
      <c r="F3799" s="7">
        <v>10580.12</v>
      </c>
      <c r="G3799">
        <v>0</v>
      </c>
      <c r="H3799" s="7">
        <v>0</v>
      </c>
    </row>
    <row r="3800" spans="1:8">
      <c r="A3800">
        <v>3</v>
      </c>
      <c r="B3800" t="s">
        <v>42</v>
      </c>
      <c r="C3800" t="s">
        <v>32</v>
      </c>
      <c r="D3800">
        <v>0</v>
      </c>
      <c r="E3800">
        <v>1</v>
      </c>
      <c r="F3800" s="7">
        <v>195.73</v>
      </c>
      <c r="G3800">
        <v>0</v>
      </c>
      <c r="H3800" s="7">
        <v>0</v>
      </c>
    </row>
    <row r="3801" spans="1:8">
      <c r="A3801">
        <v>3</v>
      </c>
      <c r="B3801" t="s">
        <v>42</v>
      </c>
      <c r="C3801" t="s">
        <v>34</v>
      </c>
      <c r="D3801">
        <v>0</v>
      </c>
      <c r="E3801">
        <v>1</v>
      </c>
      <c r="F3801" s="7">
        <v>19637.34</v>
      </c>
      <c r="G3801">
        <v>0</v>
      </c>
      <c r="H3801" s="7">
        <v>0</v>
      </c>
    </row>
    <row r="3802" spans="1:8">
      <c r="A3802">
        <v>3</v>
      </c>
      <c r="B3802" t="s">
        <v>42</v>
      </c>
      <c r="C3802" t="s">
        <v>33</v>
      </c>
      <c r="D3802">
        <v>0</v>
      </c>
      <c r="E3802">
        <v>1</v>
      </c>
      <c r="F3802" s="7">
        <v>1442.11</v>
      </c>
      <c r="G3802">
        <v>0</v>
      </c>
      <c r="H3802" s="7">
        <v>0</v>
      </c>
    </row>
    <row r="3803" spans="1:8">
      <c r="A3803">
        <v>3</v>
      </c>
      <c r="B3803" t="s">
        <v>42</v>
      </c>
      <c r="C3803" t="s">
        <v>32</v>
      </c>
      <c r="D3803">
        <v>0</v>
      </c>
      <c r="E3803">
        <v>1</v>
      </c>
      <c r="F3803" s="7">
        <v>429.8</v>
      </c>
      <c r="G3803">
        <v>0</v>
      </c>
      <c r="H3803" s="7">
        <v>0</v>
      </c>
    </row>
    <row r="3804" spans="1:8">
      <c r="A3804">
        <v>3</v>
      </c>
      <c r="B3804" t="s">
        <v>45</v>
      </c>
      <c r="C3804" t="s">
        <v>33</v>
      </c>
      <c r="D3804">
        <v>0</v>
      </c>
      <c r="E3804">
        <v>1</v>
      </c>
      <c r="F3804" s="7">
        <v>1119.49</v>
      </c>
      <c r="G3804">
        <v>0</v>
      </c>
      <c r="H3804" s="7">
        <v>0</v>
      </c>
    </row>
    <row r="3805" spans="1:8">
      <c r="A3805">
        <v>3</v>
      </c>
      <c r="B3805" t="s">
        <v>42</v>
      </c>
      <c r="C3805" t="s">
        <v>34</v>
      </c>
      <c r="D3805">
        <v>0</v>
      </c>
      <c r="E3805">
        <v>1</v>
      </c>
      <c r="F3805" s="7">
        <v>12827.97</v>
      </c>
      <c r="G3805">
        <v>0</v>
      </c>
      <c r="H3805" s="7">
        <v>0</v>
      </c>
    </row>
    <row r="3806" spans="1:8">
      <c r="A3806">
        <v>3</v>
      </c>
      <c r="B3806" t="s">
        <v>42</v>
      </c>
      <c r="C3806" t="s">
        <v>33</v>
      </c>
      <c r="D3806">
        <v>0</v>
      </c>
      <c r="E3806">
        <v>1</v>
      </c>
      <c r="F3806" s="7">
        <v>3599.45</v>
      </c>
      <c r="G3806">
        <v>0</v>
      </c>
      <c r="H3806" s="7">
        <v>0</v>
      </c>
    </row>
    <row r="3807" spans="1:8">
      <c r="A3807">
        <v>3</v>
      </c>
      <c r="B3807" t="s">
        <v>42</v>
      </c>
      <c r="C3807" t="s">
        <v>33</v>
      </c>
      <c r="D3807">
        <v>0</v>
      </c>
      <c r="E3807">
        <v>1</v>
      </c>
      <c r="F3807" s="7">
        <v>9289.47</v>
      </c>
      <c r="G3807">
        <v>0</v>
      </c>
      <c r="H3807" s="7">
        <v>0</v>
      </c>
    </row>
    <row r="3808" spans="1:8">
      <c r="A3808">
        <v>3</v>
      </c>
      <c r="B3808" t="s">
        <v>44</v>
      </c>
      <c r="C3808" t="s">
        <v>33</v>
      </c>
      <c r="D3808">
        <v>0</v>
      </c>
      <c r="E3808">
        <v>1</v>
      </c>
      <c r="F3808" s="7">
        <v>7108.61</v>
      </c>
      <c r="G3808">
        <v>0</v>
      </c>
      <c r="H3808" s="7">
        <v>0</v>
      </c>
    </row>
    <row r="3809" spans="1:8">
      <c r="A3809">
        <v>3</v>
      </c>
      <c r="B3809" t="s">
        <v>42</v>
      </c>
      <c r="C3809" t="s">
        <v>34</v>
      </c>
      <c r="D3809">
        <v>0</v>
      </c>
      <c r="E3809">
        <v>1</v>
      </c>
      <c r="F3809" s="7">
        <v>14503.9</v>
      </c>
      <c r="G3809">
        <v>0</v>
      </c>
      <c r="H3809" s="7">
        <v>0</v>
      </c>
    </row>
    <row r="3810" spans="1:8">
      <c r="A3810">
        <v>3</v>
      </c>
      <c r="B3810" t="s">
        <v>44</v>
      </c>
      <c r="C3810" t="s">
        <v>34</v>
      </c>
      <c r="D3810">
        <v>0</v>
      </c>
      <c r="E3810">
        <v>1</v>
      </c>
      <c r="F3810" s="7">
        <v>13881.42</v>
      </c>
      <c r="G3810">
        <v>0</v>
      </c>
      <c r="H3810" s="7">
        <v>0</v>
      </c>
    </row>
    <row r="3811" spans="1:8">
      <c r="A3811">
        <v>3</v>
      </c>
      <c r="B3811" t="s">
        <v>43</v>
      </c>
      <c r="C3811" t="s">
        <v>34</v>
      </c>
      <c r="D3811">
        <v>0</v>
      </c>
      <c r="E3811">
        <v>1</v>
      </c>
      <c r="F3811" s="7">
        <v>66548.43</v>
      </c>
      <c r="G3811">
        <v>0</v>
      </c>
      <c r="H3811" s="7">
        <v>0</v>
      </c>
    </row>
    <row r="3812" spans="1:8">
      <c r="A3812">
        <v>3</v>
      </c>
      <c r="B3812" t="s">
        <v>44</v>
      </c>
      <c r="C3812" t="s">
        <v>33</v>
      </c>
      <c r="D3812">
        <v>0</v>
      </c>
      <c r="E3812">
        <v>1</v>
      </c>
      <c r="F3812" s="7">
        <v>8442.16</v>
      </c>
      <c r="G3812">
        <v>0</v>
      </c>
      <c r="H3812" s="7">
        <v>0</v>
      </c>
    </row>
    <row r="3813" spans="1:8">
      <c r="A3813">
        <v>3</v>
      </c>
      <c r="B3813" t="s">
        <v>44</v>
      </c>
      <c r="C3813" t="s">
        <v>34</v>
      </c>
      <c r="D3813">
        <v>0</v>
      </c>
      <c r="E3813">
        <v>1</v>
      </c>
      <c r="F3813" s="7">
        <v>68934.46</v>
      </c>
      <c r="G3813">
        <v>0</v>
      </c>
      <c r="H3813" s="7">
        <v>0</v>
      </c>
    </row>
    <row r="3814" spans="1:8">
      <c r="A3814">
        <v>3</v>
      </c>
      <c r="B3814" t="s">
        <v>44</v>
      </c>
      <c r="C3814" t="s">
        <v>34</v>
      </c>
      <c r="D3814">
        <v>0</v>
      </c>
      <c r="E3814">
        <v>1</v>
      </c>
      <c r="F3814" s="7">
        <v>99349.84</v>
      </c>
      <c r="G3814">
        <v>0</v>
      </c>
      <c r="H3814" s="7">
        <v>0</v>
      </c>
    </row>
    <row r="3815" spans="1:8">
      <c r="A3815">
        <v>3</v>
      </c>
      <c r="B3815" t="s">
        <v>44</v>
      </c>
      <c r="C3815" t="s">
        <v>35</v>
      </c>
      <c r="D3815">
        <v>0</v>
      </c>
      <c r="E3815">
        <v>1</v>
      </c>
      <c r="F3815" s="7">
        <v>443092.83</v>
      </c>
      <c r="G3815">
        <v>0</v>
      </c>
      <c r="H3815" s="7">
        <v>0</v>
      </c>
    </row>
    <row r="3816" spans="1:8">
      <c r="A3816">
        <v>3</v>
      </c>
      <c r="B3816" t="s">
        <v>42</v>
      </c>
      <c r="C3816" t="s">
        <v>34</v>
      </c>
      <c r="D3816">
        <v>0</v>
      </c>
      <c r="E3816">
        <v>1</v>
      </c>
      <c r="F3816" s="7">
        <v>14878.76</v>
      </c>
      <c r="G3816">
        <v>0</v>
      </c>
      <c r="H3816" s="7">
        <v>0</v>
      </c>
    </row>
    <row r="3817" spans="1:8">
      <c r="A3817">
        <v>3</v>
      </c>
      <c r="B3817" t="s">
        <v>44</v>
      </c>
      <c r="C3817" t="s">
        <v>34</v>
      </c>
      <c r="D3817">
        <v>0</v>
      </c>
      <c r="E3817">
        <v>1</v>
      </c>
      <c r="F3817" s="7">
        <v>76289.1</v>
      </c>
      <c r="G3817">
        <v>0</v>
      </c>
      <c r="H3817" s="7">
        <v>0</v>
      </c>
    </row>
    <row r="3818" spans="1:8">
      <c r="A3818">
        <v>3</v>
      </c>
      <c r="B3818" t="s">
        <v>42</v>
      </c>
      <c r="C3818" t="s">
        <v>34</v>
      </c>
      <c r="D3818">
        <v>0</v>
      </c>
      <c r="E3818">
        <v>1</v>
      </c>
      <c r="F3818" s="7">
        <v>14546.82</v>
      </c>
      <c r="G3818">
        <v>0</v>
      </c>
      <c r="H3818" s="7">
        <v>0</v>
      </c>
    </row>
    <row r="3819" spans="1:8">
      <c r="A3819">
        <v>3</v>
      </c>
      <c r="B3819" t="s">
        <v>42</v>
      </c>
      <c r="C3819" t="s">
        <v>34</v>
      </c>
      <c r="D3819">
        <v>0</v>
      </c>
      <c r="E3819">
        <v>1</v>
      </c>
      <c r="F3819" s="7">
        <v>16795.7</v>
      </c>
      <c r="G3819">
        <v>0</v>
      </c>
      <c r="H3819" s="7">
        <v>0</v>
      </c>
    </row>
    <row r="3820" spans="1:8">
      <c r="A3820">
        <v>3</v>
      </c>
      <c r="B3820" t="s">
        <v>42</v>
      </c>
      <c r="C3820" t="s">
        <v>34</v>
      </c>
      <c r="D3820">
        <v>0</v>
      </c>
      <c r="E3820">
        <v>1</v>
      </c>
      <c r="F3820" s="7">
        <v>17788.49</v>
      </c>
      <c r="G3820">
        <v>0</v>
      </c>
      <c r="H3820" s="7">
        <v>0</v>
      </c>
    </row>
    <row r="3821" spans="1:8">
      <c r="A3821">
        <v>3</v>
      </c>
      <c r="B3821" t="s">
        <v>44</v>
      </c>
      <c r="C3821" t="s">
        <v>33</v>
      </c>
      <c r="D3821">
        <v>0</v>
      </c>
      <c r="E3821">
        <v>1</v>
      </c>
      <c r="F3821" s="7">
        <v>7547.06</v>
      </c>
      <c r="G3821">
        <v>0</v>
      </c>
      <c r="H3821" s="7">
        <v>0</v>
      </c>
    </row>
    <row r="3822" spans="1:8">
      <c r="A3822">
        <v>3</v>
      </c>
      <c r="B3822" t="s">
        <v>42</v>
      </c>
      <c r="C3822" t="s">
        <v>34</v>
      </c>
      <c r="D3822">
        <v>0</v>
      </c>
      <c r="E3822">
        <v>1</v>
      </c>
      <c r="F3822" s="7">
        <v>11621.56</v>
      </c>
      <c r="G3822">
        <v>0</v>
      </c>
      <c r="H3822" s="7">
        <v>0</v>
      </c>
    </row>
    <row r="3823" spans="1:8">
      <c r="A3823">
        <v>3</v>
      </c>
      <c r="B3823" t="s">
        <v>44</v>
      </c>
      <c r="C3823" t="s">
        <v>34</v>
      </c>
      <c r="D3823">
        <v>0</v>
      </c>
      <c r="E3823">
        <v>1</v>
      </c>
      <c r="F3823" s="7">
        <v>25026.76</v>
      </c>
      <c r="G3823">
        <v>0</v>
      </c>
      <c r="H3823" s="7">
        <v>0</v>
      </c>
    </row>
    <row r="3824" spans="1:8">
      <c r="A3824">
        <v>3</v>
      </c>
      <c r="B3824" t="s">
        <v>42</v>
      </c>
      <c r="C3824" t="s">
        <v>33</v>
      </c>
      <c r="D3824">
        <v>0</v>
      </c>
      <c r="E3824">
        <v>1</v>
      </c>
      <c r="F3824" s="7">
        <v>7517.69</v>
      </c>
      <c r="G3824">
        <v>0</v>
      </c>
      <c r="H3824" s="7">
        <v>0</v>
      </c>
    </row>
    <row r="3825" spans="1:8">
      <c r="A3825">
        <v>3</v>
      </c>
      <c r="B3825" t="s">
        <v>42</v>
      </c>
      <c r="C3825" t="s">
        <v>34</v>
      </c>
      <c r="D3825">
        <v>0</v>
      </c>
      <c r="E3825">
        <v>1</v>
      </c>
      <c r="F3825" s="7">
        <v>17694.76</v>
      </c>
      <c r="G3825">
        <v>0</v>
      </c>
      <c r="H3825" s="7">
        <v>0</v>
      </c>
    </row>
    <row r="3826" spans="1:8">
      <c r="A3826">
        <v>3</v>
      </c>
      <c r="B3826" t="s">
        <v>42</v>
      </c>
      <c r="C3826" t="s">
        <v>34</v>
      </c>
      <c r="D3826">
        <v>0</v>
      </c>
      <c r="E3826">
        <v>1</v>
      </c>
      <c r="F3826" s="7">
        <v>30161.79</v>
      </c>
      <c r="G3826">
        <v>0</v>
      </c>
      <c r="H3826" s="7">
        <v>0</v>
      </c>
    </row>
    <row r="3827" spans="1:8">
      <c r="A3827">
        <v>3</v>
      </c>
      <c r="B3827" t="s">
        <v>42</v>
      </c>
      <c r="C3827" t="s">
        <v>34</v>
      </c>
      <c r="D3827">
        <v>0</v>
      </c>
      <c r="E3827">
        <v>1</v>
      </c>
      <c r="F3827" s="7">
        <v>10485.37</v>
      </c>
      <c r="G3827">
        <v>0</v>
      </c>
      <c r="H3827" s="7">
        <v>0</v>
      </c>
    </row>
    <row r="3828" spans="1:8">
      <c r="A3828">
        <v>3</v>
      </c>
      <c r="B3828" t="s">
        <v>44</v>
      </c>
      <c r="C3828" t="s">
        <v>34</v>
      </c>
      <c r="D3828">
        <v>0</v>
      </c>
      <c r="E3828">
        <v>1</v>
      </c>
      <c r="F3828" s="7">
        <v>10438.26</v>
      </c>
      <c r="G3828">
        <v>0</v>
      </c>
      <c r="H3828" s="7">
        <v>0</v>
      </c>
    </row>
    <row r="3829" spans="1:8">
      <c r="A3829">
        <v>3</v>
      </c>
      <c r="B3829" t="s">
        <v>42</v>
      </c>
      <c r="C3829" t="s">
        <v>33</v>
      </c>
      <c r="D3829">
        <v>0</v>
      </c>
      <c r="E3829">
        <v>1</v>
      </c>
      <c r="F3829" s="7">
        <v>1651.39</v>
      </c>
      <c r="G3829">
        <v>0</v>
      </c>
      <c r="H3829" s="7">
        <v>0</v>
      </c>
    </row>
    <row r="3830" spans="1:8">
      <c r="A3830">
        <v>3</v>
      </c>
      <c r="B3830" t="s">
        <v>42</v>
      </c>
      <c r="C3830" t="s">
        <v>34</v>
      </c>
      <c r="D3830">
        <v>0</v>
      </c>
      <c r="E3830">
        <v>1</v>
      </c>
      <c r="F3830" s="7">
        <v>27475.78</v>
      </c>
      <c r="G3830">
        <v>0</v>
      </c>
      <c r="H3830" s="7">
        <v>0</v>
      </c>
    </row>
    <row r="3831" spans="1:8">
      <c r="A3831">
        <v>3</v>
      </c>
      <c r="B3831" t="s">
        <v>45</v>
      </c>
      <c r="C3831" t="s">
        <v>33</v>
      </c>
      <c r="D3831">
        <v>0</v>
      </c>
      <c r="E3831">
        <v>1</v>
      </c>
      <c r="F3831" s="7">
        <v>2623.75</v>
      </c>
      <c r="G3831">
        <v>0</v>
      </c>
      <c r="H3831" s="7">
        <v>0</v>
      </c>
    </row>
    <row r="3832" spans="1:8">
      <c r="A3832">
        <v>3</v>
      </c>
      <c r="B3832" t="s">
        <v>42</v>
      </c>
      <c r="C3832" t="s">
        <v>33</v>
      </c>
      <c r="D3832">
        <v>0</v>
      </c>
      <c r="E3832">
        <v>1</v>
      </c>
      <c r="F3832" s="7">
        <v>4475.02</v>
      </c>
      <c r="G3832">
        <v>0</v>
      </c>
      <c r="H3832" s="7">
        <v>0</v>
      </c>
    </row>
    <row r="3833" spans="1:8">
      <c r="A3833">
        <v>3</v>
      </c>
      <c r="B3833" t="s">
        <v>42</v>
      </c>
      <c r="C3833" t="s">
        <v>34</v>
      </c>
      <c r="D3833">
        <v>0</v>
      </c>
      <c r="E3833">
        <v>1</v>
      </c>
      <c r="F3833" s="7">
        <v>10565.64</v>
      </c>
      <c r="G3833">
        <v>0</v>
      </c>
      <c r="H3833" s="7">
        <v>0</v>
      </c>
    </row>
    <row r="3834" spans="1:8">
      <c r="A3834">
        <v>3</v>
      </c>
      <c r="B3834" t="s">
        <v>42</v>
      </c>
      <c r="C3834" t="s">
        <v>34</v>
      </c>
      <c r="D3834">
        <v>0</v>
      </c>
      <c r="E3834">
        <v>1</v>
      </c>
      <c r="F3834" s="7">
        <v>12769.01</v>
      </c>
      <c r="G3834">
        <v>0</v>
      </c>
      <c r="H3834" s="7">
        <v>0</v>
      </c>
    </row>
    <row r="3835" spans="1:8">
      <c r="A3835">
        <v>3</v>
      </c>
      <c r="B3835" t="s">
        <v>42</v>
      </c>
      <c r="C3835" t="s">
        <v>32</v>
      </c>
      <c r="D3835">
        <v>0</v>
      </c>
      <c r="E3835">
        <v>1</v>
      </c>
      <c r="F3835" s="7">
        <v>35.2</v>
      </c>
      <c r="G3835">
        <v>0</v>
      </c>
      <c r="H3835" s="7">
        <v>0</v>
      </c>
    </row>
    <row r="3836" spans="1:8">
      <c r="A3836">
        <v>3</v>
      </c>
      <c r="B3836" t="s">
        <v>42</v>
      </c>
      <c r="C3836" t="s">
        <v>33</v>
      </c>
      <c r="D3836">
        <v>0</v>
      </c>
      <c r="E3836">
        <v>1</v>
      </c>
      <c r="F3836" s="7">
        <v>2339.27</v>
      </c>
      <c r="G3836">
        <v>0</v>
      </c>
      <c r="H3836" s="7">
        <v>0</v>
      </c>
    </row>
    <row r="3837" spans="1:8">
      <c r="A3837">
        <v>3</v>
      </c>
      <c r="B3837" t="s">
        <v>42</v>
      </c>
      <c r="C3837" t="s">
        <v>32</v>
      </c>
      <c r="D3837">
        <v>0</v>
      </c>
      <c r="E3837">
        <v>1</v>
      </c>
      <c r="F3837" s="7">
        <v>620.13</v>
      </c>
      <c r="G3837">
        <v>0</v>
      </c>
      <c r="H3837" s="7">
        <v>0</v>
      </c>
    </row>
    <row r="3838" spans="1:8">
      <c r="A3838">
        <v>3</v>
      </c>
      <c r="B3838" t="s">
        <v>45</v>
      </c>
      <c r="C3838" t="s">
        <v>33</v>
      </c>
      <c r="D3838">
        <v>0</v>
      </c>
      <c r="E3838">
        <v>1</v>
      </c>
      <c r="F3838" s="7">
        <v>5204.2</v>
      </c>
      <c r="G3838">
        <v>0</v>
      </c>
      <c r="H3838" s="7">
        <v>0</v>
      </c>
    </row>
    <row r="3839" spans="1:8">
      <c r="A3839">
        <v>3</v>
      </c>
      <c r="B3839" t="s">
        <v>42</v>
      </c>
      <c r="C3839" t="s">
        <v>33</v>
      </c>
      <c r="D3839">
        <v>0</v>
      </c>
      <c r="E3839">
        <v>1</v>
      </c>
      <c r="F3839" s="7">
        <v>3361.21</v>
      </c>
      <c r="G3839">
        <v>0</v>
      </c>
      <c r="H3839" s="7">
        <v>0</v>
      </c>
    </row>
    <row r="3840" spans="1:8">
      <c r="A3840">
        <v>3</v>
      </c>
      <c r="B3840" t="s">
        <v>42</v>
      </c>
      <c r="C3840" t="s">
        <v>34</v>
      </c>
      <c r="D3840">
        <v>0</v>
      </c>
      <c r="E3840">
        <v>1</v>
      </c>
      <c r="F3840" s="7">
        <v>22178.82</v>
      </c>
      <c r="G3840">
        <v>0</v>
      </c>
      <c r="H3840" s="7">
        <v>0</v>
      </c>
    </row>
    <row r="3841" spans="1:8">
      <c r="A3841">
        <v>3</v>
      </c>
      <c r="B3841" t="s">
        <v>42</v>
      </c>
      <c r="C3841" t="s">
        <v>33</v>
      </c>
      <c r="D3841">
        <v>0</v>
      </c>
      <c r="E3841">
        <v>1</v>
      </c>
      <c r="F3841" s="7">
        <v>2011.37</v>
      </c>
      <c r="G3841">
        <v>0</v>
      </c>
      <c r="H3841" s="7">
        <v>0</v>
      </c>
    </row>
    <row r="3842" spans="1:8">
      <c r="A3842">
        <v>3</v>
      </c>
      <c r="B3842" t="s">
        <v>46</v>
      </c>
      <c r="C3842" t="s">
        <v>34</v>
      </c>
      <c r="D3842">
        <v>0</v>
      </c>
      <c r="E3842">
        <v>1</v>
      </c>
      <c r="F3842" s="7">
        <v>26279.17</v>
      </c>
      <c r="G3842">
        <v>0</v>
      </c>
      <c r="H3842" s="7">
        <v>0</v>
      </c>
    </row>
    <row r="3843" spans="1:8">
      <c r="A3843">
        <v>3</v>
      </c>
      <c r="B3843" t="s">
        <v>42</v>
      </c>
      <c r="C3843" t="s">
        <v>33</v>
      </c>
      <c r="D3843">
        <v>0</v>
      </c>
      <c r="E3843">
        <v>1</v>
      </c>
      <c r="F3843" s="7">
        <v>8501.84</v>
      </c>
      <c r="G3843">
        <v>0</v>
      </c>
      <c r="H3843" s="7">
        <v>0</v>
      </c>
    </row>
    <row r="3844" spans="1:8">
      <c r="A3844">
        <v>3</v>
      </c>
      <c r="B3844" t="s">
        <v>42</v>
      </c>
      <c r="C3844" t="s">
        <v>33</v>
      </c>
      <c r="D3844">
        <v>0</v>
      </c>
      <c r="E3844">
        <v>1</v>
      </c>
      <c r="F3844" s="7">
        <v>9103.87</v>
      </c>
      <c r="G3844">
        <v>0</v>
      </c>
      <c r="H3844" s="7">
        <v>0</v>
      </c>
    </row>
    <row r="3845" spans="1:8">
      <c r="A3845">
        <v>3</v>
      </c>
      <c r="B3845" t="s">
        <v>42</v>
      </c>
      <c r="C3845" t="s">
        <v>32</v>
      </c>
      <c r="D3845">
        <v>0</v>
      </c>
      <c r="E3845">
        <v>1</v>
      </c>
      <c r="F3845" s="7">
        <v>997.13</v>
      </c>
      <c r="G3845">
        <v>0</v>
      </c>
      <c r="H3845" s="7">
        <v>0</v>
      </c>
    </row>
    <row r="3846" spans="1:8">
      <c r="A3846">
        <v>3</v>
      </c>
      <c r="B3846" t="s">
        <v>45</v>
      </c>
      <c r="C3846" t="s">
        <v>33</v>
      </c>
      <c r="D3846">
        <v>0</v>
      </c>
      <c r="E3846">
        <v>1</v>
      </c>
      <c r="F3846" s="7">
        <v>4538.75</v>
      </c>
      <c r="G3846">
        <v>0</v>
      </c>
      <c r="H3846" s="7">
        <v>0</v>
      </c>
    </row>
    <row r="3847" spans="1:8">
      <c r="A3847">
        <v>3</v>
      </c>
      <c r="B3847" t="s">
        <v>42</v>
      </c>
      <c r="C3847" t="s">
        <v>34</v>
      </c>
      <c r="D3847">
        <v>0</v>
      </c>
      <c r="E3847">
        <v>1</v>
      </c>
      <c r="F3847" s="7">
        <v>18934.49</v>
      </c>
      <c r="G3847">
        <v>0</v>
      </c>
      <c r="H3847" s="7">
        <v>0</v>
      </c>
    </row>
    <row r="3848" spans="1:8">
      <c r="A3848">
        <v>3</v>
      </c>
      <c r="B3848" t="s">
        <v>42</v>
      </c>
      <c r="C3848" t="s">
        <v>33</v>
      </c>
      <c r="D3848">
        <v>0</v>
      </c>
      <c r="E3848">
        <v>1</v>
      </c>
      <c r="F3848" s="7">
        <v>2419.01</v>
      </c>
      <c r="G3848">
        <v>0</v>
      </c>
      <c r="H3848" s="7">
        <v>0</v>
      </c>
    </row>
    <row r="3849" spans="1:8">
      <c r="A3849">
        <v>3</v>
      </c>
      <c r="B3849" t="s">
        <v>42</v>
      </c>
      <c r="C3849" t="s">
        <v>32</v>
      </c>
      <c r="D3849">
        <v>0</v>
      </c>
      <c r="E3849">
        <v>1</v>
      </c>
      <c r="F3849" s="7">
        <v>392.99</v>
      </c>
      <c r="G3849">
        <v>0</v>
      </c>
      <c r="H3849" s="7">
        <v>0</v>
      </c>
    </row>
    <row r="3850" spans="1:8">
      <c r="A3850">
        <v>3</v>
      </c>
      <c r="B3850" t="s">
        <v>43</v>
      </c>
      <c r="C3850" t="s">
        <v>34</v>
      </c>
      <c r="D3850">
        <v>0</v>
      </c>
      <c r="E3850">
        <v>1</v>
      </c>
      <c r="F3850" s="7">
        <v>11500.28</v>
      </c>
      <c r="G3850">
        <v>0</v>
      </c>
      <c r="H3850" s="7">
        <v>0</v>
      </c>
    </row>
    <row r="3851" spans="1:8">
      <c r="A3851">
        <v>3</v>
      </c>
      <c r="B3851" t="s">
        <v>42</v>
      </c>
      <c r="C3851" t="s">
        <v>34</v>
      </c>
      <c r="D3851">
        <v>0</v>
      </c>
      <c r="E3851">
        <v>1</v>
      </c>
      <c r="F3851" s="7">
        <v>16061.03</v>
      </c>
      <c r="G3851">
        <v>0</v>
      </c>
      <c r="H3851" s="7">
        <v>0</v>
      </c>
    </row>
    <row r="3852" spans="1:8">
      <c r="A3852">
        <v>3</v>
      </c>
      <c r="B3852" t="s">
        <v>42</v>
      </c>
      <c r="C3852" t="s">
        <v>33</v>
      </c>
      <c r="D3852">
        <v>0</v>
      </c>
      <c r="E3852">
        <v>1</v>
      </c>
      <c r="F3852" s="7">
        <v>2909.12</v>
      </c>
      <c r="G3852">
        <v>0</v>
      </c>
      <c r="H3852" s="7">
        <v>0</v>
      </c>
    </row>
    <row r="3853" spans="1:8">
      <c r="A3853">
        <v>3</v>
      </c>
      <c r="B3853" t="s">
        <v>42</v>
      </c>
      <c r="C3853" t="s">
        <v>33</v>
      </c>
      <c r="D3853">
        <v>0</v>
      </c>
      <c r="E3853">
        <v>1</v>
      </c>
      <c r="F3853" s="7">
        <v>6188.23</v>
      </c>
      <c r="G3853">
        <v>0</v>
      </c>
      <c r="H3853" s="7">
        <v>0</v>
      </c>
    </row>
    <row r="3854" spans="1:8">
      <c r="A3854">
        <v>3</v>
      </c>
      <c r="B3854" t="s">
        <v>42</v>
      </c>
      <c r="C3854" t="s">
        <v>33</v>
      </c>
      <c r="D3854">
        <v>0</v>
      </c>
      <c r="E3854">
        <v>1</v>
      </c>
      <c r="F3854" s="7">
        <v>2382.11</v>
      </c>
      <c r="G3854">
        <v>0</v>
      </c>
      <c r="H3854" s="7">
        <v>0</v>
      </c>
    </row>
    <row r="3855" spans="1:8">
      <c r="A3855">
        <v>3</v>
      </c>
      <c r="B3855" t="s">
        <v>42</v>
      </c>
      <c r="C3855" t="s">
        <v>33</v>
      </c>
      <c r="D3855">
        <v>0</v>
      </c>
      <c r="E3855">
        <v>1</v>
      </c>
      <c r="F3855" s="7">
        <v>5882.36</v>
      </c>
      <c r="G3855">
        <v>0</v>
      </c>
      <c r="H3855" s="7">
        <v>0</v>
      </c>
    </row>
    <row r="3856" spans="1:8">
      <c r="A3856">
        <v>3</v>
      </c>
      <c r="B3856" t="s">
        <v>42</v>
      </c>
      <c r="C3856" t="s">
        <v>33</v>
      </c>
      <c r="D3856">
        <v>0</v>
      </c>
      <c r="E3856">
        <v>1</v>
      </c>
      <c r="F3856" s="7">
        <v>8137.28</v>
      </c>
      <c r="G3856">
        <v>0</v>
      </c>
      <c r="H3856" s="7">
        <v>0</v>
      </c>
    </row>
    <row r="3857" spans="1:8">
      <c r="A3857">
        <v>3</v>
      </c>
      <c r="B3857" t="s">
        <v>42</v>
      </c>
      <c r="C3857" t="s">
        <v>34</v>
      </c>
      <c r="D3857">
        <v>0</v>
      </c>
      <c r="E3857">
        <v>1</v>
      </c>
      <c r="F3857" s="7">
        <v>21414.91</v>
      </c>
      <c r="G3857">
        <v>0</v>
      </c>
      <c r="H3857" s="7">
        <v>0</v>
      </c>
    </row>
    <row r="3858" spans="1:8">
      <c r="A3858">
        <v>3</v>
      </c>
      <c r="B3858" t="s">
        <v>42</v>
      </c>
      <c r="C3858" t="s">
        <v>34</v>
      </c>
      <c r="D3858">
        <v>0</v>
      </c>
      <c r="E3858">
        <v>1</v>
      </c>
      <c r="F3858" s="7">
        <v>20995.68</v>
      </c>
      <c r="G3858">
        <v>0</v>
      </c>
      <c r="H3858" s="7">
        <v>0</v>
      </c>
    </row>
    <row r="3859" spans="1:8">
      <c r="A3859">
        <v>3</v>
      </c>
      <c r="B3859" t="s">
        <v>42</v>
      </c>
      <c r="C3859" t="s">
        <v>32</v>
      </c>
      <c r="D3859">
        <v>0</v>
      </c>
      <c r="E3859">
        <v>1</v>
      </c>
      <c r="F3859" s="7">
        <v>963.64</v>
      </c>
      <c r="G3859">
        <v>0</v>
      </c>
      <c r="H3859" s="7">
        <v>0</v>
      </c>
    </row>
    <row r="3860" spans="1:8">
      <c r="A3860">
        <v>3</v>
      </c>
      <c r="B3860" t="s">
        <v>42</v>
      </c>
      <c r="C3860" t="s">
        <v>33</v>
      </c>
      <c r="D3860">
        <v>0</v>
      </c>
      <c r="E3860">
        <v>1</v>
      </c>
      <c r="F3860" s="7">
        <v>1725.53</v>
      </c>
      <c r="G3860">
        <v>0</v>
      </c>
      <c r="H3860" s="7">
        <v>0</v>
      </c>
    </row>
    <row r="3861" spans="1:8">
      <c r="A3861">
        <v>3</v>
      </c>
      <c r="B3861" t="s">
        <v>42</v>
      </c>
      <c r="C3861" t="s">
        <v>33</v>
      </c>
      <c r="D3861">
        <v>0</v>
      </c>
      <c r="E3861">
        <v>1</v>
      </c>
      <c r="F3861" s="7">
        <v>5876.12</v>
      </c>
      <c r="G3861">
        <v>0</v>
      </c>
      <c r="H3861" s="7">
        <v>0</v>
      </c>
    </row>
    <row r="3862" spans="1:8">
      <c r="A3862">
        <v>3</v>
      </c>
      <c r="B3862" t="s">
        <v>42</v>
      </c>
      <c r="C3862" t="s">
        <v>32</v>
      </c>
      <c r="D3862">
        <v>0</v>
      </c>
      <c r="E3862">
        <v>1</v>
      </c>
      <c r="F3862" s="7">
        <v>669.13</v>
      </c>
      <c r="G3862">
        <v>0</v>
      </c>
      <c r="H3862" s="7">
        <v>0</v>
      </c>
    </row>
    <row r="3863" spans="1:8">
      <c r="A3863">
        <v>3</v>
      </c>
      <c r="B3863" t="s">
        <v>42</v>
      </c>
      <c r="C3863" t="s">
        <v>33</v>
      </c>
      <c r="D3863">
        <v>0</v>
      </c>
      <c r="E3863">
        <v>1</v>
      </c>
      <c r="F3863" s="7">
        <v>2465.65</v>
      </c>
      <c r="G3863">
        <v>0</v>
      </c>
      <c r="H3863" s="7">
        <v>0</v>
      </c>
    </row>
    <row r="3864" spans="1:8">
      <c r="A3864">
        <v>3</v>
      </c>
      <c r="B3864" t="s">
        <v>45</v>
      </c>
      <c r="C3864" t="s">
        <v>33</v>
      </c>
      <c r="D3864">
        <v>0</v>
      </c>
      <c r="E3864">
        <v>1</v>
      </c>
      <c r="F3864" s="7">
        <v>3619.41</v>
      </c>
      <c r="G3864">
        <v>0</v>
      </c>
      <c r="H3864" s="7">
        <v>0</v>
      </c>
    </row>
    <row r="3865" spans="1:8">
      <c r="A3865">
        <v>3</v>
      </c>
      <c r="B3865" t="s">
        <v>42</v>
      </c>
      <c r="C3865" t="s">
        <v>34</v>
      </c>
      <c r="D3865">
        <v>0</v>
      </c>
      <c r="E3865">
        <v>1</v>
      </c>
      <c r="F3865" s="7">
        <v>19420.39</v>
      </c>
      <c r="G3865">
        <v>0</v>
      </c>
      <c r="H3865" s="7">
        <v>0</v>
      </c>
    </row>
    <row r="3866" spans="1:8">
      <c r="A3866">
        <v>3</v>
      </c>
      <c r="B3866" t="s">
        <v>42</v>
      </c>
      <c r="C3866" t="s">
        <v>33</v>
      </c>
      <c r="D3866">
        <v>0</v>
      </c>
      <c r="E3866">
        <v>1</v>
      </c>
      <c r="F3866" s="7">
        <v>3204.22</v>
      </c>
      <c r="G3866">
        <v>0</v>
      </c>
      <c r="H3866" s="7">
        <v>0</v>
      </c>
    </row>
    <row r="3867" spans="1:8">
      <c r="A3867">
        <v>3</v>
      </c>
      <c r="B3867" t="s">
        <v>42</v>
      </c>
      <c r="C3867" t="s">
        <v>33</v>
      </c>
      <c r="D3867">
        <v>0</v>
      </c>
      <c r="E3867">
        <v>1</v>
      </c>
      <c r="F3867" s="7">
        <v>7312.09</v>
      </c>
      <c r="G3867">
        <v>0</v>
      </c>
      <c r="H3867" s="7">
        <v>0</v>
      </c>
    </row>
    <row r="3868" spans="1:8">
      <c r="A3868">
        <v>3</v>
      </c>
      <c r="B3868" t="s">
        <v>42</v>
      </c>
      <c r="C3868" t="s">
        <v>34</v>
      </c>
      <c r="D3868">
        <v>0</v>
      </c>
      <c r="E3868">
        <v>1</v>
      </c>
      <c r="F3868" s="7">
        <v>20781.99</v>
      </c>
      <c r="G3868">
        <v>0</v>
      </c>
      <c r="H3868" s="7">
        <v>0</v>
      </c>
    </row>
    <row r="3869" spans="1:8">
      <c r="A3869">
        <v>3</v>
      </c>
      <c r="B3869" t="s">
        <v>42</v>
      </c>
      <c r="C3869" t="s">
        <v>33</v>
      </c>
      <c r="D3869">
        <v>0</v>
      </c>
      <c r="E3869">
        <v>1</v>
      </c>
      <c r="F3869" s="7">
        <v>2210.24</v>
      </c>
      <c r="G3869">
        <v>0</v>
      </c>
      <c r="H3869" s="7">
        <v>0</v>
      </c>
    </row>
    <row r="3870" spans="1:8">
      <c r="A3870">
        <v>3</v>
      </c>
      <c r="B3870" t="s">
        <v>42</v>
      </c>
      <c r="C3870" t="s">
        <v>34</v>
      </c>
      <c r="D3870">
        <v>0</v>
      </c>
      <c r="E3870">
        <v>1</v>
      </c>
      <c r="F3870" s="7">
        <v>10696.23</v>
      </c>
      <c r="G3870">
        <v>0</v>
      </c>
      <c r="H3870" s="7">
        <v>0</v>
      </c>
    </row>
    <row r="3871" spans="1:8">
      <c r="A3871">
        <v>3</v>
      </c>
      <c r="B3871" t="s">
        <v>42</v>
      </c>
      <c r="C3871" t="s">
        <v>34</v>
      </c>
      <c r="D3871">
        <v>0</v>
      </c>
      <c r="E3871">
        <v>1</v>
      </c>
      <c r="F3871" s="7">
        <v>18799.1</v>
      </c>
      <c r="G3871">
        <v>0</v>
      </c>
      <c r="H3871" s="7">
        <v>0</v>
      </c>
    </row>
    <row r="3872" spans="1:8">
      <c r="A3872">
        <v>3</v>
      </c>
      <c r="B3872" t="s">
        <v>42</v>
      </c>
      <c r="C3872" t="s">
        <v>34</v>
      </c>
      <c r="D3872">
        <v>0</v>
      </c>
      <c r="E3872">
        <v>1</v>
      </c>
      <c r="F3872" s="7">
        <v>11165.58</v>
      </c>
      <c r="G3872">
        <v>0</v>
      </c>
      <c r="H3872" s="7">
        <v>0</v>
      </c>
    </row>
    <row r="3873" spans="1:8">
      <c r="A3873">
        <v>3</v>
      </c>
      <c r="B3873" t="s">
        <v>42</v>
      </c>
      <c r="C3873" t="s">
        <v>33</v>
      </c>
      <c r="D3873">
        <v>0</v>
      </c>
      <c r="E3873">
        <v>1</v>
      </c>
      <c r="F3873" s="7">
        <v>2816.13</v>
      </c>
      <c r="G3873">
        <v>0</v>
      </c>
      <c r="H3873" s="7">
        <v>0</v>
      </c>
    </row>
    <row r="3874" spans="1:8">
      <c r="A3874">
        <v>3</v>
      </c>
      <c r="B3874" t="s">
        <v>45</v>
      </c>
      <c r="C3874" t="s">
        <v>33</v>
      </c>
      <c r="D3874">
        <v>0</v>
      </c>
      <c r="E3874">
        <v>1</v>
      </c>
      <c r="F3874" s="7">
        <v>3117.69</v>
      </c>
      <c r="G3874">
        <v>0</v>
      </c>
      <c r="H3874" s="7">
        <v>0</v>
      </c>
    </row>
    <row r="3875" spans="1:8">
      <c r="A3875">
        <v>3</v>
      </c>
      <c r="B3875" t="s">
        <v>42</v>
      </c>
      <c r="C3875" t="s">
        <v>34</v>
      </c>
      <c r="D3875">
        <v>0</v>
      </c>
      <c r="E3875">
        <v>1</v>
      </c>
      <c r="F3875" s="7">
        <v>11706.28</v>
      </c>
      <c r="G3875">
        <v>0</v>
      </c>
      <c r="H3875" s="7">
        <v>0</v>
      </c>
    </row>
    <row r="3876" spans="1:8">
      <c r="A3876">
        <v>3</v>
      </c>
      <c r="B3876" t="s">
        <v>42</v>
      </c>
      <c r="C3876" t="s">
        <v>34</v>
      </c>
      <c r="D3876">
        <v>0</v>
      </c>
      <c r="E3876">
        <v>1</v>
      </c>
      <c r="F3876" s="7">
        <v>20024.59</v>
      </c>
      <c r="G3876">
        <v>0</v>
      </c>
      <c r="H3876" s="7">
        <v>0</v>
      </c>
    </row>
    <row r="3877" spans="1:8">
      <c r="A3877">
        <v>3</v>
      </c>
      <c r="B3877" t="s">
        <v>42</v>
      </c>
      <c r="C3877" t="s">
        <v>33</v>
      </c>
      <c r="D3877">
        <v>0</v>
      </c>
      <c r="E3877">
        <v>1</v>
      </c>
      <c r="F3877" s="7">
        <v>3891.04</v>
      </c>
      <c r="G3877">
        <v>0</v>
      </c>
      <c r="H3877" s="7">
        <v>0</v>
      </c>
    </row>
    <row r="3878" spans="1:8">
      <c r="A3878">
        <v>3</v>
      </c>
      <c r="B3878" t="s">
        <v>42</v>
      </c>
      <c r="C3878" t="s">
        <v>32</v>
      </c>
      <c r="D3878">
        <v>0</v>
      </c>
      <c r="E3878">
        <v>1</v>
      </c>
      <c r="F3878" s="7">
        <v>372.28</v>
      </c>
      <c r="G3878">
        <v>0</v>
      </c>
      <c r="H3878" s="7">
        <v>0</v>
      </c>
    </row>
    <row r="3879" spans="1:8">
      <c r="A3879">
        <v>3</v>
      </c>
      <c r="B3879" t="s">
        <v>44</v>
      </c>
      <c r="C3879" t="s">
        <v>35</v>
      </c>
      <c r="D3879">
        <v>0</v>
      </c>
      <c r="E3879">
        <v>1</v>
      </c>
      <c r="F3879" s="7">
        <v>136416.82</v>
      </c>
      <c r="G3879">
        <v>0</v>
      </c>
      <c r="H3879" s="7">
        <v>0</v>
      </c>
    </row>
    <row r="3880" spans="1:8">
      <c r="A3880">
        <v>3</v>
      </c>
      <c r="B3880" t="s">
        <v>42</v>
      </c>
      <c r="C3880" t="s">
        <v>34</v>
      </c>
      <c r="D3880">
        <v>0</v>
      </c>
      <c r="E3880">
        <v>1</v>
      </c>
      <c r="F3880" s="7">
        <v>11128.08</v>
      </c>
      <c r="G3880">
        <v>0</v>
      </c>
      <c r="H3880" s="7">
        <v>0</v>
      </c>
    </row>
    <row r="3881" spans="1:8">
      <c r="A3881">
        <v>3</v>
      </c>
      <c r="B3881" t="s">
        <v>42</v>
      </c>
      <c r="C3881" t="s">
        <v>34</v>
      </c>
      <c r="D3881">
        <v>0</v>
      </c>
      <c r="E3881">
        <v>1</v>
      </c>
      <c r="F3881" s="7">
        <v>18118.2</v>
      </c>
      <c r="G3881">
        <v>0</v>
      </c>
      <c r="H3881" s="7">
        <v>0</v>
      </c>
    </row>
    <row r="3882" spans="1:8">
      <c r="A3882">
        <v>3</v>
      </c>
      <c r="B3882" t="s">
        <v>42</v>
      </c>
      <c r="C3882" t="s">
        <v>32</v>
      </c>
      <c r="D3882">
        <v>0</v>
      </c>
      <c r="E3882">
        <v>1</v>
      </c>
      <c r="F3882" s="7">
        <v>732.85</v>
      </c>
      <c r="G3882">
        <v>0</v>
      </c>
      <c r="H3882" s="7">
        <v>0</v>
      </c>
    </row>
    <row r="3883" spans="1:8">
      <c r="A3883">
        <v>3</v>
      </c>
      <c r="B3883" t="s">
        <v>46</v>
      </c>
      <c r="C3883" t="s">
        <v>34</v>
      </c>
      <c r="D3883">
        <v>0</v>
      </c>
      <c r="E3883">
        <v>1</v>
      </c>
      <c r="F3883" s="7">
        <v>19320.18</v>
      </c>
      <c r="G3883">
        <v>0</v>
      </c>
      <c r="H3883" s="7">
        <v>0</v>
      </c>
    </row>
    <row r="3884" spans="1:8">
      <c r="A3884">
        <v>3</v>
      </c>
      <c r="B3884" t="s">
        <v>44</v>
      </c>
      <c r="C3884" t="s">
        <v>34</v>
      </c>
      <c r="D3884">
        <v>0</v>
      </c>
      <c r="E3884">
        <v>1</v>
      </c>
      <c r="F3884" s="7">
        <v>31678.91</v>
      </c>
      <c r="G3884">
        <v>0</v>
      </c>
      <c r="H3884" s="7">
        <v>0</v>
      </c>
    </row>
    <row r="3885" spans="1:8">
      <c r="A3885">
        <v>3</v>
      </c>
      <c r="B3885" t="s">
        <v>44</v>
      </c>
      <c r="C3885" t="s">
        <v>34</v>
      </c>
      <c r="D3885">
        <v>0</v>
      </c>
      <c r="E3885">
        <v>1</v>
      </c>
      <c r="F3885" s="7">
        <v>90433.73</v>
      </c>
      <c r="G3885">
        <v>0</v>
      </c>
      <c r="H3885" s="7">
        <v>0</v>
      </c>
    </row>
    <row r="3886" spans="1:8">
      <c r="A3886">
        <v>3</v>
      </c>
      <c r="B3886" t="s">
        <v>42</v>
      </c>
      <c r="C3886" t="s">
        <v>33</v>
      </c>
      <c r="D3886">
        <v>0</v>
      </c>
      <c r="E3886">
        <v>1</v>
      </c>
      <c r="F3886" s="7">
        <v>4798.43</v>
      </c>
      <c r="G3886">
        <v>0</v>
      </c>
      <c r="H3886" s="7">
        <v>0</v>
      </c>
    </row>
    <row r="3887" spans="1:8">
      <c r="A3887">
        <v>3</v>
      </c>
      <c r="B3887" t="s">
        <v>42</v>
      </c>
      <c r="C3887" t="s">
        <v>33</v>
      </c>
      <c r="D3887">
        <v>0</v>
      </c>
      <c r="E3887">
        <v>1</v>
      </c>
      <c r="F3887" s="7">
        <v>3027.72</v>
      </c>
      <c r="G3887">
        <v>0</v>
      </c>
      <c r="H3887" s="7">
        <v>0</v>
      </c>
    </row>
    <row r="3888" spans="1:8">
      <c r="A3888">
        <v>3</v>
      </c>
      <c r="B3888" t="s">
        <v>42</v>
      </c>
      <c r="C3888" t="s">
        <v>34</v>
      </c>
      <c r="D3888">
        <v>0</v>
      </c>
      <c r="E3888">
        <v>1</v>
      </c>
      <c r="F3888" s="7">
        <v>14586.28</v>
      </c>
      <c r="G3888">
        <v>0</v>
      </c>
      <c r="H3888" s="7">
        <v>0</v>
      </c>
    </row>
    <row r="3889" spans="1:8">
      <c r="A3889">
        <v>3</v>
      </c>
      <c r="B3889" t="s">
        <v>42</v>
      </c>
      <c r="C3889" t="s">
        <v>34</v>
      </c>
      <c r="D3889">
        <v>0</v>
      </c>
      <c r="E3889">
        <v>1</v>
      </c>
      <c r="F3889" s="7">
        <v>19715.54</v>
      </c>
      <c r="G3889">
        <v>0</v>
      </c>
      <c r="H3889" s="7">
        <v>0</v>
      </c>
    </row>
    <row r="3890" spans="1:8">
      <c r="A3890">
        <v>3</v>
      </c>
      <c r="B3890" t="s">
        <v>42</v>
      </c>
      <c r="C3890" t="s">
        <v>33</v>
      </c>
      <c r="D3890">
        <v>0</v>
      </c>
      <c r="E3890">
        <v>1</v>
      </c>
      <c r="F3890" s="7">
        <v>9624.49</v>
      </c>
      <c r="G3890">
        <v>0</v>
      </c>
      <c r="H3890" s="7">
        <v>0</v>
      </c>
    </row>
    <row r="3891" spans="1:8">
      <c r="A3891">
        <v>3</v>
      </c>
      <c r="B3891" t="s">
        <v>42</v>
      </c>
      <c r="C3891" t="s">
        <v>34</v>
      </c>
      <c r="D3891">
        <v>0</v>
      </c>
      <c r="E3891">
        <v>1</v>
      </c>
      <c r="F3891" s="7">
        <v>14144.71</v>
      </c>
      <c r="G3891">
        <v>0</v>
      </c>
      <c r="H3891" s="7">
        <v>0</v>
      </c>
    </row>
    <row r="3892" spans="1:8">
      <c r="A3892">
        <v>3</v>
      </c>
      <c r="B3892" t="s">
        <v>42</v>
      </c>
      <c r="C3892" t="s">
        <v>33</v>
      </c>
      <c r="D3892">
        <v>0</v>
      </c>
      <c r="E3892">
        <v>1</v>
      </c>
      <c r="F3892" s="7">
        <v>3204.02</v>
      </c>
      <c r="G3892">
        <v>0</v>
      </c>
      <c r="H3892" s="7">
        <v>0</v>
      </c>
    </row>
    <row r="3893" spans="1:8">
      <c r="A3893">
        <v>3</v>
      </c>
      <c r="B3893" t="s">
        <v>42</v>
      </c>
      <c r="C3893" t="s">
        <v>34</v>
      </c>
      <c r="D3893">
        <v>0</v>
      </c>
      <c r="E3893">
        <v>1</v>
      </c>
      <c r="F3893" s="7">
        <v>14685.31</v>
      </c>
      <c r="G3893">
        <v>0</v>
      </c>
      <c r="H3893" s="7">
        <v>0</v>
      </c>
    </row>
    <row r="3894" spans="1:8">
      <c r="A3894">
        <v>3</v>
      </c>
      <c r="B3894" t="s">
        <v>42</v>
      </c>
      <c r="C3894" t="s">
        <v>32</v>
      </c>
      <c r="D3894">
        <v>0</v>
      </c>
      <c r="E3894">
        <v>1</v>
      </c>
      <c r="F3894" s="7">
        <v>348.29</v>
      </c>
      <c r="G3894">
        <v>0</v>
      </c>
      <c r="H3894" s="7">
        <v>0</v>
      </c>
    </row>
    <row r="3895" spans="1:8">
      <c r="A3895">
        <v>3</v>
      </c>
      <c r="B3895" t="s">
        <v>42</v>
      </c>
      <c r="C3895" t="s">
        <v>33</v>
      </c>
      <c r="D3895">
        <v>0</v>
      </c>
      <c r="E3895">
        <v>1</v>
      </c>
      <c r="F3895" s="7">
        <v>7210.86</v>
      </c>
      <c r="G3895">
        <v>0</v>
      </c>
      <c r="H3895" s="7">
        <v>0</v>
      </c>
    </row>
    <row r="3896" spans="1:8">
      <c r="A3896">
        <v>3</v>
      </c>
      <c r="B3896" t="s">
        <v>42</v>
      </c>
      <c r="C3896" t="s">
        <v>33</v>
      </c>
      <c r="D3896">
        <v>0</v>
      </c>
      <c r="E3896">
        <v>1</v>
      </c>
      <c r="F3896" s="7">
        <v>9778.62</v>
      </c>
      <c r="G3896">
        <v>0</v>
      </c>
      <c r="H3896" s="7">
        <v>0</v>
      </c>
    </row>
    <row r="3897" spans="1:8">
      <c r="A3897">
        <v>3</v>
      </c>
      <c r="B3897" t="s">
        <v>42</v>
      </c>
      <c r="C3897" t="s">
        <v>34</v>
      </c>
      <c r="D3897">
        <v>0</v>
      </c>
      <c r="E3897">
        <v>1</v>
      </c>
      <c r="F3897" s="7">
        <v>32907.19</v>
      </c>
      <c r="G3897">
        <v>0</v>
      </c>
      <c r="H3897" s="7">
        <v>0</v>
      </c>
    </row>
    <row r="3898" spans="1:8">
      <c r="A3898">
        <v>3</v>
      </c>
      <c r="B3898" t="s">
        <v>44</v>
      </c>
      <c r="C3898" t="s">
        <v>34</v>
      </c>
      <c r="D3898">
        <v>0</v>
      </c>
      <c r="E3898">
        <v>1</v>
      </c>
      <c r="F3898" s="7">
        <v>93705.81</v>
      </c>
      <c r="G3898">
        <v>0</v>
      </c>
      <c r="H3898" s="7">
        <v>0</v>
      </c>
    </row>
    <row r="3899" spans="1:8">
      <c r="A3899">
        <v>3</v>
      </c>
      <c r="B3899" t="s">
        <v>44</v>
      </c>
      <c r="C3899" t="s">
        <v>34</v>
      </c>
      <c r="D3899">
        <v>0</v>
      </c>
      <c r="E3899">
        <v>1</v>
      </c>
      <c r="F3899" s="7">
        <v>91705.07</v>
      </c>
      <c r="G3899">
        <v>0</v>
      </c>
      <c r="H3899" s="7">
        <v>0</v>
      </c>
    </row>
    <row r="3900" spans="1:8">
      <c r="A3900">
        <v>3</v>
      </c>
      <c r="B3900" t="s">
        <v>42</v>
      </c>
      <c r="C3900" t="s">
        <v>34</v>
      </c>
      <c r="D3900">
        <v>0</v>
      </c>
      <c r="E3900">
        <v>1</v>
      </c>
      <c r="F3900" s="7">
        <v>10326.31</v>
      </c>
      <c r="G3900">
        <v>0</v>
      </c>
      <c r="H3900" s="7">
        <v>0</v>
      </c>
    </row>
    <row r="3901" spans="1:8">
      <c r="A3901">
        <v>3</v>
      </c>
      <c r="B3901" t="s">
        <v>42</v>
      </c>
      <c r="C3901" t="s">
        <v>32</v>
      </c>
      <c r="D3901">
        <v>0</v>
      </c>
      <c r="E3901">
        <v>1</v>
      </c>
      <c r="F3901" s="7">
        <v>320.37</v>
      </c>
      <c r="G3901">
        <v>0</v>
      </c>
      <c r="H3901" s="7">
        <v>0</v>
      </c>
    </row>
    <row r="3902" spans="1:8">
      <c r="A3902">
        <v>3</v>
      </c>
      <c r="B3902" t="s">
        <v>44</v>
      </c>
      <c r="C3902" t="s">
        <v>35</v>
      </c>
      <c r="D3902">
        <v>0</v>
      </c>
      <c r="E3902">
        <v>1</v>
      </c>
      <c r="F3902" s="7">
        <v>278349.71</v>
      </c>
      <c r="G3902">
        <v>0</v>
      </c>
      <c r="H3902" s="7">
        <v>0</v>
      </c>
    </row>
    <row r="3903" spans="1:8">
      <c r="A3903">
        <v>3</v>
      </c>
      <c r="B3903" t="s">
        <v>42</v>
      </c>
      <c r="C3903" t="s">
        <v>33</v>
      </c>
      <c r="D3903">
        <v>0</v>
      </c>
      <c r="E3903">
        <v>1</v>
      </c>
      <c r="F3903" s="7">
        <v>5365.37</v>
      </c>
      <c r="G3903">
        <v>0</v>
      </c>
      <c r="H3903" s="7">
        <v>0</v>
      </c>
    </row>
    <row r="3904" spans="1:8">
      <c r="A3904">
        <v>3</v>
      </c>
      <c r="B3904" t="s">
        <v>44</v>
      </c>
      <c r="C3904" t="s">
        <v>34</v>
      </c>
      <c r="D3904">
        <v>0</v>
      </c>
      <c r="E3904">
        <v>1</v>
      </c>
      <c r="F3904" s="7">
        <v>63180.2</v>
      </c>
      <c r="G3904">
        <v>0</v>
      </c>
      <c r="H3904" s="7">
        <v>0</v>
      </c>
    </row>
    <row r="3905" spans="1:8">
      <c r="A3905">
        <v>3</v>
      </c>
      <c r="B3905" t="s">
        <v>42</v>
      </c>
      <c r="C3905" t="s">
        <v>32</v>
      </c>
      <c r="D3905">
        <v>0</v>
      </c>
      <c r="E3905">
        <v>1</v>
      </c>
      <c r="F3905" s="7">
        <v>671.31</v>
      </c>
      <c r="G3905">
        <v>0</v>
      </c>
      <c r="H3905" s="7">
        <v>0</v>
      </c>
    </row>
    <row r="3906" spans="1:8">
      <c r="A3906">
        <v>3</v>
      </c>
      <c r="B3906" t="s">
        <v>45</v>
      </c>
      <c r="C3906" t="s">
        <v>33</v>
      </c>
      <c r="D3906">
        <v>0</v>
      </c>
      <c r="E3906">
        <v>1</v>
      </c>
      <c r="F3906" s="7">
        <v>2481.93</v>
      </c>
      <c r="G3906">
        <v>0</v>
      </c>
      <c r="H3906" s="7">
        <v>0</v>
      </c>
    </row>
    <row r="3907" spans="1:8">
      <c r="A3907">
        <v>3</v>
      </c>
      <c r="B3907" t="s">
        <v>42</v>
      </c>
      <c r="C3907" t="s">
        <v>34</v>
      </c>
      <c r="D3907">
        <v>0</v>
      </c>
      <c r="E3907">
        <v>1</v>
      </c>
      <c r="F3907" s="7">
        <v>23840.24</v>
      </c>
      <c r="G3907">
        <v>0</v>
      </c>
      <c r="H3907" s="7">
        <v>0</v>
      </c>
    </row>
    <row r="3908" spans="1:8">
      <c r="A3908">
        <v>3</v>
      </c>
      <c r="B3908" t="s">
        <v>42</v>
      </c>
      <c r="C3908" t="s">
        <v>33</v>
      </c>
      <c r="D3908">
        <v>0</v>
      </c>
      <c r="E3908">
        <v>1</v>
      </c>
      <c r="F3908" s="7">
        <v>1005.59</v>
      </c>
      <c r="G3908">
        <v>0</v>
      </c>
      <c r="H3908" s="7">
        <v>0</v>
      </c>
    </row>
    <row r="3909" spans="1:8">
      <c r="A3909">
        <v>3</v>
      </c>
      <c r="B3909" t="s">
        <v>42</v>
      </c>
      <c r="C3909" t="s">
        <v>33</v>
      </c>
      <c r="D3909">
        <v>0</v>
      </c>
      <c r="E3909">
        <v>1</v>
      </c>
      <c r="F3909" s="7">
        <v>1399.83</v>
      </c>
      <c r="G3909">
        <v>0</v>
      </c>
      <c r="H3909" s="7">
        <v>0</v>
      </c>
    </row>
    <row r="3910" spans="1:8">
      <c r="A3910">
        <v>3</v>
      </c>
      <c r="B3910" t="s">
        <v>42</v>
      </c>
      <c r="C3910" t="s">
        <v>34</v>
      </c>
      <c r="D3910">
        <v>0</v>
      </c>
      <c r="E3910">
        <v>1</v>
      </c>
      <c r="F3910" s="7">
        <v>15304.68</v>
      </c>
      <c r="G3910">
        <v>0</v>
      </c>
      <c r="H3910" s="7">
        <v>0</v>
      </c>
    </row>
    <row r="3911" spans="1:8">
      <c r="A3911">
        <v>3</v>
      </c>
      <c r="B3911" t="s">
        <v>42</v>
      </c>
      <c r="C3911" t="s">
        <v>34</v>
      </c>
      <c r="D3911">
        <v>0</v>
      </c>
      <c r="E3911">
        <v>1</v>
      </c>
      <c r="F3911" s="7">
        <v>12638.35</v>
      </c>
      <c r="G3911">
        <v>0</v>
      </c>
      <c r="H3911" s="7">
        <v>0</v>
      </c>
    </row>
    <row r="3912" spans="1:8">
      <c r="A3912">
        <v>3</v>
      </c>
      <c r="B3912" t="s">
        <v>42</v>
      </c>
      <c r="C3912" t="s">
        <v>33</v>
      </c>
      <c r="D3912">
        <v>0</v>
      </c>
      <c r="E3912">
        <v>1</v>
      </c>
      <c r="F3912" s="7">
        <v>4970.55</v>
      </c>
      <c r="G3912">
        <v>0</v>
      </c>
      <c r="H3912" s="7">
        <v>0</v>
      </c>
    </row>
    <row r="3913" spans="1:8">
      <c r="A3913">
        <v>3</v>
      </c>
      <c r="B3913" t="s">
        <v>42</v>
      </c>
      <c r="C3913" t="s">
        <v>33</v>
      </c>
      <c r="D3913">
        <v>0</v>
      </c>
      <c r="E3913">
        <v>1</v>
      </c>
      <c r="F3913" s="7">
        <v>4798.39</v>
      </c>
      <c r="G3913">
        <v>0</v>
      </c>
      <c r="H3913" s="7">
        <v>0</v>
      </c>
    </row>
    <row r="3914" spans="1:8">
      <c r="A3914">
        <v>3</v>
      </c>
      <c r="B3914" t="s">
        <v>42</v>
      </c>
      <c r="C3914" t="s">
        <v>33</v>
      </c>
      <c r="D3914">
        <v>0</v>
      </c>
      <c r="E3914">
        <v>1</v>
      </c>
      <c r="F3914" s="7">
        <v>8724.11</v>
      </c>
      <c r="G3914">
        <v>0</v>
      </c>
      <c r="H3914" s="7">
        <v>0</v>
      </c>
    </row>
    <row r="3915" spans="1:8">
      <c r="A3915">
        <v>3</v>
      </c>
      <c r="B3915" t="s">
        <v>42</v>
      </c>
      <c r="C3915" t="s">
        <v>34</v>
      </c>
      <c r="D3915">
        <v>0</v>
      </c>
      <c r="E3915">
        <v>1</v>
      </c>
      <c r="F3915" s="7">
        <v>12208.56</v>
      </c>
      <c r="G3915">
        <v>0</v>
      </c>
      <c r="H3915" s="7">
        <v>0</v>
      </c>
    </row>
    <row r="3916" spans="1:8">
      <c r="A3916">
        <v>3</v>
      </c>
      <c r="B3916" t="s">
        <v>42</v>
      </c>
      <c r="C3916" t="s">
        <v>33</v>
      </c>
      <c r="D3916">
        <v>0</v>
      </c>
      <c r="E3916">
        <v>1</v>
      </c>
      <c r="F3916" s="7">
        <v>9051.52</v>
      </c>
      <c r="G3916">
        <v>0</v>
      </c>
      <c r="H3916" s="7">
        <v>0</v>
      </c>
    </row>
    <row r="3917" spans="1:8">
      <c r="A3917">
        <v>3</v>
      </c>
      <c r="B3917" t="s">
        <v>42</v>
      </c>
      <c r="C3917" t="s">
        <v>33</v>
      </c>
      <c r="D3917">
        <v>0</v>
      </c>
      <c r="E3917">
        <v>1</v>
      </c>
      <c r="F3917" s="7">
        <v>9718.62</v>
      </c>
      <c r="G3917">
        <v>0</v>
      </c>
      <c r="H3917" s="7">
        <v>0</v>
      </c>
    </row>
    <row r="3918" spans="1:8">
      <c r="A3918">
        <v>3</v>
      </c>
      <c r="B3918" t="s">
        <v>42</v>
      </c>
      <c r="C3918" t="s">
        <v>33</v>
      </c>
      <c r="D3918">
        <v>0</v>
      </c>
      <c r="E3918">
        <v>1</v>
      </c>
      <c r="F3918" s="7">
        <v>2556.46</v>
      </c>
      <c r="G3918">
        <v>0</v>
      </c>
      <c r="H3918" s="7">
        <v>0</v>
      </c>
    </row>
    <row r="3919" spans="1:8">
      <c r="A3919">
        <v>3</v>
      </c>
      <c r="B3919" t="s">
        <v>42</v>
      </c>
      <c r="C3919" t="s">
        <v>33</v>
      </c>
      <c r="D3919">
        <v>0</v>
      </c>
      <c r="E3919">
        <v>1</v>
      </c>
      <c r="F3919" s="7">
        <v>3198.62</v>
      </c>
      <c r="G3919">
        <v>0</v>
      </c>
      <c r="H3919" s="7">
        <v>0</v>
      </c>
    </row>
    <row r="3920" spans="1:8">
      <c r="A3920">
        <v>3</v>
      </c>
      <c r="B3920" t="s">
        <v>42</v>
      </c>
      <c r="C3920" t="s">
        <v>34</v>
      </c>
      <c r="D3920">
        <v>0</v>
      </c>
      <c r="E3920">
        <v>1</v>
      </c>
      <c r="F3920" s="7">
        <v>10172.81</v>
      </c>
      <c r="G3920">
        <v>0</v>
      </c>
      <c r="H3920" s="7">
        <v>0</v>
      </c>
    </row>
    <row r="3921" spans="1:8">
      <c r="A3921">
        <v>3</v>
      </c>
      <c r="B3921" t="s">
        <v>42</v>
      </c>
      <c r="C3921" t="s">
        <v>33</v>
      </c>
      <c r="D3921">
        <v>0</v>
      </c>
      <c r="E3921">
        <v>1</v>
      </c>
      <c r="F3921" s="7">
        <v>5694.58</v>
      </c>
      <c r="G3921">
        <v>0</v>
      </c>
      <c r="H3921" s="7">
        <v>0</v>
      </c>
    </row>
    <row r="3922" spans="1:8">
      <c r="A3922">
        <v>3</v>
      </c>
      <c r="B3922" t="s">
        <v>42</v>
      </c>
      <c r="C3922" t="s">
        <v>33</v>
      </c>
      <c r="D3922">
        <v>0</v>
      </c>
      <c r="E3922">
        <v>1</v>
      </c>
      <c r="F3922" s="7">
        <v>3926.01</v>
      </c>
      <c r="G3922">
        <v>0</v>
      </c>
      <c r="H3922" s="7">
        <v>0</v>
      </c>
    </row>
    <row r="3923" spans="1:8">
      <c r="A3923">
        <v>3</v>
      </c>
      <c r="B3923" t="s">
        <v>42</v>
      </c>
      <c r="C3923" t="s">
        <v>34</v>
      </c>
      <c r="D3923">
        <v>0</v>
      </c>
      <c r="E3923">
        <v>1</v>
      </c>
      <c r="F3923" s="7">
        <v>12587.22</v>
      </c>
      <c r="G3923">
        <v>0</v>
      </c>
      <c r="H3923" s="7">
        <v>0</v>
      </c>
    </row>
    <row r="3924" spans="1:8">
      <c r="A3924">
        <v>3</v>
      </c>
      <c r="B3924" t="s">
        <v>42</v>
      </c>
      <c r="C3924" t="s">
        <v>34</v>
      </c>
      <c r="D3924">
        <v>0</v>
      </c>
      <c r="E3924">
        <v>1</v>
      </c>
      <c r="F3924" s="7">
        <v>16878.5</v>
      </c>
      <c r="G3924">
        <v>0</v>
      </c>
      <c r="H3924" s="7">
        <v>0</v>
      </c>
    </row>
    <row r="3925" spans="1:8">
      <c r="A3925">
        <v>3</v>
      </c>
      <c r="B3925" t="s">
        <v>46</v>
      </c>
      <c r="C3925" t="s">
        <v>34</v>
      </c>
      <c r="D3925">
        <v>0</v>
      </c>
      <c r="E3925">
        <v>1</v>
      </c>
      <c r="F3925" s="7">
        <v>69219.36</v>
      </c>
      <c r="G3925">
        <v>0</v>
      </c>
      <c r="H3925" s="7">
        <v>0</v>
      </c>
    </row>
    <row r="3926" spans="1:8">
      <c r="A3926">
        <v>3</v>
      </c>
      <c r="B3926" t="s">
        <v>46</v>
      </c>
      <c r="C3926" t="s">
        <v>35</v>
      </c>
      <c r="D3926">
        <v>0</v>
      </c>
      <c r="E3926">
        <v>1</v>
      </c>
      <c r="F3926" s="7">
        <v>254710.92</v>
      </c>
      <c r="G3926">
        <v>0</v>
      </c>
      <c r="H3926" s="7">
        <v>0</v>
      </c>
    </row>
    <row r="3927" spans="1:8">
      <c r="A3927">
        <v>3</v>
      </c>
      <c r="B3927" t="s">
        <v>46</v>
      </c>
      <c r="C3927" t="s">
        <v>35</v>
      </c>
      <c r="D3927">
        <v>0</v>
      </c>
      <c r="E3927">
        <v>1</v>
      </c>
      <c r="F3927" s="7">
        <v>107838.55</v>
      </c>
      <c r="G3927">
        <v>0</v>
      </c>
      <c r="H3927" s="7">
        <v>0</v>
      </c>
    </row>
    <row r="3928" spans="1:8">
      <c r="A3928">
        <v>3</v>
      </c>
      <c r="B3928" t="s">
        <v>46</v>
      </c>
      <c r="C3928" t="s">
        <v>35</v>
      </c>
      <c r="D3928">
        <v>0</v>
      </c>
      <c r="E3928">
        <v>1</v>
      </c>
      <c r="F3928" s="7">
        <v>590182.14</v>
      </c>
      <c r="G3928">
        <v>0</v>
      </c>
      <c r="H3928" s="7">
        <v>0</v>
      </c>
    </row>
    <row r="3929" spans="1:8">
      <c r="A3929">
        <v>3</v>
      </c>
      <c r="B3929" t="s">
        <v>46</v>
      </c>
      <c r="C3929" t="s">
        <v>35</v>
      </c>
      <c r="D3929">
        <v>0</v>
      </c>
      <c r="E3929">
        <v>1</v>
      </c>
      <c r="F3929" s="7">
        <v>224808.55</v>
      </c>
      <c r="G3929">
        <v>0</v>
      </c>
      <c r="H3929" s="7">
        <v>0</v>
      </c>
    </row>
    <row r="3930" spans="1:8">
      <c r="A3930">
        <v>3</v>
      </c>
      <c r="B3930" t="s">
        <v>46</v>
      </c>
      <c r="C3930" t="s">
        <v>35</v>
      </c>
      <c r="D3930">
        <v>0</v>
      </c>
      <c r="E3930">
        <v>1</v>
      </c>
      <c r="F3930" s="7">
        <v>133683.73</v>
      </c>
      <c r="G3930">
        <v>0</v>
      </c>
      <c r="H3930" s="7">
        <v>0</v>
      </c>
    </row>
    <row r="3931" spans="1:8">
      <c r="A3931">
        <v>3</v>
      </c>
      <c r="B3931" t="s">
        <v>46</v>
      </c>
      <c r="C3931" t="s">
        <v>35</v>
      </c>
      <c r="D3931">
        <v>0</v>
      </c>
      <c r="E3931">
        <v>1</v>
      </c>
      <c r="F3931" s="7">
        <v>105980.46</v>
      </c>
      <c r="G3931">
        <v>0</v>
      </c>
      <c r="H3931" s="7">
        <v>0</v>
      </c>
    </row>
    <row r="3932" spans="1:8">
      <c r="A3932">
        <v>3</v>
      </c>
      <c r="B3932" t="s">
        <v>46</v>
      </c>
      <c r="C3932" t="s">
        <v>35</v>
      </c>
      <c r="D3932">
        <v>0</v>
      </c>
      <c r="E3932">
        <v>1</v>
      </c>
      <c r="F3932" s="7">
        <v>138725.17</v>
      </c>
      <c r="G3932">
        <v>0</v>
      </c>
      <c r="H3932" s="7">
        <v>0</v>
      </c>
    </row>
    <row r="3933" spans="1:8">
      <c r="A3933">
        <v>3</v>
      </c>
      <c r="B3933" t="s">
        <v>46</v>
      </c>
      <c r="C3933" t="s">
        <v>35</v>
      </c>
      <c r="D3933">
        <v>0</v>
      </c>
      <c r="E3933">
        <v>1</v>
      </c>
      <c r="F3933" s="7">
        <v>176482.1</v>
      </c>
      <c r="G3933">
        <v>0</v>
      </c>
      <c r="H3933" s="7">
        <v>0</v>
      </c>
    </row>
    <row r="3934" spans="1:8">
      <c r="A3934">
        <v>3</v>
      </c>
      <c r="B3934" t="s">
        <v>46</v>
      </c>
      <c r="C3934" t="s">
        <v>35</v>
      </c>
      <c r="D3934">
        <v>0</v>
      </c>
      <c r="E3934">
        <v>1</v>
      </c>
      <c r="F3934" s="7">
        <v>249046.59</v>
      </c>
      <c r="G3934">
        <v>0</v>
      </c>
      <c r="H3934" s="7">
        <v>0</v>
      </c>
    </row>
    <row r="3935" spans="1:8">
      <c r="A3935">
        <v>3</v>
      </c>
      <c r="B3935" t="s">
        <v>46</v>
      </c>
      <c r="C3935" t="s">
        <v>34</v>
      </c>
      <c r="D3935">
        <v>0</v>
      </c>
      <c r="E3935">
        <v>1</v>
      </c>
      <c r="F3935" s="7">
        <v>38307.58</v>
      </c>
      <c r="G3935">
        <v>0</v>
      </c>
      <c r="H3935" s="7">
        <v>0</v>
      </c>
    </row>
    <row r="3936" spans="1:8">
      <c r="A3936">
        <v>3</v>
      </c>
      <c r="B3936" t="s">
        <v>46</v>
      </c>
      <c r="C3936" t="s">
        <v>35</v>
      </c>
      <c r="D3936">
        <v>0</v>
      </c>
      <c r="E3936">
        <v>1</v>
      </c>
      <c r="F3936" s="7">
        <v>313673.99</v>
      </c>
      <c r="G3936">
        <v>0</v>
      </c>
      <c r="H3936" s="7">
        <v>0</v>
      </c>
    </row>
    <row r="3937" spans="1:8">
      <c r="A3937">
        <v>3</v>
      </c>
      <c r="B3937" t="s">
        <v>46</v>
      </c>
      <c r="C3937" t="s">
        <v>35</v>
      </c>
      <c r="D3937">
        <v>0</v>
      </c>
      <c r="E3937">
        <v>1</v>
      </c>
      <c r="F3937" s="7">
        <v>392470.41</v>
      </c>
      <c r="G3937">
        <v>0</v>
      </c>
      <c r="H3937" s="7">
        <v>0</v>
      </c>
    </row>
    <row r="3938" spans="1:8">
      <c r="A3938">
        <v>3</v>
      </c>
      <c r="B3938" t="s">
        <v>46</v>
      </c>
      <c r="C3938" t="s">
        <v>35</v>
      </c>
      <c r="D3938">
        <v>0</v>
      </c>
      <c r="E3938">
        <v>1</v>
      </c>
      <c r="F3938" s="7">
        <v>166630.82</v>
      </c>
      <c r="G3938">
        <v>0</v>
      </c>
      <c r="H3938" s="7">
        <v>0</v>
      </c>
    </row>
    <row r="3939" spans="1:8">
      <c r="A3939">
        <v>3</v>
      </c>
      <c r="B3939" t="s">
        <v>46</v>
      </c>
      <c r="C3939" t="s">
        <v>35</v>
      </c>
      <c r="D3939">
        <v>0</v>
      </c>
      <c r="E3939">
        <v>1</v>
      </c>
      <c r="F3939" s="7">
        <v>108616</v>
      </c>
      <c r="G3939">
        <v>0</v>
      </c>
      <c r="H3939" s="7">
        <v>0</v>
      </c>
    </row>
    <row r="3940" spans="1:8">
      <c r="A3940">
        <v>3</v>
      </c>
      <c r="B3940" t="s">
        <v>46</v>
      </c>
      <c r="C3940" t="s">
        <v>35</v>
      </c>
      <c r="D3940">
        <v>0</v>
      </c>
      <c r="E3940">
        <v>1</v>
      </c>
      <c r="F3940" s="7">
        <v>118387.74</v>
      </c>
      <c r="G3940">
        <v>0</v>
      </c>
      <c r="H3940" s="7">
        <v>0</v>
      </c>
    </row>
    <row r="3941" spans="1:8">
      <c r="A3941">
        <v>3</v>
      </c>
      <c r="B3941" t="s">
        <v>46</v>
      </c>
      <c r="C3941" t="s">
        <v>34</v>
      </c>
      <c r="D3941">
        <v>0</v>
      </c>
      <c r="E3941">
        <v>1</v>
      </c>
      <c r="F3941" s="7">
        <v>57234.15</v>
      </c>
      <c r="G3941">
        <v>0</v>
      </c>
      <c r="H3941" s="7">
        <v>0</v>
      </c>
    </row>
    <row r="3942" spans="1:8">
      <c r="A3942">
        <v>3</v>
      </c>
      <c r="B3942" t="s">
        <v>46</v>
      </c>
      <c r="C3942" t="s">
        <v>34</v>
      </c>
      <c r="D3942">
        <v>0</v>
      </c>
      <c r="E3942">
        <v>1</v>
      </c>
      <c r="F3942" s="7">
        <v>57955.32</v>
      </c>
      <c r="G3942">
        <v>0</v>
      </c>
      <c r="H3942" s="7">
        <v>0</v>
      </c>
    </row>
    <row r="3943" spans="1:8">
      <c r="A3943">
        <v>3</v>
      </c>
      <c r="B3943" t="s">
        <v>46</v>
      </c>
      <c r="C3943" t="s">
        <v>33</v>
      </c>
      <c r="D3943">
        <v>0</v>
      </c>
      <c r="E3943">
        <v>1</v>
      </c>
      <c r="F3943" s="7">
        <v>4362.02</v>
      </c>
      <c r="G3943">
        <v>0</v>
      </c>
      <c r="H3943" s="7">
        <v>0</v>
      </c>
    </row>
    <row r="3944" spans="1:8">
      <c r="A3944">
        <v>3</v>
      </c>
      <c r="B3944" t="s">
        <v>46</v>
      </c>
      <c r="C3944" t="s">
        <v>35</v>
      </c>
      <c r="D3944">
        <v>0</v>
      </c>
      <c r="E3944">
        <v>1</v>
      </c>
      <c r="F3944" s="7">
        <v>256782.92</v>
      </c>
      <c r="G3944">
        <v>0</v>
      </c>
      <c r="H3944" s="7">
        <v>0</v>
      </c>
    </row>
    <row r="3945" spans="1:8">
      <c r="A3945">
        <v>3</v>
      </c>
      <c r="B3945" t="s">
        <v>46</v>
      </c>
      <c r="C3945" t="s">
        <v>35</v>
      </c>
      <c r="D3945">
        <v>0</v>
      </c>
      <c r="E3945">
        <v>1</v>
      </c>
      <c r="F3945" s="7">
        <v>422671.35</v>
      </c>
      <c r="G3945">
        <v>0</v>
      </c>
      <c r="H3945" s="7">
        <v>0</v>
      </c>
    </row>
    <row r="3946" spans="1:8">
      <c r="A3946">
        <v>3</v>
      </c>
      <c r="B3946" t="s">
        <v>46</v>
      </c>
      <c r="C3946" t="s">
        <v>35</v>
      </c>
      <c r="D3946">
        <v>0</v>
      </c>
      <c r="E3946">
        <v>1</v>
      </c>
      <c r="F3946" s="7">
        <v>349779.04</v>
      </c>
      <c r="G3946">
        <v>0</v>
      </c>
      <c r="H3946" s="7">
        <v>0</v>
      </c>
    </row>
    <row r="3947" spans="1:8">
      <c r="A3947">
        <v>3</v>
      </c>
      <c r="B3947" t="s">
        <v>46</v>
      </c>
      <c r="C3947" t="s">
        <v>34</v>
      </c>
      <c r="D3947">
        <v>0</v>
      </c>
      <c r="E3947">
        <v>1</v>
      </c>
      <c r="F3947" s="7">
        <v>58930.33</v>
      </c>
      <c r="G3947">
        <v>0</v>
      </c>
      <c r="H3947" s="7">
        <v>0</v>
      </c>
    </row>
    <row r="3948" spans="1:8">
      <c r="A3948">
        <v>3</v>
      </c>
      <c r="B3948" t="s">
        <v>46</v>
      </c>
      <c r="C3948" t="s">
        <v>34</v>
      </c>
      <c r="D3948">
        <v>0</v>
      </c>
      <c r="E3948">
        <v>1</v>
      </c>
      <c r="F3948" s="7">
        <v>53594.23</v>
      </c>
      <c r="G3948">
        <v>0</v>
      </c>
      <c r="H3948" s="7">
        <v>0</v>
      </c>
    </row>
    <row r="3949" spans="1:8">
      <c r="A3949">
        <v>3</v>
      </c>
      <c r="B3949" t="s">
        <v>46</v>
      </c>
      <c r="C3949" t="s">
        <v>34</v>
      </c>
      <c r="D3949">
        <v>0</v>
      </c>
      <c r="E3949">
        <v>1</v>
      </c>
      <c r="F3949" s="7">
        <v>79311.12</v>
      </c>
      <c r="G3949">
        <v>0</v>
      </c>
      <c r="H3949" s="7">
        <v>0</v>
      </c>
    </row>
    <row r="3950" spans="1:8">
      <c r="A3950">
        <v>3</v>
      </c>
      <c r="B3950" t="s">
        <v>46</v>
      </c>
      <c r="C3950" t="s">
        <v>35</v>
      </c>
      <c r="D3950">
        <v>0</v>
      </c>
      <c r="E3950">
        <v>1</v>
      </c>
      <c r="F3950" s="7">
        <v>204766.89</v>
      </c>
      <c r="G3950">
        <v>0</v>
      </c>
      <c r="H3950" s="7">
        <v>0</v>
      </c>
    </row>
    <row r="3951" spans="1:8">
      <c r="A3951">
        <v>3</v>
      </c>
      <c r="B3951" t="s">
        <v>46</v>
      </c>
      <c r="C3951" t="s">
        <v>34</v>
      </c>
      <c r="D3951">
        <v>0</v>
      </c>
      <c r="E3951">
        <v>1</v>
      </c>
      <c r="F3951" s="7">
        <v>28105.73</v>
      </c>
      <c r="G3951">
        <v>0</v>
      </c>
      <c r="H3951" s="7">
        <v>0</v>
      </c>
    </row>
    <row r="3952" spans="1:8">
      <c r="A3952">
        <v>3</v>
      </c>
      <c r="B3952" t="s">
        <v>46</v>
      </c>
      <c r="C3952" t="s">
        <v>34</v>
      </c>
      <c r="D3952">
        <v>0</v>
      </c>
      <c r="E3952">
        <v>1</v>
      </c>
      <c r="F3952" s="7">
        <v>98566.11</v>
      </c>
      <c r="G3952">
        <v>0</v>
      </c>
      <c r="H3952" s="7">
        <v>0</v>
      </c>
    </row>
    <row r="3953" spans="1:8">
      <c r="A3953">
        <v>3</v>
      </c>
      <c r="B3953" t="s">
        <v>46</v>
      </c>
      <c r="C3953" t="s">
        <v>34</v>
      </c>
      <c r="D3953">
        <v>0</v>
      </c>
      <c r="E3953">
        <v>1</v>
      </c>
      <c r="F3953" s="7">
        <v>32906.54</v>
      </c>
      <c r="G3953">
        <v>0</v>
      </c>
      <c r="H3953" s="7">
        <v>0</v>
      </c>
    </row>
    <row r="3954" spans="1:8">
      <c r="A3954">
        <v>3</v>
      </c>
      <c r="B3954" t="s">
        <v>46</v>
      </c>
      <c r="C3954" t="s">
        <v>35</v>
      </c>
      <c r="D3954">
        <v>0</v>
      </c>
      <c r="E3954">
        <v>1</v>
      </c>
      <c r="F3954" s="7">
        <v>194926.14</v>
      </c>
      <c r="G3954">
        <v>0</v>
      </c>
      <c r="H3954" s="7">
        <v>0</v>
      </c>
    </row>
    <row r="3955" spans="1:8">
      <c r="A3955">
        <v>3</v>
      </c>
      <c r="B3955" t="s">
        <v>46</v>
      </c>
      <c r="C3955" t="s">
        <v>35</v>
      </c>
      <c r="D3955">
        <v>0</v>
      </c>
      <c r="E3955">
        <v>1</v>
      </c>
      <c r="F3955" s="7">
        <v>326468.84</v>
      </c>
      <c r="G3955">
        <v>0</v>
      </c>
      <c r="H3955" s="7">
        <v>0</v>
      </c>
    </row>
    <row r="3956" spans="1:8">
      <c r="A3956">
        <v>3</v>
      </c>
      <c r="B3956" t="s">
        <v>46</v>
      </c>
      <c r="C3956" t="s">
        <v>34</v>
      </c>
      <c r="D3956">
        <v>0</v>
      </c>
      <c r="E3956">
        <v>1</v>
      </c>
      <c r="F3956" s="7">
        <v>92558.28</v>
      </c>
      <c r="G3956">
        <v>0</v>
      </c>
      <c r="H3956" s="7">
        <v>0</v>
      </c>
    </row>
    <row r="3957" spans="1:8">
      <c r="A3957">
        <v>3</v>
      </c>
      <c r="B3957" t="s">
        <v>46</v>
      </c>
      <c r="C3957" t="s">
        <v>35</v>
      </c>
      <c r="D3957">
        <v>0</v>
      </c>
      <c r="E3957">
        <v>1</v>
      </c>
      <c r="F3957" s="7">
        <v>327117.43</v>
      </c>
      <c r="G3957">
        <v>0</v>
      </c>
      <c r="H3957" s="7">
        <v>0</v>
      </c>
    </row>
    <row r="3958" spans="1:8">
      <c r="A3958">
        <v>3</v>
      </c>
      <c r="B3958" t="s">
        <v>46</v>
      </c>
      <c r="C3958" t="s">
        <v>34</v>
      </c>
      <c r="D3958">
        <v>0</v>
      </c>
      <c r="E3958">
        <v>1</v>
      </c>
      <c r="F3958" s="7">
        <v>28444.78</v>
      </c>
      <c r="G3958">
        <v>0</v>
      </c>
      <c r="H3958" s="7">
        <v>0</v>
      </c>
    </row>
    <row r="3959" spans="1:8">
      <c r="A3959">
        <v>3</v>
      </c>
      <c r="B3959" t="s">
        <v>46</v>
      </c>
      <c r="C3959" t="s">
        <v>35</v>
      </c>
      <c r="D3959">
        <v>0</v>
      </c>
      <c r="E3959">
        <v>1</v>
      </c>
      <c r="F3959" s="7">
        <v>267812.03</v>
      </c>
      <c r="G3959">
        <v>0</v>
      </c>
      <c r="H3959" s="7">
        <v>0</v>
      </c>
    </row>
    <row r="3960" spans="1:8">
      <c r="A3960">
        <v>3</v>
      </c>
      <c r="B3960" t="s">
        <v>46</v>
      </c>
      <c r="C3960" t="s">
        <v>35</v>
      </c>
      <c r="D3960">
        <v>0</v>
      </c>
      <c r="E3960">
        <v>1</v>
      </c>
      <c r="F3960" s="7">
        <v>381371.28</v>
      </c>
      <c r="G3960">
        <v>0</v>
      </c>
      <c r="H3960" s="7">
        <v>0</v>
      </c>
    </row>
    <row r="3961" spans="1:8">
      <c r="A3961">
        <v>3</v>
      </c>
      <c r="B3961" t="s">
        <v>46</v>
      </c>
      <c r="C3961" t="s">
        <v>35</v>
      </c>
      <c r="D3961">
        <v>0</v>
      </c>
      <c r="E3961">
        <v>1</v>
      </c>
      <c r="F3961" s="7">
        <v>440757.72</v>
      </c>
      <c r="G3961">
        <v>0</v>
      </c>
      <c r="H3961" s="7">
        <v>0</v>
      </c>
    </row>
    <row r="3962" spans="1:8">
      <c r="A3962">
        <v>3</v>
      </c>
      <c r="B3962" t="s">
        <v>46</v>
      </c>
      <c r="C3962" t="s">
        <v>35</v>
      </c>
      <c r="D3962">
        <v>0</v>
      </c>
      <c r="E3962">
        <v>1</v>
      </c>
      <c r="F3962" s="7">
        <v>140164.86</v>
      </c>
      <c r="G3962">
        <v>0</v>
      </c>
      <c r="H3962" s="7">
        <v>0</v>
      </c>
    </row>
    <row r="3963" spans="1:8">
      <c r="A3963">
        <v>3</v>
      </c>
      <c r="B3963" t="s">
        <v>46</v>
      </c>
      <c r="C3963" t="s">
        <v>35</v>
      </c>
      <c r="D3963">
        <v>0</v>
      </c>
      <c r="E3963">
        <v>1</v>
      </c>
      <c r="F3963" s="7">
        <v>168479.08</v>
      </c>
      <c r="G3963">
        <v>0</v>
      </c>
      <c r="H3963" s="7">
        <v>0</v>
      </c>
    </row>
    <row r="3964" spans="1:8">
      <c r="A3964">
        <v>3</v>
      </c>
      <c r="B3964" t="s">
        <v>46</v>
      </c>
      <c r="C3964" t="s">
        <v>35</v>
      </c>
      <c r="D3964">
        <v>0</v>
      </c>
      <c r="E3964">
        <v>1</v>
      </c>
      <c r="F3964" s="7">
        <v>185832.16</v>
      </c>
      <c r="G3964">
        <v>0</v>
      </c>
      <c r="H3964" s="7">
        <v>0</v>
      </c>
    </row>
    <row r="3965" spans="1:8">
      <c r="A3965">
        <v>3</v>
      </c>
      <c r="B3965" t="s">
        <v>46</v>
      </c>
      <c r="C3965" t="s">
        <v>34</v>
      </c>
      <c r="D3965">
        <v>0</v>
      </c>
      <c r="E3965">
        <v>1</v>
      </c>
      <c r="F3965" s="7">
        <v>46516.42</v>
      </c>
      <c r="G3965">
        <v>0</v>
      </c>
      <c r="H3965" s="7">
        <v>0</v>
      </c>
    </row>
    <row r="3966" spans="1:8">
      <c r="A3966">
        <v>3</v>
      </c>
      <c r="B3966" t="s">
        <v>42</v>
      </c>
      <c r="C3966" t="s">
        <v>34</v>
      </c>
      <c r="D3966">
        <v>0</v>
      </c>
      <c r="E3966">
        <v>1</v>
      </c>
      <c r="F3966" s="7">
        <v>13030.42</v>
      </c>
      <c r="G3966">
        <v>0</v>
      </c>
      <c r="H3966" s="7">
        <v>0</v>
      </c>
    </row>
    <row r="3967" spans="1:8">
      <c r="A3967">
        <v>3</v>
      </c>
      <c r="B3967" t="s">
        <v>42</v>
      </c>
      <c r="C3967" t="s">
        <v>33</v>
      </c>
      <c r="D3967">
        <v>0</v>
      </c>
      <c r="E3967">
        <v>1</v>
      </c>
      <c r="F3967" s="7">
        <v>6064.7</v>
      </c>
      <c r="G3967">
        <v>0</v>
      </c>
      <c r="H3967" s="7">
        <v>0</v>
      </c>
    </row>
    <row r="3968" spans="1:8">
      <c r="A3968">
        <v>3</v>
      </c>
      <c r="B3968" t="s">
        <v>44</v>
      </c>
      <c r="C3968" t="s">
        <v>34</v>
      </c>
      <c r="D3968">
        <v>0</v>
      </c>
      <c r="E3968">
        <v>1</v>
      </c>
      <c r="F3968" s="7">
        <v>14979.83</v>
      </c>
      <c r="G3968">
        <v>0</v>
      </c>
      <c r="H3968" s="7">
        <v>0</v>
      </c>
    </row>
    <row r="3969" spans="1:8">
      <c r="A3969">
        <v>3</v>
      </c>
      <c r="B3969" t="s">
        <v>42</v>
      </c>
      <c r="C3969" t="s">
        <v>33</v>
      </c>
      <c r="D3969">
        <v>0</v>
      </c>
      <c r="E3969">
        <v>1</v>
      </c>
      <c r="F3969" s="7">
        <v>7536.31</v>
      </c>
      <c r="G3969">
        <v>0</v>
      </c>
      <c r="H3969" s="7">
        <v>0</v>
      </c>
    </row>
    <row r="3970" spans="1:8">
      <c r="A3970">
        <v>3</v>
      </c>
      <c r="B3970" t="s">
        <v>42</v>
      </c>
      <c r="C3970" t="s">
        <v>33</v>
      </c>
      <c r="D3970">
        <v>0</v>
      </c>
      <c r="E3970">
        <v>1</v>
      </c>
      <c r="F3970" s="7">
        <v>5115.77</v>
      </c>
      <c r="G3970">
        <v>0</v>
      </c>
      <c r="H3970" s="7">
        <v>0</v>
      </c>
    </row>
    <row r="3971" spans="1:8">
      <c r="A3971">
        <v>3</v>
      </c>
      <c r="B3971" t="s">
        <v>42</v>
      </c>
      <c r="C3971" t="s">
        <v>32</v>
      </c>
      <c r="D3971">
        <v>0</v>
      </c>
      <c r="E3971">
        <v>1</v>
      </c>
      <c r="F3971" s="7">
        <v>79.55</v>
      </c>
      <c r="G3971">
        <v>0</v>
      </c>
      <c r="H3971" s="7">
        <v>0</v>
      </c>
    </row>
    <row r="3972" spans="1:8">
      <c r="A3972">
        <v>3</v>
      </c>
      <c r="B3972" t="s">
        <v>42</v>
      </c>
      <c r="C3972" t="s">
        <v>33</v>
      </c>
      <c r="D3972">
        <v>0</v>
      </c>
      <c r="E3972">
        <v>1</v>
      </c>
      <c r="F3972" s="7">
        <v>9169.8</v>
      </c>
      <c r="G3972">
        <v>0</v>
      </c>
      <c r="H3972" s="7">
        <v>0</v>
      </c>
    </row>
    <row r="3973" spans="1:8">
      <c r="A3973">
        <v>3</v>
      </c>
      <c r="B3973" t="s">
        <v>42</v>
      </c>
      <c r="C3973" t="s">
        <v>33</v>
      </c>
      <c r="D3973">
        <v>0</v>
      </c>
      <c r="E3973">
        <v>1</v>
      </c>
      <c r="F3973" s="7">
        <v>7118.78</v>
      </c>
      <c r="G3973">
        <v>0</v>
      </c>
      <c r="H3973" s="7">
        <v>0</v>
      </c>
    </row>
    <row r="3974" spans="1:8">
      <c r="A3974">
        <v>3</v>
      </c>
      <c r="B3974" t="s">
        <v>42</v>
      </c>
      <c r="C3974" t="s">
        <v>33</v>
      </c>
      <c r="D3974">
        <v>0</v>
      </c>
      <c r="E3974">
        <v>1</v>
      </c>
      <c r="F3974" s="7">
        <v>6745.4</v>
      </c>
      <c r="G3974">
        <v>0</v>
      </c>
      <c r="H3974" s="7">
        <v>0</v>
      </c>
    </row>
    <row r="3975" spans="1:8">
      <c r="A3975">
        <v>3</v>
      </c>
      <c r="B3975" t="s">
        <v>42</v>
      </c>
      <c r="C3975" t="s">
        <v>34</v>
      </c>
      <c r="D3975">
        <v>0</v>
      </c>
      <c r="E3975">
        <v>1</v>
      </c>
      <c r="F3975" s="7">
        <v>20473.47</v>
      </c>
      <c r="G3975">
        <v>0</v>
      </c>
      <c r="H3975" s="7">
        <v>0</v>
      </c>
    </row>
    <row r="3976" spans="1:8">
      <c r="A3976">
        <v>3</v>
      </c>
      <c r="B3976" t="s">
        <v>42</v>
      </c>
      <c r="C3976" t="s">
        <v>33</v>
      </c>
      <c r="D3976">
        <v>0</v>
      </c>
      <c r="E3976">
        <v>1</v>
      </c>
      <c r="F3976" s="7">
        <v>3966.99</v>
      </c>
      <c r="G3976">
        <v>0</v>
      </c>
      <c r="H3976" s="7">
        <v>0</v>
      </c>
    </row>
    <row r="3977" spans="1:8">
      <c r="A3977">
        <v>3</v>
      </c>
      <c r="B3977" t="s">
        <v>42</v>
      </c>
      <c r="C3977" t="s">
        <v>33</v>
      </c>
      <c r="D3977">
        <v>0</v>
      </c>
      <c r="E3977">
        <v>1</v>
      </c>
      <c r="F3977" s="7">
        <v>2413.25</v>
      </c>
      <c r="G3977">
        <v>0</v>
      </c>
      <c r="H3977" s="7">
        <v>0</v>
      </c>
    </row>
    <row r="3978" spans="1:8">
      <c r="A3978">
        <v>3</v>
      </c>
      <c r="B3978" t="s">
        <v>42</v>
      </c>
      <c r="C3978" t="s">
        <v>33</v>
      </c>
      <c r="D3978">
        <v>0</v>
      </c>
      <c r="E3978">
        <v>1</v>
      </c>
      <c r="F3978" s="7">
        <v>6546.7</v>
      </c>
      <c r="G3978">
        <v>0</v>
      </c>
      <c r="H3978" s="7">
        <v>0</v>
      </c>
    </row>
    <row r="3979" spans="1:8">
      <c r="A3979">
        <v>3</v>
      </c>
      <c r="B3979" t="s">
        <v>45</v>
      </c>
      <c r="C3979" t="s">
        <v>33</v>
      </c>
      <c r="D3979">
        <v>0</v>
      </c>
      <c r="E3979">
        <v>1</v>
      </c>
      <c r="F3979" s="7">
        <v>9635.1</v>
      </c>
      <c r="G3979">
        <v>0</v>
      </c>
      <c r="H3979" s="7">
        <v>0</v>
      </c>
    </row>
    <row r="3980" spans="1:8">
      <c r="A3980">
        <v>3</v>
      </c>
      <c r="B3980" t="s">
        <v>42</v>
      </c>
      <c r="C3980" t="s">
        <v>33</v>
      </c>
      <c r="D3980">
        <v>0</v>
      </c>
      <c r="E3980">
        <v>1</v>
      </c>
      <c r="F3980" s="7">
        <v>3107.85</v>
      </c>
      <c r="G3980">
        <v>0</v>
      </c>
      <c r="H3980" s="7">
        <v>0</v>
      </c>
    </row>
    <row r="3981" spans="1:8">
      <c r="A3981">
        <v>3</v>
      </c>
      <c r="B3981" t="s">
        <v>44</v>
      </c>
      <c r="C3981" t="s">
        <v>34</v>
      </c>
      <c r="D3981">
        <v>0</v>
      </c>
      <c r="E3981">
        <v>1</v>
      </c>
      <c r="F3981" s="7">
        <v>77196.59</v>
      </c>
      <c r="G3981">
        <v>0</v>
      </c>
      <c r="H3981" s="7">
        <v>0</v>
      </c>
    </row>
    <row r="3982" spans="1:8">
      <c r="A3982">
        <v>3</v>
      </c>
      <c r="B3982" t="s">
        <v>42</v>
      </c>
      <c r="C3982" t="s">
        <v>34</v>
      </c>
      <c r="D3982">
        <v>0</v>
      </c>
      <c r="E3982">
        <v>1</v>
      </c>
      <c r="F3982" s="7">
        <v>29954.16</v>
      </c>
      <c r="G3982">
        <v>0</v>
      </c>
      <c r="H3982" s="7">
        <v>0</v>
      </c>
    </row>
    <row r="3983" spans="1:8">
      <c r="A3983">
        <v>3</v>
      </c>
      <c r="B3983" t="s">
        <v>42</v>
      </c>
      <c r="C3983" t="s">
        <v>33</v>
      </c>
      <c r="D3983">
        <v>0</v>
      </c>
      <c r="E3983">
        <v>1</v>
      </c>
      <c r="F3983" s="7">
        <v>6887.71</v>
      </c>
      <c r="G3983">
        <v>0</v>
      </c>
      <c r="H3983" s="7">
        <v>0</v>
      </c>
    </row>
    <row r="3984" spans="1:8">
      <c r="A3984">
        <v>3</v>
      </c>
      <c r="B3984" t="s">
        <v>45</v>
      </c>
      <c r="C3984" t="s">
        <v>33</v>
      </c>
      <c r="D3984">
        <v>0</v>
      </c>
      <c r="E3984">
        <v>1</v>
      </c>
      <c r="F3984" s="7">
        <v>1991.02</v>
      </c>
      <c r="G3984">
        <v>0</v>
      </c>
      <c r="H3984" s="7">
        <v>0</v>
      </c>
    </row>
    <row r="3985" spans="1:8">
      <c r="A3985">
        <v>3</v>
      </c>
      <c r="B3985" t="s">
        <v>42</v>
      </c>
      <c r="C3985" t="s">
        <v>33</v>
      </c>
      <c r="D3985">
        <v>0</v>
      </c>
      <c r="E3985">
        <v>1</v>
      </c>
      <c r="F3985" s="7">
        <v>6028.79</v>
      </c>
      <c r="G3985">
        <v>0</v>
      </c>
      <c r="H3985" s="7">
        <v>0</v>
      </c>
    </row>
    <row r="3986" spans="1:8">
      <c r="A3986">
        <v>3</v>
      </c>
      <c r="B3986" t="s">
        <v>42</v>
      </c>
      <c r="C3986" t="s">
        <v>34</v>
      </c>
      <c r="D3986">
        <v>0</v>
      </c>
      <c r="E3986">
        <v>1</v>
      </c>
      <c r="F3986" s="7">
        <v>14017.83</v>
      </c>
      <c r="G3986">
        <v>0</v>
      </c>
      <c r="H3986" s="7">
        <v>0</v>
      </c>
    </row>
    <row r="3987" spans="1:8">
      <c r="A3987">
        <v>3</v>
      </c>
      <c r="B3987" t="s">
        <v>42</v>
      </c>
      <c r="C3987" t="s">
        <v>33</v>
      </c>
      <c r="D3987">
        <v>0</v>
      </c>
      <c r="E3987">
        <v>1</v>
      </c>
      <c r="F3987" s="7">
        <v>3645.21</v>
      </c>
      <c r="G3987">
        <v>0</v>
      </c>
      <c r="H3987" s="7">
        <v>0</v>
      </c>
    </row>
    <row r="3988" spans="1:8">
      <c r="A3988">
        <v>3</v>
      </c>
      <c r="B3988" t="s">
        <v>42</v>
      </c>
      <c r="C3988" t="s">
        <v>33</v>
      </c>
      <c r="D3988">
        <v>0</v>
      </c>
      <c r="E3988">
        <v>1</v>
      </c>
      <c r="F3988" s="7">
        <v>7052.32</v>
      </c>
      <c r="G3988">
        <v>0</v>
      </c>
      <c r="H3988" s="7">
        <v>0</v>
      </c>
    </row>
    <row r="3989" spans="1:8">
      <c r="A3989">
        <v>3</v>
      </c>
      <c r="B3989" t="s">
        <v>42</v>
      </c>
      <c r="C3989" t="s">
        <v>33</v>
      </c>
      <c r="D3989">
        <v>0</v>
      </c>
      <c r="E3989">
        <v>1</v>
      </c>
      <c r="F3989" s="7">
        <v>5810.4</v>
      </c>
      <c r="G3989">
        <v>0</v>
      </c>
      <c r="H3989" s="7">
        <v>0</v>
      </c>
    </row>
    <row r="3990" spans="1:8">
      <c r="A3990">
        <v>3</v>
      </c>
      <c r="B3990" t="s">
        <v>42</v>
      </c>
      <c r="C3990" t="s">
        <v>33</v>
      </c>
      <c r="D3990">
        <v>0</v>
      </c>
      <c r="E3990">
        <v>1</v>
      </c>
      <c r="F3990" s="7">
        <v>6754.06</v>
      </c>
      <c r="G3990">
        <v>0</v>
      </c>
      <c r="H3990" s="7">
        <v>0</v>
      </c>
    </row>
    <row r="3991" spans="1:8">
      <c r="A3991">
        <v>3</v>
      </c>
      <c r="B3991" t="s">
        <v>42</v>
      </c>
      <c r="C3991" t="s">
        <v>32</v>
      </c>
      <c r="D3991">
        <v>0</v>
      </c>
      <c r="E3991">
        <v>1</v>
      </c>
      <c r="F3991" s="7">
        <v>534.45</v>
      </c>
      <c r="G3991">
        <v>0</v>
      </c>
      <c r="H3991" s="7">
        <v>0</v>
      </c>
    </row>
    <row r="3992" spans="1:8">
      <c r="A3992">
        <v>3</v>
      </c>
      <c r="B3992" t="s">
        <v>42</v>
      </c>
      <c r="C3992" t="s">
        <v>33</v>
      </c>
      <c r="D3992">
        <v>0</v>
      </c>
      <c r="E3992">
        <v>1</v>
      </c>
      <c r="F3992" s="7">
        <v>1226.94</v>
      </c>
      <c r="G3992">
        <v>0</v>
      </c>
      <c r="H3992" s="7">
        <v>0</v>
      </c>
    </row>
    <row r="3993" spans="1:8">
      <c r="A3993">
        <v>3</v>
      </c>
      <c r="B3993" t="s">
        <v>42</v>
      </c>
      <c r="C3993" t="s">
        <v>34</v>
      </c>
      <c r="D3993">
        <v>0</v>
      </c>
      <c r="E3993">
        <v>1</v>
      </c>
      <c r="F3993" s="7">
        <v>14771.16</v>
      </c>
      <c r="G3993">
        <v>0</v>
      </c>
      <c r="H3993" s="7">
        <v>0</v>
      </c>
    </row>
    <row r="3994" spans="1:8">
      <c r="A3994">
        <v>3</v>
      </c>
      <c r="B3994" t="s">
        <v>42</v>
      </c>
      <c r="C3994" t="s">
        <v>33</v>
      </c>
      <c r="D3994">
        <v>0</v>
      </c>
      <c r="E3994">
        <v>1</v>
      </c>
      <c r="F3994" s="7">
        <v>1962.04</v>
      </c>
      <c r="G3994">
        <v>0</v>
      </c>
      <c r="H3994" s="7">
        <v>0</v>
      </c>
    </row>
    <row r="3995" spans="1:8">
      <c r="A3995">
        <v>3</v>
      </c>
      <c r="B3995" t="s">
        <v>42</v>
      </c>
      <c r="C3995" t="s">
        <v>34</v>
      </c>
      <c r="D3995">
        <v>0</v>
      </c>
      <c r="E3995">
        <v>1</v>
      </c>
      <c r="F3995" s="7">
        <v>10355.12</v>
      </c>
      <c r="G3995">
        <v>0</v>
      </c>
      <c r="H3995" s="7">
        <v>0</v>
      </c>
    </row>
    <row r="3996" spans="1:8">
      <c r="A3996">
        <v>3</v>
      </c>
      <c r="B3996" t="s">
        <v>42</v>
      </c>
      <c r="C3996" t="s">
        <v>34</v>
      </c>
      <c r="D3996">
        <v>0</v>
      </c>
      <c r="E3996">
        <v>1</v>
      </c>
      <c r="F3996" s="7">
        <v>15398.06</v>
      </c>
      <c r="G3996">
        <v>0</v>
      </c>
      <c r="H3996" s="7">
        <v>0</v>
      </c>
    </row>
    <row r="3997" spans="1:8">
      <c r="A3997">
        <v>3</v>
      </c>
      <c r="B3997" t="s">
        <v>44</v>
      </c>
      <c r="C3997" t="s">
        <v>34</v>
      </c>
      <c r="D3997">
        <v>0</v>
      </c>
      <c r="E3997">
        <v>1</v>
      </c>
      <c r="F3997" s="7">
        <v>69119.41</v>
      </c>
      <c r="G3997">
        <v>0</v>
      </c>
      <c r="H3997" s="7">
        <v>0</v>
      </c>
    </row>
    <row r="3998" spans="1:8">
      <c r="A3998">
        <v>3</v>
      </c>
      <c r="B3998" t="s">
        <v>42</v>
      </c>
      <c r="C3998" t="s">
        <v>33</v>
      </c>
      <c r="D3998">
        <v>0</v>
      </c>
      <c r="E3998">
        <v>1</v>
      </c>
      <c r="F3998" s="7">
        <v>9399.1</v>
      </c>
      <c r="G3998">
        <v>0</v>
      </c>
      <c r="H3998" s="7">
        <v>0</v>
      </c>
    </row>
    <row r="3999" spans="1:8">
      <c r="A3999">
        <v>3</v>
      </c>
      <c r="B3999" t="s">
        <v>42</v>
      </c>
      <c r="C3999" t="s">
        <v>33</v>
      </c>
      <c r="D3999">
        <v>0</v>
      </c>
      <c r="E3999">
        <v>1</v>
      </c>
      <c r="F3999" s="7">
        <v>4086.36</v>
      </c>
      <c r="G3999">
        <v>0</v>
      </c>
      <c r="H3999" s="7">
        <v>0</v>
      </c>
    </row>
    <row r="4000" spans="1:8">
      <c r="A4000">
        <v>3</v>
      </c>
      <c r="B4000" t="s">
        <v>42</v>
      </c>
      <c r="C4000" t="s">
        <v>34</v>
      </c>
      <c r="D4000">
        <v>0</v>
      </c>
      <c r="E4000">
        <v>1</v>
      </c>
      <c r="F4000" s="7">
        <v>13620.05</v>
      </c>
      <c r="G4000">
        <v>0</v>
      </c>
      <c r="H4000" s="7">
        <v>0</v>
      </c>
    </row>
    <row r="4001" spans="1:8">
      <c r="A4001">
        <v>3</v>
      </c>
      <c r="B4001" t="s">
        <v>42</v>
      </c>
      <c r="C4001" t="s">
        <v>32</v>
      </c>
      <c r="D4001">
        <v>0</v>
      </c>
      <c r="E4001">
        <v>1</v>
      </c>
      <c r="F4001" s="7">
        <v>401.1</v>
      </c>
      <c r="G4001">
        <v>0</v>
      </c>
      <c r="H4001" s="7">
        <v>0</v>
      </c>
    </row>
    <row r="4002" spans="1:8">
      <c r="A4002">
        <v>3</v>
      </c>
      <c r="B4002" t="s">
        <v>42</v>
      </c>
      <c r="C4002" t="s">
        <v>34</v>
      </c>
      <c r="D4002">
        <v>0</v>
      </c>
      <c r="E4002">
        <v>1</v>
      </c>
      <c r="F4002" s="7">
        <v>14694.94</v>
      </c>
      <c r="G4002">
        <v>0</v>
      </c>
      <c r="H4002" s="7">
        <v>0</v>
      </c>
    </row>
    <row r="4003" spans="1:8">
      <c r="A4003">
        <v>3</v>
      </c>
      <c r="B4003" t="s">
        <v>42</v>
      </c>
      <c r="C4003" t="s">
        <v>34</v>
      </c>
      <c r="D4003">
        <v>0</v>
      </c>
      <c r="E4003">
        <v>1</v>
      </c>
      <c r="F4003" s="7">
        <v>11405.44</v>
      </c>
      <c r="G4003">
        <v>0</v>
      </c>
      <c r="H4003" s="7">
        <v>0</v>
      </c>
    </row>
    <row r="4004" spans="1:8">
      <c r="A4004">
        <v>3</v>
      </c>
      <c r="B4004" t="s">
        <v>42</v>
      </c>
      <c r="C4004" t="s">
        <v>32</v>
      </c>
      <c r="D4004">
        <v>0</v>
      </c>
      <c r="E4004">
        <v>1</v>
      </c>
      <c r="F4004" s="7">
        <v>931.78</v>
      </c>
      <c r="G4004">
        <v>0</v>
      </c>
      <c r="H4004" s="7">
        <v>0</v>
      </c>
    </row>
    <row r="4005" spans="1:8">
      <c r="A4005">
        <v>3</v>
      </c>
      <c r="B4005" t="s">
        <v>45</v>
      </c>
      <c r="C4005" t="s">
        <v>33</v>
      </c>
      <c r="D4005">
        <v>0</v>
      </c>
      <c r="E4005">
        <v>1</v>
      </c>
      <c r="F4005" s="7">
        <v>5922.61</v>
      </c>
      <c r="G4005">
        <v>0</v>
      </c>
      <c r="H4005" s="7">
        <v>0</v>
      </c>
    </row>
    <row r="4006" spans="1:8">
      <c r="A4006">
        <v>3</v>
      </c>
      <c r="B4006" t="s">
        <v>46</v>
      </c>
      <c r="C4006" t="s">
        <v>34</v>
      </c>
      <c r="D4006">
        <v>0</v>
      </c>
      <c r="E4006">
        <v>1</v>
      </c>
      <c r="F4006" s="7">
        <v>10407.19</v>
      </c>
      <c r="G4006">
        <v>0</v>
      </c>
      <c r="H4006" s="7">
        <v>0</v>
      </c>
    </row>
    <row r="4007" spans="1:8">
      <c r="A4007">
        <v>3</v>
      </c>
      <c r="B4007" t="s">
        <v>46</v>
      </c>
      <c r="C4007" t="s">
        <v>35</v>
      </c>
      <c r="D4007">
        <v>0</v>
      </c>
      <c r="E4007">
        <v>1</v>
      </c>
      <c r="F4007" s="7">
        <v>342249.43</v>
      </c>
      <c r="G4007">
        <v>0</v>
      </c>
      <c r="H4007" s="7">
        <v>0</v>
      </c>
    </row>
    <row r="4008" spans="1:8">
      <c r="A4008">
        <v>3</v>
      </c>
      <c r="B4008" t="s">
        <v>46</v>
      </c>
      <c r="C4008" t="s">
        <v>35</v>
      </c>
      <c r="D4008">
        <v>0</v>
      </c>
      <c r="E4008">
        <v>1</v>
      </c>
      <c r="F4008" s="7">
        <v>323385.62</v>
      </c>
      <c r="G4008">
        <v>0</v>
      </c>
      <c r="H4008" s="7">
        <v>0</v>
      </c>
    </row>
    <row r="4009" spans="1:8">
      <c r="A4009">
        <v>3</v>
      </c>
      <c r="B4009" t="s">
        <v>46</v>
      </c>
      <c r="C4009" t="s">
        <v>35</v>
      </c>
      <c r="D4009">
        <v>0</v>
      </c>
      <c r="E4009">
        <v>1</v>
      </c>
      <c r="F4009" s="7">
        <v>116555.35</v>
      </c>
      <c r="G4009">
        <v>0</v>
      </c>
      <c r="H4009" s="7">
        <v>0</v>
      </c>
    </row>
    <row r="4010" spans="1:8">
      <c r="A4010">
        <v>3</v>
      </c>
      <c r="B4010" t="s">
        <v>46</v>
      </c>
      <c r="C4010" t="s">
        <v>35</v>
      </c>
      <c r="D4010">
        <v>0</v>
      </c>
      <c r="E4010">
        <v>1</v>
      </c>
      <c r="F4010" s="7">
        <v>347969.28</v>
      </c>
      <c r="G4010">
        <v>0</v>
      </c>
      <c r="H4010" s="7">
        <v>0</v>
      </c>
    </row>
    <row r="4011" spans="1:8">
      <c r="A4011">
        <v>3</v>
      </c>
      <c r="B4011" t="s">
        <v>46</v>
      </c>
      <c r="C4011" t="s">
        <v>35</v>
      </c>
      <c r="D4011">
        <v>0</v>
      </c>
      <c r="E4011">
        <v>1</v>
      </c>
      <c r="F4011" s="7">
        <v>133240.9</v>
      </c>
      <c r="G4011">
        <v>0</v>
      </c>
      <c r="H4011" s="7">
        <v>0</v>
      </c>
    </row>
    <row r="4012" spans="1:8">
      <c r="A4012">
        <v>3</v>
      </c>
      <c r="B4012" t="s">
        <v>46</v>
      </c>
      <c r="C4012" t="s">
        <v>35</v>
      </c>
      <c r="D4012">
        <v>0</v>
      </c>
      <c r="E4012">
        <v>1</v>
      </c>
      <c r="F4012" s="7">
        <v>344106.28</v>
      </c>
      <c r="G4012">
        <v>0</v>
      </c>
      <c r="H4012" s="7">
        <v>0</v>
      </c>
    </row>
    <row r="4013" spans="1:8">
      <c r="A4013">
        <v>3</v>
      </c>
      <c r="B4013" t="s">
        <v>46</v>
      </c>
      <c r="C4013" t="s">
        <v>35</v>
      </c>
      <c r="D4013">
        <v>0</v>
      </c>
      <c r="E4013">
        <v>1</v>
      </c>
      <c r="F4013" s="7">
        <v>279322.88</v>
      </c>
      <c r="G4013">
        <v>0</v>
      </c>
      <c r="H4013" s="7">
        <v>0</v>
      </c>
    </row>
    <row r="4014" spans="1:8">
      <c r="A4014">
        <v>3</v>
      </c>
      <c r="B4014" t="s">
        <v>46</v>
      </c>
      <c r="C4014" t="s">
        <v>35</v>
      </c>
      <c r="D4014">
        <v>0</v>
      </c>
      <c r="E4014">
        <v>1</v>
      </c>
      <c r="F4014" s="7">
        <v>113390.81</v>
      </c>
      <c r="G4014">
        <v>0</v>
      </c>
      <c r="H4014" s="7">
        <v>0</v>
      </c>
    </row>
    <row r="4015" spans="1:8">
      <c r="A4015">
        <v>3</v>
      </c>
      <c r="B4015" t="s">
        <v>46</v>
      </c>
      <c r="C4015" t="s">
        <v>35</v>
      </c>
      <c r="D4015">
        <v>0</v>
      </c>
      <c r="E4015">
        <v>1</v>
      </c>
      <c r="F4015" s="7">
        <v>205235.12</v>
      </c>
      <c r="G4015">
        <v>0</v>
      </c>
      <c r="H4015" s="7">
        <v>0</v>
      </c>
    </row>
    <row r="4016" spans="1:8">
      <c r="A4016">
        <v>3</v>
      </c>
      <c r="B4016" t="s">
        <v>46</v>
      </c>
      <c r="C4016" t="s">
        <v>35</v>
      </c>
      <c r="D4016">
        <v>0</v>
      </c>
      <c r="E4016">
        <v>1</v>
      </c>
      <c r="F4016" s="7">
        <v>415046.18</v>
      </c>
      <c r="G4016">
        <v>0</v>
      </c>
      <c r="H4016" s="7">
        <v>0</v>
      </c>
    </row>
    <row r="4017" spans="1:8">
      <c r="A4017">
        <v>3</v>
      </c>
      <c r="B4017" t="s">
        <v>46</v>
      </c>
      <c r="C4017" t="s">
        <v>35</v>
      </c>
      <c r="D4017">
        <v>0</v>
      </c>
      <c r="E4017">
        <v>1</v>
      </c>
      <c r="F4017" s="7">
        <v>201744.79</v>
      </c>
      <c r="G4017">
        <v>0</v>
      </c>
      <c r="H4017" s="7">
        <v>0</v>
      </c>
    </row>
    <row r="4018" spans="1:8">
      <c r="A4018">
        <v>3</v>
      </c>
      <c r="B4018" t="s">
        <v>46</v>
      </c>
      <c r="C4018" t="s">
        <v>33</v>
      </c>
      <c r="D4018">
        <v>0</v>
      </c>
      <c r="E4018">
        <v>1</v>
      </c>
      <c r="F4018" s="7">
        <v>1252.3</v>
      </c>
      <c r="G4018">
        <v>0</v>
      </c>
      <c r="H4018" s="7">
        <v>0</v>
      </c>
    </row>
    <row r="4019" spans="1:8">
      <c r="A4019">
        <v>3</v>
      </c>
      <c r="B4019" t="s">
        <v>46</v>
      </c>
      <c r="C4019" t="s">
        <v>34</v>
      </c>
      <c r="D4019">
        <v>0</v>
      </c>
      <c r="E4019">
        <v>1</v>
      </c>
      <c r="F4019" s="7">
        <v>24686.64</v>
      </c>
      <c r="G4019">
        <v>0</v>
      </c>
      <c r="H4019" s="7">
        <v>0</v>
      </c>
    </row>
    <row r="4020" spans="1:8">
      <c r="A4020">
        <v>3</v>
      </c>
      <c r="B4020" t="s">
        <v>46</v>
      </c>
      <c r="C4020" t="s">
        <v>35</v>
      </c>
      <c r="D4020">
        <v>0</v>
      </c>
      <c r="E4020">
        <v>1</v>
      </c>
      <c r="F4020" s="7">
        <v>241498.78</v>
      </c>
      <c r="G4020">
        <v>0</v>
      </c>
      <c r="H4020" s="7">
        <v>0</v>
      </c>
    </row>
    <row r="4021" spans="1:8">
      <c r="A4021">
        <v>3</v>
      </c>
      <c r="B4021" t="s">
        <v>46</v>
      </c>
      <c r="C4021" t="s">
        <v>35</v>
      </c>
      <c r="D4021">
        <v>0</v>
      </c>
      <c r="E4021">
        <v>1</v>
      </c>
      <c r="F4021" s="7">
        <v>399133.53</v>
      </c>
      <c r="G4021">
        <v>0</v>
      </c>
      <c r="H4021" s="7">
        <v>0</v>
      </c>
    </row>
    <row r="4022" spans="1:8">
      <c r="A4022">
        <v>3</v>
      </c>
      <c r="B4022" t="s">
        <v>46</v>
      </c>
      <c r="C4022" t="s">
        <v>34</v>
      </c>
      <c r="D4022">
        <v>0</v>
      </c>
      <c r="E4022">
        <v>1</v>
      </c>
      <c r="F4022" s="7">
        <v>99252.4</v>
      </c>
      <c r="G4022">
        <v>0</v>
      </c>
      <c r="H4022" s="7">
        <v>0</v>
      </c>
    </row>
    <row r="4023" spans="1:8">
      <c r="A4023">
        <v>3</v>
      </c>
      <c r="B4023" t="s">
        <v>46</v>
      </c>
      <c r="C4023" t="s">
        <v>35</v>
      </c>
      <c r="D4023">
        <v>0</v>
      </c>
      <c r="E4023">
        <v>1</v>
      </c>
      <c r="F4023" s="7">
        <v>173366.75</v>
      </c>
      <c r="G4023">
        <v>0</v>
      </c>
      <c r="H4023" s="7">
        <v>0</v>
      </c>
    </row>
    <row r="4024" spans="1:8">
      <c r="A4024">
        <v>3</v>
      </c>
      <c r="B4024" t="s">
        <v>46</v>
      </c>
      <c r="C4024" t="s">
        <v>34</v>
      </c>
      <c r="D4024">
        <v>0</v>
      </c>
      <c r="E4024">
        <v>1</v>
      </c>
      <c r="F4024" s="7">
        <v>46505.13</v>
      </c>
      <c r="G4024">
        <v>0</v>
      </c>
      <c r="H4024" s="7">
        <v>0</v>
      </c>
    </row>
    <row r="4025" spans="1:8">
      <c r="A4025">
        <v>3</v>
      </c>
      <c r="B4025" t="s">
        <v>46</v>
      </c>
      <c r="C4025" t="s">
        <v>35</v>
      </c>
      <c r="D4025">
        <v>0</v>
      </c>
      <c r="E4025">
        <v>1</v>
      </c>
      <c r="F4025" s="7">
        <v>229961.93</v>
      </c>
      <c r="G4025">
        <v>0</v>
      </c>
      <c r="H4025" s="7">
        <v>0</v>
      </c>
    </row>
    <row r="4026" spans="1:8">
      <c r="A4026">
        <v>3</v>
      </c>
      <c r="B4026" t="s">
        <v>46</v>
      </c>
      <c r="C4026" t="s">
        <v>35</v>
      </c>
      <c r="D4026">
        <v>0</v>
      </c>
      <c r="E4026">
        <v>1</v>
      </c>
      <c r="F4026" s="7">
        <v>344337.25</v>
      </c>
      <c r="G4026">
        <v>0</v>
      </c>
      <c r="H4026" s="7">
        <v>0</v>
      </c>
    </row>
    <row r="4027" spans="1:8">
      <c r="A4027">
        <v>3</v>
      </c>
      <c r="B4027" t="s">
        <v>46</v>
      </c>
      <c r="C4027" t="s">
        <v>34</v>
      </c>
      <c r="D4027">
        <v>0</v>
      </c>
      <c r="E4027">
        <v>1</v>
      </c>
      <c r="F4027" s="7">
        <v>81874.56</v>
      </c>
      <c r="G4027">
        <v>0</v>
      </c>
      <c r="H4027" s="7">
        <v>0</v>
      </c>
    </row>
    <row r="4028" spans="1:8">
      <c r="A4028">
        <v>3</v>
      </c>
      <c r="B4028" t="s">
        <v>46</v>
      </c>
      <c r="C4028" t="s">
        <v>34</v>
      </c>
      <c r="D4028">
        <v>0</v>
      </c>
      <c r="E4028">
        <v>1</v>
      </c>
      <c r="F4028" s="7">
        <v>54663.15</v>
      </c>
      <c r="G4028">
        <v>0</v>
      </c>
      <c r="H4028" s="7">
        <v>0</v>
      </c>
    </row>
    <row r="4029" spans="1:8">
      <c r="A4029">
        <v>3</v>
      </c>
      <c r="B4029" t="s">
        <v>46</v>
      </c>
      <c r="C4029" t="s">
        <v>34</v>
      </c>
      <c r="D4029">
        <v>0</v>
      </c>
      <c r="E4029">
        <v>1</v>
      </c>
      <c r="F4029" s="7">
        <v>33672.18</v>
      </c>
      <c r="G4029">
        <v>0</v>
      </c>
      <c r="H4029" s="7">
        <v>0</v>
      </c>
    </row>
    <row r="4030" spans="1:8">
      <c r="A4030">
        <v>3</v>
      </c>
      <c r="B4030" t="s">
        <v>46</v>
      </c>
      <c r="C4030" t="s">
        <v>34</v>
      </c>
      <c r="D4030">
        <v>0</v>
      </c>
      <c r="E4030">
        <v>1</v>
      </c>
      <c r="F4030" s="7">
        <v>23641.67</v>
      </c>
      <c r="G4030">
        <v>0</v>
      </c>
      <c r="H4030" s="7">
        <v>0</v>
      </c>
    </row>
    <row r="4031" spans="1:8">
      <c r="A4031">
        <v>3</v>
      </c>
      <c r="B4031" t="s">
        <v>46</v>
      </c>
      <c r="C4031" t="s">
        <v>34</v>
      </c>
      <c r="D4031">
        <v>0</v>
      </c>
      <c r="E4031">
        <v>1</v>
      </c>
      <c r="F4031" s="7">
        <v>99657.13</v>
      </c>
      <c r="G4031">
        <v>0</v>
      </c>
      <c r="H4031" s="7">
        <v>0</v>
      </c>
    </row>
    <row r="4032" spans="1:8">
      <c r="A4032">
        <v>3</v>
      </c>
      <c r="B4032" t="s">
        <v>46</v>
      </c>
      <c r="C4032" t="s">
        <v>34</v>
      </c>
      <c r="D4032">
        <v>0</v>
      </c>
      <c r="E4032">
        <v>1</v>
      </c>
      <c r="F4032" s="7">
        <v>79516.07</v>
      </c>
      <c r="G4032">
        <v>0</v>
      </c>
      <c r="H4032" s="7">
        <v>0</v>
      </c>
    </row>
    <row r="4033" spans="1:8">
      <c r="A4033">
        <v>3</v>
      </c>
      <c r="B4033" t="s">
        <v>46</v>
      </c>
      <c r="C4033" t="s">
        <v>35</v>
      </c>
      <c r="D4033">
        <v>0</v>
      </c>
      <c r="E4033">
        <v>1</v>
      </c>
      <c r="F4033" s="7">
        <v>210501.76</v>
      </c>
      <c r="G4033">
        <v>0</v>
      </c>
      <c r="H4033" s="7">
        <v>0</v>
      </c>
    </row>
    <row r="4034" spans="1:8">
      <c r="A4034">
        <v>3</v>
      </c>
      <c r="B4034" t="s">
        <v>46</v>
      </c>
      <c r="C4034" t="s">
        <v>34</v>
      </c>
      <c r="D4034">
        <v>0</v>
      </c>
      <c r="E4034">
        <v>1</v>
      </c>
      <c r="F4034" s="7">
        <v>22608.48</v>
      </c>
      <c r="G4034">
        <v>0</v>
      </c>
      <c r="H4034" s="7">
        <v>0</v>
      </c>
    </row>
    <row r="4035" spans="1:8">
      <c r="A4035">
        <v>3</v>
      </c>
      <c r="B4035" t="s">
        <v>46</v>
      </c>
      <c r="C4035" t="s">
        <v>35</v>
      </c>
      <c r="D4035">
        <v>0</v>
      </c>
      <c r="E4035">
        <v>1</v>
      </c>
      <c r="F4035" s="7">
        <v>235189.62</v>
      </c>
      <c r="G4035">
        <v>0</v>
      </c>
      <c r="H4035" s="7">
        <v>0</v>
      </c>
    </row>
    <row r="4036" spans="1:8">
      <c r="A4036">
        <v>3</v>
      </c>
      <c r="B4036" t="s">
        <v>46</v>
      </c>
      <c r="C4036" t="s">
        <v>35</v>
      </c>
      <c r="D4036">
        <v>0</v>
      </c>
      <c r="E4036">
        <v>1</v>
      </c>
      <c r="F4036" s="7">
        <v>162183.14</v>
      </c>
      <c r="G4036">
        <v>0</v>
      </c>
      <c r="H4036" s="7">
        <v>0</v>
      </c>
    </row>
    <row r="4037" spans="1:8">
      <c r="A4037">
        <v>3</v>
      </c>
      <c r="B4037" t="s">
        <v>46</v>
      </c>
      <c r="C4037" t="s">
        <v>35</v>
      </c>
      <c r="D4037">
        <v>0</v>
      </c>
      <c r="E4037">
        <v>1</v>
      </c>
      <c r="F4037" s="7">
        <v>635370.28</v>
      </c>
      <c r="G4037">
        <v>0</v>
      </c>
      <c r="H4037" s="7">
        <v>0</v>
      </c>
    </row>
    <row r="4038" spans="1:8">
      <c r="A4038">
        <v>3</v>
      </c>
      <c r="B4038" t="s">
        <v>46</v>
      </c>
      <c r="C4038" t="s">
        <v>35</v>
      </c>
      <c r="D4038">
        <v>0</v>
      </c>
      <c r="E4038">
        <v>1</v>
      </c>
      <c r="F4038" s="7">
        <v>177087.19</v>
      </c>
      <c r="G4038">
        <v>0</v>
      </c>
      <c r="H4038" s="7">
        <v>0</v>
      </c>
    </row>
    <row r="4039" spans="1:8">
      <c r="A4039">
        <v>3</v>
      </c>
      <c r="B4039" t="s">
        <v>46</v>
      </c>
      <c r="C4039" t="s">
        <v>35</v>
      </c>
      <c r="D4039">
        <v>0</v>
      </c>
      <c r="E4039">
        <v>1</v>
      </c>
      <c r="F4039" s="7">
        <v>208741.85</v>
      </c>
      <c r="G4039">
        <v>0</v>
      </c>
      <c r="H4039" s="7">
        <v>0</v>
      </c>
    </row>
    <row r="4040" spans="1:8">
      <c r="A4040">
        <v>3</v>
      </c>
      <c r="B4040" t="s">
        <v>42</v>
      </c>
      <c r="C4040" t="s">
        <v>33</v>
      </c>
      <c r="D4040">
        <v>0</v>
      </c>
      <c r="E4040">
        <v>1</v>
      </c>
      <c r="F4040" s="7">
        <v>3627.99</v>
      </c>
      <c r="G4040">
        <v>0</v>
      </c>
      <c r="H4040" s="7">
        <v>0</v>
      </c>
    </row>
    <row r="4041" spans="1:8">
      <c r="A4041">
        <v>3</v>
      </c>
      <c r="B4041" t="s">
        <v>44</v>
      </c>
      <c r="C4041" t="s">
        <v>34</v>
      </c>
      <c r="D4041">
        <v>0</v>
      </c>
      <c r="E4041">
        <v>1</v>
      </c>
      <c r="F4041" s="7">
        <v>44921.54</v>
      </c>
      <c r="G4041">
        <v>0</v>
      </c>
      <c r="H4041" s="7">
        <v>0</v>
      </c>
    </row>
    <row r="4042" spans="1:8">
      <c r="A4042">
        <v>3</v>
      </c>
      <c r="B4042" t="s">
        <v>42</v>
      </c>
      <c r="C4042" t="s">
        <v>33</v>
      </c>
      <c r="D4042">
        <v>0</v>
      </c>
      <c r="E4042">
        <v>1</v>
      </c>
      <c r="F4042" s="7">
        <v>1972.03</v>
      </c>
      <c r="G4042">
        <v>0</v>
      </c>
      <c r="H4042" s="7">
        <v>0</v>
      </c>
    </row>
    <row r="4043" spans="1:8">
      <c r="A4043">
        <v>3</v>
      </c>
      <c r="B4043" t="s">
        <v>42</v>
      </c>
      <c r="C4043" t="s">
        <v>33</v>
      </c>
      <c r="D4043">
        <v>0</v>
      </c>
      <c r="E4043">
        <v>1</v>
      </c>
      <c r="F4043" s="7">
        <v>5521.09</v>
      </c>
      <c r="G4043">
        <v>0</v>
      </c>
      <c r="H4043" s="7">
        <v>0</v>
      </c>
    </row>
    <row r="4044" spans="1:8">
      <c r="A4044">
        <v>3</v>
      </c>
      <c r="B4044" t="s">
        <v>42</v>
      </c>
      <c r="C4044" t="s">
        <v>34</v>
      </c>
      <c r="D4044">
        <v>0</v>
      </c>
      <c r="E4044">
        <v>1</v>
      </c>
      <c r="F4044" s="7">
        <v>14796.83</v>
      </c>
      <c r="G4044">
        <v>0</v>
      </c>
      <c r="H4044" s="7">
        <v>0</v>
      </c>
    </row>
    <row r="4045" spans="1:8">
      <c r="A4045">
        <v>3</v>
      </c>
      <c r="B4045" t="s">
        <v>44</v>
      </c>
      <c r="C4045" t="s">
        <v>34</v>
      </c>
      <c r="D4045">
        <v>0</v>
      </c>
      <c r="E4045">
        <v>1</v>
      </c>
      <c r="F4045" s="7">
        <v>23369.78</v>
      </c>
      <c r="G4045">
        <v>0</v>
      </c>
      <c r="H4045" s="7">
        <v>0</v>
      </c>
    </row>
    <row r="4046" spans="1:8">
      <c r="A4046">
        <v>3</v>
      </c>
      <c r="B4046" t="s">
        <v>44</v>
      </c>
      <c r="C4046" t="s">
        <v>35</v>
      </c>
      <c r="D4046">
        <v>0</v>
      </c>
      <c r="E4046">
        <v>1</v>
      </c>
      <c r="F4046" s="7">
        <v>120223.34</v>
      </c>
      <c r="G4046">
        <v>0</v>
      </c>
      <c r="H4046" s="7">
        <v>0</v>
      </c>
    </row>
    <row r="4047" spans="1:8">
      <c r="A4047">
        <v>3</v>
      </c>
      <c r="B4047" t="s">
        <v>42</v>
      </c>
      <c r="C4047" t="s">
        <v>33</v>
      </c>
      <c r="D4047">
        <v>0</v>
      </c>
      <c r="E4047">
        <v>1</v>
      </c>
      <c r="F4047" s="7">
        <v>1695.2</v>
      </c>
      <c r="G4047">
        <v>0</v>
      </c>
      <c r="H4047" s="7">
        <v>0</v>
      </c>
    </row>
    <row r="4048" spans="1:8">
      <c r="A4048">
        <v>3</v>
      </c>
      <c r="B4048" t="s">
        <v>42</v>
      </c>
      <c r="C4048" t="s">
        <v>33</v>
      </c>
      <c r="D4048">
        <v>0</v>
      </c>
      <c r="E4048">
        <v>1</v>
      </c>
      <c r="F4048" s="7">
        <v>2620.17</v>
      </c>
      <c r="G4048">
        <v>0</v>
      </c>
      <c r="H4048" s="7">
        <v>0</v>
      </c>
    </row>
    <row r="4049" spans="1:8">
      <c r="A4049">
        <v>3</v>
      </c>
      <c r="B4049" t="s">
        <v>44</v>
      </c>
      <c r="C4049" t="s">
        <v>34</v>
      </c>
      <c r="D4049">
        <v>0</v>
      </c>
      <c r="E4049">
        <v>1</v>
      </c>
      <c r="F4049" s="7">
        <v>72791.13</v>
      </c>
      <c r="G4049">
        <v>0</v>
      </c>
      <c r="H4049" s="7">
        <v>0</v>
      </c>
    </row>
    <row r="4050" spans="1:8">
      <c r="A4050">
        <v>3</v>
      </c>
      <c r="B4050" t="s">
        <v>42</v>
      </c>
      <c r="C4050" t="s">
        <v>33</v>
      </c>
      <c r="D4050">
        <v>0</v>
      </c>
      <c r="E4050">
        <v>1</v>
      </c>
      <c r="F4050" s="7">
        <v>5153.28</v>
      </c>
      <c r="G4050">
        <v>0</v>
      </c>
      <c r="H4050" s="7">
        <v>0</v>
      </c>
    </row>
    <row r="4051" spans="1:8">
      <c r="A4051">
        <v>3</v>
      </c>
      <c r="B4051" t="s">
        <v>42</v>
      </c>
      <c r="C4051" t="s">
        <v>34</v>
      </c>
      <c r="D4051">
        <v>0</v>
      </c>
      <c r="E4051">
        <v>1</v>
      </c>
      <c r="F4051" s="7">
        <v>11304.29</v>
      </c>
      <c r="G4051">
        <v>0</v>
      </c>
      <c r="H4051" s="7">
        <v>0</v>
      </c>
    </row>
    <row r="4052" spans="1:8">
      <c r="A4052">
        <v>3</v>
      </c>
      <c r="B4052" t="s">
        <v>44</v>
      </c>
      <c r="C4052" t="s">
        <v>34</v>
      </c>
      <c r="D4052">
        <v>0</v>
      </c>
      <c r="E4052">
        <v>1</v>
      </c>
      <c r="F4052" s="7">
        <v>48267.2</v>
      </c>
      <c r="G4052">
        <v>0</v>
      </c>
      <c r="H4052" s="7">
        <v>0</v>
      </c>
    </row>
    <row r="4053" spans="1:8">
      <c r="A4053">
        <v>3</v>
      </c>
      <c r="B4053" t="s">
        <v>42</v>
      </c>
      <c r="C4053" t="s">
        <v>34</v>
      </c>
      <c r="D4053">
        <v>0</v>
      </c>
      <c r="E4053">
        <v>1</v>
      </c>
      <c r="F4053" s="7">
        <v>11688.59</v>
      </c>
      <c r="G4053">
        <v>0</v>
      </c>
      <c r="H4053" s="7">
        <v>0</v>
      </c>
    </row>
    <row r="4054" spans="1:8">
      <c r="A4054">
        <v>3</v>
      </c>
      <c r="B4054" t="s">
        <v>42</v>
      </c>
      <c r="C4054" t="s">
        <v>33</v>
      </c>
      <c r="D4054">
        <v>0</v>
      </c>
      <c r="E4054">
        <v>1</v>
      </c>
      <c r="F4054" s="7">
        <v>3825.07</v>
      </c>
      <c r="G4054">
        <v>0</v>
      </c>
      <c r="H4054" s="7">
        <v>0</v>
      </c>
    </row>
    <row r="4055" spans="1:8">
      <c r="A4055">
        <v>3</v>
      </c>
      <c r="B4055" t="s">
        <v>42</v>
      </c>
      <c r="C4055" t="s">
        <v>33</v>
      </c>
      <c r="D4055">
        <v>0</v>
      </c>
      <c r="E4055">
        <v>1</v>
      </c>
      <c r="F4055" s="7">
        <v>1290.28</v>
      </c>
      <c r="G4055">
        <v>0</v>
      </c>
      <c r="H4055" s="7">
        <v>0</v>
      </c>
    </row>
    <row r="4056" spans="1:8">
      <c r="A4056">
        <v>3</v>
      </c>
      <c r="B4056" t="s">
        <v>42</v>
      </c>
      <c r="C4056" t="s">
        <v>34</v>
      </c>
      <c r="D4056">
        <v>0</v>
      </c>
      <c r="E4056">
        <v>1</v>
      </c>
      <c r="F4056" s="7">
        <v>14267.79</v>
      </c>
      <c r="G4056">
        <v>0</v>
      </c>
      <c r="H4056" s="7">
        <v>0</v>
      </c>
    </row>
    <row r="4057" spans="1:8">
      <c r="A4057">
        <v>3</v>
      </c>
      <c r="B4057" t="s">
        <v>45</v>
      </c>
      <c r="C4057" t="s">
        <v>33</v>
      </c>
      <c r="D4057">
        <v>0</v>
      </c>
      <c r="E4057">
        <v>1</v>
      </c>
      <c r="F4057" s="7">
        <v>6901.26</v>
      </c>
      <c r="G4057">
        <v>0</v>
      </c>
      <c r="H4057" s="7">
        <v>0</v>
      </c>
    </row>
    <row r="4058" spans="1:8">
      <c r="A4058">
        <v>3</v>
      </c>
      <c r="B4058" t="s">
        <v>42</v>
      </c>
      <c r="C4058" t="s">
        <v>33</v>
      </c>
      <c r="D4058">
        <v>0</v>
      </c>
      <c r="E4058">
        <v>1</v>
      </c>
      <c r="F4058" s="7">
        <v>4407.34</v>
      </c>
      <c r="G4058">
        <v>0</v>
      </c>
      <c r="H4058" s="7">
        <v>0</v>
      </c>
    </row>
    <row r="4059" spans="1:8">
      <c r="A4059">
        <v>3</v>
      </c>
      <c r="B4059" t="s">
        <v>42</v>
      </c>
      <c r="C4059" t="s">
        <v>33</v>
      </c>
      <c r="D4059">
        <v>0</v>
      </c>
      <c r="E4059">
        <v>1</v>
      </c>
      <c r="F4059" s="7">
        <v>5466.9</v>
      </c>
      <c r="G4059">
        <v>0</v>
      </c>
      <c r="H4059" s="7">
        <v>0</v>
      </c>
    </row>
    <row r="4060" spans="1:8">
      <c r="A4060">
        <v>3</v>
      </c>
      <c r="B4060" t="s">
        <v>42</v>
      </c>
      <c r="C4060" t="s">
        <v>34</v>
      </c>
      <c r="D4060">
        <v>0</v>
      </c>
      <c r="E4060">
        <v>1</v>
      </c>
      <c r="F4060" s="7">
        <v>22256.72</v>
      </c>
      <c r="G4060">
        <v>0</v>
      </c>
      <c r="H4060" s="7">
        <v>0</v>
      </c>
    </row>
    <row r="4061" spans="1:8">
      <c r="A4061">
        <v>3</v>
      </c>
      <c r="B4061" t="s">
        <v>42</v>
      </c>
      <c r="C4061" t="s">
        <v>32</v>
      </c>
      <c r="D4061">
        <v>0</v>
      </c>
      <c r="E4061">
        <v>1</v>
      </c>
      <c r="F4061" s="7">
        <v>213.35</v>
      </c>
      <c r="G4061">
        <v>0</v>
      </c>
      <c r="H4061" s="7">
        <v>0</v>
      </c>
    </row>
    <row r="4062" spans="1:8">
      <c r="A4062">
        <v>3</v>
      </c>
      <c r="B4062" t="s">
        <v>42</v>
      </c>
      <c r="C4062" t="s">
        <v>34</v>
      </c>
      <c r="D4062">
        <v>0</v>
      </c>
      <c r="E4062">
        <v>1</v>
      </c>
      <c r="F4062" s="7">
        <v>36228.33</v>
      </c>
      <c r="G4062">
        <v>0</v>
      </c>
      <c r="H4062" s="7">
        <v>0</v>
      </c>
    </row>
    <row r="4063" spans="1:8">
      <c r="A4063">
        <v>3</v>
      </c>
      <c r="B4063" t="s">
        <v>42</v>
      </c>
      <c r="C4063" t="s">
        <v>33</v>
      </c>
      <c r="D4063">
        <v>0</v>
      </c>
      <c r="E4063">
        <v>1</v>
      </c>
      <c r="F4063" s="7">
        <v>6039.09</v>
      </c>
      <c r="G4063">
        <v>0</v>
      </c>
      <c r="H4063" s="7">
        <v>0</v>
      </c>
    </row>
    <row r="4064" spans="1:8">
      <c r="A4064">
        <v>3</v>
      </c>
      <c r="B4064" t="s">
        <v>42</v>
      </c>
      <c r="C4064" t="s">
        <v>33</v>
      </c>
      <c r="D4064">
        <v>0</v>
      </c>
      <c r="E4064">
        <v>1</v>
      </c>
      <c r="F4064" s="7">
        <v>8777.15</v>
      </c>
      <c r="G4064">
        <v>0</v>
      </c>
      <c r="H4064" s="7">
        <v>0</v>
      </c>
    </row>
    <row r="4065" spans="1:8">
      <c r="A4065">
        <v>3</v>
      </c>
      <c r="B4065" t="s">
        <v>42</v>
      </c>
      <c r="C4065" t="s">
        <v>34</v>
      </c>
      <c r="D4065">
        <v>0</v>
      </c>
      <c r="E4065">
        <v>1</v>
      </c>
      <c r="F4065" s="7">
        <v>23087.59</v>
      </c>
      <c r="G4065">
        <v>0</v>
      </c>
      <c r="H4065" s="7">
        <v>0</v>
      </c>
    </row>
    <row r="4066" spans="1:8">
      <c r="A4066">
        <v>3</v>
      </c>
      <c r="B4066" t="s">
        <v>42</v>
      </c>
      <c r="C4066" t="s">
        <v>34</v>
      </c>
      <c r="D4066">
        <v>0</v>
      </c>
      <c r="E4066">
        <v>1</v>
      </c>
      <c r="F4066" s="7">
        <v>13653.91</v>
      </c>
      <c r="G4066">
        <v>0</v>
      </c>
      <c r="H4066" s="7">
        <v>0</v>
      </c>
    </row>
    <row r="4067" spans="1:8">
      <c r="A4067">
        <v>3</v>
      </c>
      <c r="B4067" t="s">
        <v>42</v>
      </c>
      <c r="C4067" t="s">
        <v>34</v>
      </c>
      <c r="D4067">
        <v>0</v>
      </c>
      <c r="E4067">
        <v>1</v>
      </c>
      <c r="F4067" s="7">
        <v>16697.62</v>
      </c>
      <c r="G4067">
        <v>0</v>
      </c>
      <c r="H4067" s="7">
        <v>0</v>
      </c>
    </row>
    <row r="4068" spans="1:8">
      <c r="A4068">
        <v>3</v>
      </c>
      <c r="B4068" t="s">
        <v>42</v>
      </c>
      <c r="C4068" t="s">
        <v>34</v>
      </c>
      <c r="D4068">
        <v>0</v>
      </c>
      <c r="E4068">
        <v>1</v>
      </c>
      <c r="F4068" s="7">
        <v>33149.43</v>
      </c>
      <c r="G4068">
        <v>0</v>
      </c>
      <c r="H4068" s="7">
        <v>0</v>
      </c>
    </row>
    <row r="4069" spans="1:8">
      <c r="A4069">
        <v>3</v>
      </c>
      <c r="B4069" t="s">
        <v>42</v>
      </c>
      <c r="C4069" t="s">
        <v>33</v>
      </c>
      <c r="D4069">
        <v>0</v>
      </c>
      <c r="E4069">
        <v>1</v>
      </c>
      <c r="F4069" s="7">
        <v>4693.35</v>
      </c>
      <c r="G4069">
        <v>0</v>
      </c>
      <c r="H4069" s="7">
        <v>0</v>
      </c>
    </row>
    <row r="4070" spans="1:8">
      <c r="A4070">
        <v>3</v>
      </c>
      <c r="B4070" t="s">
        <v>42</v>
      </c>
      <c r="C4070" t="s">
        <v>34</v>
      </c>
      <c r="D4070">
        <v>0</v>
      </c>
      <c r="E4070">
        <v>1</v>
      </c>
      <c r="F4070" s="7">
        <v>40550.78</v>
      </c>
      <c r="G4070">
        <v>0</v>
      </c>
      <c r="H4070" s="7">
        <v>0</v>
      </c>
    </row>
    <row r="4071" spans="1:8">
      <c r="A4071">
        <v>3</v>
      </c>
      <c r="B4071" t="s">
        <v>42</v>
      </c>
      <c r="C4071" t="s">
        <v>33</v>
      </c>
      <c r="D4071">
        <v>0</v>
      </c>
      <c r="E4071">
        <v>1</v>
      </c>
      <c r="F4071" s="7">
        <v>8216.42</v>
      </c>
      <c r="G4071">
        <v>0</v>
      </c>
      <c r="H4071" s="7">
        <v>0</v>
      </c>
    </row>
    <row r="4072" spans="1:8">
      <c r="A4072">
        <v>3</v>
      </c>
      <c r="B4072" t="s">
        <v>42</v>
      </c>
      <c r="C4072" t="s">
        <v>33</v>
      </c>
      <c r="D4072">
        <v>0</v>
      </c>
      <c r="E4072">
        <v>1</v>
      </c>
      <c r="F4072" s="7">
        <v>7899.89</v>
      </c>
      <c r="G4072">
        <v>0</v>
      </c>
      <c r="H4072" s="7">
        <v>0</v>
      </c>
    </row>
    <row r="4073" spans="1:8">
      <c r="A4073">
        <v>3</v>
      </c>
      <c r="B4073" t="s">
        <v>42</v>
      </c>
      <c r="C4073" t="s">
        <v>33</v>
      </c>
      <c r="D4073">
        <v>0</v>
      </c>
      <c r="E4073">
        <v>1</v>
      </c>
      <c r="F4073" s="7">
        <v>4155.21</v>
      </c>
      <c r="G4073">
        <v>0</v>
      </c>
      <c r="H4073" s="7">
        <v>0</v>
      </c>
    </row>
    <row r="4074" spans="1:8">
      <c r="A4074">
        <v>3</v>
      </c>
      <c r="B4074" t="s">
        <v>42</v>
      </c>
      <c r="C4074" t="s">
        <v>33</v>
      </c>
      <c r="D4074">
        <v>0</v>
      </c>
      <c r="E4074">
        <v>1</v>
      </c>
      <c r="F4074" s="7">
        <v>4530.34</v>
      </c>
      <c r="G4074">
        <v>0</v>
      </c>
      <c r="H4074" s="7">
        <v>0</v>
      </c>
    </row>
    <row r="4075" spans="1:8">
      <c r="A4075">
        <v>3</v>
      </c>
      <c r="B4075" t="s">
        <v>42</v>
      </c>
      <c r="C4075" t="s">
        <v>33</v>
      </c>
      <c r="D4075">
        <v>0</v>
      </c>
      <c r="E4075">
        <v>1</v>
      </c>
      <c r="F4075" s="7">
        <v>5356.63</v>
      </c>
      <c r="G4075">
        <v>0</v>
      </c>
      <c r="H4075" s="7">
        <v>0</v>
      </c>
    </row>
    <row r="4076" spans="1:8">
      <c r="A4076">
        <v>3</v>
      </c>
      <c r="B4076" t="s">
        <v>42</v>
      </c>
      <c r="C4076" t="s">
        <v>33</v>
      </c>
      <c r="D4076">
        <v>0</v>
      </c>
      <c r="E4076">
        <v>1</v>
      </c>
      <c r="F4076" s="7">
        <v>7531.23</v>
      </c>
      <c r="G4076">
        <v>0</v>
      </c>
      <c r="H4076" s="7">
        <v>0</v>
      </c>
    </row>
    <row r="4077" spans="1:8">
      <c r="A4077">
        <v>3</v>
      </c>
      <c r="B4077" t="s">
        <v>42</v>
      </c>
      <c r="C4077" t="s">
        <v>34</v>
      </c>
      <c r="D4077">
        <v>0</v>
      </c>
      <c r="E4077">
        <v>1</v>
      </c>
      <c r="F4077" s="7">
        <v>14251.38</v>
      </c>
      <c r="G4077">
        <v>0</v>
      </c>
      <c r="H4077" s="7">
        <v>0</v>
      </c>
    </row>
    <row r="4078" spans="1:8">
      <c r="A4078">
        <v>3</v>
      </c>
      <c r="B4078" t="s">
        <v>42</v>
      </c>
      <c r="C4078" t="s">
        <v>33</v>
      </c>
      <c r="D4078">
        <v>0</v>
      </c>
      <c r="E4078">
        <v>1</v>
      </c>
      <c r="F4078" s="7">
        <v>6699.52</v>
      </c>
      <c r="G4078">
        <v>0</v>
      </c>
      <c r="H4078" s="7">
        <v>0</v>
      </c>
    </row>
    <row r="4079" spans="1:8">
      <c r="A4079">
        <v>3</v>
      </c>
      <c r="B4079" t="s">
        <v>42</v>
      </c>
      <c r="C4079" t="s">
        <v>34</v>
      </c>
      <c r="D4079">
        <v>0</v>
      </c>
      <c r="E4079">
        <v>1</v>
      </c>
      <c r="F4079" s="7">
        <v>23440.57</v>
      </c>
      <c r="G4079">
        <v>0</v>
      </c>
      <c r="H4079" s="7">
        <v>0</v>
      </c>
    </row>
    <row r="4080" spans="1:8">
      <c r="A4080">
        <v>3</v>
      </c>
      <c r="B4080" t="s">
        <v>42</v>
      </c>
      <c r="C4080" t="s">
        <v>33</v>
      </c>
      <c r="D4080">
        <v>0</v>
      </c>
      <c r="E4080">
        <v>1</v>
      </c>
      <c r="F4080" s="7">
        <v>6655.88</v>
      </c>
      <c r="G4080">
        <v>0</v>
      </c>
      <c r="H4080" s="7">
        <v>0</v>
      </c>
    </row>
    <row r="4081" spans="1:8">
      <c r="A4081">
        <v>3</v>
      </c>
      <c r="B4081" t="s">
        <v>42</v>
      </c>
      <c r="C4081" t="s">
        <v>34</v>
      </c>
      <c r="D4081">
        <v>0</v>
      </c>
      <c r="E4081">
        <v>1</v>
      </c>
      <c r="F4081" s="7">
        <v>16881.67</v>
      </c>
      <c r="G4081">
        <v>0</v>
      </c>
      <c r="H4081" s="7">
        <v>0</v>
      </c>
    </row>
    <row r="4082" spans="1:8">
      <c r="A4082">
        <v>3</v>
      </c>
      <c r="B4082" t="s">
        <v>42</v>
      </c>
      <c r="C4082" t="s">
        <v>33</v>
      </c>
      <c r="D4082">
        <v>0</v>
      </c>
      <c r="E4082">
        <v>1</v>
      </c>
      <c r="F4082" s="7">
        <v>6335.61</v>
      </c>
      <c r="G4082">
        <v>0</v>
      </c>
      <c r="H4082" s="7">
        <v>0</v>
      </c>
    </row>
    <row r="4083" spans="1:8">
      <c r="A4083">
        <v>3</v>
      </c>
      <c r="B4083" t="s">
        <v>42</v>
      </c>
      <c r="C4083" t="s">
        <v>33</v>
      </c>
      <c r="D4083">
        <v>0</v>
      </c>
      <c r="E4083">
        <v>1</v>
      </c>
      <c r="F4083" s="7">
        <v>9601.55</v>
      </c>
      <c r="G4083">
        <v>0</v>
      </c>
      <c r="H4083" s="7">
        <v>0</v>
      </c>
    </row>
    <row r="4084" spans="1:8">
      <c r="A4084">
        <v>3</v>
      </c>
      <c r="B4084" t="s">
        <v>42</v>
      </c>
      <c r="C4084" t="s">
        <v>34</v>
      </c>
      <c r="D4084">
        <v>0</v>
      </c>
      <c r="E4084">
        <v>1</v>
      </c>
      <c r="F4084" s="7">
        <v>26045.36</v>
      </c>
      <c r="G4084">
        <v>0</v>
      </c>
      <c r="H4084" s="7">
        <v>0</v>
      </c>
    </row>
    <row r="4085" spans="1:8">
      <c r="A4085">
        <v>3</v>
      </c>
      <c r="B4085" t="s">
        <v>42</v>
      </c>
      <c r="C4085" t="s">
        <v>32</v>
      </c>
      <c r="D4085">
        <v>0</v>
      </c>
      <c r="E4085">
        <v>1</v>
      </c>
      <c r="F4085" s="7">
        <v>426.96</v>
      </c>
      <c r="G4085">
        <v>0</v>
      </c>
      <c r="H4085" s="7">
        <v>0</v>
      </c>
    </row>
    <row r="4086" spans="1:8">
      <c r="A4086">
        <v>3</v>
      </c>
      <c r="B4086" t="s">
        <v>42</v>
      </c>
      <c r="C4086" t="s">
        <v>32</v>
      </c>
      <c r="D4086">
        <v>0</v>
      </c>
      <c r="E4086">
        <v>1</v>
      </c>
      <c r="F4086" s="7">
        <v>760.74</v>
      </c>
      <c r="G4086">
        <v>0</v>
      </c>
      <c r="H4086" s="7">
        <v>0</v>
      </c>
    </row>
    <row r="4087" spans="1:8">
      <c r="A4087">
        <v>3</v>
      </c>
      <c r="B4087" t="s">
        <v>42</v>
      </c>
      <c r="C4087" t="s">
        <v>33</v>
      </c>
      <c r="D4087">
        <v>0</v>
      </c>
      <c r="E4087">
        <v>1</v>
      </c>
      <c r="F4087" s="7">
        <v>3222.39</v>
      </c>
      <c r="G4087">
        <v>0</v>
      </c>
      <c r="H4087" s="7">
        <v>0</v>
      </c>
    </row>
    <row r="4088" spans="1:8">
      <c r="A4088">
        <v>3</v>
      </c>
      <c r="B4088" t="s">
        <v>45</v>
      </c>
      <c r="C4088" t="s">
        <v>33</v>
      </c>
      <c r="D4088">
        <v>0</v>
      </c>
      <c r="E4088">
        <v>1</v>
      </c>
      <c r="F4088" s="7">
        <v>1806.31</v>
      </c>
      <c r="G4088">
        <v>0</v>
      </c>
      <c r="H4088" s="7">
        <v>0</v>
      </c>
    </row>
    <row r="4089" spans="1:8">
      <c r="A4089">
        <v>3</v>
      </c>
      <c r="B4089" t="s">
        <v>42</v>
      </c>
      <c r="C4089" t="s">
        <v>33</v>
      </c>
      <c r="D4089">
        <v>0</v>
      </c>
      <c r="E4089">
        <v>1</v>
      </c>
      <c r="F4089" s="7">
        <v>3067.08</v>
      </c>
      <c r="G4089">
        <v>0</v>
      </c>
      <c r="H4089" s="7">
        <v>0</v>
      </c>
    </row>
    <row r="4090" spans="1:8">
      <c r="A4090">
        <v>3</v>
      </c>
      <c r="B4090" t="s">
        <v>42</v>
      </c>
      <c r="C4090" t="s">
        <v>34</v>
      </c>
      <c r="D4090">
        <v>0</v>
      </c>
      <c r="E4090">
        <v>1</v>
      </c>
      <c r="F4090" s="7">
        <v>12240.34</v>
      </c>
      <c r="G4090">
        <v>0</v>
      </c>
      <c r="H4090" s="7">
        <v>0</v>
      </c>
    </row>
    <row r="4091" spans="1:8">
      <c r="A4091">
        <v>3</v>
      </c>
      <c r="B4091" t="s">
        <v>42</v>
      </c>
      <c r="C4091" t="s">
        <v>33</v>
      </c>
      <c r="D4091">
        <v>0</v>
      </c>
      <c r="E4091">
        <v>1</v>
      </c>
      <c r="F4091" s="7">
        <v>2034.58</v>
      </c>
      <c r="G4091">
        <v>0</v>
      </c>
      <c r="H4091" s="7">
        <v>0</v>
      </c>
    </row>
    <row r="4092" spans="1:8">
      <c r="A4092">
        <v>3</v>
      </c>
      <c r="B4092" t="s">
        <v>42</v>
      </c>
      <c r="C4092" t="s">
        <v>33</v>
      </c>
      <c r="D4092">
        <v>0</v>
      </c>
      <c r="E4092">
        <v>1</v>
      </c>
      <c r="F4092" s="7">
        <v>8202.16</v>
      </c>
      <c r="G4092">
        <v>0</v>
      </c>
      <c r="H4092" s="7">
        <v>0</v>
      </c>
    </row>
    <row r="4093" spans="1:8">
      <c r="A4093">
        <v>3</v>
      </c>
      <c r="B4093" t="s">
        <v>44</v>
      </c>
      <c r="C4093" t="s">
        <v>34</v>
      </c>
      <c r="D4093">
        <v>0</v>
      </c>
      <c r="E4093">
        <v>1</v>
      </c>
      <c r="F4093" s="7">
        <v>72010.87</v>
      </c>
      <c r="G4093">
        <v>0</v>
      </c>
      <c r="H4093" s="7">
        <v>0</v>
      </c>
    </row>
    <row r="4094" spans="1:8">
      <c r="A4094">
        <v>3</v>
      </c>
      <c r="B4094" t="s">
        <v>44</v>
      </c>
      <c r="C4094" t="s">
        <v>34</v>
      </c>
      <c r="D4094">
        <v>0</v>
      </c>
      <c r="E4094">
        <v>1</v>
      </c>
      <c r="F4094" s="7">
        <v>93427.95</v>
      </c>
      <c r="G4094">
        <v>0</v>
      </c>
      <c r="H4094" s="7">
        <v>0</v>
      </c>
    </row>
    <row r="4095" spans="1:8">
      <c r="A4095">
        <v>3</v>
      </c>
      <c r="B4095" t="s">
        <v>42</v>
      </c>
      <c r="C4095" t="s">
        <v>33</v>
      </c>
      <c r="D4095">
        <v>0</v>
      </c>
      <c r="E4095">
        <v>1</v>
      </c>
      <c r="F4095" s="7">
        <v>7594.11</v>
      </c>
      <c r="G4095">
        <v>0</v>
      </c>
      <c r="H4095" s="7">
        <v>0</v>
      </c>
    </row>
    <row r="4096" spans="1:8">
      <c r="A4096">
        <v>3</v>
      </c>
      <c r="B4096" t="s">
        <v>42</v>
      </c>
      <c r="C4096" t="s">
        <v>33</v>
      </c>
      <c r="D4096">
        <v>0</v>
      </c>
      <c r="E4096">
        <v>1</v>
      </c>
      <c r="F4096" s="7">
        <v>6199.3</v>
      </c>
      <c r="G4096">
        <v>0</v>
      </c>
      <c r="H4096" s="7">
        <v>0</v>
      </c>
    </row>
    <row r="4097" spans="1:8">
      <c r="A4097">
        <v>3</v>
      </c>
      <c r="B4097" t="s">
        <v>42</v>
      </c>
      <c r="C4097" t="s">
        <v>32</v>
      </c>
      <c r="D4097">
        <v>0</v>
      </c>
      <c r="E4097">
        <v>1</v>
      </c>
      <c r="F4097" s="7">
        <v>303.62</v>
      </c>
      <c r="G4097">
        <v>0</v>
      </c>
      <c r="H4097" s="7">
        <v>0</v>
      </c>
    </row>
    <row r="4098" spans="1:8">
      <c r="A4098">
        <v>3</v>
      </c>
      <c r="B4098" t="s">
        <v>42</v>
      </c>
      <c r="C4098" t="s">
        <v>34</v>
      </c>
      <c r="D4098">
        <v>0</v>
      </c>
      <c r="E4098">
        <v>1</v>
      </c>
      <c r="F4098" s="7">
        <v>14146.46</v>
      </c>
      <c r="G4098">
        <v>0</v>
      </c>
      <c r="H4098" s="7">
        <v>0</v>
      </c>
    </row>
    <row r="4099" spans="1:8">
      <c r="A4099">
        <v>3</v>
      </c>
      <c r="B4099" t="s">
        <v>42</v>
      </c>
      <c r="C4099" t="s">
        <v>32</v>
      </c>
      <c r="D4099">
        <v>0</v>
      </c>
      <c r="E4099">
        <v>1</v>
      </c>
      <c r="F4099" s="7">
        <v>991.75</v>
      </c>
      <c r="G4099">
        <v>0</v>
      </c>
      <c r="H4099" s="7">
        <v>0</v>
      </c>
    </row>
    <row r="4100" spans="1:8">
      <c r="A4100">
        <v>3</v>
      </c>
      <c r="B4100" t="s">
        <v>42</v>
      </c>
      <c r="C4100" t="s">
        <v>34</v>
      </c>
      <c r="D4100">
        <v>0</v>
      </c>
      <c r="E4100">
        <v>1</v>
      </c>
      <c r="F4100" s="7">
        <v>13191.45</v>
      </c>
      <c r="G4100">
        <v>0</v>
      </c>
      <c r="H4100" s="7">
        <v>0</v>
      </c>
    </row>
    <row r="4101" spans="1:8">
      <c r="A4101">
        <v>3</v>
      </c>
      <c r="B4101" t="s">
        <v>42</v>
      </c>
      <c r="C4101" t="s">
        <v>33</v>
      </c>
      <c r="D4101">
        <v>0</v>
      </c>
      <c r="E4101">
        <v>1</v>
      </c>
      <c r="F4101" s="7">
        <v>2342.29</v>
      </c>
      <c r="G4101">
        <v>0</v>
      </c>
      <c r="H4101" s="7">
        <v>0</v>
      </c>
    </row>
    <row r="4102" spans="1:8">
      <c r="A4102">
        <v>3</v>
      </c>
      <c r="B4102" t="s">
        <v>45</v>
      </c>
      <c r="C4102" t="s">
        <v>33</v>
      </c>
      <c r="D4102">
        <v>0</v>
      </c>
      <c r="E4102">
        <v>1</v>
      </c>
      <c r="F4102" s="7">
        <v>2262.1</v>
      </c>
      <c r="G4102">
        <v>0</v>
      </c>
      <c r="H4102" s="7">
        <v>0</v>
      </c>
    </row>
    <row r="4103" spans="1:8">
      <c r="A4103">
        <v>3</v>
      </c>
      <c r="B4103" t="s">
        <v>42</v>
      </c>
      <c r="C4103" t="s">
        <v>32</v>
      </c>
      <c r="D4103">
        <v>0</v>
      </c>
      <c r="E4103">
        <v>1</v>
      </c>
      <c r="F4103" s="7">
        <v>842.26</v>
      </c>
      <c r="G4103">
        <v>0</v>
      </c>
      <c r="H4103" s="7">
        <v>0</v>
      </c>
    </row>
    <row r="4104" spans="1:8">
      <c r="A4104">
        <v>3</v>
      </c>
      <c r="B4104" t="s">
        <v>42</v>
      </c>
      <c r="C4104" t="s">
        <v>33</v>
      </c>
      <c r="D4104">
        <v>0</v>
      </c>
      <c r="E4104">
        <v>1</v>
      </c>
      <c r="F4104" s="7">
        <v>1558.6</v>
      </c>
      <c r="G4104">
        <v>0</v>
      </c>
      <c r="H4104" s="7">
        <v>0</v>
      </c>
    </row>
    <row r="4105" spans="1:8">
      <c r="A4105">
        <v>3</v>
      </c>
      <c r="B4105" t="s">
        <v>42</v>
      </c>
      <c r="C4105" t="s">
        <v>33</v>
      </c>
      <c r="D4105">
        <v>0</v>
      </c>
      <c r="E4105">
        <v>1</v>
      </c>
      <c r="F4105" s="7">
        <v>3720.12</v>
      </c>
      <c r="G4105">
        <v>0</v>
      </c>
      <c r="H4105" s="7">
        <v>0</v>
      </c>
    </row>
    <row r="4106" spans="1:8">
      <c r="A4106">
        <v>3</v>
      </c>
      <c r="B4106" t="s">
        <v>42</v>
      </c>
      <c r="C4106" t="s">
        <v>34</v>
      </c>
      <c r="D4106">
        <v>0</v>
      </c>
      <c r="E4106">
        <v>1</v>
      </c>
      <c r="F4106" s="7">
        <v>16831.23</v>
      </c>
      <c r="G4106">
        <v>0</v>
      </c>
      <c r="H4106" s="7">
        <v>0</v>
      </c>
    </row>
    <row r="4107" spans="1:8">
      <c r="A4107">
        <v>3</v>
      </c>
      <c r="B4107" t="s">
        <v>42</v>
      </c>
      <c r="C4107" t="s">
        <v>34</v>
      </c>
      <c r="D4107">
        <v>0</v>
      </c>
      <c r="E4107">
        <v>1</v>
      </c>
      <c r="F4107" s="7">
        <v>26084.81</v>
      </c>
      <c r="G4107">
        <v>0</v>
      </c>
      <c r="H4107" s="7">
        <v>0</v>
      </c>
    </row>
    <row r="4108" spans="1:8">
      <c r="A4108">
        <v>3</v>
      </c>
      <c r="B4108" t="s">
        <v>42</v>
      </c>
      <c r="C4108" t="s">
        <v>33</v>
      </c>
      <c r="D4108">
        <v>0</v>
      </c>
      <c r="E4108">
        <v>1</v>
      </c>
      <c r="F4108" s="7">
        <v>3800.11</v>
      </c>
      <c r="G4108">
        <v>0</v>
      </c>
      <c r="H4108" s="7">
        <v>0</v>
      </c>
    </row>
    <row r="4109" spans="1:8">
      <c r="A4109">
        <v>3</v>
      </c>
      <c r="B4109" t="s">
        <v>43</v>
      </c>
      <c r="C4109" t="s">
        <v>34</v>
      </c>
      <c r="D4109">
        <v>1</v>
      </c>
      <c r="E4109">
        <v>1</v>
      </c>
      <c r="F4109" s="7">
        <v>10539.37</v>
      </c>
      <c r="G4109">
        <v>1</v>
      </c>
      <c r="H4109" s="7">
        <v>10539.37</v>
      </c>
    </row>
    <row r="4110" spans="1:8">
      <c r="A4110">
        <v>3</v>
      </c>
      <c r="B4110" t="s">
        <v>44</v>
      </c>
      <c r="C4110" t="s">
        <v>34</v>
      </c>
      <c r="D4110">
        <v>1</v>
      </c>
      <c r="E4110">
        <v>1</v>
      </c>
      <c r="F4110" s="7">
        <v>10539.37</v>
      </c>
      <c r="G4110">
        <v>1</v>
      </c>
      <c r="H4110" s="7">
        <v>10539.37</v>
      </c>
    </row>
    <row r="4111" spans="1:8">
      <c r="A4111">
        <v>3</v>
      </c>
      <c r="B4111" t="s">
        <v>42</v>
      </c>
      <c r="C4111" t="s">
        <v>34</v>
      </c>
      <c r="D4111">
        <v>0</v>
      </c>
      <c r="E4111">
        <v>1</v>
      </c>
      <c r="F4111" s="7">
        <v>20670.84</v>
      </c>
      <c r="G4111">
        <v>0</v>
      </c>
      <c r="H4111" s="7">
        <v>0</v>
      </c>
    </row>
    <row r="4112" spans="1:8">
      <c r="A4112">
        <v>3</v>
      </c>
      <c r="B4112" t="s">
        <v>45</v>
      </c>
      <c r="C4112" t="s">
        <v>33</v>
      </c>
      <c r="D4112">
        <v>0</v>
      </c>
      <c r="E4112">
        <v>1</v>
      </c>
      <c r="F4112" s="7">
        <v>3923.46</v>
      </c>
      <c r="G4112">
        <v>0</v>
      </c>
      <c r="H4112" s="7">
        <v>0</v>
      </c>
    </row>
    <row r="4113" spans="1:8">
      <c r="A4113">
        <v>3</v>
      </c>
      <c r="B4113" t="s">
        <v>46</v>
      </c>
      <c r="C4113" t="s">
        <v>35</v>
      </c>
      <c r="D4113">
        <v>0</v>
      </c>
      <c r="E4113">
        <v>1</v>
      </c>
      <c r="F4113" s="7">
        <v>133270.9</v>
      </c>
      <c r="G4113">
        <v>0</v>
      </c>
      <c r="H4113" s="7">
        <v>0</v>
      </c>
    </row>
    <row r="4114" spans="1:8">
      <c r="A4114">
        <v>3</v>
      </c>
      <c r="B4114" t="s">
        <v>42</v>
      </c>
      <c r="C4114" t="s">
        <v>34</v>
      </c>
      <c r="D4114">
        <v>0</v>
      </c>
      <c r="E4114">
        <v>1</v>
      </c>
      <c r="F4114" s="7">
        <v>19681.95</v>
      </c>
      <c r="G4114">
        <v>0</v>
      </c>
      <c r="H4114" s="7">
        <v>0</v>
      </c>
    </row>
    <row r="4115" spans="1:8">
      <c r="A4115">
        <v>3</v>
      </c>
      <c r="B4115" t="s">
        <v>42</v>
      </c>
      <c r="C4115" t="s">
        <v>32</v>
      </c>
      <c r="D4115">
        <v>0</v>
      </c>
      <c r="E4115">
        <v>1</v>
      </c>
      <c r="F4115" s="7">
        <v>982.2</v>
      </c>
      <c r="G4115">
        <v>0</v>
      </c>
      <c r="H4115" s="7">
        <v>0</v>
      </c>
    </row>
    <row r="4116" spans="1:8">
      <c r="A4116">
        <v>3</v>
      </c>
      <c r="B4116" t="s">
        <v>42</v>
      </c>
      <c r="C4116" t="s">
        <v>34</v>
      </c>
      <c r="D4116">
        <v>0</v>
      </c>
      <c r="E4116">
        <v>1</v>
      </c>
      <c r="F4116" s="7">
        <v>20409.77</v>
      </c>
      <c r="G4116">
        <v>0</v>
      </c>
      <c r="H4116" s="7">
        <v>0</v>
      </c>
    </row>
    <row r="4117" spans="1:8">
      <c r="A4117">
        <v>3</v>
      </c>
      <c r="B4117" t="s">
        <v>42</v>
      </c>
      <c r="C4117" t="s">
        <v>34</v>
      </c>
      <c r="D4117">
        <v>0</v>
      </c>
      <c r="E4117">
        <v>1</v>
      </c>
      <c r="F4117" s="7">
        <v>14147.04</v>
      </c>
      <c r="G4117">
        <v>0</v>
      </c>
      <c r="H4117" s="7">
        <v>0</v>
      </c>
    </row>
    <row r="4118" spans="1:8">
      <c r="A4118">
        <v>3</v>
      </c>
      <c r="B4118" t="s">
        <v>42</v>
      </c>
      <c r="C4118" t="s">
        <v>33</v>
      </c>
      <c r="D4118">
        <v>0</v>
      </c>
      <c r="E4118">
        <v>1</v>
      </c>
      <c r="F4118" s="7">
        <v>3236.22</v>
      </c>
      <c r="G4118">
        <v>0</v>
      </c>
      <c r="H4118" s="7">
        <v>0</v>
      </c>
    </row>
    <row r="4119" spans="1:8">
      <c r="A4119">
        <v>3</v>
      </c>
      <c r="B4119" t="s">
        <v>42</v>
      </c>
      <c r="C4119" t="s">
        <v>33</v>
      </c>
      <c r="D4119">
        <v>0</v>
      </c>
      <c r="E4119">
        <v>1</v>
      </c>
      <c r="F4119" s="7">
        <v>7865.38</v>
      </c>
      <c r="G4119">
        <v>0</v>
      </c>
      <c r="H4119" s="7">
        <v>0</v>
      </c>
    </row>
    <row r="4120" spans="1:8">
      <c r="A4120">
        <v>3</v>
      </c>
      <c r="B4120" t="s">
        <v>42</v>
      </c>
      <c r="C4120" t="s">
        <v>34</v>
      </c>
      <c r="D4120">
        <v>0</v>
      </c>
      <c r="E4120">
        <v>1</v>
      </c>
      <c r="F4120" s="7">
        <v>12798.31</v>
      </c>
      <c r="G4120">
        <v>0</v>
      </c>
      <c r="H4120" s="7">
        <v>0</v>
      </c>
    </row>
    <row r="4121" spans="1:8">
      <c r="A4121">
        <v>3</v>
      </c>
      <c r="B4121" t="s">
        <v>42</v>
      </c>
      <c r="C4121" t="s">
        <v>33</v>
      </c>
      <c r="D4121">
        <v>0</v>
      </c>
      <c r="E4121">
        <v>1</v>
      </c>
      <c r="F4121" s="7">
        <v>6672.96</v>
      </c>
      <c r="G4121">
        <v>0</v>
      </c>
      <c r="H4121" s="7">
        <v>0</v>
      </c>
    </row>
    <row r="4122" spans="1:8">
      <c r="A4122">
        <v>3</v>
      </c>
      <c r="B4122" t="s">
        <v>42</v>
      </c>
      <c r="C4122" t="s">
        <v>33</v>
      </c>
      <c r="D4122">
        <v>0</v>
      </c>
      <c r="E4122">
        <v>1</v>
      </c>
      <c r="F4122" s="7">
        <v>1615.9</v>
      </c>
      <c r="G4122">
        <v>0</v>
      </c>
      <c r="H4122" s="7">
        <v>0</v>
      </c>
    </row>
    <row r="4123" spans="1:8">
      <c r="A4123">
        <v>3</v>
      </c>
      <c r="B4123" t="s">
        <v>42</v>
      </c>
      <c r="C4123" t="s">
        <v>33</v>
      </c>
      <c r="D4123">
        <v>0</v>
      </c>
      <c r="E4123">
        <v>1</v>
      </c>
      <c r="F4123" s="7">
        <v>2805.92</v>
      </c>
      <c r="G4123">
        <v>0</v>
      </c>
      <c r="H4123" s="7">
        <v>0</v>
      </c>
    </row>
    <row r="4124" spans="1:8">
      <c r="A4124">
        <v>3</v>
      </c>
      <c r="B4124" t="s">
        <v>42</v>
      </c>
      <c r="C4124" t="s">
        <v>32</v>
      </c>
      <c r="D4124">
        <v>0</v>
      </c>
      <c r="E4124">
        <v>1</v>
      </c>
      <c r="F4124" s="7">
        <v>374.85</v>
      </c>
      <c r="G4124">
        <v>0</v>
      </c>
      <c r="H4124" s="7">
        <v>0</v>
      </c>
    </row>
    <row r="4125" spans="1:8">
      <c r="A4125">
        <v>3</v>
      </c>
      <c r="B4125" t="s">
        <v>43</v>
      </c>
      <c r="C4125" t="s">
        <v>34</v>
      </c>
      <c r="D4125">
        <v>0</v>
      </c>
      <c r="E4125">
        <v>1</v>
      </c>
      <c r="F4125" s="7">
        <v>69013.09</v>
      </c>
      <c r="G4125">
        <v>0</v>
      </c>
      <c r="H4125" s="7">
        <v>0</v>
      </c>
    </row>
    <row r="4126" spans="1:8">
      <c r="A4126">
        <v>3</v>
      </c>
      <c r="B4126" t="s">
        <v>42</v>
      </c>
      <c r="C4126" t="s">
        <v>32</v>
      </c>
      <c r="D4126">
        <v>0</v>
      </c>
      <c r="E4126">
        <v>1</v>
      </c>
      <c r="F4126" s="7">
        <v>545.68</v>
      </c>
      <c r="G4126">
        <v>0</v>
      </c>
      <c r="H4126" s="7">
        <v>0</v>
      </c>
    </row>
    <row r="4127" spans="1:8">
      <c r="A4127">
        <v>3</v>
      </c>
      <c r="B4127" t="s">
        <v>42</v>
      </c>
      <c r="C4127" t="s">
        <v>34</v>
      </c>
      <c r="D4127">
        <v>0</v>
      </c>
      <c r="E4127">
        <v>1</v>
      </c>
      <c r="F4127" s="7">
        <v>25486.13</v>
      </c>
      <c r="G4127">
        <v>0</v>
      </c>
      <c r="H4127" s="7">
        <v>0</v>
      </c>
    </row>
    <row r="4128" spans="1:8">
      <c r="A4128">
        <v>3</v>
      </c>
      <c r="B4128" t="s">
        <v>42</v>
      </c>
      <c r="C4128" t="s">
        <v>33</v>
      </c>
      <c r="D4128">
        <v>0</v>
      </c>
      <c r="E4128">
        <v>1</v>
      </c>
      <c r="F4128" s="7">
        <v>1443.56</v>
      </c>
      <c r="G4128">
        <v>0</v>
      </c>
      <c r="H4128" s="7">
        <v>0</v>
      </c>
    </row>
    <row r="4129" spans="1:8">
      <c r="A4129">
        <v>3</v>
      </c>
      <c r="B4129" t="s">
        <v>42</v>
      </c>
      <c r="C4129" t="s">
        <v>33</v>
      </c>
      <c r="D4129">
        <v>0</v>
      </c>
      <c r="E4129">
        <v>1</v>
      </c>
      <c r="F4129" s="7">
        <v>1719.19</v>
      </c>
      <c r="G4129">
        <v>0</v>
      </c>
      <c r="H4129" s="7">
        <v>0</v>
      </c>
    </row>
    <row r="4130" spans="1:8">
      <c r="A4130">
        <v>3</v>
      </c>
      <c r="B4130" t="s">
        <v>42</v>
      </c>
      <c r="C4130" t="s">
        <v>33</v>
      </c>
      <c r="D4130">
        <v>0</v>
      </c>
      <c r="E4130">
        <v>1</v>
      </c>
      <c r="F4130" s="7">
        <v>2650.15</v>
      </c>
      <c r="G4130">
        <v>0</v>
      </c>
      <c r="H4130" s="7">
        <v>0</v>
      </c>
    </row>
    <row r="4131" spans="1:8">
      <c r="A4131">
        <v>3</v>
      </c>
      <c r="B4131" t="s">
        <v>42</v>
      </c>
      <c r="C4131" t="s">
        <v>34</v>
      </c>
      <c r="D4131">
        <v>0</v>
      </c>
      <c r="E4131">
        <v>1</v>
      </c>
      <c r="F4131" s="7">
        <v>14140.28</v>
      </c>
      <c r="G4131">
        <v>0</v>
      </c>
      <c r="H4131" s="7">
        <v>0</v>
      </c>
    </row>
    <row r="4132" spans="1:8">
      <c r="A4132">
        <v>3</v>
      </c>
      <c r="B4132" t="s">
        <v>42</v>
      </c>
      <c r="C4132" t="s">
        <v>34</v>
      </c>
      <c r="D4132">
        <v>0</v>
      </c>
      <c r="E4132">
        <v>1</v>
      </c>
      <c r="F4132" s="7">
        <v>13343.04</v>
      </c>
      <c r="G4132">
        <v>0</v>
      </c>
      <c r="H4132" s="7">
        <v>0</v>
      </c>
    </row>
    <row r="4133" spans="1:8">
      <c r="A4133">
        <v>3</v>
      </c>
      <c r="B4133" t="s">
        <v>42</v>
      </c>
      <c r="C4133" t="s">
        <v>33</v>
      </c>
      <c r="D4133">
        <v>0</v>
      </c>
      <c r="E4133">
        <v>1</v>
      </c>
      <c r="F4133" s="7">
        <v>2536.69</v>
      </c>
      <c r="G4133">
        <v>0</v>
      </c>
      <c r="H4133" s="7">
        <v>0</v>
      </c>
    </row>
    <row r="4134" spans="1:8">
      <c r="A4134">
        <v>3</v>
      </c>
      <c r="B4134" t="s">
        <v>42</v>
      </c>
      <c r="C4134" t="s">
        <v>33</v>
      </c>
      <c r="D4134">
        <v>0</v>
      </c>
      <c r="E4134">
        <v>1</v>
      </c>
      <c r="F4134" s="7">
        <v>8780.64</v>
      </c>
      <c r="G4134">
        <v>0</v>
      </c>
      <c r="H4134" s="7">
        <v>0</v>
      </c>
    </row>
    <row r="4135" spans="1:8">
      <c r="A4135">
        <v>3</v>
      </c>
      <c r="B4135" t="s">
        <v>42</v>
      </c>
      <c r="C4135" t="s">
        <v>34</v>
      </c>
      <c r="D4135">
        <v>0</v>
      </c>
      <c r="E4135">
        <v>1</v>
      </c>
      <c r="F4135" s="7">
        <v>12895.72</v>
      </c>
      <c r="G4135">
        <v>0</v>
      </c>
      <c r="H4135" s="7">
        <v>0</v>
      </c>
    </row>
    <row r="4136" spans="1:8">
      <c r="A4136">
        <v>3</v>
      </c>
      <c r="B4136" t="s">
        <v>42</v>
      </c>
      <c r="C4136" t="s">
        <v>32</v>
      </c>
      <c r="D4136">
        <v>0</v>
      </c>
      <c r="E4136">
        <v>1</v>
      </c>
      <c r="F4136" s="7">
        <v>952.87</v>
      </c>
      <c r="G4136">
        <v>0</v>
      </c>
      <c r="H4136" s="7">
        <v>0</v>
      </c>
    </row>
    <row r="4137" spans="1:8">
      <c r="A4137">
        <v>3</v>
      </c>
      <c r="B4137" t="s">
        <v>42</v>
      </c>
      <c r="C4137" t="s">
        <v>33</v>
      </c>
      <c r="D4137">
        <v>0</v>
      </c>
      <c r="E4137">
        <v>1</v>
      </c>
      <c r="F4137" s="7">
        <v>7874.98</v>
      </c>
      <c r="G4137">
        <v>0</v>
      </c>
      <c r="H4137" s="7">
        <v>0</v>
      </c>
    </row>
    <row r="4138" spans="1:8">
      <c r="A4138">
        <v>3</v>
      </c>
      <c r="B4138" t="s">
        <v>42</v>
      </c>
      <c r="C4138" t="s">
        <v>33</v>
      </c>
      <c r="D4138">
        <v>0</v>
      </c>
      <c r="E4138">
        <v>1</v>
      </c>
      <c r="F4138" s="7">
        <v>4035.53</v>
      </c>
      <c r="G4138">
        <v>0</v>
      </c>
      <c r="H4138" s="7">
        <v>0</v>
      </c>
    </row>
    <row r="4139" spans="1:8">
      <c r="A4139">
        <v>3</v>
      </c>
      <c r="B4139" t="s">
        <v>42</v>
      </c>
      <c r="C4139" t="s">
        <v>34</v>
      </c>
      <c r="D4139">
        <v>0</v>
      </c>
      <c r="E4139">
        <v>1</v>
      </c>
      <c r="F4139" s="7">
        <v>14225.59</v>
      </c>
      <c r="G4139">
        <v>0</v>
      </c>
      <c r="H4139" s="7">
        <v>0</v>
      </c>
    </row>
    <row r="4140" spans="1:8">
      <c r="A4140">
        <v>3</v>
      </c>
      <c r="B4140" t="s">
        <v>42</v>
      </c>
      <c r="C4140" t="s">
        <v>33</v>
      </c>
      <c r="D4140">
        <v>0</v>
      </c>
      <c r="E4140">
        <v>1</v>
      </c>
      <c r="F4140" s="7">
        <v>7937.87</v>
      </c>
      <c r="G4140">
        <v>0</v>
      </c>
      <c r="H4140" s="7">
        <v>0</v>
      </c>
    </row>
    <row r="4141" spans="1:8">
      <c r="A4141">
        <v>3</v>
      </c>
      <c r="B4141" t="s">
        <v>42</v>
      </c>
      <c r="C4141" t="s">
        <v>34</v>
      </c>
      <c r="D4141">
        <v>0</v>
      </c>
      <c r="E4141">
        <v>1</v>
      </c>
      <c r="F4141" s="7">
        <v>23347.8</v>
      </c>
      <c r="G4141">
        <v>0</v>
      </c>
      <c r="H4141" s="7">
        <v>0</v>
      </c>
    </row>
    <row r="4142" spans="1:8">
      <c r="A4142">
        <v>3</v>
      </c>
      <c r="B4142" t="s">
        <v>42</v>
      </c>
      <c r="C4142" t="s">
        <v>33</v>
      </c>
      <c r="D4142">
        <v>0</v>
      </c>
      <c r="E4142">
        <v>1</v>
      </c>
      <c r="F4142" s="7">
        <v>3024.32</v>
      </c>
      <c r="G4142">
        <v>0</v>
      </c>
      <c r="H4142" s="7">
        <v>0</v>
      </c>
    </row>
    <row r="4143" spans="1:8">
      <c r="A4143">
        <v>3</v>
      </c>
      <c r="B4143" t="s">
        <v>42</v>
      </c>
      <c r="C4143" t="s">
        <v>34</v>
      </c>
      <c r="D4143">
        <v>0</v>
      </c>
      <c r="E4143">
        <v>1</v>
      </c>
      <c r="F4143" s="7">
        <v>12694.9</v>
      </c>
      <c r="G4143">
        <v>0</v>
      </c>
      <c r="H4143" s="7">
        <v>0</v>
      </c>
    </row>
    <row r="4144" spans="1:8">
      <c r="A4144">
        <v>3</v>
      </c>
      <c r="B4144" t="s">
        <v>42</v>
      </c>
      <c r="C4144" t="s">
        <v>33</v>
      </c>
      <c r="D4144">
        <v>0</v>
      </c>
      <c r="E4144">
        <v>1</v>
      </c>
      <c r="F4144" s="7">
        <v>6573.52</v>
      </c>
      <c r="G4144">
        <v>0</v>
      </c>
      <c r="H4144" s="7">
        <v>0</v>
      </c>
    </row>
    <row r="4145" spans="1:8">
      <c r="A4145">
        <v>3</v>
      </c>
      <c r="B4145" t="s">
        <v>42</v>
      </c>
      <c r="C4145" t="s">
        <v>34</v>
      </c>
      <c r="D4145">
        <v>0</v>
      </c>
      <c r="E4145">
        <v>1</v>
      </c>
      <c r="F4145" s="7">
        <v>30588.31</v>
      </c>
      <c r="G4145">
        <v>0</v>
      </c>
      <c r="H4145" s="7">
        <v>0</v>
      </c>
    </row>
    <row r="4146" spans="1:8">
      <c r="A4146">
        <v>3</v>
      </c>
      <c r="B4146" t="s">
        <v>42</v>
      </c>
      <c r="C4146" t="s">
        <v>34</v>
      </c>
      <c r="D4146">
        <v>0</v>
      </c>
      <c r="E4146">
        <v>1</v>
      </c>
      <c r="F4146" s="7">
        <v>18409.27</v>
      </c>
      <c r="G4146">
        <v>0</v>
      </c>
      <c r="H4146" s="7">
        <v>0</v>
      </c>
    </row>
    <row r="4147" spans="1:8">
      <c r="A4147">
        <v>3</v>
      </c>
      <c r="B4147" t="s">
        <v>42</v>
      </c>
      <c r="C4147" t="s">
        <v>33</v>
      </c>
      <c r="D4147">
        <v>0</v>
      </c>
      <c r="E4147">
        <v>1</v>
      </c>
      <c r="F4147" s="7">
        <v>6808.99</v>
      </c>
      <c r="G4147">
        <v>0</v>
      </c>
      <c r="H4147" s="7">
        <v>0</v>
      </c>
    </row>
    <row r="4148" spans="1:8">
      <c r="A4148">
        <v>3</v>
      </c>
      <c r="B4148" t="s">
        <v>42</v>
      </c>
      <c r="C4148" t="s">
        <v>34</v>
      </c>
      <c r="D4148">
        <v>0</v>
      </c>
      <c r="E4148">
        <v>1</v>
      </c>
      <c r="F4148" s="7">
        <v>28899.92</v>
      </c>
      <c r="G4148">
        <v>0</v>
      </c>
      <c r="H4148" s="7">
        <v>0</v>
      </c>
    </row>
    <row r="4149" spans="1:8">
      <c r="A4149">
        <v>3</v>
      </c>
      <c r="B4149" t="s">
        <v>42</v>
      </c>
      <c r="C4149" t="s">
        <v>32</v>
      </c>
      <c r="D4149">
        <v>0</v>
      </c>
      <c r="E4149">
        <v>1</v>
      </c>
      <c r="F4149" s="7">
        <v>85.42</v>
      </c>
      <c r="G4149">
        <v>0</v>
      </c>
      <c r="H4149" s="7">
        <v>0</v>
      </c>
    </row>
    <row r="4150" spans="1:8">
      <c r="A4150">
        <v>3</v>
      </c>
      <c r="B4150" t="s">
        <v>42</v>
      </c>
      <c r="C4150" t="s">
        <v>33</v>
      </c>
      <c r="D4150">
        <v>0</v>
      </c>
      <c r="E4150">
        <v>1</v>
      </c>
      <c r="F4150" s="7">
        <v>9768.07</v>
      </c>
      <c r="G4150">
        <v>0</v>
      </c>
      <c r="H4150" s="7">
        <v>0</v>
      </c>
    </row>
    <row r="4151" spans="1:8">
      <c r="A4151">
        <v>3</v>
      </c>
      <c r="B4151" t="s">
        <v>42</v>
      </c>
      <c r="C4151" t="s">
        <v>33</v>
      </c>
      <c r="D4151">
        <v>0</v>
      </c>
      <c r="E4151">
        <v>1</v>
      </c>
      <c r="F4151" s="7">
        <v>1828.21</v>
      </c>
      <c r="G4151">
        <v>0</v>
      </c>
      <c r="H4151" s="7">
        <v>0</v>
      </c>
    </row>
    <row r="4152" spans="1:8">
      <c r="A4152">
        <v>3</v>
      </c>
      <c r="B4152" t="s">
        <v>45</v>
      </c>
      <c r="C4152" t="s">
        <v>33</v>
      </c>
      <c r="D4152">
        <v>0</v>
      </c>
      <c r="E4152">
        <v>1</v>
      </c>
      <c r="F4152" s="7">
        <v>1027.42</v>
      </c>
      <c r="G4152">
        <v>0</v>
      </c>
      <c r="H4152" s="7">
        <v>0</v>
      </c>
    </row>
    <row r="4153" spans="1:8">
      <c r="A4153">
        <v>3</v>
      </c>
      <c r="B4153" t="s">
        <v>43</v>
      </c>
      <c r="C4153" t="s">
        <v>34</v>
      </c>
      <c r="D4153">
        <v>0</v>
      </c>
      <c r="E4153">
        <v>1</v>
      </c>
      <c r="F4153" s="7">
        <v>76083.8</v>
      </c>
      <c r="G4153">
        <v>0</v>
      </c>
      <c r="H4153" s="7">
        <v>0</v>
      </c>
    </row>
    <row r="4154" spans="1:8">
      <c r="A4154">
        <v>3</v>
      </c>
      <c r="B4154" t="s">
        <v>43</v>
      </c>
      <c r="C4154" t="s">
        <v>33</v>
      </c>
      <c r="D4154">
        <v>0</v>
      </c>
      <c r="E4154">
        <v>1</v>
      </c>
      <c r="F4154" s="7">
        <v>5573.43</v>
      </c>
      <c r="G4154">
        <v>0</v>
      </c>
      <c r="H4154" s="7">
        <v>0</v>
      </c>
    </row>
    <row r="4155" spans="1:8">
      <c r="A4155">
        <v>3</v>
      </c>
      <c r="B4155" t="s">
        <v>43</v>
      </c>
      <c r="C4155" t="s">
        <v>35</v>
      </c>
      <c r="D4155">
        <v>0</v>
      </c>
      <c r="E4155">
        <v>1</v>
      </c>
      <c r="F4155" s="7">
        <v>206925.43</v>
      </c>
      <c r="G4155">
        <v>0</v>
      </c>
      <c r="H4155" s="7">
        <v>0</v>
      </c>
    </row>
    <row r="4156" spans="1:8">
      <c r="A4156">
        <v>3</v>
      </c>
      <c r="B4156" t="s">
        <v>43</v>
      </c>
      <c r="C4156" t="s">
        <v>35</v>
      </c>
      <c r="D4156">
        <v>0</v>
      </c>
      <c r="E4156">
        <v>1</v>
      </c>
      <c r="F4156" s="7">
        <v>572492.51</v>
      </c>
      <c r="G4156">
        <v>0</v>
      </c>
      <c r="H4156" s="7">
        <v>0</v>
      </c>
    </row>
    <row r="4157" spans="1:8">
      <c r="A4157">
        <v>3</v>
      </c>
      <c r="B4157" t="s">
        <v>43</v>
      </c>
      <c r="C4157" t="s">
        <v>35</v>
      </c>
      <c r="D4157">
        <v>0</v>
      </c>
      <c r="E4157">
        <v>1</v>
      </c>
      <c r="F4157" s="7">
        <v>707899.22</v>
      </c>
      <c r="G4157">
        <v>0</v>
      </c>
      <c r="H4157" s="7">
        <v>0</v>
      </c>
    </row>
    <row r="4158" spans="1:8">
      <c r="A4158">
        <v>3</v>
      </c>
      <c r="B4158" t="s">
        <v>43</v>
      </c>
      <c r="C4158" t="s">
        <v>35</v>
      </c>
      <c r="D4158">
        <v>0</v>
      </c>
      <c r="E4158">
        <v>1</v>
      </c>
      <c r="F4158" s="7">
        <v>979818.78</v>
      </c>
      <c r="G4158">
        <v>0</v>
      </c>
      <c r="H4158" s="7">
        <v>0</v>
      </c>
    </row>
    <row r="4159" spans="1:8">
      <c r="A4159">
        <v>3</v>
      </c>
      <c r="B4159" t="s">
        <v>43</v>
      </c>
      <c r="C4159" t="s">
        <v>35</v>
      </c>
      <c r="D4159">
        <v>0</v>
      </c>
      <c r="E4159">
        <v>1</v>
      </c>
      <c r="F4159" s="7">
        <v>280567.17</v>
      </c>
      <c r="G4159">
        <v>0</v>
      </c>
      <c r="H4159" s="7">
        <v>0</v>
      </c>
    </row>
    <row r="4160" spans="1:8">
      <c r="A4160">
        <v>3</v>
      </c>
      <c r="B4160" t="s">
        <v>43</v>
      </c>
      <c r="C4160" t="s">
        <v>34</v>
      </c>
      <c r="D4160">
        <v>0</v>
      </c>
      <c r="E4160">
        <v>1</v>
      </c>
      <c r="F4160" s="7">
        <v>18873.1</v>
      </c>
      <c r="G4160">
        <v>0</v>
      </c>
      <c r="H4160" s="7">
        <v>0</v>
      </c>
    </row>
    <row r="4161" spans="1:8">
      <c r="A4161">
        <v>3</v>
      </c>
      <c r="B4161" t="s">
        <v>43</v>
      </c>
      <c r="C4161" t="s">
        <v>36</v>
      </c>
      <c r="D4161">
        <v>0</v>
      </c>
      <c r="E4161">
        <v>1</v>
      </c>
      <c r="F4161" s="7">
        <v>2837270.65</v>
      </c>
      <c r="G4161">
        <v>0</v>
      </c>
      <c r="H4161" s="7">
        <v>0</v>
      </c>
    </row>
    <row r="4162" spans="1:8">
      <c r="A4162">
        <v>3</v>
      </c>
      <c r="B4162" t="s">
        <v>43</v>
      </c>
      <c r="C4162" t="s">
        <v>35</v>
      </c>
      <c r="D4162">
        <v>0</v>
      </c>
      <c r="E4162">
        <v>1</v>
      </c>
      <c r="F4162" s="7">
        <v>525371.52</v>
      </c>
      <c r="G4162">
        <v>0</v>
      </c>
      <c r="H4162" s="7">
        <v>0</v>
      </c>
    </row>
    <row r="4163" spans="1:8">
      <c r="A4163">
        <v>3</v>
      </c>
      <c r="B4163" t="s">
        <v>43</v>
      </c>
      <c r="C4163" t="s">
        <v>36</v>
      </c>
      <c r="D4163">
        <v>0</v>
      </c>
      <c r="E4163">
        <v>1</v>
      </c>
      <c r="F4163" s="7">
        <v>1197188.79</v>
      </c>
      <c r="G4163">
        <v>0</v>
      </c>
      <c r="H4163" s="7">
        <v>0</v>
      </c>
    </row>
    <row r="4164" spans="1:8">
      <c r="A4164">
        <v>3</v>
      </c>
      <c r="B4164" t="s">
        <v>43</v>
      </c>
      <c r="C4164" t="s">
        <v>35</v>
      </c>
      <c r="D4164">
        <v>0</v>
      </c>
      <c r="E4164">
        <v>1</v>
      </c>
      <c r="F4164" s="7">
        <v>141633.8</v>
      </c>
      <c r="G4164">
        <v>0</v>
      </c>
      <c r="H4164" s="7">
        <v>0</v>
      </c>
    </row>
    <row r="4165" spans="1:8">
      <c r="A4165">
        <v>3</v>
      </c>
      <c r="B4165" t="s">
        <v>43</v>
      </c>
      <c r="C4165" t="s">
        <v>35</v>
      </c>
      <c r="D4165">
        <v>0</v>
      </c>
      <c r="E4165">
        <v>1</v>
      </c>
      <c r="F4165" s="7">
        <v>521678.46</v>
      </c>
      <c r="G4165">
        <v>0</v>
      </c>
      <c r="H4165" s="7">
        <v>0</v>
      </c>
    </row>
    <row r="4166" spans="1:8">
      <c r="A4166">
        <v>3</v>
      </c>
      <c r="B4166" t="s">
        <v>43</v>
      </c>
      <c r="C4166" t="s">
        <v>36</v>
      </c>
      <c r="D4166">
        <v>0</v>
      </c>
      <c r="E4166">
        <v>1</v>
      </c>
      <c r="F4166" s="7">
        <v>1610264.08</v>
      </c>
      <c r="G4166">
        <v>0</v>
      </c>
      <c r="H4166" s="7">
        <v>0</v>
      </c>
    </row>
    <row r="4167" spans="1:8">
      <c r="A4167">
        <v>3</v>
      </c>
      <c r="B4167" t="s">
        <v>43</v>
      </c>
      <c r="C4167" t="s">
        <v>33</v>
      </c>
      <c r="D4167">
        <v>0</v>
      </c>
      <c r="E4167">
        <v>1</v>
      </c>
      <c r="F4167" s="7">
        <v>2565.32</v>
      </c>
      <c r="G4167">
        <v>0</v>
      </c>
      <c r="H4167" s="7">
        <v>0</v>
      </c>
    </row>
    <row r="4168" spans="1:8">
      <c r="A4168">
        <v>3</v>
      </c>
      <c r="B4168" t="s">
        <v>43</v>
      </c>
      <c r="C4168" t="s">
        <v>34</v>
      </c>
      <c r="D4168">
        <v>0</v>
      </c>
      <c r="E4168">
        <v>1</v>
      </c>
      <c r="F4168" s="7">
        <v>16972.84</v>
      </c>
      <c r="G4168">
        <v>0</v>
      </c>
      <c r="H4168" s="7">
        <v>0</v>
      </c>
    </row>
    <row r="4169" spans="1:8">
      <c r="A4169">
        <v>3</v>
      </c>
      <c r="B4169" t="s">
        <v>43</v>
      </c>
      <c r="C4169" t="s">
        <v>35</v>
      </c>
      <c r="D4169">
        <v>0</v>
      </c>
      <c r="E4169">
        <v>1</v>
      </c>
      <c r="F4169" s="7">
        <v>708855.97</v>
      </c>
      <c r="G4169">
        <v>0</v>
      </c>
      <c r="H4169" s="7">
        <v>0</v>
      </c>
    </row>
    <row r="4170" spans="1:8">
      <c r="A4170">
        <v>3</v>
      </c>
      <c r="B4170" t="s">
        <v>43</v>
      </c>
      <c r="C4170" t="s">
        <v>35</v>
      </c>
      <c r="D4170">
        <v>0</v>
      </c>
      <c r="E4170">
        <v>1</v>
      </c>
      <c r="F4170" s="7">
        <v>630132.72</v>
      </c>
      <c r="G4170">
        <v>0</v>
      </c>
      <c r="H4170" s="7">
        <v>0</v>
      </c>
    </row>
    <row r="4171" spans="1:8">
      <c r="A4171">
        <v>3</v>
      </c>
      <c r="B4171" t="s">
        <v>43</v>
      </c>
      <c r="C4171" t="s">
        <v>35</v>
      </c>
      <c r="D4171">
        <v>0</v>
      </c>
      <c r="E4171">
        <v>1</v>
      </c>
      <c r="F4171" s="7">
        <v>445570</v>
      </c>
      <c r="G4171">
        <v>0</v>
      </c>
      <c r="H4171" s="7">
        <v>0</v>
      </c>
    </row>
    <row r="4172" spans="1:8">
      <c r="A4172">
        <v>3</v>
      </c>
      <c r="B4172" t="s">
        <v>43</v>
      </c>
      <c r="C4172" t="s">
        <v>34</v>
      </c>
      <c r="D4172">
        <v>0</v>
      </c>
      <c r="E4172">
        <v>1</v>
      </c>
      <c r="F4172" s="7">
        <v>50662.63</v>
      </c>
      <c r="G4172">
        <v>0</v>
      </c>
      <c r="H4172" s="7">
        <v>0</v>
      </c>
    </row>
    <row r="4173" spans="1:8">
      <c r="A4173">
        <v>3</v>
      </c>
      <c r="B4173" t="s">
        <v>43</v>
      </c>
      <c r="C4173" t="s">
        <v>35</v>
      </c>
      <c r="D4173">
        <v>0</v>
      </c>
      <c r="E4173">
        <v>1</v>
      </c>
      <c r="F4173" s="7">
        <v>192421.03</v>
      </c>
      <c r="G4173">
        <v>0</v>
      </c>
      <c r="H4173" s="7">
        <v>0</v>
      </c>
    </row>
    <row r="4174" spans="1:8">
      <c r="A4174">
        <v>3</v>
      </c>
      <c r="B4174" t="s">
        <v>43</v>
      </c>
      <c r="C4174" t="s">
        <v>36</v>
      </c>
      <c r="D4174">
        <v>0</v>
      </c>
      <c r="E4174">
        <v>1</v>
      </c>
      <c r="F4174" s="7">
        <v>1453126.81</v>
      </c>
      <c r="G4174">
        <v>0</v>
      </c>
      <c r="H4174" s="7">
        <v>0</v>
      </c>
    </row>
    <row r="4175" spans="1:8">
      <c r="A4175">
        <v>3</v>
      </c>
      <c r="B4175" t="s">
        <v>43</v>
      </c>
      <c r="C4175" t="s">
        <v>35</v>
      </c>
      <c r="D4175">
        <v>0</v>
      </c>
      <c r="E4175">
        <v>1</v>
      </c>
      <c r="F4175" s="7">
        <v>112752.15</v>
      </c>
      <c r="G4175">
        <v>0</v>
      </c>
      <c r="H4175" s="7">
        <v>0</v>
      </c>
    </row>
    <row r="4176" spans="1:8">
      <c r="A4176">
        <v>3</v>
      </c>
      <c r="B4176" t="s">
        <v>43</v>
      </c>
      <c r="C4176" t="s">
        <v>34</v>
      </c>
      <c r="D4176">
        <v>0</v>
      </c>
      <c r="E4176">
        <v>1</v>
      </c>
      <c r="F4176" s="7">
        <v>87674.26</v>
      </c>
      <c r="G4176">
        <v>0</v>
      </c>
      <c r="H4176" s="7">
        <v>0</v>
      </c>
    </row>
    <row r="4177" spans="1:8">
      <c r="A4177">
        <v>3</v>
      </c>
      <c r="B4177" t="s">
        <v>42</v>
      </c>
      <c r="C4177" t="s">
        <v>34</v>
      </c>
      <c r="D4177">
        <v>0</v>
      </c>
      <c r="E4177">
        <v>1</v>
      </c>
      <c r="F4177" s="7">
        <v>16573.43</v>
      </c>
      <c r="G4177">
        <v>0</v>
      </c>
      <c r="H4177" s="7">
        <v>0</v>
      </c>
    </row>
    <row r="4178" spans="1:8">
      <c r="A4178">
        <v>3</v>
      </c>
      <c r="B4178" t="s">
        <v>42</v>
      </c>
      <c r="C4178" t="s">
        <v>33</v>
      </c>
      <c r="D4178">
        <v>0</v>
      </c>
      <c r="E4178">
        <v>1</v>
      </c>
      <c r="F4178" s="7">
        <v>2941.39</v>
      </c>
      <c r="G4178">
        <v>0</v>
      </c>
      <c r="H4178" s="7">
        <v>0</v>
      </c>
    </row>
    <row r="4179" spans="1:8">
      <c r="A4179">
        <v>3</v>
      </c>
      <c r="B4179" t="s">
        <v>44</v>
      </c>
      <c r="C4179" t="s">
        <v>34</v>
      </c>
      <c r="D4179">
        <v>0</v>
      </c>
      <c r="E4179">
        <v>1</v>
      </c>
      <c r="F4179" s="7">
        <v>90922.45</v>
      </c>
      <c r="G4179">
        <v>0</v>
      </c>
      <c r="H4179" s="7">
        <v>0</v>
      </c>
    </row>
    <row r="4180" spans="1:8">
      <c r="A4180">
        <v>3</v>
      </c>
      <c r="B4180" t="s">
        <v>42</v>
      </c>
      <c r="C4180" t="s">
        <v>33</v>
      </c>
      <c r="D4180">
        <v>0</v>
      </c>
      <c r="E4180">
        <v>1</v>
      </c>
      <c r="F4180" s="7">
        <v>2166.7</v>
      </c>
      <c r="G4180">
        <v>0</v>
      </c>
      <c r="H4180" s="7">
        <v>0</v>
      </c>
    </row>
    <row r="4181" spans="1:8">
      <c r="A4181">
        <v>3</v>
      </c>
      <c r="B4181" t="s">
        <v>42</v>
      </c>
      <c r="C4181" t="s">
        <v>33</v>
      </c>
      <c r="D4181">
        <v>0</v>
      </c>
      <c r="E4181">
        <v>1</v>
      </c>
      <c r="F4181" s="7">
        <v>3095.82</v>
      </c>
      <c r="G4181">
        <v>0</v>
      </c>
      <c r="H4181" s="7">
        <v>0</v>
      </c>
    </row>
    <row r="4182" spans="1:8">
      <c r="A4182">
        <v>3</v>
      </c>
      <c r="B4182" t="s">
        <v>42</v>
      </c>
      <c r="C4182" t="s">
        <v>32</v>
      </c>
      <c r="D4182">
        <v>0</v>
      </c>
      <c r="E4182">
        <v>1</v>
      </c>
      <c r="F4182" s="7">
        <v>279.84</v>
      </c>
      <c r="G4182">
        <v>0</v>
      </c>
      <c r="H4182" s="7">
        <v>0</v>
      </c>
    </row>
    <row r="4183" spans="1:8">
      <c r="A4183">
        <v>3</v>
      </c>
      <c r="B4183" t="s">
        <v>42</v>
      </c>
      <c r="C4183" t="s">
        <v>33</v>
      </c>
      <c r="D4183">
        <v>0</v>
      </c>
      <c r="E4183">
        <v>1</v>
      </c>
      <c r="F4183" s="7">
        <v>8615.79</v>
      </c>
      <c r="G4183">
        <v>0</v>
      </c>
      <c r="H4183" s="7">
        <v>0</v>
      </c>
    </row>
    <row r="4184" spans="1:8">
      <c r="A4184">
        <v>3</v>
      </c>
      <c r="B4184" t="s">
        <v>42</v>
      </c>
      <c r="C4184" t="s">
        <v>34</v>
      </c>
      <c r="D4184">
        <v>0</v>
      </c>
      <c r="E4184">
        <v>1</v>
      </c>
      <c r="F4184" s="7">
        <v>29363.1</v>
      </c>
      <c r="G4184">
        <v>0</v>
      </c>
      <c r="H4184" s="7">
        <v>0</v>
      </c>
    </row>
    <row r="4185" spans="1:8">
      <c r="A4185">
        <v>3</v>
      </c>
      <c r="B4185" t="s">
        <v>45</v>
      </c>
      <c r="C4185" t="s">
        <v>33</v>
      </c>
      <c r="D4185">
        <v>0</v>
      </c>
      <c r="E4185">
        <v>1</v>
      </c>
      <c r="F4185" s="7">
        <v>5916.27</v>
      </c>
      <c r="G4185">
        <v>0</v>
      </c>
      <c r="H4185" s="7">
        <v>0</v>
      </c>
    </row>
    <row r="4186" spans="1:8">
      <c r="A4186">
        <v>3</v>
      </c>
      <c r="B4186" t="s">
        <v>42</v>
      </c>
      <c r="C4186" t="s">
        <v>34</v>
      </c>
      <c r="D4186">
        <v>0</v>
      </c>
      <c r="E4186">
        <v>1</v>
      </c>
      <c r="F4186" s="7">
        <v>19877.65</v>
      </c>
      <c r="G4186">
        <v>0</v>
      </c>
      <c r="H4186" s="7">
        <v>0</v>
      </c>
    </row>
    <row r="4187" spans="1:8">
      <c r="A4187">
        <v>3</v>
      </c>
      <c r="B4187" t="s">
        <v>45</v>
      </c>
      <c r="C4187" t="s">
        <v>33</v>
      </c>
      <c r="D4187">
        <v>0</v>
      </c>
      <c r="E4187">
        <v>1</v>
      </c>
      <c r="F4187" s="7">
        <v>1575.17</v>
      </c>
      <c r="G4187">
        <v>0</v>
      </c>
      <c r="H4187" s="7">
        <v>0</v>
      </c>
    </row>
    <row r="4188" spans="1:8">
      <c r="A4188">
        <v>3</v>
      </c>
      <c r="B4188" t="s">
        <v>42</v>
      </c>
      <c r="C4188" t="s">
        <v>32</v>
      </c>
      <c r="D4188">
        <v>0</v>
      </c>
      <c r="E4188">
        <v>1</v>
      </c>
      <c r="F4188" s="7">
        <v>162.32</v>
      </c>
      <c r="G4188">
        <v>0</v>
      </c>
      <c r="H4188" s="7">
        <v>0</v>
      </c>
    </row>
    <row r="4189" spans="1:8">
      <c r="A4189">
        <v>3</v>
      </c>
      <c r="B4189" t="s">
        <v>45</v>
      </c>
      <c r="C4189" t="s">
        <v>33</v>
      </c>
      <c r="D4189">
        <v>0</v>
      </c>
      <c r="E4189">
        <v>1</v>
      </c>
      <c r="F4189" s="7">
        <v>2664.55</v>
      </c>
      <c r="G4189">
        <v>0</v>
      </c>
      <c r="H4189" s="7">
        <v>0</v>
      </c>
    </row>
    <row r="4190" spans="1:8">
      <c r="A4190">
        <v>3</v>
      </c>
      <c r="B4190" t="s">
        <v>42</v>
      </c>
      <c r="C4190" t="s">
        <v>34</v>
      </c>
      <c r="D4190">
        <v>0</v>
      </c>
      <c r="E4190">
        <v>1</v>
      </c>
      <c r="F4190" s="7">
        <v>10951.21</v>
      </c>
      <c r="G4190">
        <v>0</v>
      </c>
      <c r="H4190" s="7">
        <v>0</v>
      </c>
    </row>
    <row r="4191" spans="1:8">
      <c r="A4191">
        <v>3</v>
      </c>
      <c r="B4191" t="s">
        <v>42</v>
      </c>
      <c r="C4191" t="s">
        <v>32</v>
      </c>
      <c r="D4191">
        <v>0</v>
      </c>
      <c r="E4191">
        <v>1</v>
      </c>
      <c r="F4191" s="7">
        <v>649.2</v>
      </c>
      <c r="G4191">
        <v>0</v>
      </c>
      <c r="H4191" s="7">
        <v>0</v>
      </c>
    </row>
    <row r="4192" spans="1:8">
      <c r="A4192">
        <v>3</v>
      </c>
      <c r="B4192" t="s">
        <v>42</v>
      </c>
      <c r="C4192" t="s">
        <v>34</v>
      </c>
      <c r="D4192">
        <v>0</v>
      </c>
      <c r="E4192">
        <v>1</v>
      </c>
      <c r="F4192" s="7">
        <v>18847.45</v>
      </c>
      <c r="G4192">
        <v>0</v>
      </c>
      <c r="H4192" s="7">
        <v>0</v>
      </c>
    </row>
    <row r="4193" spans="1:8">
      <c r="A4193">
        <v>3</v>
      </c>
      <c r="B4193" t="s">
        <v>43</v>
      </c>
      <c r="C4193" t="s">
        <v>34</v>
      </c>
      <c r="D4193">
        <v>0</v>
      </c>
      <c r="E4193">
        <v>1</v>
      </c>
      <c r="F4193" s="7">
        <v>70376.34</v>
      </c>
      <c r="G4193">
        <v>0</v>
      </c>
      <c r="H4193" s="7">
        <v>0</v>
      </c>
    </row>
    <row r="4194" spans="1:8">
      <c r="A4194">
        <v>3</v>
      </c>
      <c r="B4194" t="s">
        <v>42</v>
      </c>
      <c r="C4194" t="s">
        <v>34</v>
      </c>
      <c r="D4194">
        <v>0</v>
      </c>
      <c r="E4194">
        <v>1</v>
      </c>
      <c r="F4194" s="7">
        <v>24661.43</v>
      </c>
      <c r="G4194">
        <v>0</v>
      </c>
      <c r="H4194" s="7">
        <v>0</v>
      </c>
    </row>
    <row r="4195" spans="1:8">
      <c r="A4195">
        <v>3</v>
      </c>
      <c r="B4195" t="s">
        <v>42</v>
      </c>
      <c r="C4195" t="s">
        <v>33</v>
      </c>
      <c r="D4195">
        <v>0</v>
      </c>
      <c r="E4195">
        <v>1</v>
      </c>
      <c r="F4195" s="7">
        <v>2688.52</v>
      </c>
      <c r="G4195">
        <v>0</v>
      </c>
      <c r="H4195" s="7">
        <v>0</v>
      </c>
    </row>
    <row r="4196" spans="1:8">
      <c r="A4196">
        <v>3</v>
      </c>
      <c r="B4196" t="s">
        <v>42</v>
      </c>
      <c r="C4196" t="s">
        <v>34</v>
      </c>
      <c r="D4196">
        <v>0</v>
      </c>
      <c r="E4196">
        <v>1</v>
      </c>
      <c r="F4196" s="7">
        <v>16048.8</v>
      </c>
      <c r="G4196">
        <v>0</v>
      </c>
      <c r="H4196" s="7">
        <v>0</v>
      </c>
    </row>
    <row r="4197" spans="1:8">
      <c r="A4197">
        <v>3</v>
      </c>
      <c r="B4197" t="s">
        <v>42</v>
      </c>
      <c r="C4197" t="s">
        <v>34</v>
      </c>
      <c r="D4197">
        <v>0</v>
      </c>
      <c r="E4197">
        <v>1</v>
      </c>
      <c r="F4197" s="7">
        <v>16115.55</v>
      </c>
      <c r="G4197">
        <v>0</v>
      </c>
      <c r="H4197" s="7">
        <v>0</v>
      </c>
    </row>
    <row r="4198" spans="1:8">
      <c r="A4198">
        <v>3</v>
      </c>
      <c r="B4198" t="s">
        <v>42</v>
      </c>
      <c r="C4198" t="s">
        <v>33</v>
      </c>
      <c r="D4198">
        <v>0</v>
      </c>
      <c r="E4198">
        <v>1</v>
      </c>
      <c r="F4198" s="7">
        <v>3130.69</v>
      </c>
      <c r="G4198">
        <v>0</v>
      </c>
      <c r="H4198" s="7">
        <v>0</v>
      </c>
    </row>
    <row r="4199" spans="1:8">
      <c r="A4199">
        <v>3</v>
      </c>
      <c r="B4199" t="s">
        <v>45</v>
      </c>
      <c r="C4199" t="s">
        <v>33</v>
      </c>
      <c r="D4199">
        <v>0</v>
      </c>
      <c r="E4199">
        <v>1</v>
      </c>
      <c r="F4199" s="7">
        <v>6010.62</v>
      </c>
      <c r="G4199">
        <v>0</v>
      </c>
      <c r="H4199" s="7">
        <v>0</v>
      </c>
    </row>
    <row r="4200" spans="1:8">
      <c r="A4200">
        <v>3</v>
      </c>
      <c r="B4200" t="s">
        <v>44</v>
      </c>
      <c r="C4200" t="s">
        <v>33</v>
      </c>
      <c r="D4200">
        <v>0</v>
      </c>
      <c r="E4200">
        <v>1</v>
      </c>
      <c r="F4200" s="7">
        <v>8294.34</v>
      </c>
      <c r="G4200">
        <v>0</v>
      </c>
      <c r="H4200" s="7">
        <v>0</v>
      </c>
    </row>
    <row r="4201" spans="1:8">
      <c r="A4201">
        <v>3</v>
      </c>
      <c r="B4201" t="s">
        <v>44</v>
      </c>
      <c r="C4201" t="s">
        <v>34</v>
      </c>
      <c r="D4201">
        <v>0</v>
      </c>
      <c r="E4201">
        <v>1</v>
      </c>
      <c r="F4201" s="7">
        <v>34465.37</v>
      </c>
      <c r="G4201">
        <v>0</v>
      </c>
      <c r="H4201" s="7">
        <v>0</v>
      </c>
    </row>
    <row r="4202" spans="1:8">
      <c r="A4202">
        <v>3</v>
      </c>
      <c r="B4202" t="s">
        <v>42</v>
      </c>
      <c r="C4202" t="s">
        <v>34</v>
      </c>
      <c r="D4202">
        <v>0</v>
      </c>
      <c r="E4202">
        <v>1</v>
      </c>
      <c r="F4202" s="7">
        <v>12695.49</v>
      </c>
      <c r="G4202">
        <v>0</v>
      </c>
      <c r="H4202" s="7">
        <v>0</v>
      </c>
    </row>
    <row r="4203" spans="1:8">
      <c r="A4203">
        <v>3</v>
      </c>
      <c r="B4203" t="s">
        <v>42</v>
      </c>
      <c r="C4203" t="s">
        <v>33</v>
      </c>
      <c r="D4203">
        <v>0</v>
      </c>
      <c r="E4203">
        <v>1</v>
      </c>
      <c r="F4203" s="7">
        <v>3911.87</v>
      </c>
      <c r="G4203">
        <v>0</v>
      </c>
      <c r="H4203" s="7">
        <v>0</v>
      </c>
    </row>
    <row r="4204" spans="1:8">
      <c r="A4204">
        <v>3</v>
      </c>
      <c r="B4204" t="s">
        <v>42</v>
      </c>
      <c r="C4204" t="s">
        <v>34</v>
      </c>
      <c r="D4204">
        <v>0</v>
      </c>
      <c r="E4204">
        <v>1</v>
      </c>
      <c r="F4204" s="7">
        <v>10105.94</v>
      </c>
      <c r="G4204">
        <v>0</v>
      </c>
      <c r="H4204" s="7">
        <v>0</v>
      </c>
    </row>
    <row r="4205" spans="1:8">
      <c r="A4205">
        <v>3</v>
      </c>
      <c r="B4205" t="s">
        <v>42</v>
      </c>
      <c r="C4205" t="s">
        <v>34</v>
      </c>
      <c r="D4205">
        <v>0</v>
      </c>
      <c r="E4205">
        <v>1</v>
      </c>
      <c r="F4205" s="7">
        <v>24674.79</v>
      </c>
      <c r="G4205">
        <v>0</v>
      </c>
      <c r="H4205" s="7">
        <v>0</v>
      </c>
    </row>
    <row r="4206" spans="1:8">
      <c r="A4206">
        <v>3</v>
      </c>
      <c r="B4206" t="s">
        <v>43</v>
      </c>
      <c r="C4206" t="s">
        <v>34</v>
      </c>
      <c r="D4206">
        <v>0</v>
      </c>
      <c r="E4206">
        <v>1</v>
      </c>
      <c r="F4206" s="7">
        <v>16208.5</v>
      </c>
      <c r="G4206">
        <v>0</v>
      </c>
      <c r="H4206" s="7">
        <v>0</v>
      </c>
    </row>
    <row r="4207" spans="1:8">
      <c r="A4207">
        <v>3</v>
      </c>
      <c r="B4207" t="s">
        <v>42</v>
      </c>
      <c r="C4207" t="s">
        <v>34</v>
      </c>
      <c r="D4207">
        <v>0</v>
      </c>
      <c r="E4207">
        <v>1</v>
      </c>
      <c r="F4207" s="7">
        <v>37480.38</v>
      </c>
      <c r="G4207">
        <v>0</v>
      </c>
      <c r="H4207" s="7">
        <v>0</v>
      </c>
    </row>
    <row r="4208" spans="1:8">
      <c r="A4208">
        <v>3</v>
      </c>
      <c r="B4208" t="s">
        <v>42</v>
      </c>
      <c r="C4208" t="s">
        <v>34</v>
      </c>
      <c r="D4208">
        <v>0</v>
      </c>
      <c r="E4208">
        <v>1</v>
      </c>
      <c r="F4208" s="7">
        <v>14043.68</v>
      </c>
      <c r="G4208">
        <v>0</v>
      </c>
      <c r="H4208" s="7">
        <v>0</v>
      </c>
    </row>
    <row r="4209" spans="1:8">
      <c r="A4209">
        <v>3</v>
      </c>
      <c r="B4209" t="s">
        <v>42</v>
      </c>
      <c r="C4209" t="s">
        <v>33</v>
      </c>
      <c r="D4209">
        <v>0</v>
      </c>
      <c r="E4209">
        <v>1</v>
      </c>
      <c r="F4209" s="7">
        <v>9419.48</v>
      </c>
      <c r="G4209">
        <v>0</v>
      </c>
      <c r="H4209" s="7">
        <v>0</v>
      </c>
    </row>
    <row r="4210" spans="1:8">
      <c r="A4210">
        <v>3</v>
      </c>
      <c r="B4210" t="s">
        <v>44</v>
      </c>
      <c r="C4210" t="s">
        <v>35</v>
      </c>
      <c r="D4210">
        <v>0</v>
      </c>
      <c r="E4210">
        <v>1</v>
      </c>
      <c r="F4210" s="7">
        <v>101181.53</v>
      </c>
      <c r="G4210">
        <v>0</v>
      </c>
      <c r="H4210" s="7">
        <v>0</v>
      </c>
    </row>
    <row r="4211" spans="1:8">
      <c r="A4211">
        <v>3</v>
      </c>
      <c r="B4211" t="s">
        <v>42</v>
      </c>
      <c r="C4211" t="s">
        <v>33</v>
      </c>
      <c r="D4211">
        <v>0</v>
      </c>
      <c r="E4211">
        <v>1</v>
      </c>
      <c r="F4211" s="7">
        <v>9437.39</v>
      </c>
      <c r="G4211">
        <v>0</v>
      </c>
      <c r="H4211" s="7">
        <v>0</v>
      </c>
    </row>
    <row r="4212" spans="1:8">
      <c r="A4212">
        <v>3</v>
      </c>
      <c r="B4212" t="s">
        <v>42</v>
      </c>
      <c r="C4212" t="s">
        <v>34</v>
      </c>
      <c r="D4212">
        <v>0</v>
      </c>
      <c r="E4212">
        <v>1</v>
      </c>
      <c r="F4212" s="7">
        <v>10728.82</v>
      </c>
      <c r="G4212">
        <v>0</v>
      </c>
      <c r="H4212" s="7">
        <v>0</v>
      </c>
    </row>
    <row r="4213" spans="1:8">
      <c r="A4213">
        <v>3</v>
      </c>
      <c r="B4213" t="s">
        <v>42</v>
      </c>
      <c r="C4213" t="s">
        <v>32</v>
      </c>
      <c r="D4213">
        <v>0</v>
      </c>
      <c r="E4213">
        <v>1</v>
      </c>
      <c r="F4213" s="7">
        <v>409.74</v>
      </c>
      <c r="G4213">
        <v>0</v>
      </c>
      <c r="H4213" s="7">
        <v>0</v>
      </c>
    </row>
    <row r="4214" spans="1:8">
      <c r="A4214">
        <v>3</v>
      </c>
      <c r="B4214" t="s">
        <v>42</v>
      </c>
      <c r="C4214" t="s">
        <v>32</v>
      </c>
      <c r="D4214">
        <v>0</v>
      </c>
      <c r="E4214">
        <v>1</v>
      </c>
      <c r="F4214" s="7">
        <v>708.36</v>
      </c>
      <c r="G4214">
        <v>0</v>
      </c>
      <c r="H4214" s="7">
        <v>0</v>
      </c>
    </row>
    <row r="4215" spans="1:8">
      <c r="A4215">
        <v>3</v>
      </c>
      <c r="B4215" t="s">
        <v>42</v>
      </c>
      <c r="C4215" t="s">
        <v>34</v>
      </c>
      <c r="D4215">
        <v>0</v>
      </c>
      <c r="E4215">
        <v>1</v>
      </c>
      <c r="F4215" s="7">
        <v>21595.02</v>
      </c>
      <c r="G4215">
        <v>0</v>
      </c>
      <c r="H4215" s="7">
        <v>0</v>
      </c>
    </row>
    <row r="4216" spans="1:8">
      <c r="A4216">
        <v>3</v>
      </c>
      <c r="B4216" t="s">
        <v>42</v>
      </c>
      <c r="C4216" t="s">
        <v>34</v>
      </c>
      <c r="D4216">
        <v>0</v>
      </c>
      <c r="E4216">
        <v>1</v>
      </c>
      <c r="F4216" s="7">
        <v>13021.44</v>
      </c>
      <c r="G4216">
        <v>0</v>
      </c>
      <c r="H4216" s="7">
        <v>0</v>
      </c>
    </row>
    <row r="4217" spans="1:8">
      <c r="A4217">
        <v>3</v>
      </c>
      <c r="B4217" t="s">
        <v>44</v>
      </c>
      <c r="C4217" t="s">
        <v>34</v>
      </c>
      <c r="D4217">
        <v>0</v>
      </c>
      <c r="E4217">
        <v>1</v>
      </c>
      <c r="F4217" s="7">
        <v>31891.69</v>
      </c>
      <c r="G4217">
        <v>0</v>
      </c>
      <c r="H4217" s="7">
        <v>0</v>
      </c>
    </row>
    <row r="4218" spans="1:8">
      <c r="A4218">
        <v>3</v>
      </c>
      <c r="B4218" t="s">
        <v>42</v>
      </c>
      <c r="C4218" t="s">
        <v>34</v>
      </c>
      <c r="D4218">
        <v>0</v>
      </c>
      <c r="E4218">
        <v>1</v>
      </c>
      <c r="F4218" s="7">
        <v>14294.08</v>
      </c>
      <c r="G4218">
        <v>0</v>
      </c>
      <c r="H4218" s="7">
        <v>0</v>
      </c>
    </row>
    <row r="4219" spans="1:8">
      <c r="A4219">
        <v>3</v>
      </c>
      <c r="B4219" t="s">
        <v>42</v>
      </c>
      <c r="C4219" t="s">
        <v>32</v>
      </c>
      <c r="D4219">
        <v>0</v>
      </c>
      <c r="E4219">
        <v>1</v>
      </c>
      <c r="F4219" s="7">
        <v>209.18</v>
      </c>
      <c r="G4219">
        <v>0</v>
      </c>
      <c r="H4219" s="7">
        <v>0</v>
      </c>
    </row>
    <row r="4220" spans="1:8">
      <c r="A4220">
        <v>3</v>
      </c>
      <c r="B4220" t="s">
        <v>42</v>
      </c>
      <c r="C4220" t="s">
        <v>33</v>
      </c>
      <c r="D4220">
        <v>0</v>
      </c>
      <c r="E4220">
        <v>1</v>
      </c>
      <c r="F4220" s="7">
        <v>8269.29</v>
      </c>
      <c r="G4220">
        <v>0</v>
      </c>
      <c r="H4220" s="7">
        <v>0</v>
      </c>
    </row>
    <row r="4221" spans="1:8">
      <c r="A4221">
        <v>3</v>
      </c>
      <c r="B4221" t="s">
        <v>42</v>
      </c>
      <c r="C4221" t="s">
        <v>33</v>
      </c>
      <c r="D4221">
        <v>0</v>
      </c>
      <c r="E4221">
        <v>1</v>
      </c>
      <c r="F4221" s="7">
        <v>8095.03</v>
      </c>
      <c r="G4221">
        <v>0</v>
      </c>
      <c r="H4221" s="7">
        <v>0</v>
      </c>
    </row>
    <row r="4222" spans="1:8">
      <c r="A4222">
        <v>3</v>
      </c>
      <c r="B4222" t="s">
        <v>42</v>
      </c>
      <c r="C4222" t="s">
        <v>33</v>
      </c>
      <c r="D4222">
        <v>0</v>
      </c>
      <c r="E4222">
        <v>1</v>
      </c>
      <c r="F4222" s="7">
        <v>1588.8</v>
      </c>
      <c r="G4222">
        <v>0</v>
      </c>
      <c r="H4222" s="7">
        <v>0</v>
      </c>
    </row>
    <row r="4223" spans="1:8">
      <c r="A4223">
        <v>3</v>
      </c>
      <c r="B4223" t="s">
        <v>42</v>
      </c>
      <c r="C4223" t="s">
        <v>33</v>
      </c>
      <c r="D4223">
        <v>0</v>
      </c>
      <c r="E4223">
        <v>1</v>
      </c>
      <c r="F4223" s="7">
        <v>1667.18</v>
      </c>
      <c r="G4223">
        <v>0</v>
      </c>
      <c r="H4223" s="7">
        <v>0</v>
      </c>
    </row>
    <row r="4224" spans="1:8">
      <c r="A4224">
        <v>3</v>
      </c>
      <c r="B4224" t="s">
        <v>42</v>
      </c>
      <c r="C4224" t="s">
        <v>33</v>
      </c>
      <c r="D4224">
        <v>0</v>
      </c>
      <c r="E4224">
        <v>1</v>
      </c>
      <c r="F4224" s="7">
        <v>2184.39</v>
      </c>
      <c r="G4224">
        <v>0</v>
      </c>
      <c r="H4224" s="7">
        <v>0</v>
      </c>
    </row>
    <row r="4225" spans="1:8">
      <c r="A4225">
        <v>3</v>
      </c>
      <c r="B4225" t="s">
        <v>42</v>
      </c>
      <c r="C4225" t="s">
        <v>32</v>
      </c>
      <c r="D4225">
        <v>0</v>
      </c>
      <c r="E4225">
        <v>1</v>
      </c>
      <c r="F4225" s="7">
        <v>549.08</v>
      </c>
      <c r="G4225">
        <v>0</v>
      </c>
      <c r="H4225" s="7">
        <v>0</v>
      </c>
    </row>
    <row r="4226" spans="1:8">
      <c r="A4226">
        <v>3</v>
      </c>
      <c r="B4226" t="s">
        <v>42</v>
      </c>
      <c r="C4226" t="s">
        <v>33</v>
      </c>
      <c r="D4226">
        <v>0</v>
      </c>
      <c r="E4226">
        <v>1</v>
      </c>
      <c r="F4226" s="7">
        <v>1082.01</v>
      </c>
      <c r="G4226">
        <v>0</v>
      </c>
      <c r="H4226" s="7">
        <v>0</v>
      </c>
    </row>
    <row r="4227" spans="1:8">
      <c r="A4227">
        <v>3</v>
      </c>
      <c r="B4227" t="s">
        <v>42</v>
      </c>
      <c r="C4227" t="s">
        <v>33</v>
      </c>
      <c r="D4227">
        <v>0</v>
      </c>
      <c r="E4227">
        <v>1</v>
      </c>
      <c r="F4227" s="7">
        <v>5664.57</v>
      </c>
      <c r="G4227">
        <v>0</v>
      </c>
      <c r="H4227" s="7">
        <v>0</v>
      </c>
    </row>
    <row r="4228" spans="1:8">
      <c r="A4228">
        <v>3</v>
      </c>
      <c r="B4228" t="s">
        <v>45</v>
      </c>
      <c r="C4228" t="s">
        <v>33</v>
      </c>
      <c r="D4228">
        <v>0</v>
      </c>
      <c r="E4228">
        <v>1</v>
      </c>
      <c r="F4228" s="7">
        <v>3762.4</v>
      </c>
      <c r="G4228">
        <v>0</v>
      </c>
      <c r="H4228" s="7">
        <v>0</v>
      </c>
    </row>
    <row r="4229" spans="1:8">
      <c r="A4229">
        <v>3</v>
      </c>
      <c r="B4229" t="s">
        <v>45</v>
      </c>
      <c r="C4229" t="s">
        <v>33</v>
      </c>
      <c r="D4229">
        <v>0</v>
      </c>
      <c r="E4229">
        <v>1</v>
      </c>
      <c r="F4229" s="7">
        <v>5920.06</v>
      </c>
      <c r="G4229">
        <v>0</v>
      </c>
      <c r="H4229" s="7">
        <v>0</v>
      </c>
    </row>
    <row r="4230" spans="1:8">
      <c r="A4230">
        <v>3</v>
      </c>
      <c r="B4230" t="s">
        <v>42</v>
      </c>
      <c r="C4230" t="s">
        <v>34</v>
      </c>
      <c r="D4230">
        <v>0</v>
      </c>
      <c r="E4230">
        <v>1</v>
      </c>
      <c r="F4230" s="7">
        <v>34885.44</v>
      </c>
      <c r="G4230">
        <v>0</v>
      </c>
      <c r="H4230" s="7">
        <v>0</v>
      </c>
    </row>
    <row r="4231" spans="1:8">
      <c r="A4231">
        <v>3</v>
      </c>
      <c r="B4231" t="s">
        <v>44</v>
      </c>
      <c r="C4231" t="s">
        <v>34</v>
      </c>
      <c r="D4231">
        <v>0</v>
      </c>
      <c r="E4231">
        <v>1</v>
      </c>
      <c r="F4231" s="7">
        <v>57342.59</v>
      </c>
      <c r="G4231">
        <v>0</v>
      </c>
      <c r="H4231" s="7">
        <v>0</v>
      </c>
    </row>
    <row r="4232" spans="1:8">
      <c r="A4232">
        <v>3</v>
      </c>
      <c r="B4232" t="s">
        <v>44</v>
      </c>
      <c r="C4232" t="s">
        <v>33</v>
      </c>
      <c r="D4232">
        <v>0</v>
      </c>
      <c r="E4232">
        <v>1</v>
      </c>
      <c r="F4232" s="7">
        <v>9804.05</v>
      </c>
      <c r="G4232">
        <v>0</v>
      </c>
      <c r="H4232" s="7">
        <v>0</v>
      </c>
    </row>
    <row r="4233" spans="1:8">
      <c r="A4233">
        <v>3</v>
      </c>
      <c r="B4233" t="s">
        <v>44</v>
      </c>
      <c r="C4233" t="s">
        <v>35</v>
      </c>
      <c r="D4233">
        <v>0</v>
      </c>
      <c r="E4233">
        <v>1</v>
      </c>
      <c r="F4233" s="7">
        <v>119579.08</v>
      </c>
      <c r="G4233">
        <v>0</v>
      </c>
      <c r="H4233" s="7">
        <v>0</v>
      </c>
    </row>
    <row r="4234" spans="1:8">
      <c r="A4234">
        <v>3</v>
      </c>
      <c r="B4234" t="s">
        <v>44</v>
      </c>
      <c r="C4234" t="s">
        <v>33</v>
      </c>
      <c r="D4234">
        <v>0</v>
      </c>
      <c r="E4234">
        <v>1</v>
      </c>
      <c r="F4234" s="7">
        <v>8451.78</v>
      </c>
      <c r="G4234">
        <v>0</v>
      </c>
      <c r="H4234" s="7">
        <v>0</v>
      </c>
    </row>
    <row r="4235" spans="1:8">
      <c r="A4235">
        <v>3</v>
      </c>
      <c r="B4235" t="s">
        <v>44</v>
      </c>
      <c r="C4235" t="s">
        <v>35</v>
      </c>
      <c r="D4235">
        <v>0</v>
      </c>
      <c r="E4235">
        <v>1</v>
      </c>
      <c r="F4235" s="7">
        <v>123283.25</v>
      </c>
      <c r="G4235">
        <v>0</v>
      </c>
      <c r="H4235" s="7">
        <v>0</v>
      </c>
    </row>
    <row r="4236" spans="1:8">
      <c r="A4236">
        <v>3</v>
      </c>
      <c r="B4236" t="s">
        <v>44</v>
      </c>
      <c r="C4236" t="s">
        <v>35</v>
      </c>
      <c r="D4236">
        <v>0</v>
      </c>
      <c r="E4236">
        <v>1</v>
      </c>
      <c r="F4236" s="7">
        <v>171669.81</v>
      </c>
      <c r="G4236">
        <v>0</v>
      </c>
      <c r="H4236" s="7">
        <v>0</v>
      </c>
    </row>
    <row r="4237" spans="1:8">
      <c r="A4237">
        <v>3</v>
      </c>
      <c r="B4237" t="s">
        <v>44</v>
      </c>
      <c r="C4237" t="s">
        <v>34</v>
      </c>
      <c r="D4237">
        <v>0</v>
      </c>
      <c r="E4237">
        <v>1</v>
      </c>
      <c r="F4237" s="7">
        <v>48514.62</v>
      </c>
      <c r="G4237">
        <v>0</v>
      </c>
      <c r="H4237" s="7">
        <v>0</v>
      </c>
    </row>
    <row r="4238" spans="1:8">
      <c r="A4238">
        <v>3</v>
      </c>
      <c r="B4238" t="s">
        <v>44</v>
      </c>
      <c r="C4238" t="s">
        <v>35</v>
      </c>
      <c r="D4238">
        <v>0</v>
      </c>
      <c r="E4238">
        <v>1</v>
      </c>
      <c r="F4238" s="7">
        <v>485135.11</v>
      </c>
      <c r="G4238">
        <v>0</v>
      </c>
      <c r="H4238" s="7">
        <v>0</v>
      </c>
    </row>
    <row r="4239" spans="1:8">
      <c r="A4239">
        <v>3</v>
      </c>
      <c r="B4239" t="s">
        <v>44</v>
      </c>
      <c r="C4239" t="s">
        <v>35</v>
      </c>
      <c r="D4239">
        <v>0</v>
      </c>
      <c r="E4239">
        <v>1</v>
      </c>
      <c r="F4239" s="7">
        <v>340917.37</v>
      </c>
      <c r="G4239">
        <v>0</v>
      </c>
      <c r="H4239" s="7">
        <v>0</v>
      </c>
    </row>
    <row r="4240" spans="1:8">
      <c r="A4240">
        <v>3</v>
      </c>
      <c r="B4240" t="s">
        <v>44</v>
      </c>
      <c r="C4240" t="s">
        <v>35</v>
      </c>
      <c r="D4240">
        <v>0</v>
      </c>
      <c r="E4240">
        <v>1</v>
      </c>
      <c r="F4240" s="7">
        <v>103406.05</v>
      </c>
      <c r="G4240">
        <v>0</v>
      </c>
      <c r="H4240" s="7">
        <v>0</v>
      </c>
    </row>
    <row r="4241" spans="1:8">
      <c r="A4241">
        <v>3</v>
      </c>
      <c r="B4241" t="s">
        <v>44</v>
      </c>
      <c r="C4241" t="s">
        <v>34</v>
      </c>
      <c r="D4241">
        <v>0</v>
      </c>
      <c r="E4241">
        <v>1</v>
      </c>
      <c r="F4241" s="7">
        <v>88793.94</v>
      </c>
      <c r="G4241">
        <v>0</v>
      </c>
      <c r="H4241" s="7">
        <v>0</v>
      </c>
    </row>
    <row r="4242" spans="1:8">
      <c r="A4242">
        <v>3</v>
      </c>
      <c r="B4242" t="s">
        <v>44</v>
      </c>
      <c r="C4242" t="s">
        <v>35</v>
      </c>
      <c r="D4242">
        <v>0</v>
      </c>
      <c r="E4242">
        <v>1</v>
      </c>
      <c r="F4242" s="7">
        <v>162541.79</v>
      </c>
      <c r="G4242">
        <v>0</v>
      </c>
      <c r="H4242" s="7">
        <v>0</v>
      </c>
    </row>
    <row r="4243" spans="1:8">
      <c r="A4243">
        <v>3</v>
      </c>
      <c r="B4243" t="s">
        <v>44</v>
      </c>
      <c r="C4243" t="s">
        <v>35</v>
      </c>
      <c r="D4243">
        <v>0</v>
      </c>
      <c r="E4243">
        <v>1</v>
      </c>
      <c r="F4243" s="7">
        <v>189104.46</v>
      </c>
      <c r="G4243">
        <v>0</v>
      </c>
      <c r="H4243" s="7">
        <v>0</v>
      </c>
    </row>
    <row r="4244" spans="1:8">
      <c r="A4244">
        <v>3</v>
      </c>
      <c r="B4244" t="s">
        <v>44</v>
      </c>
      <c r="C4244" t="s">
        <v>34</v>
      </c>
      <c r="D4244">
        <v>0</v>
      </c>
      <c r="E4244">
        <v>1</v>
      </c>
      <c r="F4244" s="7">
        <v>22630.64</v>
      </c>
      <c r="G4244">
        <v>0</v>
      </c>
      <c r="H4244" s="7">
        <v>0</v>
      </c>
    </row>
    <row r="4245" spans="1:8">
      <c r="A4245">
        <v>3</v>
      </c>
      <c r="B4245" t="s">
        <v>44</v>
      </c>
      <c r="C4245" t="s">
        <v>34</v>
      </c>
      <c r="D4245">
        <v>0</v>
      </c>
      <c r="E4245">
        <v>1</v>
      </c>
      <c r="F4245" s="7">
        <v>75925.56</v>
      </c>
      <c r="G4245">
        <v>0</v>
      </c>
      <c r="H4245" s="7">
        <v>0</v>
      </c>
    </row>
    <row r="4246" spans="1:8">
      <c r="A4246">
        <v>3</v>
      </c>
      <c r="B4246" t="s">
        <v>44</v>
      </c>
      <c r="C4246" t="s">
        <v>35</v>
      </c>
      <c r="D4246">
        <v>0</v>
      </c>
      <c r="E4246">
        <v>1</v>
      </c>
      <c r="F4246" s="7">
        <v>226424.35</v>
      </c>
      <c r="G4246">
        <v>0</v>
      </c>
      <c r="H4246" s="7">
        <v>0</v>
      </c>
    </row>
    <row r="4247" spans="1:8">
      <c r="A4247">
        <v>3</v>
      </c>
      <c r="B4247" t="s">
        <v>44</v>
      </c>
      <c r="C4247" t="s">
        <v>35</v>
      </c>
      <c r="D4247">
        <v>0</v>
      </c>
      <c r="E4247">
        <v>1</v>
      </c>
      <c r="F4247" s="7">
        <v>105759.64</v>
      </c>
      <c r="G4247">
        <v>0</v>
      </c>
      <c r="H4247" s="7">
        <v>0</v>
      </c>
    </row>
    <row r="4248" spans="1:8">
      <c r="A4248">
        <v>3</v>
      </c>
      <c r="B4248" t="s">
        <v>42</v>
      </c>
      <c r="C4248" t="s">
        <v>33</v>
      </c>
      <c r="D4248">
        <v>0</v>
      </c>
      <c r="E4248">
        <v>1</v>
      </c>
      <c r="F4248" s="7">
        <v>7842.1</v>
      </c>
      <c r="G4248">
        <v>0</v>
      </c>
      <c r="H4248" s="7">
        <v>0</v>
      </c>
    </row>
    <row r="4249" spans="1:8">
      <c r="A4249">
        <v>3</v>
      </c>
      <c r="B4249" t="s">
        <v>42</v>
      </c>
      <c r="C4249" t="s">
        <v>33</v>
      </c>
      <c r="D4249">
        <v>0</v>
      </c>
      <c r="E4249">
        <v>1</v>
      </c>
      <c r="F4249" s="7">
        <v>2317.06</v>
      </c>
      <c r="G4249">
        <v>0</v>
      </c>
      <c r="H4249" s="7">
        <v>0</v>
      </c>
    </row>
    <row r="4250" spans="1:8">
      <c r="A4250">
        <v>3</v>
      </c>
      <c r="B4250" t="s">
        <v>46</v>
      </c>
      <c r="C4250" t="s">
        <v>35</v>
      </c>
      <c r="D4250">
        <v>0</v>
      </c>
      <c r="E4250">
        <v>1</v>
      </c>
      <c r="F4250" s="7">
        <v>254872.55</v>
      </c>
      <c r="G4250">
        <v>0</v>
      </c>
      <c r="H4250" s="7">
        <v>0</v>
      </c>
    </row>
    <row r="4251" spans="1:8">
      <c r="A4251">
        <v>3</v>
      </c>
      <c r="B4251" t="s">
        <v>42</v>
      </c>
      <c r="C4251" t="s">
        <v>33</v>
      </c>
      <c r="D4251">
        <v>0</v>
      </c>
      <c r="E4251">
        <v>1</v>
      </c>
      <c r="F4251" s="7">
        <v>2457.11</v>
      </c>
      <c r="G4251">
        <v>0</v>
      </c>
      <c r="H4251" s="7">
        <v>0</v>
      </c>
    </row>
    <row r="4252" spans="1:8">
      <c r="A4252">
        <v>3</v>
      </c>
      <c r="B4252" t="s">
        <v>42</v>
      </c>
      <c r="C4252" t="s">
        <v>33</v>
      </c>
      <c r="D4252">
        <v>0</v>
      </c>
      <c r="E4252">
        <v>1</v>
      </c>
      <c r="F4252" s="7">
        <v>2599.05</v>
      </c>
      <c r="G4252">
        <v>0</v>
      </c>
      <c r="H4252" s="7">
        <v>0</v>
      </c>
    </row>
    <row r="4253" spans="1:8">
      <c r="A4253">
        <v>3</v>
      </c>
      <c r="B4253" t="s">
        <v>42</v>
      </c>
      <c r="C4253" t="s">
        <v>32</v>
      </c>
      <c r="D4253">
        <v>0</v>
      </c>
      <c r="E4253">
        <v>1</v>
      </c>
      <c r="F4253" s="7">
        <v>906.78</v>
      </c>
      <c r="G4253">
        <v>0</v>
      </c>
      <c r="H4253" s="7">
        <v>0</v>
      </c>
    </row>
    <row r="4254" spans="1:8">
      <c r="A4254">
        <v>3</v>
      </c>
      <c r="B4254" t="s">
        <v>42</v>
      </c>
      <c r="C4254" t="s">
        <v>33</v>
      </c>
      <c r="D4254">
        <v>0</v>
      </c>
      <c r="E4254">
        <v>1</v>
      </c>
      <c r="F4254" s="7">
        <v>2092.69</v>
      </c>
      <c r="G4254">
        <v>0</v>
      </c>
      <c r="H4254" s="7">
        <v>0</v>
      </c>
    </row>
    <row r="4255" spans="1:8">
      <c r="A4255">
        <v>3</v>
      </c>
      <c r="B4255" t="s">
        <v>42</v>
      </c>
      <c r="C4255" t="s">
        <v>34</v>
      </c>
      <c r="D4255">
        <v>0</v>
      </c>
      <c r="E4255">
        <v>1</v>
      </c>
      <c r="F4255" s="7">
        <v>18293.81</v>
      </c>
      <c r="G4255">
        <v>0</v>
      </c>
      <c r="H4255" s="7">
        <v>0</v>
      </c>
    </row>
    <row r="4256" spans="1:8">
      <c r="A4256">
        <v>3</v>
      </c>
      <c r="B4256" t="s">
        <v>42</v>
      </c>
      <c r="C4256" t="s">
        <v>33</v>
      </c>
      <c r="D4256">
        <v>0</v>
      </c>
      <c r="E4256">
        <v>1</v>
      </c>
      <c r="F4256" s="7">
        <v>1341.34</v>
      </c>
      <c r="G4256">
        <v>0</v>
      </c>
      <c r="H4256" s="7">
        <v>0</v>
      </c>
    </row>
    <row r="4257" spans="1:8">
      <c r="A4257">
        <v>3</v>
      </c>
      <c r="B4257" t="s">
        <v>42</v>
      </c>
      <c r="C4257" t="s">
        <v>33</v>
      </c>
      <c r="D4257">
        <v>0</v>
      </c>
      <c r="E4257">
        <v>1</v>
      </c>
      <c r="F4257" s="7">
        <v>6159.62</v>
      </c>
      <c r="G4257">
        <v>0</v>
      </c>
      <c r="H4257" s="7">
        <v>0</v>
      </c>
    </row>
    <row r="4258" spans="1:8">
      <c r="A4258">
        <v>3</v>
      </c>
      <c r="B4258" t="s">
        <v>43</v>
      </c>
      <c r="C4258" t="s">
        <v>34</v>
      </c>
      <c r="D4258">
        <v>0</v>
      </c>
      <c r="E4258">
        <v>1</v>
      </c>
      <c r="F4258" s="7">
        <v>75131.35</v>
      </c>
      <c r="G4258">
        <v>0</v>
      </c>
      <c r="H4258" s="7">
        <v>0</v>
      </c>
    </row>
    <row r="4259" spans="1:8">
      <c r="A4259">
        <v>3</v>
      </c>
      <c r="B4259" t="s">
        <v>45</v>
      </c>
      <c r="C4259" t="s">
        <v>33</v>
      </c>
      <c r="D4259">
        <v>0</v>
      </c>
      <c r="E4259">
        <v>1</v>
      </c>
      <c r="F4259" s="7">
        <v>3985.96</v>
      </c>
      <c r="G4259">
        <v>0</v>
      </c>
      <c r="H4259" s="7">
        <v>0</v>
      </c>
    </row>
    <row r="4260" spans="1:8">
      <c r="A4260">
        <v>3</v>
      </c>
      <c r="B4260" t="s">
        <v>42</v>
      </c>
      <c r="C4260" t="s">
        <v>33</v>
      </c>
      <c r="D4260">
        <v>0</v>
      </c>
      <c r="E4260">
        <v>1</v>
      </c>
      <c r="F4260" s="7">
        <v>9224.5</v>
      </c>
      <c r="G4260">
        <v>0</v>
      </c>
      <c r="H4260" s="7">
        <v>0</v>
      </c>
    </row>
    <row r="4261" spans="1:8">
      <c r="A4261">
        <v>3</v>
      </c>
      <c r="B4261" t="s">
        <v>42</v>
      </c>
      <c r="C4261" t="s">
        <v>34</v>
      </c>
      <c r="D4261">
        <v>0</v>
      </c>
      <c r="E4261">
        <v>1</v>
      </c>
      <c r="F4261" s="7">
        <v>10839.8</v>
      </c>
      <c r="G4261">
        <v>0</v>
      </c>
      <c r="H4261" s="7">
        <v>0</v>
      </c>
    </row>
    <row r="4262" spans="1:8">
      <c r="A4262">
        <v>3</v>
      </c>
      <c r="B4262" t="s">
        <v>43</v>
      </c>
      <c r="C4262" t="s">
        <v>35</v>
      </c>
      <c r="D4262">
        <v>0</v>
      </c>
      <c r="E4262">
        <v>1</v>
      </c>
      <c r="F4262" s="7">
        <v>136001.37</v>
      </c>
      <c r="G4262">
        <v>0</v>
      </c>
      <c r="H4262" s="7">
        <v>0</v>
      </c>
    </row>
    <row r="4263" spans="1:8">
      <c r="A4263">
        <v>3</v>
      </c>
      <c r="B4263" t="s">
        <v>43</v>
      </c>
      <c r="C4263" t="s">
        <v>35</v>
      </c>
      <c r="D4263">
        <v>0</v>
      </c>
      <c r="E4263">
        <v>1</v>
      </c>
      <c r="F4263" s="7">
        <v>163870.49</v>
      </c>
      <c r="G4263">
        <v>0</v>
      </c>
      <c r="H4263" s="7">
        <v>0</v>
      </c>
    </row>
    <row r="4264" spans="1:8">
      <c r="A4264">
        <v>3</v>
      </c>
      <c r="B4264" t="s">
        <v>42</v>
      </c>
      <c r="C4264" t="s">
        <v>34</v>
      </c>
      <c r="D4264">
        <v>0</v>
      </c>
      <c r="E4264">
        <v>1</v>
      </c>
      <c r="F4264" s="7">
        <v>15484.5</v>
      </c>
      <c r="G4264">
        <v>0</v>
      </c>
      <c r="H4264" s="7">
        <v>0</v>
      </c>
    </row>
    <row r="4265" spans="1:8">
      <c r="A4265">
        <v>3</v>
      </c>
      <c r="B4265" t="s">
        <v>42</v>
      </c>
      <c r="C4265" t="s">
        <v>34</v>
      </c>
      <c r="D4265">
        <v>0</v>
      </c>
      <c r="E4265">
        <v>1</v>
      </c>
      <c r="F4265" s="7">
        <v>22415.68</v>
      </c>
      <c r="G4265">
        <v>0</v>
      </c>
      <c r="H4265" s="7">
        <v>0</v>
      </c>
    </row>
    <row r="4266" spans="1:8">
      <c r="A4266">
        <v>3</v>
      </c>
      <c r="B4266" t="s">
        <v>43</v>
      </c>
      <c r="C4266" t="s">
        <v>34</v>
      </c>
      <c r="D4266">
        <v>1</v>
      </c>
      <c r="E4266">
        <v>1</v>
      </c>
      <c r="F4266" s="7">
        <v>22877</v>
      </c>
      <c r="G4266">
        <v>1</v>
      </c>
      <c r="H4266" s="7">
        <v>22877</v>
      </c>
    </row>
    <row r="4267" spans="1:8">
      <c r="A4267">
        <v>3</v>
      </c>
      <c r="B4267" t="s">
        <v>44</v>
      </c>
      <c r="C4267" t="s">
        <v>34</v>
      </c>
      <c r="D4267">
        <v>1</v>
      </c>
      <c r="E4267">
        <v>1</v>
      </c>
      <c r="F4267" s="7">
        <v>22877</v>
      </c>
      <c r="G4267">
        <v>1</v>
      </c>
      <c r="H4267" s="7">
        <v>22877</v>
      </c>
    </row>
    <row r="4268" spans="1:8">
      <c r="A4268">
        <v>3</v>
      </c>
      <c r="B4268" t="s">
        <v>42</v>
      </c>
      <c r="C4268" t="s">
        <v>34</v>
      </c>
      <c r="D4268">
        <v>0</v>
      </c>
      <c r="E4268">
        <v>1</v>
      </c>
      <c r="F4268" s="7">
        <v>19110.24</v>
      </c>
      <c r="G4268">
        <v>0</v>
      </c>
      <c r="H4268" s="7">
        <v>0</v>
      </c>
    </row>
    <row r="4269" spans="1:8">
      <c r="A4269">
        <v>3</v>
      </c>
      <c r="B4269" t="s">
        <v>42</v>
      </c>
      <c r="C4269" t="s">
        <v>33</v>
      </c>
      <c r="D4269">
        <v>0</v>
      </c>
      <c r="E4269">
        <v>1</v>
      </c>
      <c r="F4269" s="7">
        <v>2726.77</v>
      </c>
      <c r="G4269">
        <v>0</v>
      </c>
      <c r="H4269" s="7">
        <v>0</v>
      </c>
    </row>
    <row r="4270" spans="1:8">
      <c r="A4270">
        <v>3</v>
      </c>
      <c r="B4270" t="s">
        <v>42</v>
      </c>
      <c r="C4270" t="s">
        <v>33</v>
      </c>
      <c r="D4270">
        <v>0</v>
      </c>
      <c r="E4270">
        <v>1</v>
      </c>
      <c r="F4270" s="7">
        <v>8302.14</v>
      </c>
      <c r="G4270">
        <v>0</v>
      </c>
      <c r="H4270" s="7">
        <v>0</v>
      </c>
    </row>
    <row r="4271" spans="1:8">
      <c r="A4271">
        <v>3</v>
      </c>
      <c r="B4271" t="s">
        <v>42</v>
      </c>
      <c r="C4271" t="s">
        <v>33</v>
      </c>
      <c r="D4271">
        <v>0</v>
      </c>
      <c r="E4271">
        <v>1</v>
      </c>
      <c r="F4271" s="7">
        <v>2204.12</v>
      </c>
      <c r="G4271">
        <v>0</v>
      </c>
      <c r="H4271" s="7">
        <v>0</v>
      </c>
    </row>
    <row r="4272" spans="1:8">
      <c r="A4272">
        <v>3</v>
      </c>
      <c r="B4272" t="s">
        <v>42</v>
      </c>
      <c r="C4272" t="s">
        <v>33</v>
      </c>
      <c r="D4272">
        <v>0</v>
      </c>
      <c r="E4272">
        <v>1</v>
      </c>
      <c r="F4272" s="7">
        <v>1587.79</v>
      </c>
      <c r="G4272">
        <v>0</v>
      </c>
      <c r="H4272" s="7">
        <v>0</v>
      </c>
    </row>
    <row r="4273" spans="1:8">
      <c r="A4273">
        <v>3</v>
      </c>
      <c r="B4273" t="s">
        <v>42</v>
      </c>
      <c r="C4273" t="s">
        <v>34</v>
      </c>
      <c r="D4273">
        <v>0</v>
      </c>
      <c r="E4273">
        <v>1</v>
      </c>
      <c r="F4273" s="7">
        <v>19818.51</v>
      </c>
      <c r="G4273">
        <v>0</v>
      </c>
      <c r="H4273" s="7">
        <v>0</v>
      </c>
    </row>
    <row r="4274" spans="1:8">
      <c r="A4274">
        <v>3</v>
      </c>
      <c r="B4274" t="s">
        <v>42</v>
      </c>
      <c r="C4274" t="s">
        <v>33</v>
      </c>
      <c r="D4274">
        <v>0</v>
      </c>
      <c r="E4274">
        <v>1</v>
      </c>
      <c r="F4274" s="7">
        <v>5989.14</v>
      </c>
      <c r="G4274">
        <v>0</v>
      </c>
      <c r="H4274" s="7">
        <v>0</v>
      </c>
    </row>
    <row r="4275" spans="1:8">
      <c r="A4275">
        <v>3</v>
      </c>
      <c r="B4275" t="s">
        <v>42</v>
      </c>
      <c r="C4275" t="s">
        <v>34</v>
      </c>
      <c r="D4275">
        <v>0</v>
      </c>
      <c r="E4275">
        <v>1</v>
      </c>
      <c r="F4275" s="7">
        <v>22421.09</v>
      </c>
      <c r="G4275">
        <v>0</v>
      </c>
      <c r="H4275" s="7">
        <v>0</v>
      </c>
    </row>
    <row r="4276" spans="1:8">
      <c r="A4276">
        <v>3</v>
      </c>
      <c r="B4276" t="s">
        <v>42</v>
      </c>
      <c r="C4276" t="s">
        <v>34</v>
      </c>
      <c r="D4276">
        <v>0</v>
      </c>
      <c r="E4276">
        <v>1</v>
      </c>
      <c r="F4276" s="7">
        <v>15323.44</v>
      </c>
      <c r="G4276">
        <v>0</v>
      </c>
      <c r="H4276" s="7">
        <v>0</v>
      </c>
    </row>
    <row r="4277" spans="1:8">
      <c r="A4277">
        <v>3</v>
      </c>
      <c r="B4277" t="s">
        <v>42</v>
      </c>
      <c r="C4277" t="s">
        <v>34</v>
      </c>
      <c r="D4277">
        <v>0</v>
      </c>
      <c r="E4277">
        <v>1</v>
      </c>
      <c r="F4277" s="7">
        <v>26862.79</v>
      </c>
      <c r="G4277">
        <v>0</v>
      </c>
      <c r="H4277" s="7">
        <v>0</v>
      </c>
    </row>
    <row r="4278" spans="1:8">
      <c r="A4278">
        <v>3</v>
      </c>
      <c r="B4278" t="s">
        <v>42</v>
      </c>
      <c r="C4278" t="s">
        <v>33</v>
      </c>
      <c r="D4278">
        <v>0</v>
      </c>
      <c r="E4278">
        <v>1</v>
      </c>
      <c r="F4278" s="7">
        <v>4158.69</v>
      </c>
      <c r="G4278">
        <v>0</v>
      </c>
      <c r="H4278" s="7">
        <v>0</v>
      </c>
    </row>
    <row r="4279" spans="1:8">
      <c r="A4279">
        <v>3</v>
      </c>
      <c r="B4279" t="s">
        <v>42</v>
      </c>
      <c r="C4279" t="s">
        <v>33</v>
      </c>
      <c r="D4279">
        <v>0</v>
      </c>
      <c r="E4279">
        <v>1</v>
      </c>
      <c r="F4279" s="7">
        <v>1354.57</v>
      </c>
      <c r="G4279">
        <v>0</v>
      </c>
      <c r="H4279" s="7">
        <v>0</v>
      </c>
    </row>
    <row r="4280" spans="1:8">
      <c r="A4280">
        <v>4</v>
      </c>
      <c r="B4280" t="s">
        <v>43</v>
      </c>
      <c r="C4280" t="s">
        <v>35</v>
      </c>
      <c r="D4280">
        <v>0</v>
      </c>
      <c r="E4280">
        <v>1</v>
      </c>
      <c r="F4280" s="7">
        <v>167476.47</v>
      </c>
      <c r="G4280">
        <v>0</v>
      </c>
      <c r="H4280" s="7">
        <v>0</v>
      </c>
    </row>
    <row r="4281" spans="1:8">
      <c r="A4281">
        <v>4</v>
      </c>
      <c r="B4281" t="s">
        <v>42</v>
      </c>
      <c r="C4281" t="s">
        <v>32</v>
      </c>
      <c r="D4281">
        <v>0</v>
      </c>
      <c r="E4281">
        <v>1</v>
      </c>
      <c r="F4281" s="7">
        <v>383.64</v>
      </c>
      <c r="G4281">
        <v>0</v>
      </c>
      <c r="H4281" s="7">
        <v>0</v>
      </c>
    </row>
    <row r="4282" spans="1:8">
      <c r="A4282">
        <v>4</v>
      </c>
      <c r="B4282" t="s">
        <v>42</v>
      </c>
      <c r="C4282" t="s">
        <v>33</v>
      </c>
      <c r="D4282">
        <v>0</v>
      </c>
      <c r="E4282">
        <v>1</v>
      </c>
      <c r="F4282" s="7">
        <v>1150.8</v>
      </c>
      <c r="G4282">
        <v>0</v>
      </c>
      <c r="H4282" s="7">
        <v>0</v>
      </c>
    </row>
    <row r="4283" spans="1:8">
      <c r="A4283">
        <v>4</v>
      </c>
      <c r="B4283" t="s">
        <v>42</v>
      </c>
      <c r="C4283" t="s">
        <v>33</v>
      </c>
      <c r="D4283">
        <v>0</v>
      </c>
      <c r="E4283">
        <v>1</v>
      </c>
      <c r="F4283" s="7">
        <v>4059.46</v>
      </c>
      <c r="G4283">
        <v>0</v>
      </c>
      <c r="H4283" s="7">
        <v>0</v>
      </c>
    </row>
    <row r="4284" spans="1:8">
      <c r="A4284">
        <v>4</v>
      </c>
      <c r="B4284" t="s">
        <v>42</v>
      </c>
      <c r="C4284" t="s">
        <v>32</v>
      </c>
      <c r="D4284">
        <v>0</v>
      </c>
      <c r="E4284">
        <v>1</v>
      </c>
      <c r="F4284" s="7">
        <v>921.61</v>
      </c>
      <c r="G4284">
        <v>0</v>
      </c>
      <c r="H4284" s="7">
        <v>0</v>
      </c>
    </row>
    <row r="4285" spans="1:8">
      <c r="A4285">
        <v>4</v>
      </c>
      <c r="B4285" t="s">
        <v>42</v>
      </c>
      <c r="C4285" t="s">
        <v>34</v>
      </c>
      <c r="D4285">
        <v>0</v>
      </c>
      <c r="E4285">
        <v>1</v>
      </c>
      <c r="F4285" s="7">
        <v>10739.56</v>
      </c>
      <c r="G4285">
        <v>0</v>
      </c>
      <c r="H4285" s="7">
        <v>0</v>
      </c>
    </row>
    <row r="4286" spans="1:8">
      <c r="A4286">
        <v>4</v>
      </c>
      <c r="B4286" t="s">
        <v>43</v>
      </c>
      <c r="C4286" t="s">
        <v>34</v>
      </c>
      <c r="D4286">
        <v>0</v>
      </c>
      <c r="E4286">
        <v>1</v>
      </c>
      <c r="F4286" s="7">
        <v>43896.22</v>
      </c>
      <c r="G4286">
        <v>0</v>
      </c>
      <c r="H4286" s="7">
        <v>0</v>
      </c>
    </row>
    <row r="4287" spans="1:8">
      <c r="A4287">
        <v>4</v>
      </c>
      <c r="B4287" t="s">
        <v>42</v>
      </c>
      <c r="C4287" t="s">
        <v>33</v>
      </c>
      <c r="D4287">
        <v>0</v>
      </c>
      <c r="E4287">
        <v>1</v>
      </c>
      <c r="F4287" s="7">
        <v>1036.33</v>
      </c>
      <c r="G4287">
        <v>0</v>
      </c>
      <c r="H4287" s="7">
        <v>0</v>
      </c>
    </row>
    <row r="4288" spans="1:8">
      <c r="A4288">
        <v>4</v>
      </c>
      <c r="B4288" t="s">
        <v>44</v>
      </c>
      <c r="C4288" t="s">
        <v>35</v>
      </c>
      <c r="D4288">
        <v>0</v>
      </c>
      <c r="E4288">
        <v>1</v>
      </c>
      <c r="F4288" s="7">
        <v>124112.03</v>
      </c>
      <c r="G4288">
        <v>0</v>
      </c>
      <c r="H4288" s="7">
        <v>0</v>
      </c>
    </row>
    <row r="4289" spans="1:8">
      <c r="A4289">
        <v>4</v>
      </c>
      <c r="B4289" t="s">
        <v>42</v>
      </c>
      <c r="C4289" t="s">
        <v>33</v>
      </c>
      <c r="D4289">
        <v>0</v>
      </c>
      <c r="E4289">
        <v>1</v>
      </c>
      <c r="F4289" s="7">
        <v>5678.23</v>
      </c>
      <c r="G4289">
        <v>0</v>
      </c>
      <c r="H4289" s="7">
        <v>0</v>
      </c>
    </row>
    <row r="4290" spans="1:8">
      <c r="A4290">
        <v>4</v>
      </c>
      <c r="B4290" t="s">
        <v>42</v>
      </c>
      <c r="C4290" t="s">
        <v>33</v>
      </c>
      <c r="D4290">
        <v>0</v>
      </c>
      <c r="E4290">
        <v>1</v>
      </c>
      <c r="F4290" s="7">
        <v>4848.52</v>
      </c>
      <c r="G4290">
        <v>0</v>
      </c>
      <c r="H4290" s="7">
        <v>0</v>
      </c>
    </row>
    <row r="4291" spans="1:8">
      <c r="A4291">
        <v>4</v>
      </c>
      <c r="B4291" t="s">
        <v>42</v>
      </c>
      <c r="C4291" t="s">
        <v>32</v>
      </c>
      <c r="D4291">
        <v>0</v>
      </c>
      <c r="E4291">
        <v>1</v>
      </c>
      <c r="F4291" s="7">
        <v>562.64</v>
      </c>
      <c r="G4291">
        <v>0</v>
      </c>
      <c r="H4291" s="7">
        <v>0</v>
      </c>
    </row>
    <row r="4292" spans="1:8">
      <c r="A4292">
        <v>4</v>
      </c>
      <c r="B4292" t="s">
        <v>45</v>
      </c>
      <c r="C4292" t="s">
        <v>33</v>
      </c>
      <c r="D4292">
        <v>0</v>
      </c>
      <c r="E4292">
        <v>1</v>
      </c>
      <c r="F4292" s="7">
        <v>1313.51</v>
      </c>
      <c r="G4292">
        <v>0</v>
      </c>
      <c r="H4292" s="7">
        <v>0</v>
      </c>
    </row>
    <row r="4293" spans="1:8">
      <c r="A4293">
        <v>4</v>
      </c>
      <c r="B4293" t="s">
        <v>42</v>
      </c>
      <c r="C4293" t="s">
        <v>33</v>
      </c>
      <c r="D4293">
        <v>0</v>
      </c>
      <c r="E4293">
        <v>1</v>
      </c>
      <c r="F4293" s="7">
        <v>2681.46</v>
      </c>
      <c r="G4293">
        <v>0</v>
      </c>
      <c r="H4293" s="7">
        <v>0</v>
      </c>
    </row>
    <row r="4294" spans="1:8">
      <c r="A4294">
        <v>4</v>
      </c>
      <c r="B4294" t="s">
        <v>42</v>
      </c>
      <c r="C4294" t="s">
        <v>33</v>
      </c>
      <c r="D4294">
        <v>0</v>
      </c>
      <c r="E4294">
        <v>1</v>
      </c>
      <c r="F4294" s="7">
        <v>1677.52</v>
      </c>
      <c r="G4294">
        <v>0</v>
      </c>
      <c r="H4294" s="7">
        <v>0</v>
      </c>
    </row>
    <row r="4295" spans="1:8">
      <c r="A4295">
        <v>4</v>
      </c>
      <c r="B4295" t="s">
        <v>42</v>
      </c>
      <c r="C4295" t="s">
        <v>33</v>
      </c>
      <c r="D4295">
        <v>0</v>
      </c>
      <c r="E4295">
        <v>1</v>
      </c>
      <c r="F4295" s="7">
        <v>2713.07</v>
      </c>
      <c r="G4295">
        <v>0</v>
      </c>
      <c r="H4295" s="7">
        <v>0</v>
      </c>
    </row>
    <row r="4296" spans="1:8">
      <c r="A4296">
        <v>4</v>
      </c>
      <c r="B4296" t="s">
        <v>42</v>
      </c>
      <c r="C4296" t="s">
        <v>33</v>
      </c>
      <c r="D4296">
        <v>0</v>
      </c>
      <c r="E4296">
        <v>1</v>
      </c>
      <c r="F4296" s="7">
        <v>1187.17</v>
      </c>
      <c r="G4296">
        <v>0</v>
      </c>
      <c r="H4296" s="7">
        <v>0</v>
      </c>
    </row>
    <row r="4297" spans="1:8">
      <c r="A4297">
        <v>4</v>
      </c>
      <c r="B4297" t="s">
        <v>42</v>
      </c>
      <c r="C4297" t="s">
        <v>32</v>
      </c>
      <c r="D4297">
        <v>0</v>
      </c>
      <c r="E4297">
        <v>1</v>
      </c>
      <c r="F4297" s="7">
        <v>347.5</v>
      </c>
      <c r="G4297">
        <v>0</v>
      </c>
      <c r="H4297" s="7">
        <v>0</v>
      </c>
    </row>
    <row r="4298" spans="1:8">
      <c r="A4298">
        <v>4</v>
      </c>
      <c r="B4298" t="s">
        <v>42</v>
      </c>
      <c r="C4298" t="s">
        <v>33</v>
      </c>
      <c r="D4298">
        <v>0</v>
      </c>
      <c r="E4298">
        <v>1</v>
      </c>
      <c r="F4298" s="7">
        <v>1637.03</v>
      </c>
      <c r="G4298">
        <v>0</v>
      </c>
      <c r="H4298" s="7">
        <v>0</v>
      </c>
    </row>
    <row r="4299" spans="1:8">
      <c r="A4299">
        <v>4</v>
      </c>
      <c r="B4299" t="s">
        <v>42</v>
      </c>
      <c r="C4299" t="s">
        <v>32</v>
      </c>
      <c r="D4299">
        <v>0</v>
      </c>
      <c r="E4299">
        <v>1</v>
      </c>
      <c r="F4299" s="7">
        <v>947.58</v>
      </c>
      <c r="G4299">
        <v>0</v>
      </c>
      <c r="H4299" s="7">
        <v>0</v>
      </c>
    </row>
    <row r="4300" spans="1:8">
      <c r="A4300">
        <v>4</v>
      </c>
      <c r="B4300" t="s">
        <v>42</v>
      </c>
      <c r="C4300" t="s">
        <v>33</v>
      </c>
      <c r="D4300">
        <v>0</v>
      </c>
      <c r="E4300">
        <v>1</v>
      </c>
      <c r="F4300" s="7">
        <v>1921.43</v>
      </c>
      <c r="G4300">
        <v>0</v>
      </c>
      <c r="H4300" s="7">
        <v>0</v>
      </c>
    </row>
    <row r="4301" spans="1:8">
      <c r="A4301">
        <v>4</v>
      </c>
      <c r="B4301" t="s">
        <v>42</v>
      </c>
      <c r="C4301" t="s">
        <v>33</v>
      </c>
      <c r="D4301">
        <v>0</v>
      </c>
      <c r="E4301">
        <v>1</v>
      </c>
      <c r="F4301" s="7">
        <v>2929.49</v>
      </c>
      <c r="G4301">
        <v>0</v>
      </c>
      <c r="H4301" s="7">
        <v>0</v>
      </c>
    </row>
    <row r="4302" spans="1:8">
      <c r="A4302">
        <v>4</v>
      </c>
      <c r="B4302" t="s">
        <v>42</v>
      </c>
      <c r="C4302" t="s">
        <v>33</v>
      </c>
      <c r="D4302">
        <v>0</v>
      </c>
      <c r="E4302">
        <v>1</v>
      </c>
      <c r="F4302" s="7">
        <v>1161.22</v>
      </c>
      <c r="G4302">
        <v>0</v>
      </c>
      <c r="H4302" s="7">
        <v>0</v>
      </c>
    </row>
    <row r="4303" spans="1:8">
      <c r="A4303">
        <v>4</v>
      </c>
      <c r="B4303" t="s">
        <v>42</v>
      </c>
      <c r="C4303" t="s">
        <v>33</v>
      </c>
      <c r="D4303">
        <v>0</v>
      </c>
      <c r="E4303">
        <v>1</v>
      </c>
      <c r="F4303" s="7">
        <v>2005.44</v>
      </c>
      <c r="G4303">
        <v>0</v>
      </c>
      <c r="H4303" s="7">
        <v>0</v>
      </c>
    </row>
    <row r="4304" spans="1:8">
      <c r="A4304">
        <v>4</v>
      </c>
      <c r="B4304" t="s">
        <v>42</v>
      </c>
      <c r="C4304" t="s">
        <v>33</v>
      </c>
      <c r="D4304">
        <v>0</v>
      </c>
      <c r="E4304">
        <v>1</v>
      </c>
      <c r="F4304" s="7">
        <v>1936.67</v>
      </c>
      <c r="G4304">
        <v>0</v>
      </c>
      <c r="H4304" s="7">
        <v>0</v>
      </c>
    </row>
    <row r="4305" spans="1:8">
      <c r="A4305">
        <v>4</v>
      </c>
      <c r="B4305" t="s">
        <v>42</v>
      </c>
      <c r="C4305" t="s">
        <v>33</v>
      </c>
      <c r="D4305">
        <v>0</v>
      </c>
      <c r="E4305">
        <v>1</v>
      </c>
      <c r="F4305" s="7">
        <v>8158.24</v>
      </c>
      <c r="G4305">
        <v>0</v>
      </c>
      <c r="H4305" s="7">
        <v>0</v>
      </c>
    </row>
    <row r="4306" spans="1:8">
      <c r="A4306">
        <v>4</v>
      </c>
      <c r="B4306" t="s">
        <v>42</v>
      </c>
      <c r="C4306" t="s">
        <v>34</v>
      </c>
      <c r="D4306">
        <v>0</v>
      </c>
      <c r="E4306">
        <v>1</v>
      </c>
      <c r="F4306" s="7">
        <v>38059.51</v>
      </c>
      <c r="G4306">
        <v>0</v>
      </c>
      <c r="H4306" s="7">
        <v>0</v>
      </c>
    </row>
    <row r="4307" spans="1:8">
      <c r="A4307">
        <v>4</v>
      </c>
      <c r="B4307" t="s">
        <v>42</v>
      </c>
      <c r="C4307" t="s">
        <v>33</v>
      </c>
      <c r="D4307">
        <v>0</v>
      </c>
      <c r="E4307">
        <v>1</v>
      </c>
      <c r="F4307" s="7">
        <v>3272.71</v>
      </c>
      <c r="G4307">
        <v>0</v>
      </c>
      <c r="H4307" s="7">
        <v>0</v>
      </c>
    </row>
    <row r="4308" spans="1:8">
      <c r="A4308">
        <v>4</v>
      </c>
      <c r="B4308" t="s">
        <v>42</v>
      </c>
      <c r="C4308" t="s">
        <v>33</v>
      </c>
      <c r="D4308">
        <v>0</v>
      </c>
      <c r="E4308">
        <v>1</v>
      </c>
      <c r="F4308" s="7">
        <v>2707.11</v>
      </c>
      <c r="G4308">
        <v>0</v>
      </c>
      <c r="H4308" s="7">
        <v>0</v>
      </c>
    </row>
    <row r="4309" spans="1:8">
      <c r="A4309">
        <v>4</v>
      </c>
      <c r="B4309" t="s">
        <v>42</v>
      </c>
      <c r="C4309" t="s">
        <v>33</v>
      </c>
      <c r="D4309">
        <v>0</v>
      </c>
      <c r="E4309">
        <v>1</v>
      </c>
      <c r="F4309" s="7">
        <v>2776.75</v>
      </c>
      <c r="G4309">
        <v>0</v>
      </c>
      <c r="H4309" s="7">
        <v>0</v>
      </c>
    </row>
    <row r="4310" spans="1:8">
      <c r="A4310">
        <v>4</v>
      </c>
      <c r="B4310" t="s">
        <v>42</v>
      </c>
      <c r="C4310" t="s">
        <v>33</v>
      </c>
      <c r="D4310">
        <v>0</v>
      </c>
      <c r="E4310">
        <v>1</v>
      </c>
      <c r="F4310" s="7">
        <v>3346.22</v>
      </c>
      <c r="G4310">
        <v>0</v>
      </c>
      <c r="H4310" s="7">
        <v>0</v>
      </c>
    </row>
    <row r="4311" spans="1:8">
      <c r="A4311">
        <v>4</v>
      </c>
      <c r="B4311" t="s">
        <v>45</v>
      </c>
      <c r="C4311" t="s">
        <v>32</v>
      </c>
      <c r="D4311">
        <v>0</v>
      </c>
      <c r="E4311">
        <v>1</v>
      </c>
      <c r="F4311" s="7">
        <v>409.4</v>
      </c>
      <c r="G4311">
        <v>0</v>
      </c>
      <c r="H4311" s="7">
        <v>0</v>
      </c>
    </row>
    <row r="4312" spans="1:8">
      <c r="A4312">
        <v>4</v>
      </c>
      <c r="B4312" t="s">
        <v>42</v>
      </c>
      <c r="C4312" t="s">
        <v>33</v>
      </c>
      <c r="D4312">
        <v>0</v>
      </c>
      <c r="E4312">
        <v>1</v>
      </c>
      <c r="F4312" s="7">
        <v>6326.75</v>
      </c>
      <c r="G4312">
        <v>0</v>
      </c>
      <c r="H4312" s="7">
        <v>0</v>
      </c>
    </row>
    <row r="4313" spans="1:8">
      <c r="A4313">
        <v>4</v>
      </c>
      <c r="B4313" t="s">
        <v>43</v>
      </c>
      <c r="C4313" t="s">
        <v>35</v>
      </c>
      <c r="D4313">
        <v>0</v>
      </c>
      <c r="E4313">
        <v>1</v>
      </c>
      <c r="F4313" s="7">
        <v>139173.95</v>
      </c>
      <c r="G4313">
        <v>0</v>
      </c>
      <c r="H4313" s="7">
        <v>0</v>
      </c>
    </row>
    <row r="4314" spans="1:8">
      <c r="A4314">
        <v>4</v>
      </c>
      <c r="B4314" t="s">
        <v>46</v>
      </c>
      <c r="C4314" t="s">
        <v>35</v>
      </c>
      <c r="D4314">
        <v>0</v>
      </c>
      <c r="E4314">
        <v>1</v>
      </c>
      <c r="F4314" s="7">
        <v>208096.95</v>
      </c>
      <c r="G4314">
        <v>0</v>
      </c>
      <c r="H4314" s="7">
        <v>0</v>
      </c>
    </row>
    <row r="4315" spans="1:8">
      <c r="A4315">
        <v>4</v>
      </c>
      <c r="B4315" t="s">
        <v>46</v>
      </c>
      <c r="C4315" t="s">
        <v>35</v>
      </c>
      <c r="D4315">
        <v>0</v>
      </c>
      <c r="E4315">
        <v>1</v>
      </c>
      <c r="F4315" s="7">
        <v>487852.5</v>
      </c>
      <c r="G4315">
        <v>0</v>
      </c>
      <c r="H4315" s="7">
        <v>0</v>
      </c>
    </row>
    <row r="4316" spans="1:8">
      <c r="A4316">
        <v>4</v>
      </c>
      <c r="B4316" t="s">
        <v>46</v>
      </c>
      <c r="C4316" t="s">
        <v>34</v>
      </c>
      <c r="D4316">
        <v>0</v>
      </c>
      <c r="E4316">
        <v>1</v>
      </c>
      <c r="F4316" s="7">
        <v>45649.91</v>
      </c>
      <c r="G4316">
        <v>0</v>
      </c>
      <c r="H4316" s="7">
        <v>0</v>
      </c>
    </row>
    <row r="4317" spans="1:8">
      <c r="A4317">
        <v>4</v>
      </c>
      <c r="B4317" t="s">
        <v>46</v>
      </c>
      <c r="C4317" t="s">
        <v>35</v>
      </c>
      <c r="D4317">
        <v>0</v>
      </c>
      <c r="E4317">
        <v>1</v>
      </c>
      <c r="F4317" s="7">
        <v>130708.05</v>
      </c>
      <c r="G4317">
        <v>0</v>
      </c>
      <c r="H4317" s="7">
        <v>0</v>
      </c>
    </row>
    <row r="4318" spans="1:8">
      <c r="A4318">
        <v>4</v>
      </c>
      <c r="B4318" t="s">
        <v>46</v>
      </c>
      <c r="C4318" t="s">
        <v>35</v>
      </c>
      <c r="D4318">
        <v>0</v>
      </c>
      <c r="E4318">
        <v>1</v>
      </c>
      <c r="F4318" s="7">
        <v>143618.67</v>
      </c>
      <c r="G4318">
        <v>0</v>
      </c>
      <c r="H4318" s="7">
        <v>0</v>
      </c>
    </row>
    <row r="4319" spans="1:8">
      <c r="A4319">
        <v>4</v>
      </c>
      <c r="B4319" t="s">
        <v>46</v>
      </c>
      <c r="C4319" t="s">
        <v>34</v>
      </c>
      <c r="D4319">
        <v>0</v>
      </c>
      <c r="E4319">
        <v>1</v>
      </c>
      <c r="F4319" s="7">
        <v>41385.54</v>
      </c>
      <c r="G4319">
        <v>0</v>
      </c>
      <c r="H4319" s="7">
        <v>0</v>
      </c>
    </row>
    <row r="4320" spans="1:8">
      <c r="A4320">
        <v>4</v>
      </c>
      <c r="B4320" t="s">
        <v>46</v>
      </c>
      <c r="C4320" t="s">
        <v>34</v>
      </c>
      <c r="D4320">
        <v>0</v>
      </c>
      <c r="E4320">
        <v>1</v>
      </c>
      <c r="F4320" s="7">
        <v>51147.41</v>
      </c>
      <c r="G4320">
        <v>0</v>
      </c>
      <c r="H4320" s="7">
        <v>0</v>
      </c>
    </row>
    <row r="4321" spans="1:8">
      <c r="A4321">
        <v>4</v>
      </c>
      <c r="B4321" t="s">
        <v>46</v>
      </c>
      <c r="C4321" t="s">
        <v>35</v>
      </c>
      <c r="D4321">
        <v>0</v>
      </c>
      <c r="E4321">
        <v>1</v>
      </c>
      <c r="F4321" s="7">
        <v>246059.61</v>
      </c>
      <c r="G4321">
        <v>0</v>
      </c>
      <c r="H4321" s="7">
        <v>0</v>
      </c>
    </row>
    <row r="4322" spans="1:8">
      <c r="A4322">
        <v>4</v>
      </c>
      <c r="B4322" t="s">
        <v>46</v>
      </c>
      <c r="C4322" t="s">
        <v>35</v>
      </c>
      <c r="D4322">
        <v>0</v>
      </c>
      <c r="E4322">
        <v>1</v>
      </c>
      <c r="F4322" s="7">
        <v>352364.46</v>
      </c>
      <c r="G4322">
        <v>0</v>
      </c>
      <c r="H4322" s="7">
        <v>0</v>
      </c>
    </row>
    <row r="4323" spans="1:8">
      <c r="A4323">
        <v>4</v>
      </c>
      <c r="B4323" t="s">
        <v>46</v>
      </c>
      <c r="C4323" t="s">
        <v>35</v>
      </c>
      <c r="D4323">
        <v>0</v>
      </c>
      <c r="E4323">
        <v>1</v>
      </c>
      <c r="F4323" s="7">
        <v>225639.52</v>
      </c>
      <c r="G4323">
        <v>0</v>
      </c>
      <c r="H4323" s="7">
        <v>0</v>
      </c>
    </row>
    <row r="4324" spans="1:8">
      <c r="A4324">
        <v>4</v>
      </c>
      <c r="B4324" t="s">
        <v>46</v>
      </c>
      <c r="C4324" t="s">
        <v>34</v>
      </c>
      <c r="D4324">
        <v>0</v>
      </c>
      <c r="E4324">
        <v>1</v>
      </c>
      <c r="F4324" s="7">
        <v>52896.89</v>
      </c>
      <c r="G4324">
        <v>0</v>
      </c>
      <c r="H4324" s="7">
        <v>0</v>
      </c>
    </row>
    <row r="4325" spans="1:8">
      <c r="A4325">
        <v>4</v>
      </c>
      <c r="B4325" t="s">
        <v>46</v>
      </c>
      <c r="C4325" t="s">
        <v>35</v>
      </c>
      <c r="D4325">
        <v>0</v>
      </c>
      <c r="E4325">
        <v>1</v>
      </c>
      <c r="F4325" s="7">
        <v>409664.42</v>
      </c>
      <c r="G4325">
        <v>0</v>
      </c>
      <c r="H4325" s="7">
        <v>0</v>
      </c>
    </row>
    <row r="4326" spans="1:8">
      <c r="A4326">
        <v>4</v>
      </c>
      <c r="B4326" t="s">
        <v>46</v>
      </c>
      <c r="C4326" t="s">
        <v>35</v>
      </c>
      <c r="D4326">
        <v>0</v>
      </c>
      <c r="E4326">
        <v>1</v>
      </c>
      <c r="F4326" s="7">
        <v>308084.98</v>
      </c>
      <c r="G4326">
        <v>0</v>
      </c>
      <c r="H4326" s="7">
        <v>0</v>
      </c>
    </row>
    <row r="4327" spans="1:8">
      <c r="A4327">
        <v>4</v>
      </c>
      <c r="B4327" t="s">
        <v>46</v>
      </c>
      <c r="C4327" t="s">
        <v>35</v>
      </c>
      <c r="D4327">
        <v>0</v>
      </c>
      <c r="E4327">
        <v>1</v>
      </c>
      <c r="F4327" s="7">
        <v>280770.07</v>
      </c>
      <c r="G4327">
        <v>0</v>
      </c>
      <c r="H4327" s="7">
        <v>0</v>
      </c>
    </row>
    <row r="4328" spans="1:8">
      <c r="A4328">
        <v>4</v>
      </c>
      <c r="B4328" t="s">
        <v>46</v>
      </c>
      <c r="C4328" t="s">
        <v>35</v>
      </c>
      <c r="D4328">
        <v>0</v>
      </c>
      <c r="E4328">
        <v>1</v>
      </c>
      <c r="F4328" s="7">
        <v>221970.49</v>
      </c>
      <c r="G4328">
        <v>0</v>
      </c>
      <c r="H4328" s="7">
        <v>0</v>
      </c>
    </row>
    <row r="4329" spans="1:8">
      <c r="A4329">
        <v>4</v>
      </c>
      <c r="B4329" t="s">
        <v>46</v>
      </c>
      <c r="C4329" t="s">
        <v>34</v>
      </c>
      <c r="D4329">
        <v>0</v>
      </c>
      <c r="E4329">
        <v>1</v>
      </c>
      <c r="F4329" s="7">
        <v>68827.52</v>
      </c>
      <c r="G4329">
        <v>0</v>
      </c>
      <c r="H4329" s="7">
        <v>0</v>
      </c>
    </row>
    <row r="4330" spans="1:8">
      <c r="A4330">
        <v>4</v>
      </c>
      <c r="B4330" t="s">
        <v>46</v>
      </c>
      <c r="C4330" t="s">
        <v>35</v>
      </c>
      <c r="D4330">
        <v>0</v>
      </c>
      <c r="E4330">
        <v>1</v>
      </c>
      <c r="F4330" s="7">
        <v>180075.86</v>
      </c>
      <c r="G4330">
        <v>0</v>
      </c>
      <c r="H4330" s="7">
        <v>0</v>
      </c>
    </row>
    <row r="4331" spans="1:8">
      <c r="A4331">
        <v>4</v>
      </c>
      <c r="B4331" t="s">
        <v>46</v>
      </c>
      <c r="C4331" t="s">
        <v>35</v>
      </c>
      <c r="D4331">
        <v>0</v>
      </c>
      <c r="E4331">
        <v>1</v>
      </c>
      <c r="F4331" s="7">
        <v>245908.29</v>
      </c>
      <c r="G4331">
        <v>0</v>
      </c>
      <c r="H4331" s="7">
        <v>0</v>
      </c>
    </row>
    <row r="4332" spans="1:8">
      <c r="A4332">
        <v>4</v>
      </c>
      <c r="B4332" t="s">
        <v>46</v>
      </c>
      <c r="C4332" t="s">
        <v>34</v>
      </c>
      <c r="D4332">
        <v>0</v>
      </c>
      <c r="E4332">
        <v>1</v>
      </c>
      <c r="F4332" s="7">
        <v>80199.62</v>
      </c>
      <c r="G4332">
        <v>0</v>
      </c>
      <c r="H4332" s="7">
        <v>0</v>
      </c>
    </row>
    <row r="4333" spans="1:8">
      <c r="A4333">
        <v>4</v>
      </c>
      <c r="B4333" t="s">
        <v>46</v>
      </c>
      <c r="C4333" t="s">
        <v>35</v>
      </c>
      <c r="D4333">
        <v>0</v>
      </c>
      <c r="E4333">
        <v>1</v>
      </c>
      <c r="F4333" s="7">
        <v>573435.74</v>
      </c>
      <c r="G4333">
        <v>0</v>
      </c>
      <c r="H4333" s="7">
        <v>0</v>
      </c>
    </row>
    <row r="4334" spans="1:8">
      <c r="A4334">
        <v>4</v>
      </c>
      <c r="B4334" t="s">
        <v>46</v>
      </c>
      <c r="C4334" t="s">
        <v>35</v>
      </c>
      <c r="D4334">
        <v>0</v>
      </c>
      <c r="E4334">
        <v>1</v>
      </c>
      <c r="F4334" s="7">
        <v>248507.58</v>
      </c>
      <c r="G4334">
        <v>0</v>
      </c>
      <c r="H4334" s="7">
        <v>0</v>
      </c>
    </row>
    <row r="4335" spans="1:8">
      <c r="A4335">
        <v>4</v>
      </c>
      <c r="B4335" t="s">
        <v>46</v>
      </c>
      <c r="C4335" t="s">
        <v>35</v>
      </c>
      <c r="D4335">
        <v>0</v>
      </c>
      <c r="E4335">
        <v>1</v>
      </c>
      <c r="F4335" s="7">
        <v>137360.58</v>
      </c>
      <c r="G4335">
        <v>0</v>
      </c>
      <c r="H4335" s="7">
        <v>0</v>
      </c>
    </row>
    <row r="4336" spans="1:8">
      <c r="A4336">
        <v>4</v>
      </c>
      <c r="B4336" t="s">
        <v>46</v>
      </c>
      <c r="C4336" t="s">
        <v>34</v>
      </c>
      <c r="D4336">
        <v>0</v>
      </c>
      <c r="E4336">
        <v>1</v>
      </c>
      <c r="F4336" s="7">
        <v>48951.75</v>
      </c>
      <c r="G4336">
        <v>0</v>
      </c>
      <c r="H4336" s="7">
        <v>0</v>
      </c>
    </row>
    <row r="4337" spans="1:8">
      <c r="A4337">
        <v>4</v>
      </c>
      <c r="B4337" t="s">
        <v>46</v>
      </c>
      <c r="C4337" t="s">
        <v>34</v>
      </c>
      <c r="D4337">
        <v>0</v>
      </c>
      <c r="E4337">
        <v>1</v>
      </c>
      <c r="F4337" s="7">
        <v>99107.68</v>
      </c>
      <c r="G4337">
        <v>0</v>
      </c>
      <c r="H4337" s="7">
        <v>0</v>
      </c>
    </row>
    <row r="4338" spans="1:8">
      <c r="A4338">
        <v>4</v>
      </c>
      <c r="B4338" t="s">
        <v>46</v>
      </c>
      <c r="C4338" t="s">
        <v>34</v>
      </c>
      <c r="D4338">
        <v>0</v>
      </c>
      <c r="E4338">
        <v>1</v>
      </c>
      <c r="F4338" s="7">
        <v>25752.66</v>
      </c>
      <c r="G4338">
        <v>0</v>
      </c>
      <c r="H4338" s="7">
        <v>0</v>
      </c>
    </row>
    <row r="4339" spans="1:8">
      <c r="A4339">
        <v>4</v>
      </c>
      <c r="B4339" t="s">
        <v>46</v>
      </c>
      <c r="C4339" t="s">
        <v>34</v>
      </c>
      <c r="D4339">
        <v>0</v>
      </c>
      <c r="E4339">
        <v>1</v>
      </c>
      <c r="F4339" s="7">
        <v>16871.14</v>
      </c>
      <c r="G4339">
        <v>0</v>
      </c>
      <c r="H4339" s="7">
        <v>0</v>
      </c>
    </row>
    <row r="4340" spans="1:8">
      <c r="A4340">
        <v>4</v>
      </c>
      <c r="B4340" t="s">
        <v>46</v>
      </c>
      <c r="C4340" t="s">
        <v>34</v>
      </c>
      <c r="D4340">
        <v>0</v>
      </c>
      <c r="E4340">
        <v>1</v>
      </c>
      <c r="F4340" s="7">
        <v>34688.77</v>
      </c>
      <c r="G4340">
        <v>0</v>
      </c>
      <c r="H4340" s="7">
        <v>0</v>
      </c>
    </row>
    <row r="4341" spans="1:8">
      <c r="A4341">
        <v>4</v>
      </c>
      <c r="B4341" t="s">
        <v>46</v>
      </c>
      <c r="C4341" t="s">
        <v>35</v>
      </c>
      <c r="D4341">
        <v>0</v>
      </c>
      <c r="E4341">
        <v>1</v>
      </c>
      <c r="F4341" s="7">
        <v>208461.54</v>
      </c>
      <c r="G4341">
        <v>0</v>
      </c>
      <c r="H4341" s="7">
        <v>0</v>
      </c>
    </row>
    <row r="4342" spans="1:8">
      <c r="A4342">
        <v>4</v>
      </c>
      <c r="B4342" t="s">
        <v>46</v>
      </c>
      <c r="C4342" t="s">
        <v>35</v>
      </c>
      <c r="D4342">
        <v>0</v>
      </c>
      <c r="E4342">
        <v>1</v>
      </c>
      <c r="F4342" s="7">
        <v>107540.28</v>
      </c>
      <c r="G4342">
        <v>0</v>
      </c>
      <c r="H4342" s="7">
        <v>0</v>
      </c>
    </row>
    <row r="4343" spans="1:8">
      <c r="A4343">
        <v>4</v>
      </c>
      <c r="B4343" t="s">
        <v>46</v>
      </c>
      <c r="C4343" t="s">
        <v>35</v>
      </c>
      <c r="D4343">
        <v>0</v>
      </c>
      <c r="E4343">
        <v>1</v>
      </c>
      <c r="F4343" s="7">
        <v>180025.45</v>
      </c>
      <c r="G4343">
        <v>0</v>
      </c>
      <c r="H4343" s="7">
        <v>0</v>
      </c>
    </row>
    <row r="4344" spans="1:8">
      <c r="A4344">
        <v>4</v>
      </c>
      <c r="B4344" t="s">
        <v>46</v>
      </c>
      <c r="C4344" t="s">
        <v>34</v>
      </c>
      <c r="D4344">
        <v>0</v>
      </c>
      <c r="E4344">
        <v>1</v>
      </c>
      <c r="F4344" s="7">
        <v>86497.62</v>
      </c>
      <c r="G4344">
        <v>0</v>
      </c>
      <c r="H4344" s="7">
        <v>0</v>
      </c>
    </row>
    <row r="4345" spans="1:8">
      <c r="A4345">
        <v>4</v>
      </c>
      <c r="B4345" t="s">
        <v>46</v>
      </c>
      <c r="C4345" t="s">
        <v>34</v>
      </c>
      <c r="D4345">
        <v>0</v>
      </c>
      <c r="E4345">
        <v>1</v>
      </c>
      <c r="F4345" s="7">
        <v>21370.5</v>
      </c>
      <c r="G4345">
        <v>0</v>
      </c>
      <c r="H4345" s="7">
        <v>0</v>
      </c>
    </row>
    <row r="4346" spans="1:8">
      <c r="A4346">
        <v>4</v>
      </c>
      <c r="B4346" t="s">
        <v>46</v>
      </c>
      <c r="C4346" t="s">
        <v>35</v>
      </c>
      <c r="D4346">
        <v>0</v>
      </c>
      <c r="E4346">
        <v>1</v>
      </c>
      <c r="F4346" s="7">
        <v>130407.77</v>
      </c>
      <c r="G4346">
        <v>0</v>
      </c>
      <c r="H4346" s="7">
        <v>0</v>
      </c>
    </row>
    <row r="4347" spans="1:8">
      <c r="A4347">
        <v>4</v>
      </c>
      <c r="B4347" t="s">
        <v>42</v>
      </c>
      <c r="C4347" t="s">
        <v>32</v>
      </c>
      <c r="D4347">
        <v>0</v>
      </c>
      <c r="E4347">
        <v>1</v>
      </c>
      <c r="F4347" s="7">
        <v>200.47</v>
      </c>
      <c r="G4347">
        <v>0</v>
      </c>
      <c r="H4347" s="7">
        <v>0</v>
      </c>
    </row>
    <row r="4348" spans="1:8">
      <c r="A4348">
        <v>4</v>
      </c>
      <c r="B4348" t="s">
        <v>42</v>
      </c>
      <c r="C4348" t="s">
        <v>33</v>
      </c>
      <c r="D4348">
        <v>0</v>
      </c>
      <c r="E4348">
        <v>1</v>
      </c>
      <c r="F4348" s="7">
        <v>3973.91</v>
      </c>
      <c r="G4348">
        <v>0</v>
      </c>
      <c r="H4348" s="7">
        <v>0</v>
      </c>
    </row>
    <row r="4349" spans="1:8">
      <c r="A4349">
        <v>4</v>
      </c>
      <c r="B4349" t="s">
        <v>42</v>
      </c>
      <c r="C4349" t="s">
        <v>33</v>
      </c>
      <c r="D4349">
        <v>0</v>
      </c>
      <c r="E4349">
        <v>1</v>
      </c>
      <c r="F4349" s="7">
        <v>1015.93</v>
      </c>
      <c r="G4349">
        <v>0</v>
      </c>
      <c r="H4349" s="7">
        <v>0</v>
      </c>
    </row>
    <row r="4350" spans="1:8">
      <c r="A4350">
        <v>4</v>
      </c>
      <c r="B4350" t="s">
        <v>42</v>
      </c>
      <c r="C4350" t="s">
        <v>33</v>
      </c>
      <c r="D4350">
        <v>0</v>
      </c>
      <c r="E4350">
        <v>1</v>
      </c>
      <c r="F4350" s="7">
        <v>8221.47</v>
      </c>
      <c r="G4350">
        <v>0</v>
      </c>
      <c r="H4350" s="7">
        <v>0</v>
      </c>
    </row>
    <row r="4351" spans="1:8">
      <c r="A4351">
        <v>4</v>
      </c>
      <c r="B4351" t="s">
        <v>42</v>
      </c>
      <c r="C4351" t="s">
        <v>33</v>
      </c>
      <c r="D4351">
        <v>0</v>
      </c>
      <c r="E4351">
        <v>1</v>
      </c>
      <c r="F4351" s="7">
        <v>7222.78</v>
      </c>
      <c r="G4351">
        <v>0</v>
      </c>
      <c r="H4351" s="7">
        <v>0</v>
      </c>
    </row>
    <row r="4352" spans="1:8">
      <c r="A4352">
        <v>4</v>
      </c>
      <c r="B4352" t="s">
        <v>42</v>
      </c>
      <c r="C4352" t="s">
        <v>33</v>
      </c>
      <c r="D4352">
        <v>0</v>
      </c>
      <c r="E4352">
        <v>1</v>
      </c>
      <c r="F4352" s="7">
        <v>1161.3</v>
      </c>
      <c r="G4352">
        <v>0</v>
      </c>
      <c r="H4352" s="7">
        <v>0</v>
      </c>
    </row>
    <row r="4353" spans="1:8">
      <c r="A4353">
        <v>4</v>
      </c>
      <c r="B4353" t="s">
        <v>42</v>
      </c>
      <c r="C4353" t="s">
        <v>33</v>
      </c>
      <c r="D4353">
        <v>0</v>
      </c>
      <c r="E4353">
        <v>1</v>
      </c>
      <c r="F4353" s="7">
        <v>2463.48</v>
      </c>
      <c r="G4353">
        <v>0</v>
      </c>
      <c r="H4353" s="7">
        <v>0</v>
      </c>
    </row>
    <row r="4354" spans="1:8">
      <c r="A4354">
        <v>4</v>
      </c>
      <c r="B4354" t="s">
        <v>44</v>
      </c>
      <c r="C4354" t="s">
        <v>34</v>
      </c>
      <c r="D4354">
        <v>0</v>
      </c>
      <c r="E4354">
        <v>1</v>
      </c>
      <c r="F4354" s="7">
        <v>51614.78</v>
      </c>
      <c r="G4354">
        <v>0</v>
      </c>
      <c r="H4354" s="7">
        <v>0</v>
      </c>
    </row>
    <row r="4355" spans="1:8">
      <c r="A4355">
        <v>4</v>
      </c>
      <c r="B4355" t="s">
        <v>43</v>
      </c>
      <c r="C4355" t="s">
        <v>34</v>
      </c>
      <c r="D4355">
        <v>0</v>
      </c>
      <c r="E4355">
        <v>1</v>
      </c>
      <c r="F4355" s="7">
        <v>25975.86</v>
      </c>
      <c r="G4355">
        <v>0</v>
      </c>
      <c r="H4355" s="7">
        <v>0</v>
      </c>
    </row>
    <row r="4356" spans="1:8">
      <c r="A4356">
        <v>4</v>
      </c>
      <c r="B4356" t="s">
        <v>42</v>
      </c>
      <c r="C4356" t="s">
        <v>33</v>
      </c>
      <c r="D4356">
        <v>0</v>
      </c>
      <c r="E4356">
        <v>1</v>
      </c>
      <c r="F4356" s="7">
        <v>3011.78</v>
      </c>
      <c r="G4356">
        <v>0</v>
      </c>
      <c r="H4356" s="7">
        <v>0</v>
      </c>
    </row>
    <row r="4357" spans="1:8">
      <c r="A4357">
        <v>4</v>
      </c>
      <c r="B4357" t="s">
        <v>42</v>
      </c>
      <c r="C4357" t="s">
        <v>33</v>
      </c>
      <c r="D4357">
        <v>0</v>
      </c>
      <c r="E4357">
        <v>1</v>
      </c>
      <c r="F4357" s="7">
        <v>3112.94</v>
      </c>
      <c r="G4357">
        <v>0</v>
      </c>
      <c r="H4357" s="7">
        <v>0</v>
      </c>
    </row>
    <row r="4358" spans="1:8">
      <c r="A4358">
        <v>4</v>
      </c>
      <c r="B4358" t="s">
        <v>42</v>
      </c>
      <c r="C4358" t="s">
        <v>32</v>
      </c>
      <c r="D4358">
        <v>0</v>
      </c>
      <c r="E4358">
        <v>1</v>
      </c>
      <c r="F4358" s="7">
        <v>423.65</v>
      </c>
      <c r="G4358">
        <v>0</v>
      </c>
      <c r="H4358" s="7">
        <v>0</v>
      </c>
    </row>
    <row r="4359" spans="1:8">
      <c r="A4359">
        <v>4</v>
      </c>
      <c r="B4359" t="s">
        <v>42</v>
      </c>
      <c r="C4359" t="s">
        <v>33</v>
      </c>
      <c r="D4359">
        <v>0</v>
      </c>
      <c r="E4359">
        <v>1</v>
      </c>
      <c r="F4359" s="7">
        <v>1713.72</v>
      </c>
      <c r="G4359">
        <v>0</v>
      </c>
      <c r="H4359" s="7">
        <v>0</v>
      </c>
    </row>
    <row r="4360" spans="1:8">
      <c r="A4360">
        <v>4</v>
      </c>
      <c r="B4360" t="s">
        <v>42</v>
      </c>
      <c r="C4360" t="s">
        <v>33</v>
      </c>
      <c r="D4360">
        <v>0</v>
      </c>
      <c r="E4360">
        <v>1</v>
      </c>
      <c r="F4360" s="7">
        <v>6188.07</v>
      </c>
      <c r="G4360">
        <v>0</v>
      </c>
      <c r="H4360" s="7">
        <v>0</v>
      </c>
    </row>
    <row r="4361" spans="1:8">
      <c r="A4361">
        <v>4</v>
      </c>
      <c r="B4361" t="s">
        <v>42</v>
      </c>
      <c r="C4361" t="s">
        <v>34</v>
      </c>
      <c r="D4361">
        <v>0</v>
      </c>
      <c r="E4361">
        <v>1</v>
      </c>
      <c r="F4361" s="7">
        <v>27480.99</v>
      </c>
      <c r="G4361">
        <v>0</v>
      </c>
      <c r="H4361" s="7">
        <v>0</v>
      </c>
    </row>
    <row r="4362" spans="1:8">
      <c r="A4362">
        <v>4</v>
      </c>
      <c r="B4362" t="s">
        <v>42</v>
      </c>
      <c r="C4362" t="s">
        <v>33</v>
      </c>
      <c r="D4362">
        <v>0</v>
      </c>
      <c r="E4362">
        <v>1</v>
      </c>
      <c r="F4362" s="7">
        <v>2343.87</v>
      </c>
      <c r="G4362">
        <v>0</v>
      </c>
      <c r="H4362" s="7">
        <v>0</v>
      </c>
    </row>
    <row r="4363" spans="1:8">
      <c r="A4363">
        <v>4</v>
      </c>
      <c r="B4363" t="s">
        <v>42</v>
      </c>
      <c r="C4363" t="s">
        <v>33</v>
      </c>
      <c r="D4363">
        <v>0</v>
      </c>
      <c r="E4363">
        <v>1</v>
      </c>
      <c r="F4363" s="7">
        <v>2423.7</v>
      </c>
      <c r="G4363">
        <v>0</v>
      </c>
      <c r="H4363" s="7">
        <v>0</v>
      </c>
    </row>
    <row r="4364" spans="1:8">
      <c r="A4364">
        <v>4</v>
      </c>
      <c r="B4364" t="s">
        <v>42</v>
      </c>
      <c r="C4364" t="s">
        <v>33</v>
      </c>
      <c r="D4364">
        <v>0</v>
      </c>
      <c r="E4364">
        <v>1</v>
      </c>
      <c r="F4364" s="7">
        <v>3722.55</v>
      </c>
      <c r="G4364">
        <v>0</v>
      </c>
      <c r="H4364" s="7">
        <v>0</v>
      </c>
    </row>
    <row r="4365" spans="1:8">
      <c r="A4365">
        <v>4</v>
      </c>
      <c r="B4365" t="s">
        <v>44</v>
      </c>
      <c r="C4365" t="s">
        <v>34</v>
      </c>
      <c r="D4365">
        <v>0</v>
      </c>
      <c r="E4365">
        <v>1</v>
      </c>
      <c r="F4365" s="7">
        <v>58046.34</v>
      </c>
      <c r="G4365">
        <v>0</v>
      </c>
      <c r="H4365" s="7">
        <v>0</v>
      </c>
    </row>
    <row r="4366" spans="1:8">
      <c r="A4366">
        <v>4</v>
      </c>
      <c r="B4366" t="s">
        <v>42</v>
      </c>
      <c r="C4366" t="s">
        <v>32</v>
      </c>
      <c r="D4366">
        <v>0</v>
      </c>
      <c r="E4366">
        <v>1</v>
      </c>
      <c r="F4366" s="7">
        <v>709.56</v>
      </c>
      <c r="G4366">
        <v>0</v>
      </c>
      <c r="H4366" s="7">
        <v>0</v>
      </c>
    </row>
    <row r="4367" spans="1:8">
      <c r="A4367">
        <v>4</v>
      </c>
      <c r="B4367" t="s">
        <v>42</v>
      </c>
      <c r="C4367" t="s">
        <v>33</v>
      </c>
      <c r="D4367">
        <v>0</v>
      </c>
      <c r="E4367">
        <v>1</v>
      </c>
      <c r="F4367" s="7">
        <v>2524.23</v>
      </c>
      <c r="G4367">
        <v>0</v>
      </c>
      <c r="H4367" s="7">
        <v>0</v>
      </c>
    </row>
    <row r="4368" spans="1:8">
      <c r="A4368">
        <v>4</v>
      </c>
      <c r="B4368" t="s">
        <v>42</v>
      </c>
      <c r="C4368" t="s">
        <v>33</v>
      </c>
      <c r="D4368">
        <v>0</v>
      </c>
      <c r="E4368">
        <v>1</v>
      </c>
      <c r="F4368" s="7">
        <v>1427</v>
      </c>
      <c r="G4368">
        <v>0</v>
      </c>
      <c r="H4368" s="7">
        <v>0</v>
      </c>
    </row>
    <row r="4369" spans="1:8">
      <c r="A4369">
        <v>4</v>
      </c>
      <c r="B4369" t="s">
        <v>42</v>
      </c>
      <c r="C4369" t="s">
        <v>32</v>
      </c>
      <c r="D4369">
        <v>0</v>
      </c>
      <c r="E4369">
        <v>1</v>
      </c>
      <c r="F4369" s="7">
        <v>952.48</v>
      </c>
      <c r="G4369">
        <v>0</v>
      </c>
      <c r="H4369" s="7">
        <v>0</v>
      </c>
    </row>
    <row r="4370" spans="1:8">
      <c r="A4370">
        <v>4</v>
      </c>
      <c r="B4370" t="s">
        <v>42</v>
      </c>
      <c r="C4370" t="s">
        <v>33</v>
      </c>
      <c r="D4370">
        <v>0</v>
      </c>
      <c r="E4370">
        <v>1</v>
      </c>
      <c r="F4370" s="7">
        <v>3684.23</v>
      </c>
      <c r="G4370">
        <v>0</v>
      </c>
      <c r="H4370" s="7">
        <v>0</v>
      </c>
    </row>
    <row r="4371" spans="1:8">
      <c r="A4371">
        <v>4</v>
      </c>
      <c r="B4371" t="s">
        <v>42</v>
      </c>
      <c r="C4371" t="s">
        <v>32</v>
      </c>
      <c r="D4371">
        <v>0</v>
      </c>
      <c r="E4371">
        <v>1</v>
      </c>
      <c r="F4371" s="7">
        <v>808.11</v>
      </c>
      <c r="G4371">
        <v>0</v>
      </c>
      <c r="H4371" s="7">
        <v>0</v>
      </c>
    </row>
    <row r="4372" spans="1:8">
      <c r="A4372">
        <v>4</v>
      </c>
      <c r="B4372" t="s">
        <v>42</v>
      </c>
      <c r="C4372" t="s">
        <v>33</v>
      </c>
      <c r="D4372">
        <v>0</v>
      </c>
      <c r="E4372">
        <v>1</v>
      </c>
      <c r="F4372" s="7">
        <v>1522.02</v>
      </c>
      <c r="G4372">
        <v>0</v>
      </c>
      <c r="H4372" s="7">
        <v>0</v>
      </c>
    </row>
    <row r="4373" spans="1:8">
      <c r="A4373">
        <v>4</v>
      </c>
      <c r="B4373" t="s">
        <v>42</v>
      </c>
      <c r="C4373" t="s">
        <v>33</v>
      </c>
      <c r="D4373">
        <v>0</v>
      </c>
      <c r="E4373">
        <v>1</v>
      </c>
      <c r="F4373" s="7">
        <v>5249.58</v>
      </c>
      <c r="G4373">
        <v>0</v>
      </c>
      <c r="H4373" s="7">
        <v>0</v>
      </c>
    </row>
    <row r="4374" spans="1:8">
      <c r="A4374">
        <v>4</v>
      </c>
      <c r="B4374" t="s">
        <v>42</v>
      </c>
      <c r="C4374" t="s">
        <v>33</v>
      </c>
      <c r="D4374">
        <v>0</v>
      </c>
      <c r="E4374">
        <v>1</v>
      </c>
      <c r="F4374" s="7">
        <v>1680.88</v>
      </c>
      <c r="G4374">
        <v>0</v>
      </c>
      <c r="H4374" s="7">
        <v>0</v>
      </c>
    </row>
    <row r="4375" spans="1:8">
      <c r="A4375">
        <v>4</v>
      </c>
      <c r="B4375" t="s">
        <v>44</v>
      </c>
      <c r="C4375" t="s">
        <v>34</v>
      </c>
      <c r="D4375">
        <v>0</v>
      </c>
      <c r="E4375">
        <v>1</v>
      </c>
      <c r="F4375" s="7">
        <v>12414.4</v>
      </c>
      <c r="G4375">
        <v>0</v>
      </c>
      <c r="H4375" s="7">
        <v>0</v>
      </c>
    </row>
    <row r="4376" spans="1:8">
      <c r="A4376">
        <v>4</v>
      </c>
      <c r="B4376" t="s">
        <v>42</v>
      </c>
      <c r="C4376" t="s">
        <v>33</v>
      </c>
      <c r="D4376">
        <v>0</v>
      </c>
      <c r="E4376">
        <v>1</v>
      </c>
      <c r="F4376" s="7">
        <v>2674.97</v>
      </c>
      <c r="G4376">
        <v>0</v>
      </c>
      <c r="H4376" s="7">
        <v>0</v>
      </c>
    </row>
    <row r="4377" spans="1:8">
      <c r="A4377">
        <v>4</v>
      </c>
      <c r="B4377" t="s">
        <v>44</v>
      </c>
      <c r="C4377" t="s">
        <v>34</v>
      </c>
      <c r="D4377">
        <v>0</v>
      </c>
      <c r="E4377">
        <v>1</v>
      </c>
      <c r="F4377" s="7">
        <v>75146.85</v>
      </c>
      <c r="G4377">
        <v>0</v>
      </c>
      <c r="H4377" s="7">
        <v>0</v>
      </c>
    </row>
    <row r="4378" spans="1:8">
      <c r="A4378">
        <v>4</v>
      </c>
      <c r="B4378" t="s">
        <v>44</v>
      </c>
      <c r="C4378" t="s">
        <v>35</v>
      </c>
      <c r="D4378">
        <v>0</v>
      </c>
      <c r="E4378">
        <v>1</v>
      </c>
      <c r="F4378" s="7">
        <v>186125.39</v>
      </c>
      <c r="G4378">
        <v>0</v>
      </c>
      <c r="H4378" s="7">
        <v>0</v>
      </c>
    </row>
    <row r="4379" spans="1:8">
      <c r="A4379">
        <v>4</v>
      </c>
      <c r="B4379" t="s">
        <v>42</v>
      </c>
      <c r="C4379" t="s">
        <v>33</v>
      </c>
      <c r="D4379">
        <v>0</v>
      </c>
      <c r="E4379">
        <v>1</v>
      </c>
      <c r="F4379" s="7">
        <v>1950.33</v>
      </c>
      <c r="G4379">
        <v>0</v>
      </c>
      <c r="H4379" s="7">
        <v>0</v>
      </c>
    </row>
    <row r="4380" spans="1:8">
      <c r="A4380">
        <v>4</v>
      </c>
      <c r="B4380" t="s">
        <v>42</v>
      </c>
      <c r="C4380" t="s">
        <v>33</v>
      </c>
      <c r="D4380">
        <v>0</v>
      </c>
      <c r="E4380">
        <v>1</v>
      </c>
      <c r="F4380" s="7">
        <v>3969.94</v>
      </c>
      <c r="G4380">
        <v>0</v>
      </c>
      <c r="H4380" s="7">
        <v>0</v>
      </c>
    </row>
    <row r="4381" spans="1:8">
      <c r="A4381">
        <v>4</v>
      </c>
      <c r="B4381" t="s">
        <v>42</v>
      </c>
      <c r="C4381" t="s">
        <v>33</v>
      </c>
      <c r="D4381">
        <v>0</v>
      </c>
      <c r="E4381">
        <v>1</v>
      </c>
      <c r="F4381" s="7">
        <v>2413.57</v>
      </c>
      <c r="G4381">
        <v>0</v>
      </c>
      <c r="H4381" s="7">
        <v>0</v>
      </c>
    </row>
    <row r="4382" spans="1:8">
      <c r="A4382">
        <v>4</v>
      </c>
      <c r="B4382" t="s">
        <v>42</v>
      </c>
      <c r="C4382" t="s">
        <v>33</v>
      </c>
      <c r="D4382">
        <v>0</v>
      </c>
      <c r="E4382">
        <v>1</v>
      </c>
      <c r="F4382" s="7">
        <v>3690.54</v>
      </c>
      <c r="G4382">
        <v>0</v>
      </c>
      <c r="H4382" s="7">
        <v>0</v>
      </c>
    </row>
    <row r="4383" spans="1:8">
      <c r="A4383">
        <v>4</v>
      </c>
      <c r="B4383" t="s">
        <v>42</v>
      </c>
      <c r="C4383" t="s">
        <v>33</v>
      </c>
      <c r="D4383">
        <v>0</v>
      </c>
      <c r="E4383">
        <v>1</v>
      </c>
      <c r="F4383" s="7">
        <v>8402.36</v>
      </c>
      <c r="G4383">
        <v>0</v>
      </c>
      <c r="H4383" s="7">
        <v>0</v>
      </c>
    </row>
    <row r="4384" spans="1:8">
      <c r="A4384">
        <v>4</v>
      </c>
      <c r="B4384" t="s">
        <v>42</v>
      </c>
      <c r="C4384" t="s">
        <v>33</v>
      </c>
      <c r="D4384">
        <v>0</v>
      </c>
      <c r="E4384">
        <v>1</v>
      </c>
      <c r="F4384" s="7">
        <v>2582.66</v>
      </c>
      <c r="G4384">
        <v>0</v>
      </c>
      <c r="H4384" s="7">
        <v>0</v>
      </c>
    </row>
    <row r="4385" spans="1:8">
      <c r="A4385">
        <v>4</v>
      </c>
      <c r="B4385" t="s">
        <v>42</v>
      </c>
      <c r="C4385" t="s">
        <v>33</v>
      </c>
      <c r="D4385">
        <v>0</v>
      </c>
      <c r="E4385">
        <v>1</v>
      </c>
      <c r="F4385" s="7">
        <v>6122.88</v>
      </c>
      <c r="G4385">
        <v>0</v>
      </c>
      <c r="H4385" s="7">
        <v>0</v>
      </c>
    </row>
    <row r="4386" spans="1:8">
      <c r="A4386">
        <v>4</v>
      </c>
      <c r="B4386" t="s">
        <v>46</v>
      </c>
      <c r="C4386" t="s">
        <v>34</v>
      </c>
      <c r="D4386">
        <v>0</v>
      </c>
      <c r="E4386">
        <v>1</v>
      </c>
      <c r="F4386" s="7">
        <v>57894.54</v>
      </c>
      <c r="G4386">
        <v>0</v>
      </c>
      <c r="H4386" s="7">
        <v>0</v>
      </c>
    </row>
    <row r="4387" spans="1:8">
      <c r="A4387">
        <v>4</v>
      </c>
      <c r="B4387" t="s">
        <v>42</v>
      </c>
      <c r="C4387" t="s">
        <v>32</v>
      </c>
      <c r="D4387">
        <v>0</v>
      </c>
      <c r="E4387">
        <v>1</v>
      </c>
      <c r="F4387" s="7">
        <v>865.79</v>
      </c>
      <c r="G4387">
        <v>0</v>
      </c>
      <c r="H4387" s="7">
        <v>0</v>
      </c>
    </row>
    <row r="4388" spans="1:8">
      <c r="A4388">
        <v>4</v>
      </c>
      <c r="B4388" t="s">
        <v>42</v>
      </c>
      <c r="C4388" t="s">
        <v>32</v>
      </c>
      <c r="D4388">
        <v>0</v>
      </c>
      <c r="E4388">
        <v>1</v>
      </c>
      <c r="F4388" s="7">
        <v>494.11</v>
      </c>
      <c r="G4388">
        <v>0</v>
      </c>
      <c r="H4388" s="7">
        <v>0</v>
      </c>
    </row>
    <row r="4389" spans="1:8">
      <c r="A4389">
        <v>4</v>
      </c>
      <c r="B4389" t="s">
        <v>42</v>
      </c>
      <c r="C4389" t="s">
        <v>32</v>
      </c>
      <c r="D4389">
        <v>0</v>
      </c>
      <c r="E4389">
        <v>1</v>
      </c>
      <c r="F4389" s="7">
        <v>46.88</v>
      </c>
      <c r="G4389">
        <v>0</v>
      </c>
      <c r="H4389" s="7">
        <v>0</v>
      </c>
    </row>
    <row r="4390" spans="1:8">
      <c r="A4390">
        <v>4</v>
      </c>
      <c r="B4390" t="s">
        <v>42</v>
      </c>
      <c r="C4390" t="s">
        <v>33</v>
      </c>
      <c r="D4390">
        <v>0</v>
      </c>
      <c r="E4390">
        <v>1</v>
      </c>
      <c r="F4390" s="7">
        <v>5159.5</v>
      </c>
      <c r="G4390">
        <v>0</v>
      </c>
      <c r="H4390" s="7">
        <v>0</v>
      </c>
    </row>
    <row r="4391" spans="1:8">
      <c r="A4391">
        <v>4</v>
      </c>
      <c r="B4391" t="s">
        <v>42</v>
      </c>
      <c r="C4391" t="s">
        <v>33</v>
      </c>
      <c r="D4391">
        <v>0</v>
      </c>
      <c r="E4391">
        <v>1</v>
      </c>
      <c r="F4391" s="7">
        <v>1292.42</v>
      </c>
      <c r="G4391">
        <v>0</v>
      </c>
      <c r="H4391" s="7">
        <v>0</v>
      </c>
    </row>
    <row r="4392" spans="1:8">
      <c r="A4392">
        <v>4</v>
      </c>
      <c r="B4392" t="s">
        <v>43</v>
      </c>
      <c r="C4392" t="s">
        <v>34</v>
      </c>
      <c r="D4392">
        <v>0</v>
      </c>
      <c r="E4392">
        <v>1</v>
      </c>
      <c r="F4392" s="7">
        <v>64279.74</v>
      </c>
      <c r="G4392">
        <v>0</v>
      </c>
      <c r="H4392" s="7">
        <v>0</v>
      </c>
    </row>
    <row r="4393" spans="1:8">
      <c r="A4393">
        <v>4</v>
      </c>
      <c r="B4393" t="s">
        <v>42</v>
      </c>
      <c r="C4393" t="s">
        <v>33</v>
      </c>
      <c r="D4393">
        <v>0</v>
      </c>
      <c r="E4393">
        <v>1</v>
      </c>
      <c r="F4393" s="7">
        <v>3953.73</v>
      </c>
      <c r="G4393">
        <v>0</v>
      </c>
      <c r="H4393" s="7">
        <v>0</v>
      </c>
    </row>
    <row r="4394" spans="1:8">
      <c r="A4394">
        <v>4</v>
      </c>
      <c r="B4394" t="s">
        <v>43</v>
      </c>
      <c r="C4394" t="s">
        <v>34</v>
      </c>
      <c r="D4394">
        <v>0</v>
      </c>
      <c r="E4394">
        <v>1</v>
      </c>
      <c r="F4394" s="7">
        <v>94450.19</v>
      </c>
      <c r="G4394">
        <v>0</v>
      </c>
      <c r="H4394" s="7">
        <v>0</v>
      </c>
    </row>
    <row r="4395" spans="1:8">
      <c r="A4395">
        <v>4</v>
      </c>
      <c r="B4395" t="s">
        <v>42</v>
      </c>
      <c r="C4395" t="s">
        <v>33</v>
      </c>
      <c r="D4395">
        <v>0</v>
      </c>
      <c r="E4395">
        <v>1</v>
      </c>
      <c r="F4395" s="7">
        <v>1016.95</v>
      </c>
      <c r="G4395">
        <v>0</v>
      </c>
      <c r="H4395" s="7">
        <v>0</v>
      </c>
    </row>
    <row r="4396" spans="1:8">
      <c r="A4396">
        <v>4</v>
      </c>
      <c r="B4396" t="s">
        <v>42</v>
      </c>
      <c r="C4396" t="s">
        <v>33</v>
      </c>
      <c r="D4396">
        <v>0</v>
      </c>
      <c r="E4396">
        <v>1</v>
      </c>
      <c r="F4396" s="7">
        <v>9030.55</v>
      </c>
      <c r="G4396">
        <v>0</v>
      </c>
      <c r="H4396" s="7">
        <v>0</v>
      </c>
    </row>
    <row r="4397" spans="1:8">
      <c r="A4397">
        <v>4</v>
      </c>
      <c r="B4397" t="s">
        <v>42</v>
      </c>
      <c r="C4397" t="s">
        <v>33</v>
      </c>
      <c r="D4397">
        <v>0</v>
      </c>
      <c r="E4397">
        <v>1</v>
      </c>
      <c r="F4397" s="7">
        <v>8687.83</v>
      </c>
      <c r="G4397">
        <v>0</v>
      </c>
      <c r="H4397" s="7">
        <v>0</v>
      </c>
    </row>
    <row r="4398" spans="1:8">
      <c r="A4398">
        <v>4</v>
      </c>
      <c r="B4398" t="s">
        <v>42</v>
      </c>
      <c r="C4398" t="s">
        <v>33</v>
      </c>
      <c r="D4398">
        <v>0</v>
      </c>
      <c r="E4398">
        <v>1</v>
      </c>
      <c r="F4398" s="7">
        <v>3207.13</v>
      </c>
      <c r="G4398">
        <v>0</v>
      </c>
      <c r="H4398" s="7">
        <v>0</v>
      </c>
    </row>
    <row r="4399" spans="1:8">
      <c r="A4399">
        <v>4</v>
      </c>
      <c r="B4399" t="s">
        <v>42</v>
      </c>
      <c r="C4399" t="s">
        <v>32</v>
      </c>
      <c r="D4399">
        <v>0</v>
      </c>
      <c r="E4399">
        <v>1</v>
      </c>
      <c r="F4399" s="7">
        <v>985.95</v>
      </c>
      <c r="G4399">
        <v>0</v>
      </c>
      <c r="H4399" s="7">
        <v>0</v>
      </c>
    </row>
    <row r="4400" spans="1:8">
      <c r="A4400">
        <v>4</v>
      </c>
      <c r="B4400" t="s">
        <v>42</v>
      </c>
      <c r="C4400" t="s">
        <v>34</v>
      </c>
      <c r="D4400">
        <v>0</v>
      </c>
      <c r="E4400">
        <v>1</v>
      </c>
      <c r="F4400" s="7">
        <v>16004.53</v>
      </c>
      <c r="G4400">
        <v>0</v>
      </c>
      <c r="H4400" s="7">
        <v>0</v>
      </c>
    </row>
    <row r="4401" spans="1:8">
      <c r="A4401">
        <v>4</v>
      </c>
      <c r="B4401" t="s">
        <v>42</v>
      </c>
      <c r="C4401" t="s">
        <v>34</v>
      </c>
      <c r="D4401">
        <v>0</v>
      </c>
      <c r="E4401">
        <v>1</v>
      </c>
      <c r="F4401" s="7">
        <v>11557.67</v>
      </c>
      <c r="G4401">
        <v>0</v>
      </c>
      <c r="H4401" s="7">
        <v>0</v>
      </c>
    </row>
    <row r="4402" spans="1:8">
      <c r="A4402">
        <v>4</v>
      </c>
      <c r="B4402" t="s">
        <v>42</v>
      </c>
      <c r="C4402" t="s">
        <v>33</v>
      </c>
      <c r="D4402">
        <v>0</v>
      </c>
      <c r="E4402">
        <v>1</v>
      </c>
      <c r="F4402" s="7">
        <v>3848.39</v>
      </c>
      <c r="G4402">
        <v>0</v>
      </c>
      <c r="H4402" s="7">
        <v>0</v>
      </c>
    </row>
    <row r="4403" spans="1:8">
      <c r="A4403">
        <v>4</v>
      </c>
      <c r="B4403" t="s">
        <v>42</v>
      </c>
      <c r="C4403" t="s">
        <v>33</v>
      </c>
      <c r="D4403">
        <v>0</v>
      </c>
      <c r="E4403">
        <v>1</v>
      </c>
      <c r="F4403" s="7">
        <v>8976.25</v>
      </c>
      <c r="G4403">
        <v>0</v>
      </c>
      <c r="H4403" s="7">
        <v>0</v>
      </c>
    </row>
    <row r="4404" spans="1:8">
      <c r="A4404">
        <v>4</v>
      </c>
      <c r="B4404" t="s">
        <v>42</v>
      </c>
      <c r="C4404" t="s">
        <v>33</v>
      </c>
      <c r="D4404">
        <v>0</v>
      </c>
      <c r="E4404">
        <v>1</v>
      </c>
      <c r="F4404" s="7">
        <v>6650.35</v>
      </c>
      <c r="G4404">
        <v>0</v>
      </c>
      <c r="H4404" s="7">
        <v>0</v>
      </c>
    </row>
    <row r="4405" spans="1:8">
      <c r="A4405">
        <v>4</v>
      </c>
      <c r="B4405" t="s">
        <v>42</v>
      </c>
      <c r="C4405" t="s">
        <v>34</v>
      </c>
      <c r="D4405">
        <v>0</v>
      </c>
      <c r="E4405">
        <v>1</v>
      </c>
      <c r="F4405" s="7">
        <v>23159.45</v>
      </c>
      <c r="G4405">
        <v>0</v>
      </c>
      <c r="H4405" s="7">
        <v>0</v>
      </c>
    </row>
    <row r="4406" spans="1:8">
      <c r="A4406">
        <v>4</v>
      </c>
      <c r="B4406" t="s">
        <v>42</v>
      </c>
      <c r="C4406" t="s">
        <v>33</v>
      </c>
      <c r="D4406">
        <v>0</v>
      </c>
      <c r="E4406">
        <v>1</v>
      </c>
      <c r="F4406" s="7">
        <v>5746.09</v>
      </c>
      <c r="G4406">
        <v>0</v>
      </c>
      <c r="H4406" s="7">
        <v>0</v>
      </c>
    </row>
    <row r="4407" spans="1:8">
      <c r="A4407">
        <v>4</v>
      </c>
      <c r="B4407" t="s">
        <v>42</v>
      </c>
      <c r="C4407" t="s">
        <v>33</v>
      </c>
      <c r="D4407">
        <v>0</v>
      </c>
      <c r="E4407">
        <v>1</v>
      </c>
      <c r="F4407" s="7">
        <v>3068.79</v>
      </c>
      <c r="G4407">
        <v>0</v>
      </c>
      <c r="H4407" s="7">
        <v>0</v>
      </c>
    </row>
    <row r="4408" spans="1:8">
      <c r="A4408">
        <v>4</v>
      </c>
      <c r="B4408" t="s">
        <v>42</v>
      </c>
      <c r="C4408" t="s">
        <v>33</v>
      </c>
      <c r="D4408">
        <v>0</v>
      </c>
      <c r="E4408">
        <v>1</v>
      </c>
      <c r="F4408" s="7">
        <v>2554.36</v>
      </c>
      <c r="G4408">
        <v>0</v>
      </c>
      <c r="H4408" s="7">
        <v>0</v>
      </c>
    </row>
    <row r="4409" spans="1:8">
      <c r="A4409">
        <v>4</v>
      </c>
      <c r="B4409" t="s">
        <v>42</v>
      </c>
      <c r="C4409" t="s">
        <v>33</v>
      </c>
      <c r="D4409">
        <v>0</v>
      </c>
      <c r="E4409">
        <v>1</v>
      </c>
      <c r="F4409" s="7">
        <v>3187.96</v>
      </c>
      <c r="G4409">
        <v>0</v>
      </c>
      <c r="H4409" s="7">
        <v>0</v>
      </c>
    </row>
    <row r="4410" spans="1:8">
      <c r="A4410">
        <v>4</v>
      </c>
      <c r="B4410" t="s">
        <v>42</v>
      </c>
      <c r="C4410" t="s">
        <v>32</v>
      </c>
      <c r="D4410">
        <v>0</v>
      </c>
      <c r="E4410">
        <v>1</v>
      </c>
      <c r="F4410" s="7">
        <v>654</v>
      </c>
      <c r="G4410">
        <v>0</v>
      </c>
      <c r="H4410" s="7">
        <v>0</v>
      </c>
    </row>
    <row r="4411" spans="1:8">
      <c r="A4411">
        <v>4</v>
      </c>
      <c r="B4411" t="s">
        <v>42</v>
      </c>
      <c r="C4411" t="s">
        <v>33</v>
      </c>
      <c r="D4411">
        <v>0</v>
      </c>
      <c r="E4411">
        <v>1</v>
      </c>
      <c r="F4411" s="7">
        <v>3581.95</v>
      </c>
      <c r="G4411">
        <v>0</v>
      </c>
      <c r="H4411" s="7">
        <v>0</v>
      </c>
    </row>
    <row r="4412" spans="1:8">
      <c r="A4412">
        <v>4</v>
      </c>
      <c r="B4412" t="s">
        <v>42</v>
      </c>
      <c r="C4412" t="s">
        <v>33</v>
      </c>
      <c r="D4412">
        <v>0</v>
      </c>
      <c r="E4412">
        <v>1</v>
      </c>
      <c r="F4412" s="7">
        <v>1933.73</v>
      </c>
      <c r="G4412">
        <v>0</v>
      </c>
      <c r="H4412" s="7">
        <v>0</v>
      </c>
    </row>
    <row r="4413" spans="1:8">
      <c r="A4413">
        <v>4</v>
      </c>
      <c r="B4413" t="s">
        <v>42</v>
      </c>
      <c r="C4413" t="s">
        <v>33</v>
      </c>
      <c r="D4413">
        <v>0</v>
      </c>
      <c r="E4413">
        <v>1</v>
      </c>
      <c r="F4413" s="7">
        <v>1961.84</v>
      </c>
      <c r="G4413">
        <v>0</v>
      </c>
      <c r="H4413" s="7">
        <v>0</v>
      </c>
    </row>
    <row r="4414" spans="1:8">
      <c r="A4414">
        <v>4</v>
      </c>
      <c r="B4414" t="s">
        <v>42</v>
      </c>
      <c r="C4414" t="s">
        <v>33</v>
      </c>
      <c r="D4414">
        <v>0</v>
      </c>
      <c r="E4414">
        <v>1</v>
      </c>
      <c r="F4414" s="7">
        <v>2906.96</v>
      </c>
      <c r="G4414">
        <v>0</v>
      </c>
      <c r="H4414" s="7">
        <v>0</v>
      </c>
    </row>
    <row r="4415" spans="1:8">
      <c r="A4415">
        <v>4</v>
      </c>
      <c r="B4415" t="s">
        <v>45</v>
      </c>
      <c r="C4415" t="s">
        <v>32</v>
      </c>
      <c r="D4415">
        <v>0</v>
      </c>
      <c r="E4415">
        <v>1</v>
      </c>
      <c r="F4415" s="7">
        <v>896.16</v>
      </c>
      <c r="G4415">
        <v>0</v>
      </c>
      <c r="H4415" s="7">
        <v>0</v>
      </c>
    </row>
    <row r="4416" spans="1:8">
      <c r="A4416">
        <v>4</v>
      </c>
      <c r="B4416" t="s">
        <v>44</v>
      </c>
      <c r="C4416" t="s">
        <v>34</v>
      </c>
      <c r="D4416">
        <v>0</v>
      </c>
      <c r="E4416">
        <v>1</v>
      </c>
      <c r="F4416" s="7">
        <v>78639.4</v>
      </c>
      <c r="G4416">
        <v>0</v>
      </c>
      <c r="H4416" s="7">
        <v>0</v>
      </c>
    </row>
    <row r="4417" spans="1:8">
      <c r="A4417">
        <v>4</v>
      </c>
      <c r="B4417" t="s">
        <v>44</v>
      </c>
      <c r="C4417" t="s">
        <v>34</v>
      </c>
      <c r="D4417">
        <v>0</v>
      </c>
      <c r="E4417">
        <v>1</v>
      </c>
      <c r="F4417" s="7">
        <v>12149.25</v>
      </c>
      <c r="G4417">
        <v>0</v>
      </c>
      <c r="H4417" s="7">
        <v>0</v>
      </c>
    </row>
    <row r="4418" spans="1:8">
      <c r="A4418">
        <v>4</v>
      </c>
      <c r="B4418" t="s">
        <v>42</v>
      </c>
      <c r="C4418" t="s">
        <v>33</v>
      </c>
      <c r="D4418">
        <v>0</v>
      </c>
      <c r="E4418">
        <v>1</v>
      </c>
      <c r="F4418" s="7">
        <v>4104.55</v>
      </c>
      <c r="G4418">
        <v>0</v>
      </c>
      <c r="H4418" s="7">
        <v>0</v>
      </c>
    </row>
    <row r="4419" spans="1:8">
      <c r="A4419">
        <v>4</v>
      </c>
      <c r="B4419" t="s">
        <v>42</v>
      </c>
      <c r="C4419" t="s">
        <v>33</v>
      </c>
      <c r="D4419">
        <v>0</v>
      </c>
      <c r="E4419">
        <v>1</v>
      </c>
      <c r="F4419" s="7">
        <v>1516.32</v>
      </c>
      <c r="G4419">
        <v>0</v>
      </c>
      <c r="H4419" s="7">
        <v>0</v>
      </c>
    </row>
    <row r="4420" spans="1:8">
      <c r="A4420">
        <v>4</v>
      </c>
      <c r="B4420" t="s">
        <v>42</v>
      </c>
      <c r="C4420" t="s">
        <v>33</v>
      </c>
      <c r="D4420">
        <v>0</v>
      </c>
      <c r="E4420">
        <v>1</v>
      </c>
      <c r="F4420" s="7">
        <v>4385.26</v>
      </c>
      <c r="G4420">
        <v>0</v>
      </c>
      <c r="H4420" s="7">
        <v>0</v>
      </c>
    </row>
    <row r="4421" spans="1:8">
      <c r="A4421">
        <v>4</v>
      </c>
      <c r="B4421" t="s">
        <v>42</v>
      </c>
      <c r="C4421" t="s">
        <v>33</v>
      </c>
      <c r="D4421">
        <v>0</v>
      </c>
      <c r="E4421">
        <v>1</v>
      </c>
      <c r="F4421" s="7">
        <v>1222.27</v>
      </c>
      <c r="G4421">
        <v>0</v>
      </c>
      <c r="H4421" s="7">
        <v>0</v>
      </c>
    </row>
    <row r="4422" spans="1:8">
      <c r="A4422">
        <v>4</v>
      </c>
      <c r="B4422" t="s">
        <v>42</v>
      </c>
      <c r="C4422" t="s">
        <v>34</v>
      </c>
      <c r="D4422">
        <v>0</v>
      </c>
      <c r="E4422">
        <v>1</v>
      </c>
      <c r="F4422" s="7">
        <v>12492.07</v>
      </c>
      <c r="G4422">
        <v>0</v>
      </c>
      <c r="H4422" s="7">
        <v>0</v>
      </c>
    </row>
    <row r="4423" spans="1:8">
      <c r="A4423">
        <v>4</v>
      </c>
      <c r="B4423" t="s">
        <v>42</v>
      </c>
      <c r="C4423" t="s">
        <v>33</v>
      </c>
      <c r="D4423">
        <v>0</v>
      </c>
      <c r="E4423">
        <v>1</v>
      </c>
      <c r="F4423" s="7">
        <v>6078</v>
      </c>
      <c r="G4423">
        <v>0</v>
      </c>
      <c r="H4423" s="7">
        <v>0</v>
      </c>
    </row>
    <row r="4424" spans="1:8">
      <c r="A4424">
        <v>4</v>
      </c>
      <c r="B4424" t="s">
        <v>42</v>
      </c>
      <c r="C4424" t="s">
        <v>33</v>
      </c>
      <c r="D4424">
        <v>0</v>
      </c>
      <c r="E4424">
        <v>1</v>
      </c>
      <c r="F4424" s="7">
        <v>1735.18</v>
      </c>
      <c r="G4424">
        <v>0</v>
      </c>
      <c r="H4424" s="7">
        <v>0</v>
      </c>
    </row>
    <row r="4425" spans="1:8">
      <c r="A4425">
        <v>4</v>
      </c>
      <c r="B4425" t="s">
        <v>42</v>
      </c>
      <c r="C4425" t="s">
        <v>34</v>
      </c>
      <c r="D4425">
        <v>0</v>
      </c>
      <c r="E4425">
        <v>1</v>
      </c>
      <c r="F4425" s="7">
        <v>17331.19</v>
      </c>
      <c r="G4425">
        <v>0</v>
      </c>
      <c r="H4425" s="7">
        <v>0</v>
      </c>
    </row>
    <row r="4426" spans="1:8">
      <c r="A4426">
        <v>4</v>
      </c>
      <c r="B4426" t="s">
        <v>42</v>
      </c>
      <c r="C4426" t="s">
        <v>34</v>
      </c>
      <c r="D4426">
        <v>0</v>
      </c>
      <c r="E4426">
        <v>1</v>
      </c>
      <c r="F4426" s="7">
        <v>13198.22</v>
      </c>
      <c r="G4426">
        <v>0</v>
      </c>
      <c r="H4426" s="7">
        <v>0</v>
      </c>
    </row>
    <row r="4427" spans="1:8">
      <c r="A4427">
        <v>4</v>
      </c>
      <c r="B4427" t="s">
        <v>42</v>
      </c>
      <c r="C4427" t="s">
        <v>34</v>
      </c>
      <c r="D4427">
        <v>0</v>
      </c>
      <c r="E4427">
        <v>1</v>
      </c>
      <c r="F4427" s="7">
        <v>18391.64</v>
      </c>
      <c r="G4427">
        <v>0</v>
      </c>
      <c r="H4427" s="7">
        <v>0</v>
      </c>
    </row>
    <row r="4428" spans="1:8">
      <c r="A4428">
        <v>4</v>
      </c>
      <c r="B4428" t="s">
        <v>42</v>
      </c>
      <c r="C4428" t="s">
        <v>34</v>
      </c>
      <c r="D4428">
        <v>0</v>
      </c>
      <c r="E4428">
        <v>1</v>
      </c>
      <c r="F4428" s="7">
        <v>25313.62</v>
      </c>
      <c r="G4428">
        <v>0</v>
      </c>
      <c r="H4428" s="7">
        <v>0</v>
      </c>
    </row>
    <row r="4429" spans="1:8">
      <c r="A4429">
        <v>4</v>
      </c>
      <c r="B4429" t="s">
        <v>42</v>
      </c>
      <c r="C4429" t="s">
        <v>33</v>
      </c>
      <c r="D4429">
        <v>0</v>
      </c>
      <c r="E4429">
        <v>1</v>
      </c>
      <c r="F4429" s="7">
        <v>4504.32</v>
      </c>
      <c r="G4429">
        <v>0</v>
      </c>
      <c r="H4429" s="7">
        <v>0</v>
      </c>
    </row>
    <row r="4430" spans="1:8">
      <c r="A4430">
        <v>4</v>
      </c>
      <c r="B4430" t="s">
        <v>42</v>
      </c>
      <c r="C4430" t="s">
        <v>33</v>
      </c>
      <c r="D4430">
        <v>0</v>
      </c>
      <c r="E4430">
        <v>1</v>
      </c>
      <c r="F4430" s="7">
        <v>7343.53</v>
      </c>
      <c r="G4430">
        <v>0</v>
      </c>
      <c r="H4430" s="7">
        <v>0</v>
      </c>
    </row>
    <row r="4431" spans="1:8">
      <c r="A4431">
        <v>4</v>
      </c>
      <c r="B4431" t="s">
        <v>42</v>
      </c>
      <c r="C4431" t="s">
        <v>32</v>
      </c>
      <c r="D4431">
        <v>0</v>
      </c>
      <c r="E4431">
        <v>1</v>
      </c>
      <c r="F4431" s="7">
        <v>354.17</v>
      </c>
      <c r="G4431">
        <v>0</v>
      </c>
      <c r="H4431" s="7">
        <v>0</v>
      </c>
    </row>
    <row r="4432" spans="1:8">
      <c r="A4432">
        <v>4</v>
      </c>
      <c r="B4432" t="s">
        <v>42</v>
      </c>
      <c r="C4432" t="s">
        <v>33</v>
      </c>
      <c r="D4432">
        <v>0</v>
      </c>
      <c r="E4432">
        <v>1</v>
      </c>
      <c r="F4432" s="7">
        <v>7331.37</v>
      </c>
      <c r="G4432">
        <v>0</v>
      </c>
      <c r="H4432" s="7">
        <v>0</v>
      </c>
    </row>
    <row r="4433" spans="1:8">
      <c r="A4433">
        <v>4</v>
      </c>
      <c r="B4433" t="s">
        <v>42</v>
      </c>
      <c r="C4433" t="s">
        <v>33</v>
      </c>
      <c r="D4433">
        <v>0</v>
      </c>
      <c r="E4433">
        <v>1</v>
      </c>
      <c r="F4433" s="7">
        <v>2165.53</v>
      </c>
      <c r="G4433">
        <v>0</v>
      </c>
      <c r="H4433" s="7">
        <v>0</v>
      </c>
    </row>
    <row r="4434" spans="1:8">
      <c r="A4434">
        <v>4</v>
      </c>
      <c r="B4434" t="s">
        <v>43</v>
      </c>
      <c r="C4434" t="s">
        <v>34</v>
      </c>
      <c r="D4434">
        <v>0</v>
      </c>
      <c r="E4434">
        <v>1</v>
      </c>
      <c r="F4434" s="7">
        <v>11218.84</v>
      </c>
      <c r="G4434">
        <v>0</v>
      </c>
      <c r="H4434" s="7">
        <v>0</v>
      </c>
    </row>
    <row r="4435" spans="1:8">
      <c r="A4435">
        <v>4</v>
      </c>
      <c r="B4435" t="s">
        <v>42</v>
      </c>
      <c r="C4435" t="s">
        <v>32</v>
      </c>
      <c r="D4435">
        <v>0</v>
      </c>
      <c r="E4435">
        <v>1</v>
      </c>
      <c r="F4435" s="7">
        <v>70.48</v>
      </c>
      <c r="G4435">
        <v>0</v>
      </c>
      <c r="H4435" s="7">
        <v>0</v>
      </c>
    </row>
    <row r="4436" spans="1:8">
      <c r="A4436">
        <v>4</v>
      </c>
      <c r="B4436" t="s">
        <v>42</v>
      </c>
      <c r="C4436" t="s">
        <v>33</v>
      </c>
      <c r="D4436">
        <v>0</v>
      </c>
      <c r="E4436">
        <v>1</v>
      </c>
      <c r="F4436" s="7">
        <v>7706.45</v>
      </c>
      <c r="G4436">
        <v>0</v>
      </c>
      <c r="H4436" s="7">
        <v>0</v>
      </c>
    </row>
    <row r="4437" spans="1:8">
      <c r="A4437">
        <v>4</v>
      </c>
      <c r="B4437" t="s">
        <v>42</v>
      </c>
      <c r="C4437" t="s">
        <v>33</v>
      </c>
      <c r="D4437">
        <v>0</v>
      </c>
      <c r="E4437">
        <v>1</v>
      </c>
      <c r="F4437" s="7">
        <v>2188.32</v>
      </c>
      <c r="G4437">
        <v>0</v>
      </c>
      <c r="H4437" s="7">
        <v>0</v>
      </c>
    </row>
    <row r="4438" spans="1:8">
      <c r="A4438">
        <v>4</v>
      </c>
      <c r="B4438" t="s">
        <v>42</v>
      </c>
      <c r="C4438" t="s">
        <v>33</v>
      </c>
      <c r="D4438">
        <v>0</v>
      </c>
      <c r="E4438">
        <v>1</v>
      </c>
      <c r="F4438" s="7">
        <v>1889.79</v>
      </c>
      <c r="G4438">
        <v>0</v>
      </c>
      <c r="H4438" s="7">
        <v>0</v>
      </c>
    </row>
    <row r="4439" spans="1:8">
      <c r="A4439">
        <v>4</v>
      </c>
      <c r="B4439" t="s">
        <v>42</v>
      </c>
      <c r="C4439" t="s">
        <v>33</v>
      </c>
      <c r="D4439">
        <v>0</v>
      </c>
      <c r="E4439">
        <v>1</v>
      </c>
      <c r="F4439" s="7">
        <v>2598.97</v>
      </c>
      <c r="G4439">
        <v>0</v>
      </c>
      <c r="H4439" s="7">
        <v>0</v>
      </c>
    </row>
    <row r="4440" spans="1:8">
      <c r="A4440">
        <v>4</v>
      </c>
      <c r="B4440" t="s">
        <v>42</v>
      </c>
      <c r="C4440" t="s">
        <v>33</v>
      </c>
      <c r="D4440">
        <v>0</v>
      </c>
      <c r="E4440">
        <v>1</v>
      </c>
      <c r="F4440" s="7">
        <v>2946.8</v>
      </c>
      <c r="G4440">
        <v>0</v>
      </c>
      <c r="H4440" s="7">
        <v>0</v>
      </c>
    </row>
    <row r="4441" spans="1:8">
      <c r="A4441">
        <v>4</v>
      </c>
      <c r="B4441" t="s">
        <v>43</v>
      </c>
      <c r="C4441" t="s">
        <v>33</v>
      </c>
      <c r="D4441">
        <v>0</v>
      </c>
      <c r="E4441">
        <v>1</v>
      </c>
      <c r="F4441" s="7">
        <v>7800.55</v>
      </c>
      <c r="G4441">
        <v>0</v>
      </c>
      <c r="H4441" s="7">
        <v>0</v>
      </c>
    </row>
    <row r="4442" spans="1:8">
      <c r="A4442">
        <v>4</v>
      </c>
      <c r="B4442" t="s">
        <v>42</v>
      </c>
      <c r="C4442" t="s">
        <v>33</v>
      </c>
      <c r="D4442">
        <v>0</v>
      </c>
      <c r="E4442">
        <v>1</v>
      </c>
      <c r="F4442" s="7">
        <v>7589.88</v>
      </c>
      <c r="G4442">
        <v>0</v>
      </c>
      <c r="H4442" s="7">
        <v>0</v>
      </c>
    </row>
    <row r="4443" spans="1:8">
      <c r="A4443">
        <v>4</v>
      </c>
      <c r="B4443" t="s">
        <v>42</v>
      </c>
      <c r="C4443" t="s">
        <v>33</v>
      </c>
      <c r="D4443">
        <v>0</v>
      </c>
      <c r="E4443">
        <v>1</v>
      </c>
      <c r="F4443" s="7">
        <v>2529.38</v>
      </c>
      <c r="G4443">
        <v>0</v>
      </c>
      <c r="H4443" s="7">
        <v>0</v>
      </c>
    </row>
    <row r="4444" spans="1:8">
      <c r="A4444">
        <v>4</v>
      </c>
      <c r="B4444" t="s">
        <v>42</v>
      </c>
      <c r="C4444" t="s">
        <v>32</v>
      </c>
      <c r="D4444">
        <v>0</v>
      </c>
      <c r="E4444">
        <v>1</v>
      </c>
      <c r="F4444" s="7">
        <v>453.25</v>
      </c>
      <c r="G4444">
        <v>0</v>
      </c>
      <c r="H4444" s="7">
        <v>0</v>
      </c>
    </row>
    <row r="4445" spans="1:8">
      <c r="A4445">
        <v>4</v>
      </c>
      <c r="B4445" t="s">
        <v>44</v>
      </c>
      <c r="C4445" t="s">
        <v>34</v>
      </c>
      <c r="D4445">
        <v>0</v>
      </c>
      <c r="E4445">
        <v>1</v>
      </c>
      <c r="F4445" s="7">
        <v>92229.71</v>
      </c>
      <c r="G4445">
        <v>0</v>
      </c>
      <c r="H4445" s="7">
        <v>0</v>
      </c>
    </row>
    <row r="4446" spans="1:8">
      <c r="A4446">
        <v>4</v>
      </c>
      <c r="B4446" t="s">
        <v>43</v>
      </c>
      <c r="C4446" t="s">
        <v>36</v>
      </c>
      <c r="D4446">
        <v>1</v>
      </c>
      <c r="E4446">
        <v>1</v>
      </c>
      <c r="F4446" s="7">
        <v>10000000</v>
      </c>
      <c r="G4446">
        <v>1</v>
      </c>
      <c r="H4446" s="7">
        <v>10000000</v>
      </c>
    </row>
    <row r="4447" spans="1:8">
      <c r="A4447">
        <v>4</v>
      </c>
      <c r="B4447" t="s">
        <v>44</v>
      </c>
      <c r="C4447" t="s">
        <v>36</v>
      </c>
      <c r="D4447">
        <v>1</v>
      </c>
      <c r="E4447">
        <v>1</v>
      </c>
      <c r="F4447" s="7">
        <v>10000000</v>
      </c>
      <c r="G4447">
        <v>1</v>
      </c>
      <c r="H4447" s="7">
        <v>10000000</v>
      </c>
    </row>
    <row r="4448" spans="1:8">
      <c r="A4448">
        <v>4</v>
      </c>
      <c r="B4448" t="s">
        <v>43</v>
      </c>
      <c r="C4448" t="s">
        <v>36</v>
      </c>
      <c r="D4448">
        <v>1</v>
      </c>
      <c r="E4448">
        <v>1</v>
      </c>
      <c r="F4448" s="7">
        <v>2930418.44</v>
      </c>
      <c r="G4448">
        <v>1</v>
      </c>
      <c r="H4448" s="7">
        <v>2930418.44</v>
      </c>
    </row>
    <row r="4449" spans="1:8">
      <c r="A4449">
        <v>4</v>
      </c>
      <c r="B4449" t="s">
        <v>44</v>
      </c>
      <c r="C4449" t="s">
        <v>36</v>
      </c>
      <c r="D4449">
        <v>1</v>
      </c>
      <c r="E4449">
        <v>1</v>
      </c>
      <c r="F4449" s="7">
        <v>2930418.44</v>
      </c>
      <c r="G4449">
        <v>1</v>
      </c>
      <c r="H4449" s="7">
        <v>2930418.44</v>
      </c>
    </row>
    <row r="4450" spans="1:8">
      <c r="A4450">
        <v>4</v>
      </c>
      <c r="B4450" t="s">
        <v>42</v>
      </c>
      <c r="C4450" t="s">
        <v>33</v>
      </c>
      <c r="D4450">
        <v>0</v>
      </c>
      <c r="E4450">
        <v>1</v>
      </c>
      <c r="F4450" s="7">
        <v>2150.61</v>
      </c>
      <c r="G4450">
        <v>0</v>
      </c>
      <c r="H4450" s="7">
        <v>0</v>
      </c>
    </row>
    <row r="4451" spans="1:8">
      <c r="A4451">
        <v>4</v>
      </c>
      <c r="B4451" t="s">
        <v>42</v>
      </c>
      <c r="C4451" t="s">
        <v>32</v>
      </c>
      <c r="D4451">
        <v>0</v>
      </c>
      <c r="E4451">
        <v>1</v>
      </c>
      <c r="F4451" s="7">
        <v>29.03</v>
      </c>
      <c r="G4451">
        <v>0</v>
      </c>
      <c r="H4451" s="7">
        <v>0</v>
      </c>
    </row>
    <row r="4452" spans="1:8">
      <c r="A4452">
        <v>4</v>
      </c>
      <c r="B4452" t="s">
        <v>42</v>
      </c>
      <c r="C4452" t="s">
        <v>33</v>
      </c>
      <c r="D4452">
        <v>0</v>
      </c>
      <c r="E4452">
        <v>1</v>
      </c>
      <c r="F4452" s="7">
        <v>2564.39</v>
      </c>
      <c r="G4452">
        <v>0</v>
      </c>
      <c r="H4452" s="7">
        <v>0</v>
      </c>
    </row>
    <row r="4453" spans="1:8">
      <c r="A4453">
        <v>4</v>
      </c>
      <c r="B4453" t="s">
        <v>42</v>
      </c>
      <c r="C4453" t="s">
        <v>33</v>
      </c>
      <c r="D4453">
        <v>0</v>
      </c>
      <c r="E4453">
        <v>1</v>
      </c>
      <c r="F4453" s="7">
        <v>2941.66</v>
      </c>
      <c r="G4453">
        <v>0</v>
      </c>
      <c r="H4453" s="7">
        <v>0</v>
      </c>
    </row>
    <row r="4454" spans="1:8">
      <c r="A4454">
        <v>4</v>
      </c>
      <c r="B4454" t="s">
        <v>43</v>
      </c>
      <c r="C4454" t="s">
        <v>35</v>
      </c>
      <c r="D4454">
        <v>0</v>
      </c>
      <c r="E4454">
        <v>1</v>
      </c>
      <c r="F4454" s="7">
        <v>170889.82</v>
      </c>
      <c r="G4454">
        <v>0</v>
      </c>
      <c r="H4454" s="7">
        <v>0</v>
      </c>
    </row>
    <row r="4455" spans="1:8">
      <c r="A4455">
        <v>4</v>
      </c>
      <c r="B4455" t="s">
        <v>42</v>
      </c>
      <c r="C4455" t="s">
        <v>33</v>
      </c>
      <c r="D4455">
        <v>0</v>
      </c>
      <c r="E4455">
        <v>1</v>
      </c>
      <c r="F4455" s="7">
        <v>1602.1</v>
      </c>
      <c r="G4455">
        <v>0</v>
      </c>
      <c r="H4455" s="7">
        <v>0</v>
      </c>
    </row>
    <row r="4456" spans="1:8">
      <c r="A4456">
        <v>4</v>
      </c>
      <c r="B4456" t="s">
        <v>42</v>
      </c>
      <c r="C4456" t="s">
        <v>32</v>
      </c>
      <c r="D4456">
        <v>0</v>
      </c>
      <c r="E4456">
        <v>1</v>
      </c>
      <c r="F4456" s="7">
        <v>957.52</v>
      </c>
      <c r="G4456">
        <v>0</v>
      </c>
      <c r="H4456" s="7">
        <v>0</v>
      </c>
    </row>
    <row r="4457" spans="1:8">
      <c r="A4457">
        <v>4</v>
      </c>
      <c r="B4457" t="s">
        <v>42</v>
      </c>
      <c r="C4457" t="s">
        <v>32</v>
      </c>
      <c r="D4457">
        <v>0</v>
      </c>
      <c r="E4457">
        <v>1</v>
      </c>
      <c r="F4457" s="7">
        <v>336.88</v>
      </c>
      <c r="G4457">
        <v>0</v>
      </c>
      <c r="H4457" s="7">
        <v>0</v>
      </c>
    </row>
    <row r="4458" spans="1:8">
      <c r="A4458">
        <v>4</v>
      </c>
      <c r="B4458" t="s">
        <v>42</v>
      </c>
      <c r="C4458" t="s">
        <v>33</v>
      </c>
      <c r="D4458">
        <v>0</v>
      </c>
      <c r="E4458">
        <v>1</v>
      </c>
      <c r="F4458" s="7">
        <v>2251.91</v>
      </c>
      <c r="G4458">
        <v>0</v>
      </c>
      <c r="H4458" s="7">
        <v>0</v>
      </c>
    </row>
    <row r="4459" spans="1:8">
      <c r="A4459">
        <v>4</v>
      </c>
      <c r="B4459" t="s">
        <v>42</v>
      </c>
      <c r="C4459" t="s">
        <v>32</v>
      </c>
      <c r="D4459">
        <v>0</v>
      </c>
      <c r="E4459">
        <v>1</v>
      </c>
      <c r="F4459" s="7">
        <v>139.23</v>
      </c>
      <c r="G4459">
        <v>0</v>
      </c>
      <c r="H4459" s="7">
        <v>0</v>
      </c>
    </row>
    <row r="4460" spans="1:8">
      <c r="A4460">
        <v>4</v>
      </c>
      <c r="B4460" t="s">
        <v>42</v>
      </c>
      <c r="C4460" t="s">
        <v>33</v>
      </c>
      <c r="D4460">
        <v>0</v>
      </c>
      <c r="E4460">
        <v>1</v>
      </c>
      <c r="F4460" s="7">
        <v>3408.82</v>
      </c>
      <c r="G4460">
        <v>0</v>
      </c>
      <c r="H4460" s="7">
        <v>0</v>
      </c>
    </row>
    <row r="4461" spans="1:8">
      <c r="A4461">
        <v>4</v>
      </c>
      <c r="B4461" t="s">
        <v>42</v>
      </c>
      <c r="C4461" t="s">
        <v>33</v>
      </c>
      <c r="D4461">
        <v>0</v>
      </c>
      <c r="E4461">
        <v>1</v>
      </c>
      <c r="F4461" s="7">
        <v>1948.05</v>
      </c>
      <c r="G4461">
        <v>0</v>
      </c>
      <c r="H4461" s="7">
        <v>0</v>
      </c>
    </row>
    <row r="4462" spans="1:8">
      <c r="A4462">
        <v>4</v>
      </c>
      <c r="B4462" t="s">
        <v>46</v>
      </c>
      <c r="C4462" t="s">
        <v>35</v>
      </c>
      <c r="D4462">
        <v>0</v>
      </c>
      <c r="E4462">
        <v>1</v>
      </c>
      <c r="F4462" s="7">
        <v>156238.83</v>
      </c>
      <c r="G4462">
        <v>0</v>
      </c>
      <c r="H4462" s="7">
        <v>0</v>
      </c>
    </row>
    <row r="4463" spans="1:8">
      <c r="A4463">
        <v>4</v>
      </c>
      <c r="B4463" t="s">
        <v>46</v>
      </c>
      <c r="C4463" t="s">
        <v>35</v>
      </c>
      <c r="D4463">
        <v>0</v>
      </c>
      <c r="E4463">
        <v>1</v>
      </c>
      <c r="F4463" s="7">
        <v>130385.04</v>
      </c>
      <c r="G4463">
        <v>0</v>
      </c>
      <c r="H4463" s="7">
        <v>0</v>
      </c>
    </row>
    <row r="4464" spans="1:8">
      <c r="A4464">
        <v>4</v>
      </c>
      <c r="B4464" t="s">
        <v>46</v>
      </c>
      <c r="C4464" t="s">
        <v>35</v>
      </c>
      <c r="D4464">
        <v>0</v>
      </c>
      <c r="E4464">
        <v>1</v>
      </c>
      <c r="F4464" s="7">
        <v>106343.2</v>
      </c>
      <c r="G4464">
        <v>0</v>
      </c>
      <c r="H4464" s="7">
        <v>0</v>
      </c>
    </row>
    <row r="4465" spans="1:8">
      <c r="A4465">
        <v>4</v>
      </c>
      <c r="B4465" t="s">
        <v>46</v>
      </c>
      <c r="C4465" t="s">
        <v>35</v>
      </c>
      <c r="D4465">
        <v>0</v>
      </c>
      <c r="E4465">
        <v>1</v>
      </c>
      <c r="F4465" s="7">
        <v>110562.27</v>
      </c>
      <c r="G4465">
        <v>0</v>
      </c>
      <c r="H4465" s="7">
        <v>0</v>
      </c>
    </row>
    <row r="4466" spans="1:8">
      <c r="A4466">
        <v>4</v>
      </c>
      <c r="B4466" t="s">
        <v>46</v>
      </c>
      <c r="C4466" t="s">
        <v>34</v>
      </c>
      <c r="D4466">
        <v>0</v>
      </c>
      <c r="E4466">
        <v>1</v>
      </c>
      <c r="F4466" s="7">
        <v>80249.55</v>
      </c>
      <c r="G4466">
        <v>0</v>
      </c>
      <c r="H4466" s="7">
        <v>0</v>
      </c>
    </row>
    <row r="4467" spans="1:8">
      <c r="A4467">
        <v>4</v>
      </c>
      <c r="B4467" t="s">
        <v>46</v>
      </c>
      <c r="C4467" t="s">
        <v>34</v>
      </c>
      <c r="D4467">
        <v>0</v>
      </c>
      <c r="E4467">
        <v>1</v>
      </c>
      <c r="F4467" s="7">
        <v>58644.37</v>
      </c>
      <c r="G4467">
        <v>0</v>
      </c>
      <c r="H4467" s="7">
        <v>0</v>
      </c>
    </row>
    <row r="4468" spans="1:8">
      <c r="A4468">
        <v>4</v>
      </c>
      <c r="B4468" t="s">
        <v>46</v>
      </c>
      <c r="C4468" t="s">
        <v>34</v>
      </c>
      <c r="D4468">
        <v>0</v>
      </c>
      <c r="E4468">
        <v>1</v>
      </c>
      <c r="F4468" s="7">
        <v>82172.42</v>
      </c>
      <c r="G4468">
        <v>0</v>
      </c>
      <c r="H4468" s="7">
        <v>0</v>
      </c>
    </row>
    <row r="4469" spans="1:8">
      <c r="A4469">
        <v>4</v>
      </c>
      <c r="B4469" t="s">
        <v>46</v>
      </c>
      <c r="C4469" t="s">
        <v>35</v>
      </c>
      <c r="D4469">
        <v>0</v>
      </c>
      <c r="E4469">
        <v>1</v>
      </c>
      <c r="F4469" s="7">
        <v>161141.8</v>
      </c>
      <c r="G4469">
        <v>0</v>
      </c>
      <c r="H4469" s="7">
        <v>0</v>
      </c>
    </row>
    <row r="4470" spans="1:8">
      <c r="A4470">
        <v>4</v>
      </c>
      <c r="B4470" t="s">
        <v>46</v>
      </c>
      <c r="C4470" t="s">
        <v>35</v>
      </c>
      <c r="D4470">
        <v>0</v>
      </c>
      <c r="E4470">
        <v>1</v>
      </c>
      <c r="F4470" s="7">
        <v>113399.73</v>
      </c>
      <c r="G4470">
        <v>0</v>
      </c>
      <c r="H4470" s="7">
        <v>0</v>
      </c>
    </row>
    <row r="4471" spans="1:8">
      <c r="A4471">
        <v>4</v>
      </c>
      <c r="B4471" t="s">
        <v>46</v>
      </c>
      <c r="C4471" t="s">
        <v>35</v>
      </c>
      <c r="D4471">
        <v>0</v>
      </c>
      <c r="E4471">
        <v>1</v>
      </c>
      <c r="F4471" s="7">
        <v>207252.6</v>
      </c>
      <c r="G4471">
        <v>0</v>
      </c>
      <c r="H4471" s="7">
        <v>0</v>
      </c>
    </row>
    <row r="4472" spans="1:8">
      <c r="A4472">
        <v>4</v>
      </c>
      <c r="B4472" t="s">
        <v>46</v>
      </c>
      <c r="C4472" t="s">
        <v>35</v>
      </c>
      <c r="D4472">
        <v>0</v>
      </c>
      <c r="E4472">
        <v>1</v>
      </c>
      <c r="F4472" s="7">
        <v>242047.69</v>
      </c>
      <c r="G4472">
        <v>0</v>
      </c>
      <c r="H4472" s="7">
        <v>0</v>
      </c>
    </row>
    <row r="4473" spans="1:8">
      <c r="A4473">
        <v>4</v>
      </c>
      <c r="B4473" t="s">
        <v>46</v>
      </c>
      <c r="C4473" t="s">
        <v>35</v>
      </c>
      <c r="D4473">
        <v>0</v>
      </c>
      <c r="E4473">
        <v>1</v>
      </c>
      <c r="F4473" s="7">
        <v>107730.87</v>
      </c>
      <c r="G4473">
        <v>0</v>
      </c>
      <c r="H4473" s="7">
        <v>0</v>
      </c>
    </row>
    <row r="4474" spans="1:8">
      <c r="A4474">
        <v>4</v>
      </c>
      <c r="B4474" t="s">
        <v>46</v>
      </c>
      <c r="C4474" t="s">
        <v>34</v>
      </c>
      <c r="D4474">
        <v>0</v>
      </c>
      <c r="E4474">
        <v>1</v>
      </c>
      <c r="F4474" s="7">
        <v>72495.9</v>
      </c>
      <c r="G4474">
        <v>0</v>
      </c>
      <c r="H4474" s="7">
        <v>0</v>
      </c>
    </row>
    <row r="4475" spans="1:8">
      <c r="A4475">
        <v>4</v>
      </c>
      <c r="B4475" t="s">
        <v>46</v>
      </c>
      <c r="C4475" t="s">
        <v>34</v>
      </c>
      <c r="D4475">
        <v>0</v>
      </c>
      <c r="E4475">
        <v>1</v>
      </c>
      <c r="F4475" s="7">
        <v>90646.09</v>
      </c>
      <c r="G4475">
        <v>0</v>
      </c>
      <c r="H4475" s="7">
        <v>0</v>
      </c>
    </row>
    <row r="4476" spans="1:8">
      <c r="A4476">
        <v>4</v>
      </c>
      <c r="B4476" t="s">
        <v>46</v>
      </c>
      <c r="C4476" t="s">
        <v>35</v>
      </c>
      <c r="D4476">
        <v>0</v>
      </c>
      <c r="E4476">
        <v>1</v>
      </c>
      <c r="F4476" s="7">
        <v>196821.07</v>
      </c>
      <c r="G4476">
        <v>0</v>
      </c>
      <c r="H4476" s="7">
        <v>0</v>
      </c>
    </row>
    <row r="4477" spans="1:8">
      <c r="A4477">
        <v>4</v>
      </c>
      <c r="B4477" t="s">
        <v>46</v>
      </c>
      <c r="C4477" t="s">
        <v>34</v>
      </c>
      <c r="D4477">
        <v>0</v>
      </c>
      <c r="E4477">
        <v>1</v>
      </c>
      <c r="F4477" s="7">
        <v>87541.63</v>
      </c>
      <c r="G4477">
        <v>0</v>
      </c>
      <c r="H4477" s="7">
        <v>0</v>
      </c>
    </row>
    <row r="4478" spans="1:8">
      <c r="A4478">
        <v>4</v>
      </c>
      <c r="B4478" t="s">
        <v>46</v>
      </c>
      <c r="C4478" t="s">
        <v>34</v>
      </c>
      <c r="D4478">
        <v>0</v>
      </c>
      <c r="E4478">
        <v>1</v>
      </c>
      <c r="F4478" s="7">
        <v>80278.26</v>
      </c>
      <c r="G4478">
        <v>0</v>
      </c>
      <c r="H4478" s="7">
        <v>0</v>
      </c>
    </row>
    <row r="4479" spans="1:8">
      <c r="A4479">
        <v>4</v>
      </c>
      <c r="B4479" t="s">
        <v>46</v>
      </c>
      <c r="C4479" t="s">
        <v>34</v>
      </c>
      <c r="D4479">
        <v>0</v>
      </c>
      <c r="E4479">
        <v>1</v>
      </c>
      <c r="F4479" s="7">
        <v>49984.03</v>
      </c>
      <c r="G4479">
        <v>0</v>
      </c>
      <c r="H4479" s="7">
        <v>0</v>
      </c>
    </row>
    <row r="4480" spans="1:8">
      <c r="A4480">
        <v>4</v>
      </c>
      <c r="B4480" t="s">
        <v>46</v>
      </c>
      <c r="C4480" t="s">
        <v>34</v>
      </c>
      <c r="D4480">
        <v>0</v>
      </c>
      <c r="E4480">
        <v>1</v>
      </c>
      <c r="F4480" s="7">
        <v>81300.2</v>
      </c>
      <c r="G4480">
        <v>0</v>
      </c>
      <c r="H4480" s="7">
        <v>0</v>
      </c>
    </row>
    <row r="4481" spans="1:8">
      <c r="A4481">
        <v>4</v>
      </c>
      <c r="B4481" t="s">
        <v>46</v>
      </c>
      <c r="C4481" t="s">
        <v>35</v>
      </c>
      <c r="D4481">
        <v>0</v>
      </c>
      <c r="E4481">
        <v>1</v>
      </c>
      <c r="F4481" s="7">
        <v>100669.53</v>
      </c>
      <c r="G4481">
        <v>0</v>
      </c>
      <c r="H4481" s="7">
        <v>0</v>
      </c>
    </row>
    <row r="4482" spans="1:8">
      <c r="A4482">
        <v>4</v>
      </c>
      <c r="B4482" t="s">
        <v>46</v>
      </c>
      <c r="C4482" t="s">
        <v>35</v>
      </c>
      <c r="D4482">
        <v>0</v>
      </c>
      <c r="E4482">
        <v>1</v>
      </c>
      <c r="F4482" s="7">
        <v>127307.99</v>
      </c>
      <c r="G4482">
        <v>0</v>
      </c>
      <c r="H4482" s="7">
        <v>0</v>
      </c>
    </row>
    <row r="4483" spans="1:8">
      <c r="A4483">
        <v>4</v>
      </c>
      <c r="B4483" t="s">
        <v>46</v>
      </c>
      <c r="C4483" t="s">
        <v>34</v>
      </c>
      <c r="D4483">
        <v>0</v>
      </c>
      <c r="E4483">
        <v>1</v>
      </c>
      <c r="F4483" s="7">
        <v>12510.49</v>
      </c>
      <c r="G4483">
        <v>0</v>
      </c>
      <c r="H4483" s="7">
        <v>0</v>
      </c>
    </row>
    <row r="4484" spans="1:8">
      <c r="A4484">
        <v>4</v>
      </c>
      <c r="B4484" t="s">
        <v>46</v>
      </c>
      <c r="C4484" t="s">
        <v>34</v>
      </c>
      <c r="D4484">
        <v>0</v>
      </c>
      <c r="E4484">
        <v>1</v>
      </c>
      <c r="F4484" s="7">
        <v>63936.91</v>
      </c>
      <c r="G4484">
        <v>0</v>
      </c>
      <c r="H4484" s="7">
        <v>0</v>
      </c>
    </row>
    <row r="4485" spans="1:8">
      <c r="A4485">
        <v>4</v>
      </c>
      <c r="B4485" t="s">
        <v>46</v>
      </c>
      <c r="C4485" t="s">
        <v>34</v>
      </c>
      <c r="D4485">
        <v>0</v>
      </c>
      <c r="E4485">
        <v>1</v>
      </c>
      <c r="F4485" s="7">
        <v>95655.86</v>
      </c>
      <c r="G4485">
        <v>0</v>
      </c>
      <c r="H4485" s="7">
        <v>0</v>
      </c>
    </row>
    <row r="4486" spans="1:8">
      <c r="A4486">
        <v>4</v>
      </c>
      <c r="B4486" t="s">
        <v>46</v>
      </c>
      <c r="C4486" t="s">
        <v>34</v>
      </c>
      <c r="D4486">
        <v>0</v>
      </c>
      <c r="E4486">
        <v>1</v>
      </c>
      <c r="F4486" s="7">
        <v>38606.17</v>
      </c>
      <c r="G4486">
        <v>0</v>
      </c>
      <c r="H4486" s="7">
        <v>0</v>
      </c>
    </row>
    <row r="4487" spans="1:8">
      <c r="A4487">
        <v>4</v>
      </c>
      <c r="B4487" t="s">
        <v>46</v>
      </c>
      <c r="C4487" t="s">
        <v>34</v>
      </c>
      <c r="D4487">
        <v>0</v>
      </c>
      <c r="E4487">
        <v>1</v>
      </c>
      <c r="F4487" s="7">
        <v>23717.57</v>
      </c>
      <c r="G4487">
        <v>0</v>
      </c>
      <c r="H4487" s="7">
        <v>0</v>
      </c>
    </row>
    <row r="4488" spans="1:8">
      <c r="A4488">
        <v>4</v>
      </c>
      <c r="B4488" t="s">
        <v>46</v>
      </c>
      <c r="C4488" t="s">
        <v>34</v>
      </c>
      <c r="D4488">
        <v>0</v>
      </c>
      <c r="E4488">
        <v>1</v>
      </c>
      <c r="F4488" s="7">
        <v>15273.3</v>
      </c>
      <c r="G4488">
        <v>0</v>
      </c>
      <c r="H4488" s="7">
        <v>0</v>
      </c>
    </row>
    <row r="4489" spans="1:8">
      <c r="A4489">
        <v>4</v>
      </c>
      <c r="B4489" t="s">
        <v>46</v>
      </c>
      <c r="C4489" t="s">
        <v>35</v>
      </c>
      <c r="D4489">
        <v>0</v>
      </c>
      <c r="E4489">
        <v>1</v>
      </c>
      <c r="F4489" s="7">
        <v>108819.21</v>
      </c>
      <c r="G4489">
        <v>0</v>
      </c>
      <c r="H4489" s="7">
        <v>0</v>
      </c>
    </row>
    <row r="4490" spans="1:8">
      <c r="A4490">
        <v>4</v>
      </c>
      <c r="B4490" t="s">
        <v>46</v>
      </c>
      <c r="C4490" t="s">
        <v>35</v>
      </c>
      <c r="D4490">
        <v>0</v>
      </c>
      <c r="E4490">
        <v>1</v>
      </c>
      <c r="F4490" s="7">
        <v>394042.27</v>
      </c>
      <c r="G4490">
        <v>0</v>
      </c>
      <c r="H4490" s="7">
        <v>0</v>
      </c>
    </row>
    <row r="4491" spans="1:8">
      <c r="A4491">
        <v>4</v>
      </c>
      <c r="B4491" t="s">
        <v>46</v>
      </c>
      <c r="C4491" t="s">
        <v>34</v>
      </c>
      <c r="D4491">
        <v>0</v>
      </c>
      <c r="E4491">
        <v>1</v>
      </c>
      <c r="F4491" s="7">
        <v>41744.33</v>
      </c>
      <c r="G4491">
        <v>0</v>
      </c>
      <c r="H4491" s="7">
        <v>0</v>
      </c>
    </row>
    <row r="4492" spans="1:8">
      <c r="A4492">
        <v>4</v>
      </c>
      <c r="B4492" t="s">
        <v>46</v>
      </c>
      <c r="C4492" t="s">
        <v>35</v>
      </c>
      <c r="D4492">
        <v>0</v>
      </c>
      <c r="E4492">
        <v>1</v>
      </c>
      <c r="F4492" s="7">
        <v>611924.5</v>
      </c>
      <c r="G4492">
        <v>0</v>
      </c>
      <c r="H4492" s="7">
        <v>0</v>
      </c>
    </row>
    <row r="4493" spans="1:8">
      <c r="A4493">
        <v>4</v>
      </c>
      <c r="B4493" t="s">
        <v>46</v>
      </c>
      <c r="C4493" t="s">
        <v>35</v>
      </c>
      <c r="D4493">
        <v>0</v>
      </c>
      <c r="E4493">
        <v>1</v>
      </c>
      <c r="F4493" s="7">
        <v>236430.58</v>
      </c>
      <c r="G4493">
        <v>0</v>
      </c>
      <c r="H4493" s="7">
        <v>0</v>
      </c>
    </row>
    <row r="4494" spans="1:8">
      <c r="A4494">
        <v>4</v>
      </c>
      <c r="B4494" t="s">
        <v>46</v>
      </c>
      <c r="C4494" t="s">
        <v>35</v>
      </c>
      <c r="D4494">
        <v>0</v>
      </c>
      <c r="E4494">
        <v>1</v>
      </c>
      <c r="F4494" s="7">
        <v>491195.84</v>
      </c>
      <c r="G4494">
        <v>0</v>
      </c>
      <c r="H4494" s="7">
        <v>0</v>
      </c>
    </row>
    <row r="4495" spans="1:8">
      <c r="A4495">
        <v>4</v>
      </c>
      <c r="B4495" t="s">
        <v>46</v>
      </c>
      <c r="C4495" t="s">
        <v>35</v>
      </c>
      <c r="D4495">
        <v>0</v>
      </c>
      <c r="E4495">
        <v>1</v>
      </c>
      <c r="F4495" s="7">
        <v>278307.65</v>
      </c>
      <c r="G4495">
        <v>0</v>
      </c>
      <c r="H4495" s="7">
        <v>0</v>
      </c>
    </row>
    <row r="4496" spans="1:8">
      <c r="A4496">
        <v>4</v>
      </c>
      <c r="B4496" t="s">
        <v>46</v>
      </c>
      <c r="C4496" t="s">
        <v>34</v>
      </c>
      <c r="D4496">
        <v>0</v>
      </c>
      <c r="E4496">
        <v>1</v>
      </c>
      <c r="F4496" s="7">
        <v>98533.44</v>
      </c>
      <c r="G4496">
        <v>0</v>
      </c>
      <c r="H4496" s="7">
        <v>0</v>
      </c>
    </row>
    <row r="4497" spans="1:8">
      <c r="A4497">
        <v>4</v>
      </c>
      <c r="B4497" t="s">
        <v>46</v>
      </c>
      <c r="C4497" t="s">
        <v>35</v>
      </c>
      <c r="D4497">
        <v>0</v>
      </c>
      <c r="E4497">
        <v>1</v>
      </c>
      <c r="F4497" s="7">
        <v>206139.73</v>
      </c>
      <c r="G4497">
        <v>0</v>
      </c>
      <c r="H4497" s="7">
        <v>0</v>
      </c>
    </row>
    <row r="4498" spans="1:8">
      <c r="A4498">
        <v>4</v>
      </c>
      <c r="B4498" t="s">
        <v>46</v>
      </c>
      <c r="C4498" t="s">
        <v>35</v>
      </c>
      <c r="D4498">
        <v>0</v>
      </c>
      <c r="E4498">
        <v>1</v>
      </c>
      <c r="F4498" s="7">
        <v>546131.94</v>
      </c>
      <c r="G4498">
        <v>0</v>
      </c>
      <c r="H4498" s="7">
        <v>0</v>
      </c>
    </row>
    <row r="4499" spans="1:8">
      <c r="A4499">
        <v>4</v>
      </c>
      <c r="B4499" t="s">
        <v>46</v>
      </c>
      <c r="C4499" t="s">
        <v>34</v>
      </c>
      <c r="D4499">
        <v>0</v>
      </c>
      <c r="E4499">
        <v>1</v>
      </c>
      <c r="F4499" s="7">
        <v>71758.1</v>
      </c>
      <c r="G4499">
        <v>0</v>
      </c>
      <c r="H4499" s="7">
        <v>0</v>
      </c>
    </row>
    <row r="4500" spans="1:8">
      <c r="A4500">
        <v>4</v>
      </c>
      <c r="B4500" t="s">
        <v>46</v>
      </c>
      <c r="C4500" t="s">
        <v>35</v>
      </c>
      <c r="D4500">
        <v>0</v>
      </c>
      <c r="E4500">
        <v>1</v>
      </c>
      <c r="F4500" s="7">
        <v>396469.72</v>
      </c>
      <c r="G4500">
        <v>0</v>
      </c>
      <c r="H4500" s="7">
        <v>0</v>
      </c>
    </row>
    <row r="4501" spans="1:8">
      <c r="A4501">
        <v>4</v>
      </c>
      <c r="B4501" t="s">
        <v>46</v>
      </c>
      <c r="C4501" t="s">
        <v>35</v>
      </c>
      <c r="D4501">
        <v>0</v>
      </c>
      <c r="E4501">
        <v>1</v>
      </c>
      <c r="F4501" s="7">
        <v>214223.74</v>
      </c>
      <c r="G4501">
        <v>0</v>
      </c>
      <c r="H4501" s="7">
        <v>0</v>
      </c>
    </row>
    <row r="4502" spans="1:8">
      <c r="A4502">
        <v>4</v>
      </c>
      <c r="B4502" t="s">
        <v>46</v>
      </c>
      <c r="C4502" t="s">
        <v>35</v>
      </c>
      <c r="D4502">
        <v>0</v>
      </c>
      <c r="E4502">
        <v>1</v>
      </c>
      <c r="F4502" s="7">
        <v>144517.47</v>
      </c>
      <c r="G4502">
        <v>0</v>
      </c>
      <c r="H4502" s="7">
        <v>0</v>
      </c>
    </row>
    <row r="4503" spans="1:8">
      <c r="A4503">
        <v>4</v>
      </c>
      <c r="B4503" t="s">
        <v>46</v>
      </c>
      <c r="C4503" t="s">
        <v>35</v>
      </c>
      <c r="D4503">
        <v>0</v>
      </c>
      <c r="E4503">
        <v>1</v>
      </c>
      <c r="F4503" s="7">
        <v>142853.33</v>
      </c>
      <c r="G4503">
        <v>0</v>
      </c>
      <c r="H4503" s="7">
        <v>0</v>
      </c>
    </row>
    <row r="4504" spans="1:8">
      <c r="A4504">
        <v>4</v>
      </c>
      <c r="B4504" t="s">
        <v>46</v>
      </c>
      <c r="C4504" t="s">
        <v>35</v>
      </c>
      <c r="D4504">
        <v>0</v>
      </c>
      <c r="E4504">
        <v>1</v>
      </c>
      <c r="F4504" s="7">
        <v>192740.42</v>
      </c>
      <c r="G4504">
        <v>0</v>
      </c>
      <c r="H4504" s="7">
        <v>0</v>
      </c>
    </row>
    <row r="4505" spans="1:8">
      <c r="A4505">
        <v>4</v>
      </c>
      <c r="B4505" t="s">
        <v>46</v>
      </c>
      <c r="C4505" t="s">
        <v>34</v>
      </c>
      <c r="D4505">
        <v>0</v>
      </c>
      <c r="E4505">
        <v>1</v>
      </c>
      <c r="F4505" s="7">
        <v>64846.34</v>
      </c>
      <c r="G4505">
        <v>0</v>
      </c>
      <c r="H4505" s="7">
        <v>0</v>
      </c>
    </row>
    <row r="4506" spans="1:8">
      <c r="A4506">
        <v>4</v>
      </c>
      <c r="B4506" t="s">
        <v>46</v>
      </c>
      <c r="C4506" t="s">
        <v>35</v>
      </c>
      <c r="D4506">
        <v>0</v>
      </c>
      <c r="E4506">
        <v>1</v>
      </c>
      <c r="F4506" s="7">
        <v>146467.87</v>
      </c>
      <c r="G4506">
        <v>0</v>
      </c>
      <c r="H4506" s="7">
        <v>0</v>
      </c>
    </row>
    <row r="4507" spans="1:8">
      <c r="A4507">
        <v>4</v>
      </c>
      <c r="B4507" t="s">
        <v>46</v>
      </c>
      <c r="C4507" t="s">
        <v>35</v>
      </c>
      <c r="D4507">
        <v>0</v>
      </c>
      <c r="E4507">
        <v>1</v>
      </c>
      <c r="F4507" s="7">
        <v>120836.05</v>
      </c>
      <c r="G4507">
        <v>0</v>
      </c>
      <c r="H4507" s="7">
        <v>0</v>
      </c>
    </row>
    <row r="4508" spans="1:8">
      <c r="A4508">
        <v>4</v>
      </c>
      <c r="B4508" t="s">
        <v>46</v>
      </c>
      <c r="C4508" t="s">
        <v>35</v>
      </c>
      <c r="D4508">
        <v>0</v>
      </c>
      <c r="E4508">
        <v>1</v>
      </c>
      <c r="F4508" s="7">
        <v>311330.4</v>
      </c>
      <c r="G4508">
        <v>0</v>
      </c>
      <c r="H4508" s="7">
        <v>0</v>
      </c>
    </row>
    <row r="4509" spans="1:8">
      <c r="A4509">
        <v>4</v>
      </c>
      <c r="B4509" t="s">
        <v>46</v>
      </c>
      <c r="C4509" t="s">
        <v>35</v>
      </c>
      <c r="D4509">
        <v>0</v>
      </c>
      <c r="E4509">
        <v>1</v>
      </c>
      <c r="F4509" s="7">
        <v>272453.68</v>
      </c>
      <c r="G4509">
        <v>0</v>
      </c>
      <c r="H4509" s="7">
        <v>0</v>
      </c>
    </row>
    <row r="4510" spans="1:8">
      <c r="A4510">
        <v>4</v>
      </c>
      <c r="B4510" t="s">
        <v>46</v>
      </c>
      <c r="C4510" t="s">
        <v>35</v>
      </c>
      <c r="D4510">
        <v>0</v>
      </c>
      <c r="E4510">
        <v>1</v>
      </c>
      <c r="F4510" s="7">
        <v>209292.82</v>
      </c>
      <c r="G4510">
        <v>0</v>
      </c>
      <c r="H4510" s="7">
        <v>0</v>
      </c>
    </row>
    <row r="4511" spans="1:8">
      <c r="A4511">
        <v>4</v>
      </c>
      <c r="B4511" t="s">
        <v>46</v>
      </c>
      <c r="C4511" t="s">
        <v>34</v>
      </c>
      <c r="D4511">
        <v>0</v>
      </c>
      <c r="E4511">
        <v>1</v>
      </c>
      <c r="F4511" s="7">
        <v>58095.79</v>
      </c>
      <c r="G4511">
        <v>0</v>
      </c>
      <c r="H4511" s="7">
        <v>0</v>
      </c>
    </row>
    <row r="4512" spans="1:8">
      <c r="A4512">
        <v>4</v>
      </c>
      <c r="B4512" t="s">
        <v>46</v>
      </c>
      <c r="C4512" t="s">
        <v>35</v>
      </c>
      <c r="D4512">
        <v>0</v>
      </c>
      <c r="E4512">
        <v>1</v>
      </c>
      <c r="F4512" s="7">
        <v>260176.72</v>
      </c>
      <c r="G4512">
        <v>0</v>
      </c>
      <c r="H4512" s="7">
        <v>0</v>
      </c>
    </row>
    <row r="4513" spans="1:8">
      <c r="A4513">
        <v>4</v>
      </c>
      <c r="B4513" t="s">
        <v>46</v>
      </c>
      <c r="C4513" t="s">
        <v>34</v>
      </c>
      <c r="D4513">
        <v>0</v>
      </c>
      <c r="E4513">
        <v>1</v>
      </c>
      <c r="F4513" s="7">
        <v>55837.04</v>
      </c>
      <c r="G4513">
        <v>0</v>
      </c>
      <c r="H4513" s="7">
        <v>0</v>
      </c>
    </row>
    <row r="4514" spans="1:8">
      <c r="A4514">
        <v>4</v>
      </c>
      <c r="B4514" t="s">
        <v>46</v>
      </c>
      <c r="C4514" t="s">
        <v>34</v>
      </c>
      <c r="D4514">
        <v>0</v>
      </c>
      <c r="E4514">
        <v>1</v>
      </c>
      <c r="F4514" s="7">
        <v>27850.03</v>
      </c>
      <c r="G4514">
        <v>0</v>
      </c>
      <c r="H4514" s="7">
        <v>0</v>
      </c>
    </row>
    <row r="4515" spans="1:8">
      <c r="A4515">
        <v>4</v>
      </c>
      <c r="B4515" t="s">
        <v>46</v>
      </c>
      <c r="C4515" t="s">
        <v>35</v>
      </c>
      <c r="D4515">
        <v>0</v>
      </c>
      <c r="E4515">
        <v>1</v>
      </c>
      <c r="F4515" s="7">
        <v>309379.18</v>
      </c>
      <c r="G4515">
        <v>0</v>
      </c>
      <c r="H4515" s="7">
        <v>0</v>
      </c>
    </row>
    <row r="4516" spans="1:8">
      <c r="A4516">
        <v>4</v>
      </c>
      <c r="B4516" t="s">
        <v>46</v>
      </c>
      <c r="C4516" t="s">
        <v>33</v>
      </c>
      <c r="D4516">
        <v>0</v>
      </c>
      <c r="E4516">
        <v>1</v>
      </c>
      <c r="F4516" s="7">
        <v>3563.97</v>
      </c>
      <c r="G4516">
        <v>0</v>
      </c>
      <c r="H4516" s="7">
        <v>0</v>
      </c>
    </row>
    <row r="4517" spans="1:8">
      <c r="A4517">
        <v>4</v>
      </c>
      <c r="B4517" t="s">
        <v>46</v>
      </c>
      <c r="C4517" t="s">
        <v>34</v>
      </c>
      <c r="D4517">
        <v>0</v>
      </c>
      <c r="E4517">
        <v>1</v>
      </c>
      <c r="F4517" s="7">
        <v>85955.62</v>
      </c>
      <c r="G4517">
        <v>0</v>
      </c>
      <c r="H4517" s="7">
        <v>0</v>
      </c>
    </row>
    <row r="4518" spans="1:8">
      <c r="A4518">
        <v>4</v>
      </c>
      <c r="B4518" t="s">
        <v>46</v>
      </c>
      <c r="C4518" t="s">
        <v>34</v>
      </c>
      <c r="D4518">
        <v>0</v>
      </c>
      <c r="E4518">
        <v>1</v>
      </c>
      <c r="F4518" s="7">
        <v>18835.46</v>
      </c>
      <c r="G4518">
        <v>0</v>
      </c>
      <c r="H4518" s="7">
        <v>0</v>
      </c>
    </row>
    <row r="4519" spans="1:8">
      <c r="A4519">
        <v>4</v>
      </c>
      <c r="B4519" t="s">
        <v>46</v>
      </c>
      <c r="C4519" t="s">
        <v>35</v>
      </c>
      <c r="D4519">
        <v>0</v>
      </c>
      <c r="E4519">
        <v>1</v>
      </c>
      <c r="F4519" s="7">
        <v>193626.89</v>
      </c>
      <c r="G4519">
        <v>0</v>
      </c>
      <c r="H4519" s="7">
        <v>0</v>
      </c>
    </row>
    <row r="4520" spans="1:8">
      <c r="A4520">
        <v>4</v>
      </c>
      <c r="B4520" t="s">
        <v>46</v>
      </c>
      <c r="C4520" t="s">
        <v>35</v>
      </c>
      <c r="D4520">
        <v>0</v>
      </c>
      <c r="E4520">
        <v>1</v>
      </c>
      <c r="F4520" s="7">
        <v>633287.14</v>
      </c>
      <c r="G4520">
        <v>0</v>
      </c>
      <c r="H4520" s="7">
        <v>0</v>
      </c>
    </row>
    <row r="4521" spans="1:8">
      <c r="A4521">
        <v>4</v>
      </c>
      <c r="B4521" t="s">
        <v>46</v>
      </c>
      <c r="C4521" t="s">
        <v>35</v>
      </c>
      <c r="D4521">
        <v>0</v>
      </c>
      <c r="E4521">
        <v>1</v>
      </c>
      <c r="F4521" s="7">
        <v>324089.47</v>
      </c>
      <c r="G4521">
        <v>0</v>
      </c>
      <c r="H4521" s="7">
        <v>0</v>
      </c>
    </row>
    <row r="4522" spans="1:8">
      <c r="A4522">
        <v>4</v>
      </c>
      <c r="B4522" t="s">
        <v>46</v>
      </c>
      <c r="C4522" t="s">
        <v>33</v>
      </c>
      <c r="D4522">
        <v>0</v>
      </c>
      <c r="E4522">
        <v>1</v>
      </c>
      <c r="F4522" s="7">
        <v>3523.06</v>
      </c>
      <c r="G4522">
        <v>0</v>
      </c>
      <c r="H4522" s="7">
        <v>0</v>
      </c>
    </row>
    <row r="4523" spans="1:8">
      <c r="A4523">
        <v>4</v>
      </c>
      <c r="B4523" t="s">
        <v>46</v>
      </c>
      <c r="C4523" t="s">
        <v>35</v>
      </c>
      <c r="D4523">
        <v>0</v>
      </c>
      <c r="E4523">
        <v>1</v>
      </c>
      <c r="F4523" s="7">
        <v>102751.5</v>
      </c>
      <c r="G4523">
        <v>0</v>
      </c>
      <c r="H4523" s="7">
        <v>0</v>
      </c>
    </row>
    <row r="4524" spans="1:8">
      <c r="A4524">
        <v>4</v>
      </c>
      <c r="B4524" t="s">
        <v>46</v>
      </c>
      <c r="C4524" t="s">
        <v>35</v>
      </c>
      <c r="D4524">
        <v>0</v>
      </c>
      <c r="E4524">
        <v>1</v>
      </c>
      <c r="F4524" s="7">
        <v>494810.97</v>
      </c>
      <c r="G4524">
        <v>0</v>
      </c>
      <c r="H4524" s="7">
        <v>0</v>
      </c>
    </row>
    <row r="4525" spans="1:8">
      <c r="A4525">
        <v>4</v>
      </c>
      <c r="B4525" t="s">
        <v>46</v>
      </c>
      <c r="C4525" t="s">
        <v>34</v>
      </c>
      <c r="D4525">
        <v>0</v>
      </c>
      <c r="E4525">
        <v>1</v>
      </c>
      <c r="F4525" s="7">
        <v>17058.54</v>
      </c>
      <c r="G4525">
        <v>0</v>
      </c>
      <c r="H4525" s="7">
        <v>0</v>
      </c>
    </row>
    <row r="4526" spans="1:8">
      <c r="A4526">
        <v>4</v>
      </c>
      <c r="B4526" t="s">
        <v>46</v>
      </c>
      <c r="C4526" t="s">
        <v>35</v>
      </c>
      <c r="D4526">
        <v>0</v>
      </c>
      <c r="E4526">
        <v>1</v>
      </c>
      <c r="F4526" s="7">
        <v>235409.03</v>
      </c>
      <c r="G4526">
        <v>0</v>
      </c>
      <c r="H4526" s="7">
        <v>0</v>
      </c>
    </row>
    <row r="4527" spans="1:8">
      <c r="A4527">
        <v>4</v>
      </c>
      <c r="B4527" t="s">
        <v>46</v>
      </c>
      <c r="C4527" t="s">
        <v>35</v>
      </c>
      <c r="D4527">
        <v>0</v>
      </c>
      <c r="E4527">
        <v>1</v>
      </c>
      <c r="F4527" s="7">
        <v>489529.12</v>
      </c>
      <c r="G4527">
        <v>0</v>
      </c>
      <c r="H4527" s="7">
        <v>0</v>
      </c>
    </row>
    <row r="4528" spans="1:8">
      <c r="A4528">
        <v>4</v>
      </c>
      <c r="B4528" t="s">
        <v>46</v>
      </c>
      <c r="C4528" t="s">
        <v>34</v>
      </c>
      <c r="D4528">
        <v>0</v>
      </c>
      <c r="E4528">
        <v>1</v>
      </c>
      <c r="F4528" s="7">
        <v>58520.38</v>
      </c>
      <c r="G4528">
        <v>0</v>
      </c>
      <c r="H4528" s="7">
        <v>0</v>
      </c>
    </row>
    <row r="4529" spans="1:8">
      <c r="A4529">
        <v>4</v>
      </c>
      <c r="B4529" t="s">
        <v>46</v>
      </c>
      <c r="C4529" t="s">
        <v>35</v>
      </c>
      <c r="D4529">
        <v>0</v>
      </c>
      <c r="E4529">
        <v>1</v>
      </c>
      <c r="F4529" s="7">
        <v>340535.73</v>
      </c>
      <c r="G4529">
        <v>0</v>
      </c>
      <c r="H4529" s="7">
        <v>0</v>
      </c>
    </row>
    <row r="4530" spans="1:8">
      <c r="A4530">
        <v>4</v>
      </c>
      <c r="B4530" t="s">
        <v>46</v>
      </c>
      <c r="C4530" t="s">
        <v>34</v>
      </c>
      <c r="D4530">
        <v>0</v>
      </c>
      <c r="E4530">
        <v>1</v>
      </c>
      <c r="F4530" s="7">
        <v>34407.36</v>
      </c>
      <c r="G4530">
        <v>0</v>
      </c>
      <c r="H4530" s="7">
        <v>0</v>
      </c>
    </row>
    <row r="4531" spans="1:8">
      <c r="A4531">
        <v>4</v>
      </c>
      <c r="B4531" t="s">
        <v>46</v>
      </c>
      <c r="C4531" t="s">
        <v>35</v>
      </c>
      <c r="D4531">
        <v>0</v>
      </c>
      <c r="E4531">
        <v>1</v>
      </c>
      <c r="F4531" s="7">
        <v>566838.74</v>
      </c>
      <c r="G4531">
        <v>0</v>
      </c>
      <c r="H4531" s="7">
        <v>0</v>
      </c>
    </row>
    <row r="4532" spans="1:8">
      <c r="A4532">
        <v>4</v>
      </c>
      <c r="B4532" t="s">
        <v>46</v>
      </c>
      <c r="C4532" t="s">
        <v>35</v>
      </c>
      <c r="D4532">
        <v>0</v>
      </c>
      <c r="E4532">
        <v>1</v>
      </c>
      <c r="F4532" s="7">
        <v>161339.92</v>
      </c>
      <c r="G4532">
        <v>0</v>
      </c>
      <c r="H4532" s="7">
        <v>0</v>
      </c>
    </row>
    <row r="4533" spans="1:8">
      <c r="A4533">
        <v>4</v>
      </c>
      <c r="B4533" t="s">
        <v>42</v>
      </c>
      <c r="C4533" t="s">
        <v>32</v>
      </c>
      <c r="D4533">
        <v>0</v>
      </c>
      <c r="E4533">
        <v>1</v>
      </c>
      <c r="F4533" s="7">
        <v>826.25</v>
      </c>
      <c r="G4533">
        <v>0</v>
      </c>
      <c r="H4533" s="7">
        <v>0</v>
      </c>
    </row>
    <row r="4534" spans="1:8">
      <c r="A4534">
        <v>4</v>
      </c>
      <c r="B4534" t="s">
        <v>42</v>
      </c>
      <c r="C4534" t="s">
        <v>32</v>
      </c>
      <c r="D4534">
        <v>0</v>
      </c>
      <c r="E4534">
        <v>1</v>
      </c>
      <c r="F4534" s="7">
        <v>774.72</v>
      </c>
      <c r="G4534">
        <v>0</v>
      </c>
      <c r="H4534" s="7">
        <v>0</v>
      </c>
    </row>
    <row r="4535" spans="1:8">
      <c r="A4535">
        <v>4</v>
      </c>
      <c r="B4535" t="s">
        <v>42</v>
      </c>
      <c r="C4535" t="s">
        <v>33</v>
      </c>
      <c r="D4535">
        <v>0</v>
      </c>
      <c r="E4535">
        <v>1</v>
      </c>
      <c r="F4535" s="7">
        <v>6735.16</v>
      </c>
      <c r="G4535">
        <v>0</v>
      </c>
      <c r="H4535" s="7">
        <v>0</v>
      </c>
    </row>
    <row r="4536" spans="1:8">
      <c r="A4536">
        <v>4</v>
      </c>
      <c r="B4536" t="s">
        <v>42</v>
      </c>
      <c r="C4536" t="s">
        <v>33</v>
      </c>
      <c r="D4536">
        <v>0</v>
      </c>
      <c r="E4536">
        <v>1</v>
      </c>
      <c r="F4536" s="7">
        <v>2625.76</v>
      </c>
      <c r="G4536">
        <v>0</v>
      </c>
      <c r="H4536" s="7">
        <v>0</v>
      </c>
    </row>
    <row r="4537" spans="1:8">
      <c r="A4537">
        <v>4</v>
      </c>
      <c r="B4537" t="s">
        <v>44</v>
      </c>
      <c r="C4537" t="s">
        <v>35</v>
      </c>
      <c r="D4537">
        <v>0</v>
      </c>
      <c r="E4537">
        <v>1</v>
      </c>
      <c r="F4537" s="7">
        <v>123974.95</v>
      </c>
      <c r="G4537">
        <v>0</v>
      </c>
      <c r="H4537" s="7">
        <v>0</v>
      </c>
    </row>
    <row r="4538" spans="1:8">
      <c r="A4538">
        <v>4</v>
      </c>
      <c r="B4538" t="s">
        <v>42</v>
      </c>
      <c r="C4538" t="s">
        <v>32</v>
      </c>
      <c r="D4538">
        <v>0</v>
      </c>
      <c r="E4538">
        <v>1</v>
      </c>
      <c r="F4538" s="7">
        <v>354.75</v>
      </c>
      <c r="G4538">
        <v>0</v>
      </c>
      <c r="H4538" s="7">
        <v>0</v>
      </c>
    </row>
    <row r="4539" spans="1:8">
      <c r="A4539">
        <v>4</v>
      </c>
      <c r="B4539" t="s">
        <v>46</v>
      </c>
      <c r="C4539" t="s">
        <v>35</v>
      </c>
      <c r="D4539">
        <v>0</v>
      </c>
      <c r="E4539">
        <v>1</v>
      </c>
      <c r="F4539" s="7">
        <v>310148.54</v>
      </c>
      <c r="G4539">
        <v>0</v>
      </c>
      <c r="H4539" s="7">
        <v>0</v>
      </c>
    </row>
    <row r="4540" spans="1:8">
      <c r="A4540">
        <v>4</v>
      </c>
      <c r="B4540" t="s">
        <v>46</v>
      </c>
      <c r="C4540" t="s">
        <v>35</v>
      </c>
      <c r="D4540">
        <v>0</v>
      </c>
      <c r="E4540">
        <v>1</v>
      </c>
      <c r="F4540" s="7">
        <v>353004.04</v>
      </c>
      <c r="G4540">
        <v>0</v>
      </c>
      <c r="H4540" s="7">
        <v>0</v>
      </c>
    </row>
    <row r="4541" spans="1:8">
      <c r="A4541">
        <v>4</v>
      </c>
      <c r="B4541" t="s">
        <v>46</v>
      </c>
      <c r="C4541" t="s">
        <v>35</v>
      </c>
      <c r="D4541">
        <v>0</v>
      </c>
      <c r="E4541">
        <v>1</v>
      </c>
      <c r="F4541" s="7">
        <v>380211.17</v>
      </c>
      <c r="G4541">
        <v>0</v>
      </c>
      <c r="H4541" s="7">
        <v>0</v>
      </c>
    </row>
    <row r="4542" spans="1:8">
      <c r="A4542">
        <v>4</v>
      </c>
      <c r="B4542" t="s">
        <v>46</v>
      </c>
      <c r="C4542" t="s">
        <v>35</v>
      </c>
      <c r="D4542">
        <v>0</v>
      </c>
      <c r="E4542">
        <v>1</v>
      </c>
      <c r="F4542" s="7">
        <v>285359.54</v>
      </c>
      <c r="G4542">
        <v>0</v>
      </c>
      <c r="H4542" s="7">
        <v>0</v>
      </c>
    </row>
    <row r="4543" spans="1:8">
      <c r="A4543">
        <v>4</v>
      </c>
      <c r="B4543" t="s">
        <v>46</v>
      </c>
      <c r="C4543" t="s">
        <v>35</v>
      </c>
      <c r="D4543">
        <v>0</v>
      </c>
      <c r="E4543">
        <v>1</v>
      </c>
      <c r="F4543" s="7">
        <v>232228.39</v>
      </c>
      <c r="G4543">
        <v>0</v>
      </c>
      <c r="H4543" s="7">
        <v>0</v>
      </c>
    </row>
    <row r="4544" spans="1:8">
      <c r="A4544">
        <v>4</v>
      </c>
      <c r="B4544" t="s">
        <v>46</v>
      </c>
      <c r="C4544" t="s">
        <v>35</v>
      </c>
      <c r="D4544">
        <v>0</v>
      </c>
      <c r="E4544">
        <v>1</v>
      </c>
      <c r="F4544" s="7">
        <v>205416.01</v>
      </c>
      <c r="G4544">
        <v>0</v>
      </c>
      <c r="H4544" s="7">
        <v>0</v>
      </c>
    </row>
    <row r="4545" spans="1:8">
      <c r="A4545">
        <v>4</v>
      </c>
      <c r="B4545" t="s">
        <v>46</v>
      </c>
      <c r="C4545" t="s">
        <v>35</v>
      </c>
      <c r="D4545">
        <v>0</v>
      </c>
      <c r="E4545">
        <v>1</v>
      </c>
      <c r="F4545" s="7">
        <v>265268.96</v>
      </c>
      <c r="G4545">
        <v>0</v>
      </c>
      <c r="H4545" s="7">
        <v>0</v>
      </c>
    </row>
    <row r="4546" spans="1:8">
      <c r="A4546">
        <v>4</v>
      </c>
      <c r="B4546" t="s">
        <v>46</v>
      </c>
      <c r="C4546" t="s">
        <v>35</v>
      </c>
      <c r="D4546">
        <v>0</v>
      </c>
      <c r="E4546">
        <v>1</v>
      </c>
      <c r="F4546" s="7">
        <v>165552.26</v>
      </c>
      <c r="G4546">
        <v>0</v>
      </c>
      <c r="H4546" s="7">
        <v>0</v>
      </c>
    </row>
    <row r="4547" spans="1:8">
      <c r="A4547">
        <v>4</v>
      </c>
      <c r="B4547" t="s">
        <v>46</v>
      </c>
      <c r="C4547" t="s">
        <v>35</v>
      </c>
      <c r="D4547">
        <v>0</v>
      </c>
      <c r="E4547">
        <v>1</v>
      </c>
      <c r="F4547" s="7">
        <v>115020.65</v>
      </c>
      <c r="G4547">
        <v>0</v>
      </c>
      <c r="H4547" s="7">
        <v>0</v>
      </c>
    </row>
    <row r="4548" spans="1:8">
      <c r="A4548">
        <v>4</v>
      </c>
      <c r="B4548" t="s">
        <v>46</v>
      </c>
      <c r="C4548" t="s">
        <v>35</v>
      </c>
      <c r="D4548">
        <v>0</v>
      </c>
      <c r="E4548">
        <v>1</v>
      </c>
      <c r="F4548" s="7">
        <v>221477.06</v>
      </c>
      <c r="G4548">
        <v>0</v>
      </c>
      <c r="H4548" s="7">
        <v>0</v>
      </c>
    </row>
    <row r="4549" spans="1:8">
      <c r="A4549">
        <v>4</v>
      </c>
      <c r="B4549" t="s">
        <v>46</v>
      </c>
      <c r="C4549" t="s">
        <v>33</v>
      </c>
      <c r="D4549">
        <v>0</v>
      </c>
      <c r="E4549">
        <v>1</v>
      </c>
      <c r="F4549" s="7">
        <v>4699.24</v>
      </c>
      <c r="G4549">
        <v>0</v>
      </c>
      <c r="H4549" s="7">
        <v>0</v>
      </c>
    </row>
    <row r="4550" spans="1:8">
      <c r="A4550">
        <v>4</v>
      </c>
      <c r="B4550" t="s">
        <v>46</v>
      </c>
      <c r="C4550" t="s">
        <v>34</v>
      </c>
      <c r="D4550">
        <v>0</v>
      </c>
      <c r="E4550">
        <v>1</v>
      </c>
      <c r="F4550" s="7">
        <v>46166.32</v>
      </c>
      <c r="G4550">
        <v>0</v>
      </c>
      <c r="H4550" s="7">
        <v>0</v>
      </c>
    </row>
    <row r="4551" spans="1:8">
      <c r="A4551">
        <v>4</v>
      </c>
      <c r="B4551" t="s">
        <v>46</v>
      </c>
      <c r="C4551" t="s">
        <v>34</v>
      </c>
      <c r="D4551">
        <v>0</v>
      </c>
      <c r="E4551">
        <v>1</v>
      </c>
      <c r="F4551" s="7">
        <v>51208.37</v>
      </c>
      <c r="G4551">
        <v>0</v>
      </c>
      <c r="H4551" s="7">
        <v>0</v>
      </c>
    </row>
    <row r="4552" spans="1:8">
      <c r="A4552">
        <v>4</v>
      </c>
      <c r="B4552" t="s">
        <v>46</v>
      </c>
      <c r="C4552" t="s">
        <v>35</v>
      </c>
      <c r="D4552">
        <v>0</v>
      </c>
      <c r="E4552">
        <v>1</v>
      </c>
      <c r="F4552" s="7">
        <v>297908.73</v>
      </c>
      <c r="G4552">
        <v>0</v>
      </c>
      <c r="H4552" s="7">
        <v>0</v>
      </c>
    </row>
    <row r="4553" spans="1:8">
      <c r="A4553">
        <v>4</v>
      </c>
      <c r="B4553" t="s">
        <v>46</v>
      </c>
      <c r="C4553" t="s">
        <v>35</v>
      </c>
      <c r="D4553">
        <v>0</v>
      </c>
      <c r="E4553">
        <v>1</v>
      </c>
      <c r="F4553" s="7">
        <v>302602.9</v>
      </c>
      <c r="G4553">
        <v>0</v>
      </c>
      <c r="H4553" s="7">
        <v>0</v>
      </c>
    </row>
    <row r="4554" spans="1:8">
      <c r="A4554">
        <v>4</v>
      </c>
      <c r="B4554" t="s">
        <v>46</v>
      </c>
      <c r="C4554" t="s">
        <v>34</v>
      </c>
      <c r="D4554">
        <v>0</v>
      </c>
      <c r="E4554">
        <v>1</v>
      </c>
      <c r="F4554" s="7">
        <v>70664.62</v>
      </c>
      <c r="G4554">
        <v>0</v>
      </c>
      <c r="H4554" s="7">
        <v>0</v>
      </c>
    </row>
    <row r="4555" spans="1:8">
      <c r="A4555">
        <v>4</v>
      </c>
      <c r="B4555" t="s">
        <v>46</v>
      </c>
      <c r="C4555" t="s">
        <v>34</v>
      </c>
      <c r="D4555">
        <v>0</v>
      </c>
      <c r="E4555">
        <v>1</v>
      </c>
      <c r="F4555" s="7">
        <v>14401.68</v>
      </c>
      <c r="G4555">
        <v>0</v>
      </c>
      <c r="H4555" s="7">
        <v>0</v>
      </c>
    </row>
    <row r="4556" spans="1:8">
      <c r="A4556">
        <v>4</v>
      </c>
      <c r="B4556" t="s">
        <v>46</v>
      </c>
      <c r="C4556" t="s">
        <v>35</v>
      </c>
      <c r="D4556">
        <v>0</v>
      </c>
      <c r="E4556">
        <v>1</v>
      </c>
      <c r="F4556" s="7">
        <v>162464</v>
      </c>
      <c r="G4556">
        <v>0</v>
      </c>
      <c r="H4556" s="7">
        <v>0</v>
      </c>
    </row>
    <row r="4557" spans="1:8">
      <c r="A4557">
        <v>4</v>
      </c>
      <c r="B4557" t="s">
        <v>46</v>
      </c>
      <c r="C4557" t="s">
        <v>35</v>
      </c>
      <c r="D4557">
        <v>0</v>
      </c>
      <c r="E4557">
        <v>1</v>
      </c>
      <c r="F4557" s="7">
        <v>183202.66</v>
      </c>
      <c r="G4557">
        <v>0</v>
      </c>
      <c r="H4557" s="7">
        <v>0</v>
      </c>
    </row>
    <row r="4558" spans="1:8">
      <c r="A4558">
        <v>4</v>
      </c>
      <c r="B4558" t="s">
        <v>46</v>
      </c>
      <c r="C4558" t="s">
        <v>35</v>
      </c>
      <c r="D4558">
        <v>0</v>
      </c>
      <c r="E4558">
        <v>1</v>
      </c>
      <c r="F4558" s="7">
        <v>107877.98</v>
      </c>
      <c r="G4558">
        <v>0</v>
      </c>
      <c r="H4558" s="7">
        <v>0</v>
      </c>
    </row>
    <row r="4559" spans="1:8">
      <c r="A4559">
        <v>4</v>
      </c>
      <c r="B4559" t="s">
        <v>46</v>
      </c>
      <c r="C4559" t="s">
        <v>35</v>
      </c>
      <c r="D4559">
        <v>0</v>
      </c>
      <c r="E4559">
        <v>1</v>
      </c>
      <c r="F4559" s="7">
        <v>382513.35</v>
      </c>
      <c r="G4559">
        <v>0</v>
      </c>
      <c r="H4559" s="7">
        <v>0</v>
      </c>
    </row>
    <row r="4560" spans="1:8">
      <c r="A4560">
        <v>4</v>
      </c>
      <c r="B4560" t="s">
        <v>46</v>
      </c>
      <c r="C4560" t="s">
        <v>35</v>
      </c>
      <c r="D4560">
        <v>0</v>
      </c>
      <c r="E4560">
        <v>1</v>
      </c>
      <c r="F4560" s="7">
        <v>237485.8</v>
      </c>
      <c r="G4560">
        <v>0</v>
      </c>
      <c r="H4560" s="7">
        <v>0</v>
      </c>
    </row>
    <row r="4561" spans="1:8">
      <c r="A4561">
        <v>4</v>
      </c>
      <c r="B4561" t="s">
        <v>46</v>
      </c>
      <c r="C4561" t="s">
        <v>34</v>
      </c>
      <c r="D4561">
        <v>0</v>
      </c>
      <c r="E4561">
        <v>1</v>
      </c>
      <c r="F4561" s="7">
        <v>29637.04</v>
      </c>
      <c r="G4561">
        <v>0</v>
      </c>
      <c r="H4561" s="7">
        <v>0</v>
      </c>
    </row>
    <row r="4562" spans="1:8">
      <c r="A4562">
        <v>4</v>
      </c>
      <c r="B4562" t="s">
        <v>46</v>
      </c>
      <c r="C4562" t="s">
        <v>34</v>
      </c>
      <c r="D4562">
        <v>0</v>
      </c>
      <c r="E4562">
        <v>1</v>
      </c>
      <c r="F4562" s="7">
        <v>17906.01</v>
      </c>
      <c r="G4562">
        <v>0</v>
      </c>
      <c r="H4562" s="7">
        <v>0</v>
      </c>
    </row>
    <row r="4563" spans="1:8">
      <c r="A4563">
        <v>4</v>
      </c>
      <c r="B4563" t="s">
        <v>46</v>
      </c>
      <c r="C4563" t="s">
        <v>34</v>
      </c>
      <c r="D4563">
        <v>0</v>
      </c>
      <c r="E4563">
        <v>1</v>
      </c>
      <c r="F4563" s="7">
        <v>97644.2</v>
      </c>
      <c r="G4563">
        <v>0</v>
      </c>
      <c r="H4563" s="7">
        <v>0</v>
      </c>
    </row>
    <row r="4564" spans="1:8">
      <c r="A4564">
        <v>4</v>
      </c>
      <c r="B4564" t="s">
        <v>46</v>
      </c>
      <c r="C4564" t="s">
        <v>35</v>
      </c>
      <c r="D4564">
        <v>0</v>
      </c>
      <c r="E4564">
        <v>1</v>
      </c>
      <c r="F4564" s="7">
        <v>117474.04</v>
      </c>
      <c r="G4564">
        <v>0</v>
      </c>
      <c r="H4564" s="7">
        <v>0</v>
      </c>
    </row>
    <row r="4565" spans="1:8">
      <c r="A4565">
        <v>4</v>
      </c>
      <c r="B4565" t="s">
        <v>46</v>
      </c>
      <c r="C4565" t="s">
        <v>34</v>
      </c>
      <c r="D4565">
        <v>0</v>
      </c>
      <c r="E4565">
        <v>1</v>
      </c>
      <c r="F4565" s="7">
        <v>97851.98</v>
      </c>
      <c r="G4565">
        <v>0</v>
      </c>
      <c r="H4565" s="7">
        <v>0</v>
      </c>
    </row>
    <row r="4566" spans="1:8">
      <c r="A4566">
        <v>4</v>
      </c>
      <c r="B4566" t="s">
        <v>46</v>
      </c>
      <c r="C4566" t="s">
        <v>34</v>
      </c>
      <c r="D4566">
        <v>0</v>
      </c>
      <c r="E4566">
        <v>1</v>
      </c>
      <c r="F4566" s="7">
        <v>76928.78</v>
      </c>
      <c r="G4566">
        <v>0</v>
      </c>
      <c r="H4566" s="7">
        <v>0</v>
      </c>
    </row>
    <row r="4567" spans="1:8">
      <c r="A4567">
        <v>4</v>
      </c>
      <c r="B4567" t="s">
        <v>46</v>
      </c>
      <c r="C4567" t="s">
        <v>35</v>
      </c>
      <c r="D4567">
        <v>0</v>
      </c>
      <c r="E4567">
        <v>1</v>
      </c>
      <c r="F4567" s="7">
        <v>159958.57</v>
      </c>
      <c r="G4567">
        <v>0</v>
      </c>
      <c r="H4567" s="7">
        <v>0</v>
      </c>
    </row>
    <row r="4568" spans="1:8">
      <c r="A4568">
        <v>4</v>
      </c>
      <c r="B4568" t="s">
        <v>46</v>
      </c>
      <c r="C4568" t="s">
        <v>35</v>
      </c>
      <c r="D4568">
        <v>0</v>
      </c>
      <c r="E4568">
        <v>1</v>
      </c>
      <c r="F4568" s="7">
        <v>214015.94</v>
      </c>
      <c r="G4568">
        <v>0</v>
      </c>
      <c r="H4568" s="7">
        <v>0</v>
      </c>
    </row>
    <row r="4569" spans="1:8">
      <c r="A4569">
        <v>4</v>
      </c>
      <c r="B4569" t="s">
        <v>42</v>
      </c>
      <c r="C4569" t="s">
        <v>33</v>
      </c>
      <c r="D4569">
        <v>0</v>
      </c>
      <c r="E4569">
        <v>1</v>
      </c>
      <c r="F4569" s="7">
        <v>3907.39</v>
      </c>
      <c r="G4569">
        <v>0</v>
      </c>
      <c r="H4569" s="7">
        <v>0</v>
      </c>
    </row>
    <row r="4570" spans="1:8">
      <c r="A4570">
        <v>4</v>
      </c>
      <c r="B4570" t="s">
        <v>42</v>
      </c>
      <c r="C4570" t="s">
        <v>33</v>
      </c>
      <c r="D4570">
        <v>0</v>
      </c>
      <c r="E4570">
        <v>1</v>
      </c>
      <c r="F4570" s="7">
        <v>2983.11</v>
      </c>
      <c r="G4570">
        <v>0</v>
      </c>
      <c r="H4570" s="7">
        <v>0</v>
      </c>
    </row>
    <row r="4571" spans="1:8">
      <c r="A4571">
        <v>4</v>
      </c>
      <c r="B4571" t="s">
        <v>42</v>
      </c>
      <c r="C4571" t="s">
        <v>33</v>
      </c>
      <c r="D4571">
        <v>0</v>
      </c>
      <c r="E4571">
        <v>1</v>
      </c>
      <c r="F4571" s="7">
        <v>5907.27</v>
      </c>
      <c r="G4571">
        <v>0</v>
      </c>
      <c r="H4571" s="7">
        <v>0</v>
      </c>
    </row>
    <row r="4572" spans="1:8">
      <c r="A4572">
        <v>4</v>
      </c>
      <c r="B4572" t="s">
        <v>42</v>
      </c>
      <c r="C4572" t="s">
        <v>33</v>
      </c>
      <c r="D4572">
        <v>0</v>
      </c>
      <c r="E4572">
        <v>1</v>
      </c>
      <c r="F4572" s="7">
        <v>1183.1</v>
      </c>
      <c r="G4572">
        <v>0</v>
      </c>
      <c r="H4572" s="7">
        <v>0</v>
      </c>
    </row>
    <row r="4573" spans="1:8">
      <c r="A4573">
        <v>4</v>
      </c>
      <c r="B4573" t="s">
        <v>42</v>
      </c>
      <c r="C4573" t="s">
        <v>32</v>
      </c>
      <c r="D4573">
        <v>0</v>
      </c>
      <c r="E4573">
        <v>1</v>
      </c>
      <c r="F4573" s="7">
        <v>736.76</v>
      </c>
      <c r="G4573">
        <v>0</v>
      </c>
      <c r="H4573" s="7">
        <v>0</v>
      </c>
    </row>
    <row r="4574" spans="1:8">
      <c r="A4574">
        <v>4</v>
      </c>
      <c r="B4574" t="s">
        <v>42</v>
      </c>
      <c r="C4574" t="s">
        <v>33</v>
      </c>
      <c r="D4574">
        <v>0</v>
      </c>
      <c r="E4574">
        <v>1</v>
      </c>
      <c r="F4574" s="7">
        <v>1105.34</v>
      </c>
      <c r="G4574">
        <v>0</v>
      </c>
      <c r="H4574" s="7">
        <v>0</v>
      </c>
    </row>
    <row r="4575" spans="1:8">
      <c r="A4575">
        <v>4</v>
      </c>
      <c r="B4575" t="s">
        <v>43</v>
      </c>
      <c r="C4575" t="s">
        <v>34</v>
      </c>
      <c r="D4575">
        <v>0</v>
      </c>
      <c r="E4575">
        <v>1</v>
      </c>
      <c r="F4575" s="7">
        <v>25424.16</v>
      </c>
      <c r="G4575">
        <v>0</v>
      </c>
      <c r="H4575" s="7">
        <v>0</v>
      </c>
    </row>
    <row r="4576" spans="1:8">
      <c r="A4576">
        <v>4</v>
      </c>
      <c r="B4576" t="s">
        <v>45</v>
      </c>
      <c r="C4576" t="s">
        <v>33</v>
      </c>
      <c r="D4576">
        <v>0</v>
      </c>
      <c r="E4576">
        <v>1</v>
      </c>
      <c r="F4576" s="7">
        <v>1235.49</v>
      </c>
      <c r="G4576">
        <v>0</v>
      </c>
      <c r="H4576" s="7">
        <v>0</v>
      </c>
    </row>
    <row r="4577" spans="1:8">
      <c r="A4577">
        <v>4</v>
      </c>
      <c r="B4577" t="s">
        <v>42</v>
      </c>
      <c r="C4577" t="s">
        <v>33</v>
      </c>
      <c r="D4577">
        <v>0</v>
      </c>
      <c r="E4577">
        <v>1</v>
      </c>
      <c r="F4577" s="7">
        <v>2633.87</v>
      </c>
      <c r="G4577">
        <v>0</v>
      </c>
      <c r="H4577" s="7">
        <v>0</v>
      </c>
    </row>
    <row r="4578" spans="1:8">
      <c r="A4578">
        <v>4</v>
      </c>
      <c r="B4578" t="s">
        <v>42</v>
      </c>
      <c r="C4578" t="s">
        <v>34</v>
      </c>
      <c r="D4578">
        <v>0</v>
      </c>
      <c r="E4578">
        <v>1</v>
      </c>
      <c r="F4578" s="7">
        <v>27484.12</v>
      </c>
      <c r="G4578">
        <v>0</v>
      </c>
      <c r="H4578" s="7">
        <v>0</v>
      </c>
    </row>
    <row r="4579" spans="1:8">
      <c r="A4579">
        <v>4</v>
      </c>
      <c r="B4579" t="s">
        <v>42</v>
      </c>
      <c r="C4579" t="s">
        <v>33</v>
      </c>
      <c r="D4579">
        <v>0</v>
      </c>
      <c r="E4579">
        <v>1</v>
      </c>
      <c r="F4579" s="7">
        <v>3455.87</v>
      </c>
      <c r="G4579">
        <v>0</v>
      </c>
      <c r="H4579" s="7">
        <v>0</v>
      </c>
    </row>
    <row r="4580" spans="1:8">
      <c r="A4580">
        <v>4</v>
      </c>
      <c r="B4580" t="s">
        <v>42</v>
      </c>
      <c r="C4580" t="s">
        <v>33</v>
      </c>
      <c r="D4580">
        <v>0</v>
      </c>
      <c r="E4580">
        <v>1</v>
      </c>
      <c r="F4580" s="7">
        <v>3377.9</v>
      </c>
      <c r="G4580">
        <v>0</v>
      </c>
      <c r="H4580" s="7">
        <v>0</v>
      </c>
    </row>
    <row r="4581" spans="1:8">
      <c r="A4581">
        <v>4</v>
      </c>
      <c r="B4581" t="s">
        <v>44</v>
      </c>
      <c r="C4581" t="s">
        <v>33</v>
      </c>
      <c r="D4581">
        <v>0</v>
      </c>
      <c r="E4581">
        <v>1</v>
      </c>
      <c r="F4581" s="7">
        <v>3806.52</v>
      </c>
      <c r="G4581">
        <v>0</v>
      </c>
      <c r="H4581" s="7">
        <v>0</v>
      </c>
    </row>
    <row r="4582" spans="1:8">
      <c r="A4582">
        <v>4</v>
      </c>
      <c r="B4582" t="s">
        <v>42</v>
      </c>
      <c r="C4582" t="s">
        <v>33</v>
      </c>
      <c r="D4582">
        <v>0</v>
      </c>
      <c r="E4582">
        <v>1</v>
      </c>
      <c r="F4582" s="7">
        <v>1823.73</v>
      </c>
      <c r="G4582">
        <v>0</v>
      </c>
      <c r="H4582" s="7">
        <v>0</v>
      </c>
    </row>
    <row r="4583" spans="1:8">
      <c r="A4583">
        <v>4</v>
      </c>
      <c r="B4583" t="s">
        <v>43</v>
      </c>
      <c r="C4583" t="s">
        <v>34</v>
      </c>
      <c r="D4583">
        <v>0</v>
      </c>
      <c r="E4583">
        <v>1</v>
      </c>
      <c r="F4583" s="7">
        <v>82208.35</v>
      </c>
      <c r="G4583">
        <v>0</v>
      </c>
      <c r="H4583" s="7">
        <v>0</v>
      </c>
    </row>
    <row r="4584" spans="1:8">
      <c r="A4584">
        <v>4</v>
      </c>
      <c r="B4584" t="s">
        <v>44</v>
      </c>
      <c r="C4584" t="s">
        <v>34</v>
      </c>
      <c r="D4584">
        <v>0</v>
      </c>
      <c r="E4584">
        <v>1</v>
      </c>
      <c r="F4584" s="7">
        <v>29113.15</v>
      </c>
      <c r="G4584">
        <v>0</v>
      </c>
      <c r="H4584" s="7">
        <v>0</v>
      </c>
    </row>
    <row r="4585" spans="1:8">
      <c r="A4585">
        <v>4</v>
      </c>
      <c r="B4585" t="s">
        <v>44</v>
      </c>
      <c r="C4585" t="s">
        <v>35</v>
      </c>
      <c r="D4585">
        <v>0</v>
      </c>
      <c r="E4585">
        <v>1</v>
      </c>
      <c r="F4585" s="7">
        <v>170634.8</v>
      </c>
      <c r="G4585">
        <v>0</v>
      </c>
      <c r="H4585" s="7">
        <v>0</v>
      </c>
    </row>
    <row r="4586" spans="1:8">
      <c r="A4586">
        <v>4</v>
      </c>
      <c r="B4586" t="s">
        <v>44</v>
      </c>
      <c r="C4586" t="s">
        <v>35</v>
      </c>
      <c r="D4586">
        <v>0</v>
      </c>
      <c r="E4586">
        <v>1</v>
      </c>
      <c r="F4586" s="7">
        <v>404053.55</v>
      </c>
      <c r="G4586">
        <v>0</v>
      </c>
      <c r="H4586" s="7">
        <v>0</v>
      </c>
    </row>
    <row r="4587" spans="1:8">
      <c r="A4587">
        <v>4</v>
      </c>
      <c r="B4587" t="s">
        <v>44</v>
      </c>
      <c r="C4587" t="s">
        <v>35</v>
      </c>
      <c r="D4587">
        <v>0</v>
      </c>
      <c r="E4587">
        <v>1</v>
      </c>
      <c r="F4587" s="7">
        <v>334318.86</v>
      </c>
      <c r="G4587">
        <v>0</v>
      </c>
      <c r="H4587" s="7">
        <v>0</v>
      </c>
    </row>
    <row r="4588" spans="1:8">
      <c r="A4588">
        <v>4</v>
      </c>
      <c r="B4588" t="s">
        <v>44</v>
      </c>
      <c r="C4588" t="s">
        <v>34</v>
      </c>
      <c r="D4588">
        <v>0</v>
      </c>
      <c r="E4588">
        <v>1</v>
      </c>
      <c r="F4588" s="7">
        <v>46408.89</v>
      </c>
      <c r="G4588">
        <v>0</v>
      </c>
      <c r="H4588" s="7">
        <v>0</v>
      </c>
    </row>
    <row r="4589" spans="1:8">
      <c r="A4589">
        <v>4</v>
      </c>
      <c r="B4589" t="s">
        <v>44</v>
      </c>
      <c r="C4589" t="s">
        <v>35</v>
      </c>
      <c r="D4589">
        <v>0</v>
      </c>
      <c r="E4589">
        <v>1</v>
      </c>
      <c r="F4589" s="7">
        <v>181062</v>
      </c>
      <c r="G4589">
        <v>0</v>
      </c>
      <c r="H4589" s="7">
        <v>0</v>
      </c>
    </row>
    <row r="4590" spans="1:8">
      <c r="A4590">
        <v>4</v>
      </c>
      <c r="B4590" t="s">
        <v>44</v>
      </c>
      <c r="C4590" t="s">
        <v>35</v>
      </c>
      <c r="D4590">
        <v>0</v>
      </c>
      <c r="E4590">
        <v>1</v>
      </c>
      <c r="F4590" s="7">
        <v>489240.03</v>
      </c>
      <c r="G4590">
        <v>0</v>
      </c>
      <c r="H4590" s="7">
        <v>0</v>
      </c>
    </row>
    <row r="4591" spans="1:8">
      <c r="A4591">
        <v>4</v>
      </c>
      <c r="B4591" t="s">
        <v>44</v>
      </c>
      <c r="C4591" t="s">
        <v>34</v>
      </c>
      <c r="D4591">
        <v>0</v>
      </c>
      <c r="E4591">
        <v>1</v>
      </c>
      <c r="F4591" s="7">
        <v>12270.42</v>
      </c>
      <c r="G4591">
        <v>0</v>
      </c>
      <c r="H4591" s="7">
        <v>0</v>
      </c>
    </row>
    <row r="4592" spans="1:8">
      <c r="A4592">
        <v>4</v>
      </c>
      <c r="B4592" t="s">
        <v>42</v>
      </c>
      <c r="C4592" t="s">
        <v>33</v>
      </c>
      <c r="D4592">
        <v>0</v>
      </c>
      <c r="E4592">
        <v>1</v>
      </c>
      <c r="F4592" s="7">
        <v>1616.06</v>
      </c>
      <c r="G4592">
        <v>0</v>
      </c>
      <c r="H4592" s="7">
        <v>0</v>
      </c>
    </row>
    <row r="4593" spans="1:8">
      <c r="A4593">
        <v>4</v>
      </c>
      <c r="B4593" t="s">
        <v>42</v>
      </c>
      <c r="C4593" t="s">
        <v>33</v>
      </c>
      <c r="D4593">
        <v>0</v>
      </c>
      <c r="E4593">
        <v>1</v>
      </c>
      <c r="F4593" s="7">
        <v>3464.93</v>
      </c>
      <c r="G4593">
        <v>0</v>
      </c>
      <c r="H4593" s="7">
        <v>0</v>
      </c>
    </row>
    <row r="4594" spans="1:8">
      <c r="A4594">
        <v>4</v>
      </c>
      <c r="B4594" t="s">
        <v>42</v>
      </c>
      <c r="C4594" t="s">
        <v>33</v>
      </c>
      <c r="D4594">
        <v>0</v>
      </c>
      <c r="E4594">
        <v>1</v>
      </c>
      <c r="F4594" s="7">
        <v>1080.16</v>
      </c>
      <c r="G4594">
        <v>0</v>
      </c>
      <c r="H4594" s="7">
        <v>0</v>
      </c>
    </row>
    <row r="4595" spans="1:8">
      <c r="A4595">
        <v>4</v>
      </c>
      <c r="B4595" t="s">
        <v>42</v>
      </c>
      <c r="C4595" t="s">
        <v>33</v>
      </c>
      <c r="D4595">
        <v>0</v>
      </c>
      <c r="E4595">
        <v>1</v>
      </c>
      <c r="F4595" s="7">
        <v>2606.97</v>
      </c>
      <c r="G4595">
        <v>0</v>
      </c>
      <c r="H4595" s="7">
        <v>0</v>
      </c>
    </row>
    <row r="4596" spans="1:8">
      <c r="A4596">
        <v>4</v>
      </c>
      <c r="B4596" t="s">
        <v>42</v>
      </c>
      <c r="C4596" t="s">
        <v>34</v>
      </c>
      <c r="D4596">
        <v>0</v>
      </c>
      <c r="E4596">
        <v>1</v>
      </c>
      <c r="F4596" s="7">
        <v>27032.59</v>
      </c>
      <c r="G4596">
        <v>0</v>
      </c>
      <c r="H4596" s="7">
        <v>0</v>
      </c>
    </row>
    <row r="4597" spans="1:8">
      <c r="A4597">
        <v>4</v>
      </c>
      <c r="B4597" t="s">
        <v>45</v>
      </c>
      <c r="C4597" t="s">
        <v>32</v>
      </c>
      <c r="D4597">
        <v>0</v>
      </c>
      <c r="E4597">
        <v>1</v>
      </c>
      <c r="F4597" s="7">
        <v>601.85</v>
      </c>
      <c r="G4597">
        <v>0</v>
      </c>
      <c r="H4597" s="7">
        <v>0</v>
      </c>
    </row>
    <row r="4598" spans="1:8">
      <c r="A4598">
        <v>4</v>
      </c>
      <c r="B4598" t="s">
        <v>42</v>
      </c>
      <c r="C4598" t="s">
        <v>32</v>
      </c>
      <c r="D4598">
        <v>0</v>
      </c>
      <c r="E4598">
        <v>1</v>
      </c>
      <c r="F4598" s="7">
        <v>59.59</v>
      </c>
      <c r="G4598">
        <v>0</v>
      </c>
      <c r="H4598" s="7">
        <v>0</v>
      </c>
    </row>
    <row r="4599" spans="1:8">
      <c r="A4599">
        <v>4</v>
      </c>
      <c r="B4599" t="s">
        <v>42</v>
      </c>
      <c r="C4599" t="s">
        <v>33</v>
      </c>
      <c r="D4599">
        <v>0</v>
      </c>
      <c r="E4599">
        <v>1</v>
      </c>
      <c r="F4599" s="7">
        <v>3828.24</v>
      </c>
      <c r="G4599">
        <v>0</v>
      </c>
      <c r="H4599" s="7">
        <v>0</v>
      </c>
    </row>
    <row r="4600" spans="1:8">
      <c r="A4600">
        <v>4</v>
      </c>
      <c r="B4600" t="s">
        <v>42</v>
      </c>
      <c r="C4600" t="s">
        <v>33</v>
      </c>
      <c r="D4600">
        <v>0</v>
      </c>
      <c r="E4600">
        <v>1</v>
      </c>
      <c r="F4600" s="7">
        <v>2801.24</v>
      </c>
      <c r="G4600">
        <v>0</v>
      </c>
      <c r="H4600" s="7">
        <v>0</v>
      </c>
    </row>
    <row r="4601" spans="1:8">
      <c r="A4601">
        <v>4</v>
      </c>
      <c r="B4601" t="s">
        <v>44</v>
      </c>
      <c r="C4601" t="s">
        <v>33</v>
      </c>
      <c r="D4601">
        <v>0</v>
      </c>
      <c r="E4601">
        <v>1</v>
      </c>
      <c r="F4601" s="7">
        <v>2785.81</v>
      </c>
      <c r="G4601">
        <v>0</v>
      </c>
      <c r="H4601" s="7">
        <v>0</v>
      </c>
    </row>
    <row r="4602" spans="1:8">
      <c r="A4602">
        <v>4</v>
      </c>
      <c r="B4602" t="s">
        <v>44</v>
      </c>
      <c r="C4602" t="s">
        <v>35</v>
      </c>
      <c r="D4602">
        <v>0</v>
      </c>
      <c r="E4602">
        <v>1</v>
      </c>
      <c r="F4602" s="7">
        <v>228399.52</v>
      </c>
      <c r="G4602">
        <v>0</v>
      </c>
      <c r="H4602" s="7">
        <v>0</v>
      </c>
    </row>
    <row r="4603" spans="1:8">
      <c r="A4603">
        <v>4</v>
      </c>
      <c r="B4603" t="s">
        <v>44</v>
      </c>
      <c r="C4603" t="s">
        <v>34</v>
      </c>
      <c r="D4603">
        <v>0</v>
      </c>
      <c r="E4603">
        <v>1</v>
      </c>
      <c r="F4603" s="7">
        <v>71951.43</v>
      </c>
      <c r="G4603">
        <v>0</v>
      </c>
      <c r="H4603" s="7">
        <v>0</v>
      </c>
    </row>
    <row r="4604" spans="1:8">
      <c r="A4604">
        <v>4</v>
      </c>
      <c r="B4604" t="s">
        <v>44</v>
      </c>
      <c r="C4604" t="s">
        <v>35</v>
      </c>
      <c r="D4604">
        <v>0</v>
      </c>
      <c r="E4604">
        <v>1</v>
      </c>
      <c r="F4604" s="7">
        <v>285832.76</v>
      </c>
      <c r="G4604">
        <v>0</v>
      </c>
      <c r="H4604" s="7">
        <v>0</v>
      </c>
    </row>
    <row r="4605" spans="1:8">
      <c r="A4605">
        <v>4</v>
      </c>
      <c r="B4605" t="s">
        <v>44</v>
      </c>
      <c r="C4605" t="s">
        <v>35</v>
      </c>
      <c r="D4605">
        <v>0</v>
      </c>
      <c r="E4605">
        <v>1</v>
      </c>
      <c r="F4605" s="7">
        <v>473991.14</v>
      </c>
      <c r="G4605">
        <v>0</v>
      </c>
      <c r="H4605" s="7">
        <v>0</v>
      </c>
    </row>
    <row r="4606" spans="1:8">
      <c r="A4606">
        <v>4</v>
      </c>
      <c r="B4606" t="s">
        <v>44</v>
      </c>
      <c r="C4606" t="s">
        <v>35</v>
      </c>
      <c r="D4606">
        <v>0</v>
      </c>
      <c r="E4606">
        <v>1</v>
      </c>
      <c r="F4606" s="7">
        <v>278349.51</v>
      </c>
      <c r="G4606">
        <v>0</v>
      </c>
      <c r="H4606" s="7">
        <v>0</v>
      </c>
    </row>
    <row r="4607" spans="1:8">
      <c r="A4607">
        <v>4</v>
      </c>
      <c r="B4607" t="s">
        <v>44</v>
      </c>
      <c r="C4607" t="s">
        <v>35</v>
      </c>
      <c r="D4607">
        <v>0</v>
      </c>
      <c r="E4607">
        <v>1</v>
      </c>
      <c r="F4607" s="7">
        <v>455933.21</v>
      </c>
      <c r="G4607">
        <v>0</v>
      </c>
      <c r="H4607" s="7">
        <v>0</v>
      </c>
    </row>
    <row r="4608" spans="1:8">
      <c r="A4608">
        <v>4</v>
      </c>
      <c r="B4608" t="s">
        <v>44</v>
      </c>
      <c r="C4608" t="s">
        <v>35</v>
      </c>
      <c r="D4608">
        <v>0</v>
      </c>
      <c r="E4608">
        <v>1</v>
      </c>
      <c r="F4608" s="7">
        <v>252806.47</v>
      </c>
      <c r="G4608">
        <v>0</v>
      </c>
      <c r="H4608" s="7">
        <v>0</v>
      </c>
    </row>
    <row r="4609" spans="1:8">
      <c r="A4609">
        <v>4</v>
      </c>
      <c r="B4609" t="s">
        <v>44</v>
      </c>
      <c r="C4609" t="s">
        <v>35</v>
      </c>
      <c r="D4609">
        <v>0</v>
      </c>
      <c r="E4609">
        <v>1</v>
      </c>
      <c r="F4609" s="7">
        <v>345548.01</v>
      </c>
      <c r="G4609">
        <v>0</v>
      </c>
      <c r="H4609" s="7">
        <v>0</v>
      </c>
    </row>
    <row r="4610" spans="1:8">
      <c r="A4610">
        <v>4</v>
      </c>
      <c r="B4610" t="s">
        <v>44</v>
      </c>
      <c r="C4610" t="s">
        <v>35</v>
      </c>
      <c r="D4610">
        <v>0</v>
      </c>
      <c r="E4610">
        <v>1</v>
      </c>
      <c r="F4610" s="7">
        <v>159316.78</v>
      </c>
      <c r="G4610">
        <v>0</v>
      </c>
      <c r="H4610" s="7">
        <v>0</v>
      </c>
    </row>
    <row r="4611" spans="1:8">
      <c r="A4611">
        <v>4</v>
      </c>
      <c r="B4611" t="s">
        <v>44</v>
      </c>
      <c r="C4611" t="s">
        <v>35</v>
      </c>
      <c r="D4611">
        <v>0</v>
      </c>
      <c r="E4611">
        <v>1</v>
      </c>
      <c r="F4611" s="7">
        <v>205675.07</v>
      </c>
      <c r="G4611">
        <v>0</v>
      </c>
      <c r="H4611" s="7">
        <v>0</v>
      </c>
    </row>
    <row r="4612" spans="1:8">
      <c r="A4612">
        <v>4</v>
      </c>
      <c r="B4612" t="s">
        <v>44</v>
      </c>
      <c r="C4612" t="s">
        <v>35</v>
      </c>
      <c r="D4612">
        <v>0</v>
      </c>
      <c r="E4612">
        <v>1</v>
      </c>
      <c r="F4612" s="7">
        <v>311864.41</v>
      </c>
      <c r="G4612">
        <v>0</v>
      </c>
      <c r="H4612" s="7">
        <v>0</v>
      </c>
    </row>
    <row r="4613" spans="1:8">
      <c r="A4613">
        <v>4</v>
      </c>
      <c r="B4613" t="s">
        <v>44</v>
      </c>
      <c r="C4613" t="s">
        <v>35</v>
      </c>
      <c r="D4613">
        <v>0</v>
      </c>
      <c r="E4613">
        <v>1</v>
      </c>
      <c r="F4613" s="7">
        <v>190518.44</v>
      </c>
      <c r="G4613">
        <v>0</v>
      </c>
      <c r="H4613" s="7">
        <v>0</v>
      </c>
    </row>
    <row r="4614" spans="1:8">
      <c r="A4614">
        <v>4</v>
      </c>
      <c r="B4614" t="s">
        <v>44</v>
      </c>
      <c r="C4614" t="s">
        <v>34</v>
      </c>
      <c r="D4614">
        <v>0</v>
      </c>
      <c r="E4614">
        <v>1</v>
      </c>
      <c r="F4614" s="7">
        <v>12847.91</v>
      </c>
      <c r="G4614">
        <v>0</v>
      </c>
      <c r="H4614" s="7">
        <v>0</v>
      </c>
    </row>
    <row r="4615" spans="1:8">
      <c r="A4615">
        <v>4</v>
      </c>
      <c r="B4615" t="s">
        <v>44</v>
      </c>
      <c r="C4615" t="s">
        <v>34</v>
      </c>
      <c r="D4615">
        <v>0</v>
      </c>
      <c r="E4615">
        <v>1</v>
      </c>
      <c r="F4615" s="7">
        <v>21291.89</v>
      </c>
      <c r="G4615">
        <v>0</v>
      </c>
      <c r="H4615" s="7">
        <v>0</v>
      </c>
    </row>
    <row r="4616" spans="1:8">
      <c r="A4616">
        <v>4</v>
      </c>
      <c r="B4616" t="s">
        <v>44</v>
      </c>
      <c r="C4616" t="s">
        <v>35</v>
      </c>
      <c r="D4616">
        <v>0</v>
      </c>
      <c r="E4616">
        <v>1</v>
      </c>
      <c r="F4616" s="7">
        <v>106105.83</v>
      </c>
      <c r="G4616">
        <v>0</v>
      </c>
      <c r="H4616" s="7">
        <v>0</v>
      </c>
    </row>
    <row r="4617" spans="1:8">
      <c r="A4617">
        <v>4</v>
      </c>
      <c r="B4617" t="s">
        <v>44</v>
      </c>
      <c r="C4617" t="s">
        <v>34</v>
      </c>
      <c r="D4617">
        <v>0</v>
      </c>
      <c r="E4617">
        <v>1</v>
      </c>
      <c r="F4617" s="7">
        <v>63853.6</v>
      </c>
      <c r="G4617">
        <v>0</v>
      </c>
      <c r="H4617" s="7">
        <v>0</v>
      </c>
    </row>
    <row r="4618" spans="1:8">
      <c r="A4618">
        <v>4</v>
      </c>
      <c r="B4618" t="s">
        <v>44</v>
      </c>
      <c r="C4618" t="s">
        <v>35</v>
      </c>
      <c r="D4618">
        <v>0</v>
      </c>
      <c r="E4618">
        <v>1</v>
      </c>
      <c r="F4618" s="7">
        <v>143568.62</v>
      </c>
      <c r="G4618">
        <v>0</v>
      </c>
      <c r="H4618" s="7">
        <v>0</v>
      </c>
    </row>
    <row r="4619" spans="1:8">
      <c r="A4619">
        <v>4</v>
      </c>
      <c r="B4619" t="s">
        <v>44</v>
      </c>
      <c r="C4619" t="s">
        <v>35</v>
      </c>
      <c r="D4619">
        <v>0</v>
      </c>
      <c r="E4619">
        <v>1</v>
      </c>
      <c r="F4619" s="7">
        <v>180145.39</v>
      </c>
      <c r="G4619">
        <v>0</v>
      </c>
      <c r="H4619" s="7">
        <v>0</v>
      </c>
    </row>
    <row r="4620" spans="1:8">
      <c r="A4620">
        <v>4</v>
      </c>
      <c r="B4620" t="s">
        <v>44</v>
      </c>
      <c r="C4620" t="s">
        <v>35</v>
      </c>
      <c r="D4620">
        <v>0</v>
      </c>
      <c r="E4620">
        <v>1</v>
      </c>
      <c r="F4620" s="7">
        <v>141702.19</v>
      </c>
      <c r="G4620">
        <v>0</v>
      </c>
      <c r="H4620" s="7">
        <v>0</v>
      </c>
    </row>
    <row r="4621" spans="1:8">
      <c r="A4621">
        <v>4</v>
      </c>
      <c r="B4621" t="s">
        <v>44</v>
      </c>
      <c r="C4621" t="s">
        <v>35</v>
      </c>
      <c r="D4621">
        <v>0</v>
      </c>
      <c r="E4621">
        <v>1</v>
      </c>
      <c r="F4621" s="7">
        <v>153161.06</v>
      </c>
      <c r="G4621">
        <v>0</v>
      </c>
      <c r="H4621" s="7">
        <v>0</v>
      </c>
    </row>
    <row r="4622" spans="1:8">
      <c r="A4622">
        <v>4</v>
      </c>
      <c r="B4622" t="s">
        <v>44</v>
      </c>
      <c r="C4622" t="s">
        <v>33</v>
      </c>
      <c r="D4622">
        <v>0</v>
      </c>
      <c r="E4622">
        <v>1</v>
      </c>
      <c r="F4622" s="7">
        <v>6291.29</v>
      </c>
      <c r="G4622">
        <v>0</v>
      </c>
      <c r="H4622" s="7">
        <v>0</v>
      </c>
    </row>
    <row r="4623" spans="1:8">
      <c r="A4623">
        <v>4</v>
      </c>
      <c r="B4623" t="s">
        <v>44</v>
      </c>
      <c r="C4623" t="s">
        <v>35</v>
      </c>
      <c r="D4623">
        <v>0</v>
      </c>
      <c r="E4623">
        <v>1</v>
      </c>
      <c r="F4623" s="7">
        <v>131965.15</v>
      </c>
      <c r="G4623">
        <v>0</v>
      </c>
      <c r="H4623" s="7">
        <v>0</v>
      </c>
    </row>
    <row r="4624" spans="1:8">
      <c r="A4624">
        <v>4</v>
      </c>
      <c r="B4624" t="s">
        <v>44</v>
      </c>
      <c r="C4624" t="s">
        <v>35</v>
      </c>
      <c r="D4624">
        <v>0</v>
      </c>
      <c r="E4624">
        <v>1</v>
      </c>
      <c r="F4624" s="7">
        <v>121598.71</v>
      </c>
      <c r="G4624">
        <v>0</v>
      </c>
      <c r="H4624" s="7">
        <v>0</v>
      </c>
    </row>
    <row r="4625" spans="1:8">
      <c r="A4625">
        <v>4</v>
      </c>
      <c r="B4625" t="s">
        <v>42</v>
      </c>
      <c r="C4625" t="s">
        <v>33</v>
      </c>
      <c r="D4625">
        <v>0</v>
      </c>
      <c r="E4625">
        <v>1</v>
      </c>
      <c r="F4625" s="7">
        <v>2000.03</v>
      </c>
      <c r="G4625">
        <v>0</v>
      </c>
      <c r="H4625" s="7">
        <v>0</v>
      </c>
    </row>
    <row r="4626" spans="1:8">
      <c r="A4626">
        <v>4</v>
      </c>
      <c r="B4626" t="s">
        <v>42</v>
      </c>
      <c r="C4626" t="s">
        <v>33</v>
      </c>
      <c r="D4626">
        <v>0</v>
      </c>
      <c r="E4626">
        <v>1</v>
      </c>
      <c r="F4626" s="7">
        <v>1760.01</v>
      </c>
      <c r="G4626">
        <v>0</v>
      </c>
      <c r="H4626" s="7">
        <v>0</v>
      </c>
    </row>
    <row r="4627" spans="1:8">
      <c r="A4627">
        <v>4</v>
      </c>
      <c r="B4627" t="s">
        <v>42</v>
      </c>
      <c r="C4627" t="s">
        <v>33</v>
      </c>
      <c r="D4627">
        <v>0</v>
      </c>
      <c r="E4627">
        <v>1</v>
      </c>
      <c r="F4627" s="7">
        <v>2085.11</v>
      </c>
      <c r="G4627">
        <v>0</v>
      </c>
      <c r="H4627" s="7">
        <v>0</v>
      </c>
    </row>
    <row r="4628" spans="1:8">
      <c r="A4628">
        <v>4</v>
      </c>
      <c r="B4628" t="s">
        <v>42</v>
      </c>
      <c r="C4628" t="s">
        <v>33</v>
      </c>
      <c r="D4628">
        <v>0</v>
      </c>
      <c r="E4628">
        <v>1</v>
      </c>
      <c r="F4628" s="7">
        <v>4011.15</v>
      </c>
      <c r="G4628">
        <v>0</v>
      </c>
      <c r="H4628" s="7">
        <v>0</v>
      </c>
    </row>
    <row r="4629" spans="1:8">
      <c r="A4629">
        <v>4</v>
      </c>
      <c r="B4629" t="s">
        <v>43</v>
      </c>
      <c r="C4629" t="s">
        <v>34</v>
      </c>
      <c r="D4629">
        <v>0</v>
      </c>
      <c r="E4629">
        <v>1</v>
      </c>
      <c r="F4629" s="7">
        <v>97808.48</v>
      </c>
      <c r="G4629">
        <v>0</v>
      </c>
      <c r="H4629" s="7">
        <v>0</v>
      </c>
    </row>
    <row r="4630" spans="1:8">
      <c r="A4630">
        <v>4</v>
      </c>
      <c r="B4630" t="s">
        <v>42</v>
      </c>
      <c r="C4630" t="s">
        <v>33</v>
      </c>
      <c r="D4630">
        <v>0</v>
      </c>
      <c r="E4630">
        <v>1</v>
      </c>
      <c r="F4630" s="7">
        <v>1686.41</v>
      </c>
      <c r="G4630">
        <v>0</v>
      </c>
      <c r="H4630" s="7">
        <v>0</v>
      </c>
    </row>
    <row r="4631" spans="1:8">
      <c r="A4631">
        <v>4</v>
      </c>
      <c r="B4631" t="s">
        <v>42</v>
      </c>
      <c r="C4631" t="s">
        <v>33</v>
      </c>
      <c r="D4631">
        <v>0</v>
      </c>
      <c r="E4631">
        <v>1</v>
      </c>
      <c r="F4631" s="7">
        <v>4513.92</v>
      </c>
      <c r="G4631">
        <v>0</v>
      </c>
      <c r="H4631" s="7">
        <v>0</v>
      </c>
    </row>
    <row r="4632" spans="1:8">
      <c r="A4632">
        <v>4</v>
      </c>
      <c r="B4632" t="s">
        <v>44</v>
      </c>
      <c r="C4632" t="s">
        <v>34</v>
      </c>
      <c r="D4632">
        <v>0</v>
      </c>
      <c r="E4632">
        <v>1</v>
      </c>
      <c r="F4632" s="7">
        <v>67243.37</v>
      </c>
      <c r="G4632">
        <v>0</v>
      </c>
      <c r="H4632" s="7">
        <v>0</v>
      </c>
    </row>
    <row r="4633" spans="1:8">
      <c r="A4633">
        <v>4</v>
      </c>
      <c r="B4633" t="s">
        <v>42</v>
      </c>
      <c r="C4633" t="s">
        <v>33</v>
      </c>
      <c r="D4633">
        <v>0</v>
      </c>
      <c r="E4633">
        <v>1</v>
      </c>
      <c r="F4633" s="7">
        <v>3236.73</v>
      </c>
      <c r="G4633">
        <v>0</v>
      </c>
      <c r="H4633" s="7">
        <v>0</v>
      </c>
    </row>
    <row r="4634" spans="1:8">
      <c r="A4634">
        <v>4</v>
      </c>
      <c r="B4634" t="s">
        <v>42</v>
      </c>
      <c r="C4634" t="s">
        <v>32</v>
      </c>
      <c r="D4634">
        <v>0</v>
      </c>
      <c r="E4634">
        <v>1</v>
      </c>
      <c r="F4634" s="7">
        <v>808.81</v>
      </c>
      <c r="G4634">
        <v>0</v>
      </c>
      <c r="H4634" s="7">
        <v>0</v>
      </c>
    </row>
    <row r="4635" spans="1:8">
      <c r="A4635">
        <v>4</v>
      </c>
      <c r="B4635" t="s">
        <v>42</v>
      </c>
      <c r="C4635" t="s">
        <v>33</v>
      </c>
      <c r="D4635">
        <v>0</v>
      </c>
      <c r="E4635">
        <v>1</v>
      </c>
      <c r="F4635" s="7">
        <v>8280.29</v>
      </c>
      <c r="G4635">
        <v>0</v>
      </c>
      <c r="H4635" s="7">
        <v>0</v>
      </c>
    </row>
    <row r="4636" spans="1:8">
      <c r="A4636">
        <v>4</v>
      </c>
      <c r="B4636" t="s">
        <v>46</v>
      </c>
      <c r="C4636" t="s">
        <v>35</v>
      </c>
      <c r="D4636">
        <v>0</v>
      </c>
      <c r="E4636">
        <v>1</v>
      </c>
      <c r="F4636" s="7">
        <v>107702.78</v>
      </c>
      <c r="G4636">
        <v>0</v>
      </c>
      <c r="H4636" s="7">
        <v>0</v>
      </c>
    </row>
    <row r="4637" spans="1:8">
      <c r="A4637">
        <v>4</v>
      </c>
      <c r="B4637" t="s">
        <v>42</v>
      </c>
      <c r="C4637" t="s">
        <v>33</v>
      </c>
      <c r="D4637">
        <v>0</v>
      </c>
      <c r="E4637">
        <v>1</v>
      </c>
      <c r="F4637" s="7">
        <v>4083.67</v>
      </c>
      <c r="G4637">
        <v>0</v>
      </c>
      <c r="H4637" s="7">
        <v>0</v>
      </c>
    </row>
    <row r="4638" spans="1:8">
      <c r="A4638">
        <v>4</v>
      </c>
      <c r="B4638" t="s">
        <v>42</v>
      </c>
      <c r="C4638" t="s">
        <v>33</v>
      </c>
      <c r="D4638">
        <v>0</v>
      </c>
      <c r="E4638">
        <v>1</v>
      </c>
      <c r="F4638" s="7">
        <v>1869.55</v>
      </c>
      <c r="G4638">
        <v>0</v>
      </c>
      <c r="H4638" s="7">
        <v>0</v>
      </c>
    </row>
    <row r="4639" spans="1:8">
      <c r="A4639">
        <v>4</v>
      </c>
      <c r="B4639" t="s">
        <v>43</v>
      </c>
      <c r="C4639" t="s">
        <v>34</v>
      </c>
      <c r="D4639">
        <v>0</v>
      </c>
      <c r="E4639">
        <v>1</v>
      </c>
      <c r="F4639" s="7">
        <v>36991.08</v>
      </c>
      <c r="G4639">
        <v>0</v>
      </c>
      <c r="H4639" s="7">
        <v>0</v>
      </c>
    </row>
    <row r="4640" spans="1:8">
      <c r="A4640">
        <v>4</v>
      </c>
      <c r="B4640" t="s">
        <v>43</v>
      </c>
      <c r="C4640" t="s">
        <v>34</v>
      </c>
      <c r="D4640">
        <v>0</v>
      </c>
      <c r="E4640">
        <v>1</v>
      </c>
      <c r="F4640" s="7">
        <v>54364.44</v>
      </c>
      <c r="G4640">
        <v>0</v>
      </c>
      <c r="H4640" s="7">
        <v>0</v>
      </c>
    </row>
    <row r="4641" spans="1:8">
      <c r="A4641">
        <v>4</v>
      </c>
      <c r="B4641" t="s">
        <v>42</v>
      </c>
      <c r="C4641" t="s">
        <v>32</v>
      </c>
      <c r="D4641">
        <v>0</v>
      </c>
      <c r="E4641">
        <v>1</v>
      </c>
      <c r="F4641" s="7">
        <v>115.43</v>
      </c>
      <c r="G4641">
        <v>0</v>
      </c>
      <c r="H4641" s="7">
        <v>0</v>
      </c>
    </row>
    <row r="4642" spans="1:8">
      <c r="A4642">
        <v>4</v>
      </c>
      <c r="B4642" t="s">
        <v>42</v>
      </c>
      <c r="C4642" t="s">
        <v>32</v>
      </c>
      <c r="D4642">
        <v>0</v>
      </c>
      <c r="E4642">
        <v>1</v>
      </c>
      <c r="F4642" s="7">
        <v>645.4</v>
      </c>
      <c r="G4642">
        <v>0</v>
      </c>
      <c r="H4642" s="7">
        <v>0</v>
      </c>
    </row>
    <row r="4643" spans="1:8">
      <c r="A4643">
        <v>4</v>
      </c>
      <c r="B4643" t="s">
        <v>42</v>
      </c>
      <c r="C4643" t="s">
        <v>33</v>
      </c>
      <c r="D4643">
        <v>0</v>
      </c>
      <c r="E4643">
        <v>1</v>
      </c>
      <c r="F4643" s="7">
        <v>5540.61</v>
      </c>
      <c r="G4643">
        <v>0</v>
      </c>
      <c r="H4643" s="7">
        <v>0</v>
      </c>
    </row>
    <row r="4644" spans="1:8">
      <c r="A4644">
        <v>4</v>
      </c>
      <c r="B4644" t="s">
        <v>43</v>
      </c>
      <c r="C4644" t="s">
        <v>33</v>
      </c>
      <c r="D4644">
        <v>0</v>
      </c>
      <c r="E4644">
        <v>1</v>
      </c>
      <c r="F4644" s="7">
        <v>7475.23</v>
      </c>
      <c r="G4644">
        <v>0</v>
      </c>
      <c r="H4644" s="7">
        <v>0</v>
      </c>
    </row>
    <row r="4645" spans="1:8">
      <c r="A4645">
        <v>4</v>
      </c>
      <c r="B4645" t="s">
        <v>42</v>
      </c>
      <c r="C4645" t="s">
        <v>33</v>
      </c>
      <c r="D4645">
        <v>0</v>
      </c>
      <c r="E4645">
        <v>1</v>
      </c>
      <c r="F4645" s="7">
        <v>5912.76</v>
      </c>
      <c r="G4645">
        <v>0</v>
      </c>
      <c r="H4645" s="7">
        <v>0</v>
      </c>
    </row>
    <row r="4646" spans="1:8">
      <c r="A4646">
        <v>4</v>
      </c>
      <c r="B4646" t="s">
        <v>43</v>
      </c>
      <c r="C4646" t="s">
        <v>34</v>
      </c>
      <c r="D4646">
        <v>0</v>
      </c>
      <c r="E4646">
        <v>1</v>
      </c>
      <c r="F4646" s="7">
        <v>14237.75</v>
      </c>
      <c r="G4646">
        <v>0</v>
      </c>
      <c r="H4646" s="7">
        <v>0</v>
      </c>
    </row>
    <row r="4647" spans="1:8">
      <c r="A4647">
        <v>4</v>
      </c>
      <c r="B4647" t="s">
        <v>42</v>
      </c>
      <c r="C4647" t="s">
        <v>33</v>
      </c>
      <c r="D4647">
        <v>0</v>
      </c>
      <c r="E4647">
        <v>1</v>
      </c>
      <c r="F4647" s="7">
        <v>6797.33</v>
      </c>
      <c r="G4647">
        <v>0</v>
      </c>
      <c r="H4647" s="7">
        <v>0</v>
      </c>
    </row>
    <row r="4648" spans="1:8">
      <c r="A4648">
        <v>4</v>
      </c>
      <c r="B4648" t="s">
        <v>42</v>
      </c>
      <c r="C4648" t="s">
        <v>33</v>
      </c>
      <c r="D4648">
        <v>0</v>
      </c>
      <c r="E4648">
        <v>1</v>
      </c>
      <c r="F4648" s="7">
        <v>2353.91</v>
      </c>
      <c r="G4648">
        <v>0</v>
      </c>
      <c r="H4648" s="7">
        <v>0</v>
      </c>
    </row>
    <row r="4649" spans="1:8">
      <c r="A4649">
        <v>4</v>
      </c>
      <c r="B4649" t="s">
        <v>45</v>
      </c>
      <c r="C4649" t="s">
        <v>32</v>
      </c>
      <c r="D4649">
        <v>0</v>
      </c>
      <c r="E4649">
        <v>1</v>
      </c>
      <c r="F4649" s="7">
        <v>564.53</v>
      </c>
      <c r="G4649">
        <v>0</v>
      </c>
      <c r="H4649" s="7">
        <v>0</v>
      </c>
    </row>
    <row r="4650" spans="1:8">
      <c r="A4650">
        <v>4</v>
      </c>
      <c r="B4650" t="s">
        <v>42</v>
      </c>
      <c r="C4650" t="s">
        <v>33</v>
      </c>
      <c r="D4650">
        <v>0</v>
      </c>
      <c r="E4650">
        <v>1</v>
      </c>
      <c r="F4650" s="7">
        <v>1199.97</v>
      </c>
      <c r="G4650">
        <v>0</v>
      </c>
      <c r="H4650" s="7">
        <v>0</v>
      </c>
    </row>
    <row r="4651" spans="1:8">
      <c r="A4651">
        <v>4</v>
      </c>
      <c r="B4651" t="s">
        <v>42</v>
      </c>
      <c r="C4651" t="s">
        <v>33</v>
      </c>
      <c r="D4651">
        <v>0</v>
      </c>
      <c r="E4651">
        <v>1</v>
      </c>
      <c r="F4651" s="7">
        <v>1800.83</v>
      </c>
      <c r="G4651">
        <v>0</v>
      </c>
      <c r="H4651" s="7">
        <v>0</v>
      </c>
    </row>
    <row r="4652" spans="1:8">
      <c r="A4652">
        <v>4</v>
      </c>
      <c r="B4652" t="s">
        <v>42</v>
      </c>
      <c r="C4652" t="s">
        <v>32</v>
      </c>
      <c r="D4652">
        <v>0</v>
      </c>
      <c r="E4652">
        <v>1</v>
      </c>
      <c r="F4652" s="7">
        <v>496.83</v>
      </c>
      <c r="G4652">
        <v>0</v>
      </c>
      <c r="H4652" s="7">
        <v>0</v>
      </c>
    </row>
    <row r="4653" spans="1:8">
      <c r="A4653">
        <v>4</v>
      </c>
      <c r="B4653" t="s">
        <v>42</v>
      </c>
      <c r="C4653" t="s">
        <v>33</v>
      </c>
      <c r="D4653">
        <v>0</v>
      </c>
      <c r="E4653">
        <v>1</v>
      </c>
      <c r="F4653" s="7">
        <v>1560.66</v>
      </c>
      <c r="G4653">
        <v>0</v>
      </c>
      <c r="H4653" s="7">
        <v>0</v>
      </c>
    </row>
    <row r="4654" spans="1:8">
      <c r="A4654">
        <v>4</v>
      </c>
      <c r="B4654" t="s">
        <v>44</v>
      </c>
      <c r="C4654" t="s">
        <v>34</v>
      </c>
      <c r="D4654">
        <v>0</v>
      </c>
      <c r="E4654">
        <v>1</v>
      </c>
      <c r="F4654" s="7">
        <v>54989.36</v>
      </c>
      <c r="G4654">
        <v>0</v>
      </c>
      <c r="H4654" s="7">
        <v>0</v>
      </c>
    </row>
    <row r="4655" spans="1:8">
      <c r="A4655">
        <v>4</v>
      </c>
      <c r="B4655" t="s">
        <v>44</v>
      </c>
      <c r="C4655" t="s">
        <v>35</v>
      </c>
      <c r="D4655">
        <v>0</v>
      </c>
      <c r="E4655">
        <v>1</v>
      </c>
      <c r="F4655" s="7">
        <v>121619.14</v>
      </c>
      <c r="G4655">
        <v>0</v>
      </c>
      <c r="H4655" s="7">
        <v>0</v>
      </c>
    </row>
    <row r="4656" spans="1:8">
      <c r="A4656">
        <v>4</v>
      </c>
      <c r="B4656" t="s">
        <v>45</v>
      </c>
      <c r="C4656" t="s">
        <v>33</v>
      </c>
      <c r="D4656">
        <v>0</v>
      </c>
      <c r="E4656">
        <v>1</v>
      </c>
      <c r="F4656" s="7">
        <v>1113.43</v>
      </c>
      <c r="G4656">
        <v>0</v>
      </c>
      <c r="H4656" s="7">
        <v>0</v>
      </c>
    </row>
    <row r="4657" spans="1:8">
      <c r="A4657">
        <v>4</v>
      </c>
      <c r="B4657" t="s">
        <v>42</v>
      </c>
      <c r="C4657" t="s">
        <v>33</v>
      </c>
      <c r="D4657">
        <v>0</v>
      </c>
      <c r="E4657">
        <v>1</v>
      </c>
      <c r="F4657" s="7">
        <v>2215.57</v>
      </c>
      <c r="G4657">
        <v>0</v>
      </c>
      <c r="H4657" s="7">
        <v>0</v>
      </c>
    </row>
    <row r="4658" spans="1:8">
      <c r="A4658">
        <v>4</v>
      </c>
      <c r="B4658" t="s">
        <v>42</v>
      </c>
      <c r="C4658" t="s">
        <v>32</v>
      </c>
      <c r="D4658">
        <v>0</v>
      </c>
      <c r="E4658">
        <v>1</v>
      </c>
      <c r="F4658" s="7">
        <v>498.96</v>
      </c>
      <c r="G4658">
        <v>0</v>
      </c>
      <c r="H4658" s="7">
        <v>0</v>
      </c>
    </row>
    <row r="4659" spans="1:8">
      <c r="A4659">
        <v>4</v>
      </c>
      <c r="B4659" t="s">
        <v>44</v>
      </c>
      <c r="C4659" t="s">
        <v>35</v>
      </c>
      <c r="D4659">
        <v>0</v>
      </c>
      <c r="E4659">
        <v>1</v>
      </c>
      <c r="F4659" s="7">
        <v>106903.28</v>
      </c>
      <c r="G4659">
        <v>0</v>
      </c>
      <c r="H4659" s="7">
        <v>0</v>
      </c>
    </row>
    <row r="4660" spans="1:8">
      <c r="A4660">
        <v>4</v>
      </c>
      <c r="B4660" t="s">
        <v>42</v>
      </c>
      <c r="C4660" t="s">
        <v>33</v>
      </c>
      <c r="D4660">
        <v>0</v>
      </c>
      <c r="E4660">
        <v>1</v>
      </c>
      <c r="F4660" s="7">
        <v>1624.21</v>
      </c>
      <c r="G4660">
        <v>0</v>
      </c>
      <c r="H4660" s="7">
        <v>0</v>
      </c>
    </row>
    <row r="4661" spans="1:8">
      <c r="A4661">
        <v>4</v>
      </c>
      <c r="B4661" t="s">
        <v>42</v>
      </c>
      <c r="C4661" t="s">
        <v>32</v>
      </c>
      <c r="D4661">
        <v>0</v>
      </c>
      <c r="E4661">
        <v>1</v>
      </c>
      <c r="F4661" s="7">
        <v>307.75</v>
      </c>
      <c r="G4661">
        <v>0</v>
      </c>
      <c r="H4661" s="7">
        <v>0</v>
      </c>
    </row>
    <row r="4662" spans="1:8">
      <c r="A4662">
        <v>4</v>
      </c>
      <c r="B4662" t="s">
        <v>42</v>
      </c>
      <c r="C4662" t="s">
        <v>33</v>
      </c>
      <c r="D4662">
        <v>0</v>
      </c>
      <c r="E4662">
        <v>1</v>
      </c>
      <c r="F4662" s="7">
        <v>5562.29</v>
      </c>
      <c r="G4662">
        <v>0</v>
      </c>
      <c r="H4662" s="7">
        <v>0</v>
      </c>
    </row>
    <row r="4663" spans="1:8">
      <c r="A4663">
        <v>4</v>
      </c>
      <c r="B4663" t="s">
        <v>42</v>
      </c>
      <c r="C4663" t="s">
        <v>34</v>
      </c>
      <c r="D4663">
        <v>0</v>
      </c>
      <c r="E4663">
        <v>1</v>
      </c>
      <c r="F4663" s="7">
        <v>12088.13</v>
      </c>
      <c r="G4663">
        <v>0</v>
      </c>
      <c r="H4663" s="7">
        <v>0</v>
      </c>
    </row>
    <row r="4664" spans="1:8">
      <c r="A4664">
        <v>4</v>
      </c>
      <c r="B4664" t="s">
        <v>42</v>
      </c>
      <c r="C4664" t="s">
        <v>33</v>
      </c>
      <c r="D4664">
        <v>0</v>
      </c>
      <c r="E4664">
        <v>1</v>
      </c>
      <c r="F4664" s="7">
        <v>1944.57</v>
      </c>
      <c r="G4664">
        <v>0</v>
      </c>
      <c r="H4664" s="7">
        <v>0</v>
      </c>
    </row>
    <row r="4665" spans="1:8">
      <c r="A4665">
        <v>4</v>
      </c>
      <c r="B4665" t="s">
        <v>42</v>
      </c>
      <c r="C4665" t="s">
        <v>33</v>
      </c>
      <c r="D4665">
        <v>0</v>
      </c>
      <c r="E4665">
        <v>1</v>
      </c>
      <c r="F4665" s="7">
        <v>5562.62</v>
      </c>
      <c r="G4665">
        <v>0</v>
      </c>
      <c r="H4665" s="7">
        <v>0</v>
      </c>
    </row>
    <row r="4666" spans="1:8">
      <c r="A4666">
        <v>4</v>
      </c>
      <c r="B4666" t="s">
        <v>42</v>
      </c>
      <c r="C4666" t="s">
        <v>33</v>
      </c>
      <c r="D4666">
        <v>0</v>
      </c>
      <c r="E4666">
        <v>1</v>
      </c>
      <c r="F4666" s="7">
        <v>2630.2</v>
      </c>
      <c r="G4666">
        <v>0</v>
      </c>
      <c r="H4666" s="7">
        <v>0</v>
      </c>
    </row>
    <row r="4667" spans="1:8">
      <c r="A4667">
        <v>4</v>
      </c>
      <c r="B4667" t="s">
        <v>42</v>
      </c>
      <c r="C4667" t="s">
        <v>33</v>
      </c>
      <c r="D4667">
        <v>0</v>
      </c>
      <c r="E4667">
        <v>1</v>
      </c>
      <c r="F4667" s="7">
        <v>1006.39</v>
      </c>
      <c r="G4667">
        <v>0</v>
      </c>
      <c r="H4667" s="7">
        <v>0</v>
      </c>
    </row>
    <row r="4668" spans="1:8">
      <c r="A4668">
        <v>4</v>
      </c>
      <c r="B4668" t="s">
        <v>42</v>
      </c>
      <c r="C4668" t="s">
        <v>32</v>
      </c>
      <c r="D4668">
        <v>0</v>
      </c>
      <c r="E4668">
        <v>1</v>
      </c>
      <c r="F4668" s="7">
        <v>34.85</v>
      </c>
      <c r="G4668">
        <v>0</v>
      </c>
      <c r="H4668" s="7">
        <v>0</v>
      </c>
    </row>
    <row r="4669" spans="1:8">
      <c r="A4669">
        <v>4</v>
      </c>
      <c r="B4669" t="s">
        <v>44</v>
      </c>
      <c r="C4669" t="s">
        <v>34</v>
      </c>
      <c r="D4669">
        <v>0</v>
      </c>
      <c r="E4669">
        <v>1</v>
      </c>
      <c r="F4669" s="7">
        <v>70994.78</v>
      </c>
      <c r="G4669">
        <v>0</v>
      </c>
      <c r="H4669" s="7">
        <v>0</v>
      </c>
    </row>
    <row r="4670" spans="1:8">
      <c r="A4670">
        <v>4</v>
      </c>
      <c r="B4670" t="s">
        <v>42</v>
      </c>
      <c r="C4670" t="s">
        <v>33</v>
      </c>
      <c r="D4670">
        <v>0</v>
      </c>
      <c r="E4670">
        <v>1</v>
      </c>
      <c r="F4670" s="7">
        <v>3246.88</v>
      </c>
      <c r="G4670">
        <v>0</v>
      </c>
      <c r="H4670" s="7">
        <v>0</v>
      </c>
    </row>
    <row r="4671" spans="1:8">
      <c r="A4671">
        <v>4</v>
      </c>
      <c r="B4671" t="s">
        <v>44</v>
      </c>
      <c r="C4671" t="s">
        <v>34</v>
      </c>
      <c r="D4671">
        <v>0</v>
      </c>
      <c r="E4671">
        <v>1</v>
      </c>
      <c r="F4671" s="7">
        <v>37239.99</v>
      </c>
      <c r="G4671">
        <v>0</v>
      </c>
      <c r="H4671" s="7">
        <v>0</v>
      </c>
    </row>
    <row r="4672" spans="1:8">
      <c r="A4672">
        <v>4</v>
      </c>
      <c r="B4672" t="s">
        <v>42</v>
      </c>
      <c r="C4672" t="s">
        <v>32</v>
      </c>
      <c r="D4672">
        <v>0</v>
      </c>
      <c r="E4672">
        <v>1</v>
      </c>
      <c r="F4672" s="7">
        <v>329.84</v>
      </c>
      <c r="G4672">
        <v>0</v>
      </c>
      <c r="H4672" s="7">
        <v>0</v>
      </c>
    </row>
    <row r="4673" spans="1:8">
      <c r="A4673">
        <v>4</v>
      </c>
      <c r="B4673" t="s">
        <v>43</v>
      </c>
      <c r="C4673" t="s">
        <v>35</v>
      </c>
      <c r="D4673">
        <v>1</v>
      </c>
      <c r="E4673">
        <v>1</v>
      </c>
      <c r="F4673" s="7">
        <v>169941.73</v>
      </c>
      <c r="G4673">
        <v>1</v>
      </c>
      <c r="H4673" s="7">
        <v>169941.73</v>
      </c>
    </row>
    <row r="4674" spans="1:8">
      <c r="A4674">
        <v>4</v>
      </c>
      <c r="B4674" t="s">
        <v>44</v>
      </c>
      <c r="C4674" t="s">
        <v>35</v>
      </c>
      <c r="D4674">
        <v>1</v>
      </c>
      <c r="E4674">
        <v>1</v>
      </c>
      <c r="F4674" s="7">
        <v>169941.73</v>
      </c>
      <c r="G4674">
        <v>1</v>
      </c>
      <c r="H4674" s="7">
        <v>169941.73</v>
      </c>
    </row>
    <row r="4675" spans="1:8">
      <c r="A4675">
        <v>4</v>
      </c>
      <c r="B4675" t="s">
        <v>42</v>
      </c>
      <c r="C4675" t="s">
        <v>33</v>
      </c>
      <c r="D4675">
        <v>0</v>
      </c>
      <c r="E4675">
        <v>1</v>
      </c>
      <c r="F4675" s="7">
        <v>2988.02</v>
      </c>
      <c r="G4675">
        <v>0</v>
      </c>
      <c r="H4675" s="7">
        <v>0</v>
      </c>
    </row>
    <row r="4676" spans="1:8">
      <c r="A4676">
        <v>4</v>
      </c>
      <c r="B4676" t="s">
        <v>45</v>
      </c>
      <c r="C4676" t="s">
        <v>32</v>
      </c>
      <c r="D4676">
        <v>0</v>
      </c>
      <c r="E4676">
        <v>1</v>
      </c>
      <c r="F4676" s="7">
        <v>181.87</v>
      </c>
      <c r="G4676">
        <v>0</v>
      </c>
      <c r="H4676" s="7">
        <v>0</v>
      </c>
    </row>
    <row r="4677" spans="1:8">
      <c r="A4677">
        <v>4</v>
      </c>
      <c r="B4677" t="s">
        <v>42</v>
      </c>
      <c r="C4677" t="s">
        <v>33</v>
      </c>
      <c r="D4677">
        <v>0</v>
      </c>
      <c r="E4677">
        <v>1</v>
      </c>
      <c r="F4677" s="7">
        <v>1813.69</v>
      </c>
      <c r="G4677">
        <v>0</v>
      </c>
      <c r="H4677" s="7">
        <v>0</v>
      </c>
    </row>
    <row r="4678" spans="1:8">
      <c r="A4678">
        <v>4</v>
      </c>
      <c r="B4678" t="s">
        <v>42</v>
      </c>
      <c r="C4678" t="s">
        <v>33</v>
      </c>
      <c r="D4678">
        <v>0</v>
      </c>
      <c r="E4678">
        <v>1</v>
      </c>
      <c r="F4678" s="7">
        <v>2445.35</v>
      </c>
      <c r="G4678">
        <v>0</v>
      </c>
      <c r="H4678" s="7">
        <v>0</v>
      </c>
    </row>
    <row r="4679" spans="1:8">
      <c r="A4679">
        <v>4</v>
      </c>
      <c r="B4679" t="s">
        <v>43</v>
      </c>
      <c r="C4679" t="s">
        <v>35</v>
      </c>
      <c r="D4679">
        <v>0</v>
      </c>
      <c r="E4679">
        <v>1</v>
      </c>
      <c r="F4679" s="7">
        <v>139644.5</v>
      </c>
      <c r="G4679">
        <v>0</v>
      </c>
      <c r="H4679" s="7">
        <v>0</v>
      </c>
    </row>
    <row r="4680" spans="1:8">
      <c r="A4680">
        <v>4</v>
      </c>
      <c r="B4680" t="s">
        <v>43</v>
      </c>
      <c r="C4680" t="s">
        <v>35</v>
      </c>
      <c r="D4680">
        <v>0</v>
      </c>
      <c r="E4680">
        <v>1</v>
      </c>
      <c r="F4680" s="7">
        <v>148792.1</v>
      </c>
      <c r="G4680">
        <v>0</v>
      </c>
      <c r="H4680" s="7">
        <v>0</v>
      </c>
    </row>
    <row r="4681" spans="1:8">
      <c r="A4681">
        <v>4</v>
      </c>
      <c r="B4681" t="s">
        <v>43</v>
      </c>
      <c r="C4681" t="s">
        <v>35</v>
      </c>
      <c r="D4681">
        <v>0</v>
      </c>
      <c r="E4681">
        <v>1</v>
      </c>
      <c r="F4681" s="7">
        <v>277758.51</v>
      </c>
      <c r="G4681">
        <v>0</v>
      </c>
      <c r="H4681" s="7">
        <v>0</v>
      </c>
    </row>
    <row r="4682" spans="1:8">
      <c r="A4682">
        <v>4</v>
      </c>
      <c r="B4682" t="s">
        <v>43</v>
      </c>
      <c r="C4682" t="s">
        <v>36</v>
      </c>
      <c r="D4682">
        <v>0</v>
      </c>
      <c r="E4682">
        <v>1</v>
      </c>
      <c r="F4682" s="7">
        <v>1465846.48</v>
      </c>
      <c r="G4682">
        <v>0</v>
      </c>
      <c r="H4682" s="7">
        <v>0</v>
      </c>
    </row>
    <row r="4683" spans="1:8">
      <c r="A4683">
        <v>4</v>
      </c>
      <c r="B4683" t="s">
        <v>43</v>
      </c>
      <c r="C4683" t="s">
        <v>35</v>
      </c>
      <c r="D4683">
        <v>0</v>
      </c>
      <c r="E4683">
        <v>1</v>
      </c>
      <c r="F4683" s="7">
        <v>132948.43</v>
      </c>
      <c r="G4683">
        <v>0</v>
      </c>
      <c r="H4683" s="7">
        <v>0</v>
      </c>
    </row>
    <row r="4684" spans="1:8">
      <c r="A4684">
        <v>4</v>
      </c>
      <c r="B4684" t="s">
        <v>43</v>
      </c>
      <c r="C4684" t="s">
        <v>36</v>
      </c>
      <c r="D4684">
        <v>0</v>
      </c>
      <c r="E4684">
        <v>1</v>
      </c>
      <c r="F4684" s="7">
        <v>1137763.15</v>
      </c>
      <c r="G4684">
        <v>0</v>
      </c>
      <c r="H4684" s="7">
        <v>0</v>
      </c>
    </row>
    <row r="4685" spans="1:8">
      <c r="A4685">
        <v>4</v>
      </c>
      <c r="B4685" t="s">
        <v>43</v>
      </c>
      <c r="C4685" t="s">
        <v>35</v>
      </c>
      <c r="D4685">
        <v>0</v>
      </c>
      <c r="E4685">
        <v>1</v>
      </c>
      <c r="F4685" s="7">
        <v>507775.58</v>
      </c>
      <c r="G4685">
        <v>0</v>
      </c>
      <c r="H4685" s="7">
        <v>0</v>
      </c>
    </row>
    <row r="4686" spans="1:8">
      <c r="A4686">
        <v>4</v>
      </c>
      <c r="B4686" t="s">
        <v>43</v>
      </c>
      <c r="C4686" t="s">
        <v>35</v>
      </c>
      <c r="D4686">
        <v>0</v>
      </c>
      <c r="E4686">
        <v>1</v>
      </c>
      <c r="F4686" s="7">
        <v>307749.99</v>
      </c>
      <c r="G4686">
        <v>0</v>
      </c>
      <c r="H4686" s="7">
        <v>0</v>
      </c>
    </row>
    <row r="4687" spans="1:8">
      <c r="A4687">
        <v>4</v>
      </c>
      <c r="B4687" t="s">
        <v>43</v>
      </c>
      <c r="C4687" t="s">
        <v>35</v>
      </c>
      <c r="D4687">
        <v>0</v>
      </c>
      <c r="E4687">
        <v>1</v>
      </c>
      <c r="F4687" s="7">
        <v>908274.13</v>
      </c>
      <c r="G4687">
        <v>0</v>
      </c>
      <c r="H4687" s="7">
        <v>0</v>
      </c>
    </row>
    <row r="4688" spans="1:8">
      <c r="A4688">
        <v>4</v>
      </c>
      <c r="B4688" t="s">
        <v>43</v>
      </c>
      <c r="C4688" t="s">
        <v>36</v>
      </c>
      <c r="D4688">
        <v>0</v>
      </c>
      <c r="E4688">
        <v>1</v>
      </c>
      <c r="F4688" s="7">
        <v>1032930.05</v>
      </c>
      <c r="G4688">
        <v>0</v>
      </c>
      <c r="H4688" s="7">
        <v>0</v>
      </c>
    </row>
    <row r="4689" spans="1:8">
      <c r="A4689">
        <v>4</v>
      </c>
      <c r="B4689" t="s">
        <v>43</v>
      </c>
      <c r="C4689" t="s">
        <v>36</v>
      </c>
      <c r="D4689">
        <v>0</v>
      </c>
      <c r="E4689">
        <v>1</v>
      </c>
      <c r="F4689" s="7">
        <v>1027611.05</v>
      </c>
      <c r="G4689">
        <v>0</v>
      </c>
      <c r="H4689" s="7">
        <v>0</v>
      </c>
    </row>
    <row r="4690" spans="1:8">
      <c r="A4690">
        <v>4</v>
      </c>
      <c r="B4690" t="s">
        <v>43</v>
      </c>
      <c r="C4690" t="s">
        <v>35</v>
      </c>
      <c r="D4690">
        <v>0</v>
      </c>
      <c r="E4690">
        <v>1</v>
      </c>
      <c r="F4690" s="7">
        <v>522854.73</v>
      </c>
      <c r="G4690">
        <v>0</v>
      </c>
      <c r="H4690" s="7">
        <v>0</v>
      </c>
    </row>
    <row r="4691" spans="1:8">
      <c r="A4691">
        <v>4</v>
      </c>
      <c r="B4691" t="s">
        <v>43</v>
      </c>
      <c r="C4691" t="s">
        <v>35</v>
      </c>
      <c r="D4691">
        <v>0</v>
      </c>
      <c r="E4691">
        <v>1</v>
      </c>
      <c r="F4691" s="7">
        <v>225558.27</v>
      </c>
      <c r="G4691">
        <v>0</v>
      </c>
      <c r="H4691" s="7">
        <v>0</v>
      </c>
    </row>
    <row r="4692" spans="1:8">
      <c r="A4692">
        <v>4</v>
      </c>
      <c r="B4692" t="s">
        <v>43</v>
      </c>
      <c r="C4692" t="s">
        <v>35</v>
      </c>
      <c r="D4692">
        <v>0</v>
      </c>
      <c r="E4692">
        <v>1</v>
      </c>
      <c r="F4692" s="7">
        <v>862977.6</v>
      </c>
      <c r="G4692">
        <v>0</v>
      </c>
      <c r="H4692" s="7">
        <v>0</v>
      </c>
    </row>
    <row r="4693" spans="1:8">
      <c r="A4693">
        <v>4</v>
      </c>
      <c r="B4693" t="s">
        <v>43</v>
      </c>
      <c r="C4693" t="s">
        <v>35</v>
      </c>
      <c r="D4693">
        <v>0</v>
      </c>
      <c r="E4693">
        <v>1</v>
      </c>
      <c r="F4693" s="7">
        <v>342332.55</v>
      </c>
      <c r="G4693">
        <v>0</v>
      </c>
      <c r="H4693" s="7">
        <v>0</v>
      </c>
    </row>
    <row r="4694" spans="1:8">
      <c r="A4694">
        <v>4</v>
      </c>
      <c r="B4694" t="s">
        <v>43</v>
      </c>
      <c r="C4694" t="s">
        <v>36</v>
      </c>
      <c r="D4694">
        <v>0</v>
      </c>
      <c r="E4694">
        <v>1</v>
      </c>
      <c r="F4694" s="7">
        <v>1501775.62</v>
      </c>
      <c r="G4694">
        <v>0</v>
      </c>
      <c r="H4694" s="7">
        <v>0</v>
      </c>
    </row>
    <row r="4695" spans="1:8">
      <c r="A4695">
        <v>4</v>
      </c>
      <c r="B4695" t="s">
        <v>43</v>
      </c>
      <c r="C4695" t="s">
        <v>35</v>
      </c>
      <c r="D4695">
        <v>0</v>
      </c>
      <c r="E4695">
        <v>1</v>
      </c>
      <c r="F4695" s="7">
        <v>119656.92</v>
      </c>
      <c r="G4695">
        <v>0</v>
      </c>
      <c r="H4695" s="7">
        <v>0</v>
      </c>
    </row>
    <row r="4696" spans="1:8">
      <c r="A4696">
        <v>4</v>
      </c>
      <c r="B4696" t="s">
        <v>42</v>
      </c>
      <c r="C4696" t="s">
        <v>33</v>
      </c>
      <c r="D4696">
        <v>0</v>
      </c>
      <c r="E4696">
        <v>1</v>
      </c>
      <c r="F4696" s="7">
        <v>1919.99</v>
      </c>
      <c r="G4696">
        <v>0</v>
      </c>
      <c r="H4696" s="7">
        <v>0</v>
      </c>
    </row>
    <row r="4697" spans="1:8">
      <c r="A4697">
        <v>4</v>
      </c>
      <c r="B4697" t="s">
        <v>42</v>
      </c>
      <c r="C4697" t="s">
        <v>33</v>
      </c>
      <c r="D4697">
        <v>0</v>
      </c>
      <c r="E4697">
        <v>1</v>
      </c>
      <c r="F4697" s="7">
        <v>2578.03</v>
      </c>
      <c r="G4697">
        <v>0</v>
      </c>
      <c r="H4697" s="7">
        <v>0</v>
      </c>
    </row>
    <row r="4698" spans="1:8">
      <c r="A4698">
        <v>4</v>
      </c>
      <c r="B4698" t="s">
        <v>42</v>
      </c>
      <c r="C4698" t="s">
        <v>32</v>
      </c>
      <c r="D4698">
        <v>0</v>
      </c>
      <c r="E4698">
        <v>1</v>
      </c>
      <c r="F4698" s="7">
        <v>592.9</v>
      </c>
      <c r="G4698">
        <v>0</v>
      </c>
      <c r="H4698" s="7">
        <v>0</v>
      </c>
    </row>
    <row r="4699" spans="1:8">
      <c r="A4699">
        <v>4</v>
      </c>
      <c r="B4699" t="s">
        <v>43</v>
      </c>
      <c r="C4699" t="s">
        <v>34</v>
      </c>
      <c r="D4699">
        <v>1</v>
      </c>
      <c r="E4699">
        <v>1</v>
      </c>
      <c r="F4699" s="7">
        <v>13707.11</v>
      </c>
      <c r="G4699">
        <v>1</v>
      </c>
      <c r="H4699" s="7">
        <v>13707.11</v>
      </c>
    </row>
    <row r="4700" spans="1:8">
      <c r="A4700">
        <v>4</v>
      </c>
      <c r="B4700" t="s">
        <v>44</v>
      </c>
      <c r="C4700" t="s">
        <v>34</v>
      </c>
      <c r="D4700">
        <v>1</v>
      </c>
      <c r="E4700">
        <v>1</v>
      </c>
      <c r="F4700" s="7">
        <v>13707.11</v>
      </c>
      <c r="G4700">
        <v>1</v>
      </c>
      <c r="H4700" s="7">
        <v>13707.11</v>
      </c>
    </row>
    <row r="4701" spans="1:8">
      <c r="A4701">
        <v>4</v>
      </c>
      <c r="B4701" t="s">
        <v>42</v>
      </c>
      <c r="C4701" t="s">
        <v>33</v>
      </c>
      <c r="D4701">
        <v>0</v>
      </c>
      <c r="E4701">
        <v>1</v>
      </c>
      <c r="F4701" s="7">
        <v>3616.2</v>
      </c>
      <c r="G4701">
        <v>0</v>
      </c>
      <c r="H4701" s="7">
        <v>0</v>
      </c>
    </row>
    <row r="4702" spans="1:8">
      <c r="A4702">
        <v>4</v>
      </c>
      <c r="B4702" t="s">
        <v>42</v>
      </c>
      <c r="C4702" t="s">
        <v>32</v>
      </c>
      <c r="D4702">
        <v>0</v>
      </c>
      <c r="E4702">
        <v>1</v>
      </c>
      <c r="F4702" s="7">
        <v>761.07</v>
      </c>
      <c r="G4702">
        <v>0</v>
      </c>
      <c r="H4702" s="7">
        <v>0</v>
      </c>
    </row>
    <row r="4703" spans="1:8">
      <c r="A4703">
        <v>4</v>
      </c>
      <c r="B4703" t="s">
        <v>42</v>
      </c>
      <c r="C4703" t="s">
        <v>33</v>
      </c>
      <c r="D4703">
        <v>0</v>
      </c>
      <c r="E4703">
        <v>1</v>
      </c>
      <c r="F4703" s="7">
        <v>2662.71</v>
      </c>
      <c r="G4703">
        <v>0</v>
      </c>
      <c r="H4703" s="7">
        <v>0</v>
      </c>
    </row>
    <row r="4704" spans="1:8">
      <c r="A4704">
        <v>4</v>
      </c>
      <c r="B4704" t="s">
        <v>42</v>
      </c>
      <c r="C4704" t="s">
        <v>33</v>
      </c>
      <c r="D4704">
        <v>0</v>
      </c>
      <c r="E4704">
        <v>1</v>
      </c>
      <c r="F4704" s="7">
        <v>1227.16</v>
      </c>
      <c r="G4704">
        <v>0</v>
      </c>
      <c r="H4704" s="7">
        <v>0</v>
      </c>
    </row>
    <row r="4705" spans="1:8">
      <c r="A4705">
        <v>4</v>
      </c>
      <c r="B4705" t="s">
        <v>42</v>
      </c>
      <c r="C4705" t="s">
        <v>33</v>
      </c>
      <c r="D4705">
        <v>0</v>
      </c>
      <c r="E4705">
        <v>1</v>
      </c>
      <c r="F4705" s="7">
        <v>1178.41</v>
      </c>
      <c r="G4705">
        <v>0</v>
      </c>
      <c r="H4705" s="7">
        <v>0</v>
      </c>
    </row>
    <row r="4706" spans="1:8">
      <c r="A4706">
        <v>4</v>
      </c>
      <c r="B4706" t="s">
        <v>42</v>
      </c>
      <c r="C4706" t="s">
        <v>33</v>
      </c>
      <c r="D4706">
        <v>0</v>
      </c>
      <c r="E4706">
        <v>1</v>
      </c>
      <c r="F4706" s="7">
        <v>2617.28</v>
      </c>
      <c r="G4706">
        <v>0</v>
      </c>
      <c r="H4706" s="7">
        <v>0</v>
      </c>
    </row>
    <row r="4707" spans="1:8">
      <c r="A4707">
        <v>4</v>
      </c>
      <c r="B4707" t="s">
        <v>42</v>
      </c>
      <c r="C4707" t="s">
        <v>32</v>
      </c>
      <c r="D4707">
        <v>0</v>
      </c>
      <c r="E4707">
        <v>1</v>
      </c>
      <c r="F4707" s="7">
        <v>576.08</v>
      </c>
      <c r="G4707">
        <v>0</v>
      </c>
      <c r="H4707" s="7">
        <v>0</v>
      </c>
    </row>
    <row r="4708" spans="1:8">
      <c r="A4708">
        <v>4</v>
      </c>
      <c r="B4708" t="s">
        <v>42</v>
      </c>
      <c r="C4708" t="s">
        <v>33</v>
      </c>
      <c r="D4708">
        <v>0</v>
      </c>
      <c r="E4708">
        <v>1</v>
      </c>
      <c r="F4708" s="7">
        <v>1619.78</v>
      </c>
      <c r="G4708">
        <v>0</v>
      </c>
      <c r="H4708" s="7">
        <v>0</v>
      </c>
    </row>
    <row r="4709" spans="1:8">
      <c r="A4709">
        <v>4</v>
      </c>
      <c r="B4709" t="s">
        <v>42</v>
      </c>
      <c r="C4709" t="s">
        <v>33</v>
      </c>
      <c r="D4709">
        <v>0</v>
      </c>
      <c r="E4709">
        <v>1</v>
      </c>
      <c r="F4709" s="7">
        <v>2379.78</v>
      </c>
      <c r="G4709">
        <v>0</v>
      </c>
      <c r="H4709" s="7">
        <v>0</v>
      </c>
    </row>
    <row r="4710" spans="1:8">
      <c r="A4710">
        <v>4</v>
      </c>
      <c r="B4710" t="s">
        <v>44</v>
      </c>
      <c r="C4710" t="s">
        <v>34</v>
      </c>
      <c r="D4710">
        <v>0</v>
      </c>
      <c r="E4710">
        <v>1</v>
      </c>
      <c r="F4710" s="7">
        <v>67180.68</v>
      </c>
      <c r="G4710">
        <v>0</v>
      </c>
      <c r="H4710" s="7">
        <v>0</v>
      </c>
    </row>
    <row r="4711" spans="1:8">
      <c r="A4711">
        <v>4</v>
      </c>
      <c r="B4711" t="s">
        <v>42</v>
      </c>
      <c r="C4711" t="s">
        <v>33</v>
      </c>
      <c r="D4711">
        <v>0</v>
      </c>
      <c r="E4711">
        <v>1</v>
      </c>
      <c r="F4711" s="7">
        <v>3373.81</v>
      </c>
      <c r="G4711">
        <v>0</v>
      </c>
      <c r="H4711" s="7">
        <v>0</v>
      </c>
    </row>
    <row r="4712" spans="1:8">
      <c r="A4712">
        <v>4</v>
      </c>
      <c r="B4712" t="s">
        <v>42</v>
      </c>
      <c r="C4712" t="s">
        <v>33</v>
      </c>
      <c r="D4712">
        <v>0</v>
      </c>
      <c r="E4712">
        <v>1</v>
      </c>
      <c r="F4712" s="7">
        <v>2329.66</v>
      </c>
      <c r="G4712">
        <v>0</v>
      </c>
      <c r="H4712" s="7">
        <v>0</v>
      </c>
    </row>
    <row r="4713" spans="1:8">
      <c r="A4713">
        <v>4</v>
      </c>
      <c r="B4713" t="s">
        <v>44</v>
      </c>
      <c r="C4713" t="s">
        <v>34</v>
      </c>
      <c r="D4713">
        <v>0</v>
      </c>
      <c r="E4713">
        <v>1</v>
      </c>
      <c r="F4713" s="7">
        <v>33881.81</v>
      </c>
      <c r="G4713">
        <v>0</v>
      </c>
      <c r="H4713" s="7">
        <v>0</v>
      </c>
    </row>
    <row r="4714" spans="1:8">
      <c r="A4714">
        <v>4</v>
      </c>
      <c r="B4714" t="s">
        <v>42</v>
      </c>
      <c r="C4714" t="s">
        <v>33</v>
      </c>
      <c r="D4714">
        <v>0</v>
      </c>
      <c r="E4714">
        <v>1</v>
      </c>
      <c r="F4714" s="7">
        <v>3103.47</v>
      </c>
      <c r="G4714">
        <v>0</v>
      </c>
      <c r="H4714" s="7">
        <v>0</v>
      </c>
    </row>
    <row r="4715" spans="1:8">
      <c r="A4715">
        <v>4</v>
      </c>
      <c r="B4715" t="s">
        <v>42</v>
      </c>
      <c r="C4715" t="s">
        <v>33</v>
      </c>
      <c r="D4715">
        <v>0</v>
      </c>
      <c r="E4715">
        <v>1</v>
      </c>
      <c r="F4715" s="7">
        <v>2140.78</v>
      </c>
      <c r="G4715">
        <v>0</v>
      </c>
      <c r="H4715" s="7">
        <v>0</v>
      </c>
    </row>
    <row r="4716" spans="1:8">
      <c r="A4716">
        <v>4</v>
      </c>
      <c r="B4716" t="s">
        <v>42</v>
      </c>
      <c r="C4716" t="s">
        <v>33</v>
      </c>
      <c r="D4716">
        <v>0</v>
      </c>
      <c r="E4716">
        <v>1</v>
      </c>
      <c r="F4716" s="7">
        <v>1216.85</v>
      </c>
      <c r="G4716">
        <v>0</v>
      </c>
      <c r="H4716" s="7">
        <v>0</v>
      </c>
    </row>
    <row r="4717" spans="1:8">
      <c r="A4717">
        <v>4</v>
      </c>
      <c r="B4717" t="s">
        <v>42</v>
      </c>
      <c r="C4717" t="s">
        <v>33</v>
      </c>
      <c r="D4717">
        <v>0</v>
      </c>
      <c r="E4717">
        <v>1</v>
      </c>
      <c r="F4717" s="7">
        <v>2934.33</v>
      </c>
      <c r="G4717">
        <v>0</v>
      </c>
      <c r="H4717" s="7">
        <v>0</v>
      </c>
    </row>
    <row r="4718" spans="1:8">
      <c r="A4718">
        <v>4</v>
      </c>
      <c r="B4718" t="s">
        <v>42</v>
      </c>
      <c r="C4718" t="s">
        <v>33</v>
      </c>
      <c r="D4718">
        <v>0</v>
      </c>
      <c r="E4718">
        <v>1</v>
      </c>
      <c r="F4718" s="7">
        <v>1343.85</v>
      </c>
      <c r="G4718">
        <v>0</v>
      </c>
      <c r="H4718" s="7">
        <v>0</v>
      </c>
    </row>
    <row r="4719" spans="1:8">
      <c r="A4719">
        <v>4</v>
      </c>
      <c r="B4719" t="s">
        <v>42</v>
      </c>
      <c r="C4719" t="s">
        <v>33</v>
      </c>
      <c r="D4719">
        <v>0</v>
      </c>
      <c r="E4719">
        <v>1</v>
      </c>
      <c r="F4719" s="7">
        <v>1081.3</v>
      </c>
      <c r="G4719">
        <v>0</v>
      </c>
      <c r="H4719" s="7">
        <v>0</v>
      </c>
    </row>
    <row r="4720" spans="1:8">
      <c r="A4720">
        <v>4</v>
      </c>
      <c r="B4720" t="s">
        <v>42</v>
      </c>
      <c r="C4720" t="s">
        <v>33</v>
      </c>
      <c r="D4720">
        <v>0</v>
      </c>
      <c r="E4720">
        <v>1</v>
      </c>
      <c r="F4720" s="7">
        <v>2337.6</v>
      </c>
      <c r="G4720">
        <v>0</v>
      </c>
      <c r="H4720" s="7">
        <v>0</v>
      </c>
    </row>
    <row r="4721" spans="1:8">
      <c r="A4721">
        <v>4</v>
      </c>
      <c r="B4721" t="s">
        <v>42</v>
      </c>
      <c r="C4721" t="s">
        <v>33</v>
      </c>
      <c r="D4721">
        <v>0</v>
      </c>
      <c r="E4721">
        <v>1</v>
      </c>
      <c r="F4721" s="7">
        <v>4491.15</v>
      </c>
      <c r="G4721">
        <v>0</v>
      </c>
      <c r="H4721" s="7">
        <v>0</v>
      </c>
    </row>
    <row r="4722" spans="1:8">
      <c r="A4722">
        <v>4</v>
      </c>
      <c r="B4722" t="s">
        <v>42</v>
      </c>
      <c r="C4722" t="s">
        <v>33</v>
      </c>
      <c r="D4722">
        <v>0</v>
      </c>
      <c r="E4722">
        <v>1</v>
      </c>
      <c r="F4722" s="7">
        <v>3018.73</v>
      </c>
      <c r="G4722">
        <v>0</v>
      </c>
      <c r="H4722" s="7">
        <v>0</v>
      </c>
    </row>
    <row r="4723" spans="1:8">
      <c r="A4723">
        <v>4</v>
      </c>
      <c r="B4723" t="s">
        <v>42</v>
      </c>
      <c r="C4723" t="s">
        <v>33</v>
      </c>
      <c r="D4723">
        <v>0</v>
      </c>
      <c r="E4723">
        <v>1</v>
      </c>
      <c r="F4723" s="7">
        <v>4830.74</v>
      </c>
      <c r="G4723">
        <v>0</v>
      </c>
      <c r="H4723" s="7">
        <v>0</v>
      </c>
    </row>
    <row r="4724" spans="1:8">
      <c r="A4724">
        <v>4</v>
      </c>
      <c r="B4724" t="s">
        <v>42</v>
      </c>
      <c r="C4724" t="s">
        <v>34</v>
      </c>
      <c r="D4724">
        <v>0</v>
      </c>
      <c r="E4724">
        <v>1</v>
      </c>
      <c r="F4724" s="7">
        <v>22349.62</v>
      </c>
      <c r="G4724">
        <v>0</v>
      </c>
      <c r="H4724" s="7">
        <v>0</v>
      </c>
    </row>
    <row r="4725" spans="1:8">
      <c r="A4725">
        <v>4</v>
      </c>
      <c r="B4725" t="s">
        <v>42</v>
      </c>
      <c r="C4725" t="s">
        <v>33</v>
      </c>
      <c r="D4725">
        <v>0</v>
      </c>
      <c r="E4725">
        <v>1</v>
      </c>
      <c r="F4725" s="7">
        <v>3723.51</v>
      </c>
      <c r="G4725">
        <v>0</v>
      </c>
      <c r="H4725" s="7">
        <v>0</v>
      </c>
    </row>
    <row r="4726" spans="1:8">
      <c r="A4726">
        <v>4</v>
      </c>
      <c r="B4726" t="s">
        <v>45</v>
      </c>
      <c r="C4726" t="s">
        <v>33</v>
      </c>
      <c r="D4726">
        <v>0</v>
      </c>
      <c r="E4726">
        <v>1</v>
      </c>
      <c r="F4726" s="7">
        <v>1141.74</v>
      </c>
      <c r="G4726">
        <v>0</v>
      </c>
      <c r="H4726" s="7">
        <v>0</v>
      </c>
    </row>
    <row r="4727" spans="1:8">
      <c r="A4727">
        <v>4</v>
      </c>
      <c r="B4727" t="s">
        <v>42</v>
      </c>
      <c r="C4727" t="s">
        <v>32</v>
      </c>
      <c r="D4727">
        <v>0</v>
      </c>
      <c r="E4727">
        <v>1</v>
      </c>
      <c r="F4727" s="7">
        <v>929.14</v>
      </c>
      <c r="G4727">
        <v>0</v>
      </c>
      <c r="H4727" s="7">
        <v>0</v>
      </c>
    </row>
    <row r="4728" spans="1:8">
      <c r="A4728">
        <v>4</v>
      </c>
      <c r="B4728" t="s">
        <v>42</v>
      </c>
      <c r="C4728" t="s">
        <v>33</v>
      </c>
      <c r="D4728">
        <v>0</v>
      </c>
      <c r="E4728">
        <v>1</v>
      </c>
      <c r="F4728" s="7">
        <v>5436.05</v>
      </c>
      <c r="G4728">
        <v>0</v>
      </c>
      <c r="H4728" s="7">
        <v>0</v>
      </c>
    </row>
    <row r="4729" spans="1:8">
      <c r="A4729">
        <v>4</v>
      </c>
      <c r="B4729" t="s">
        <v>42</v>
      </c>
      <c r="C4729" t="s">
        <v>34</v>
      </c>
      <c r="D4729">
        <v>0</v>
      </c>
      <c r="E4729">
        <v>1</v>
      </c>
      <c r="F4729" s="7">
        <v>28034.44</v>
      </c>
      <c r="G4729">
        <v>0</v>
      </c>
      <c r="H4729" s="7">
        <v>0</v>
      </c>
    </row>
    <row r="4730" spans="1:8">
      <c r="A4730">
        <v>4</v>
      </c>
      <c r="B4730" t="s">
        <v>42</v>
      </c>
      <c r="C4730" t="s">
        <v>34</v>
      </c>
      <c r="D4730">
        <v>0</v>
      </c>
      <c r="E4730">
        <v>1</v>
      </c>
      <c r="F4730" s="7">
        <v>13589.96</v>
      </c>
      <c r="G4730">
        <v>0</v>
      </c>
      <c r="H4730" s="7">
        <v>0</v>
      </c>
    </row>
    <row r="4731" spans="1:8">
      <c r="A4731">
        <v>4</v>
      </c>
      <c r="B4731" t="s">
        <v>42</v>
      </c>
      <c r="C4731" t="s">
        <v>34</v>
      </c>
      <c r="D4731">
        <v>0</v>
      </c>
      <c r="E4731">
        <v>1</v>
      </c>
      <c r="F4731" s="7">
        <v>12204.29</v>
      </c>
      <c r="G4731">
        <v>0</v>
      </c>
      <c r="H4731" s="7">
        <v>0</v>
      </c>
    </row>
    <row r="4732" spans="1:8">
      <c r="A4732">
        <v>4</v>
      </c>
      <c r="B4732" t="s">
        <v>42</v>
      </c>
      <c r="C4732" t="s">
        <v>34</v>
      </c>
      <c r="D4732">
        <v>0</v>
      </c>
      <c r="E4732">
        <v>1</v>
      </c>
      <c r="F4732" s="7">
        <v>18519.83</v>
      </c>
      <c r="G4732">
        <v>0</v>
      </c>
      <c r="H4732" s="7">
        <v>0</v>
      </c>
    </row>
    <row r="4733" spans="1:8">
      <c r="A4733">
        <v>4</v>
      </c>
      <c r="B4733" t="s">
        <v>42</v>
      </c>
      <c r="C4733" t="s">
        <v>34</v>
      </c>
      <c r="D4733">
        <v>0</v>
      </c>
      <c r="E4733">
        <v>1</v>
      </c>
      <c r="F4733" s="7">
        <v>13061.21</v>
      </c>
      <c r="G4733">
        <v>0</v>
      </c>
      <c r="H4733" s="7">
        <v>0</v>
      </c>
    </row>
    <row r="4734" spans="1:8">
      <c r="A4734">
        <v>4</v>
      </c>
      <c r="B4734" t="s">
        <v>42</v>
      </c>
      <c r="C4734" t="s">
        <v>33</v>
      </c>
      <c r="D4734">
        <v>0</v>
      </c>
      <c r="E4734">
        <v>1</v>
      </c>
      <c r="F4734" s="7">
        <v>8606.53</v>
      </c>
      <c r="G4734">
        <v>0</v>
      </c>
      <c r="H4734" s="7">
        <v>0</v>
      </c>
    </row>
    <row r="4735" spans="1:8">
      <c r="A4735">
        <v>4</v>
      </c>
      <c r="B4735" t="s">
        <v>42</v>
      </c>
      <c r="C4735" t="s">
        <v>33</v>
      </c>
      <c r="D4735">
        <v>0</v>
      </c>
      <c r="E4735">
        <v>1</v>
      </c>
      <c r="F4735" s="7">
        <v>1966.24</v>
      </c>
      <c r="G4735">
        <v>0</v>
      </c>
      <c r="H4735" s="7">
        <v>0</v>
      </c>
    </row>
    <row r="4736" spans="1:8">
      <c r="A4736">
        <v>4</v>
      </c>
      <c r="B4736" t="s">
        <v>42</v>
      </c>
      <c r="C4736" t="s">
        <v>33</v>
      </c>
      <c r="D4736">
        <v>0</v>
      </c>
      <c r="E4736">
        <v>1</v>
      </c>
      <c r="F4736" s="7">
        <v>1082.07</v>
      </c>
      <c r="G4736">
        <v>0</v>
      </c>
      <c r="H4736" s="7">
        <v>0</v>
      </c>
    </row>
    <row r="4737" spans="1:8">
      <c r="A4737">
        <v>4</v>
      </c>
      <c r="B4737" t="s">
        <v>42</v>
      </c>
      <c r="C4737" t="s">
        <v>32</v>
      </c>
      <c r="D4737">
        <v>0</v>
      </c>
      <c r="E4737">
        <v>1</v>
      </c>
      <c r="F4737" s="7">
        <v>196.76</v>
      </c>
      <c r="G4737">
        <v>0</v>
      </c>
      <c r="H4737" s="7">
        <v>0</v>
      </c>
    </row>
    <row r="4738" spans="1:8">
      <c r="A4738">
        <v>4</v>
      </c>
      <c r="B4738" t="s">
        <v>42</v>
      </c>
      <c r="C4738" t="s">
        <v>32</v>
      </c>
      <c r="D4738">
        <v>0</v>
      </c>
      <c r="E4738">
        <v>1</v>
      </c>
      <c r="F4738" s="7">
        <v>826.44</v>
      </c>
      <c r="G4738">
        <v>0</v>
      </c>
      <c r="H4738" s="7">
        <v>0</v>
      </c>
    </row>
    <row r="4739" spans="1:8">
      <c r="A4739">
        <v>4</v>
      </c>
      <c r="B4739" t="s">
        <v>44</v>
      </c>
      <c r="C4739" t="s">
        <v>33</v>
      </c>
      <c r="D4739">
        <v>0</v>
      </c>
      <c r="E4739">
        <v>1</v>
      </c>
      <c r="F4739" s="7">
        <v>3350.15</v>
      </c>
      <c r="G4739">
        <v>0</v>
      </c>
      <c r="H4739" s="7">
        <v>0</v>
      </c>
    </row>
    <row r="4740" spans="1:8">
      <c r="A4740">
        <v>4</v>
      </c>
      <c r="B4740" t="s">
        <v>44</v>
      </c>
      <c r="C4740" t="s">
        <v>34</v>
      </c>
      <c r="D4740">
        <v>0</v>
      </c>
      <c r="E4740">
        <v>1</v>
      </c>
      <c r="F4740" s="7">
        <v>34325.53</v>
      </c>
      <c r="G4740">
        <v>0</v>
      </c>
      <c r="H4740" s="7">
        <v>0</v>
      </c>
    </row>
    <row r="4741" spans="1:8">
      <c r="A4741">
        <v>4</v>
      </c>
      <c r="B4741" t="s">
        <v>44</v>
      </c>
      <c r="C4741" t="s">
        <v>34</v>
      </c>
      <c r="D4741">
        <v>0</v>
      </c>
      <c r="E4741">
        <v>1</v>
      </c>
      <c r="F4741" s="7">
        <v>19548.49</v>
      </c>
      <c r="G4741">
        <v>0</v>
      </c>
      <c r="H4741" s="7">
        <v>0</v>
      </c>
    </row>
    <row r="4742" spans="1:8">
      <c r="A4742">
        <v>4</v>
      </c>
      <c r="B4742" t="s">
        <v>44</v>
      </c>
      <c r="C4742" t="s">
        <v>34</v>
      </c>
      <c r="D4742">
        <v>0</v>
      </c>
      <c r="E4742">
        <v>1</v>
      </c>
      <c r="F4742" s="7">
        <v>41680.46</v>
      </c>
      <c r="G4742">
        <v>0</v>
      </c>
      <c r="H4742" s="7">
        <v>0</v>
      </c>
    </row>
    <row r="4743" spans="1:8">
      <c r="A4743">
        <v>4</v>
      </c>
      <c r="B4743" t="s">
        <v>44</v>
      </c>
      <c r="C4743" t="s">
        <v>35</v>
      </c>
      <c r="D4743">
        <v>0</v>
      </c>
      <c r="E4743">
        <v>1</v>
      </c>
      <c r="F4743" s="7">
        <v>288846.82</v>
      </c>
      <c r="G4743">
        <v>0</v>
      </c>
      <c r="H4743" s="7">
        <v>0</v>
      </c>
    </row>
    <row r="4744" spans="1:8">
      <c r="A4744">
        <v>4</v>
      </c>
      <c r="B4744" t="s">
        <v>44</v>
      </c>
      <c r="C4744" t="s">
        <v>35</v>
      </c>
      <c r="D4744">
        <v>0</v>
      </c>
      <c r="E4744">
        <v>1</v>
      </c>
      <c r="F4744" s="7">
        <v>308762.31</v>
      </c>
      <c r="G4744">
        <v>0</v>
      </c>
      <c r="H4744" s="7">
        <v>0</v>
      </c>
    </row>
    <row r="4745" spans="1:8">
      <c r="A4745">
        <v>4</v>
      </c>
      <c r="B4745" t="s">
        <v>44</v>
      </c>
      <c r="C4745" t="s">
        <v>35</v>
      </c>
      <c r="D4745">
        <v>0</v>
      </c>
      <c r="E4745">
        <v>1</v>
      </c>
      <c r="F4745" s="7">
        <v>248011.57</v>
      </c>
      <c r="G4745">
        <v>0</v>
      </c>
      <c r="H4745" s="7">
        <v>0</v>
      </c>
    </row>
    <row r="4746" spans="1:8">
      <c r="A4746">
        <v>4</v>
      </c>
      <c r="B4746" t="s">
        <v>44</v>
      </c>
      <c r="C4746" t="s">
        <v>35</v>
      </c>
      <c r="D4746">
        <v>0</v>
      </c>
      <c r="E4746">
        <v>1</v>
      </c>
      <c r="F4746" s="7">
        <v>104334.87</v>
      </c>
      <c r="G4746">
        <v>0</v>
      </c>
      <c r="H4746" s="7">
        <v>0</v>
      </c>
    </row>
    <row r="4747" spans="1:8">
      <c r="A4747">
        <v>4</v>
      </c>
      <c r="B4747" t="s">
        <v>44</v>
      </c>
      <c r="C4747" t="s">
        <v>34</v>
      </c>
      <c r="D4747">
        <v>0</v>
      </c>
      <c r="E4747">
        <v>1</v>
      </c>
      <c r="F4747" s="7">
        <v>34808.12</v>
      </c>
      <c r="G4747">
        <v>0</v>
      </c>
      <c r="H4747" s="7">
        <v>0</v>
      </c>
    </row>
    <row r="4748" spans="1:8">
      <c r="A4748">
        <v>4</v>
      </c>
      <c r="B4748" t="s">
        <v>44</v>
      </c>
      <c r="C4748" t="s">
        <v>35</v>
      </c>
      <c r="D4748">
        <v>0</v>
      </c>
      <c r="E4748">
        <v>1</v>
      </c>
      <c r="F4748" s="7">
        <v>116878.6</v>
      </c>
      <c r="G4748">
        <v>0</v>
      </c>
      <c r="H4748" s="7">
        <v>0</v>
      </c>
    </row>
    <row r="4749" spans="1:8">
      <c r="A4749">
        <v>4</v>
      </c>
      <c r="B4749" t="s">
        <v>44</v>
      </c>
      <c r="C4749" t="s">
        <v>34</v>
      </c>
      <c r="D4749">
        <v>0</v>
      </c>
      <c r="E4749">
        <v>1</v>
      </c>
      <c r="F4749" s="7">
        <v>40379.62</v>
      </c>
      <c r="G4749">
        <v>0</v>
      </c>
      <c r="H4749" s="7">
        <v>0</v>
      </c>
    </row>
    <row r="4750" spans="1:8">
      <c r="A4750">
        <v>4</v>
      </c>
      <c r="B4750" t="s">
        <v>44</v>
      </c>
      <c r="C4750" t="s">
        <v>34</v>
      </c>
      <c r="D4750">
        <v>0</v>
      </c>
      <c r="E4750">
        <v>1</v>
      </c>
      <c r="F4750" s="7">
        <v>55282.19</v>
      </c>
      <c r="G4750">
        <v>0</v>
      </c>
      <c r="H4750" s="7">
        <v>0</v>
      </c>
    </row>
    <row r="4751" spans="1:8">
      <c r="A4751">
        <v>4</v>
      </c>
      <c r="B4751" t="s">
        <v>44</v>
      </c>
      <c r="C4751" t="s">
        <v>35</v>
      </c>
      <c r="D4751">
        <v>0</v>
      </c>
      <c r="E4751">
        <v>1</v>
      </c>
      <c r="F4751" s="7">
        <v>125774.49</v>
      </c>
      <c r="G4751">
        <v>0</v>
      </c>
      <c r="H4751" s="7">
        <v>0</v>
      </c>
    </row>
    <row r="4752" spans="1:8">
      <c r="A4752">
        <v>4</v>
      </c>
      <c r="B4752" t="s">
        <v>44</v>
      </c>
      <c r="C4752" t="s">
        <v>33</v>
      </c>
      <c r="D4752">
        <v>0</v>
      </c>
      <c r="E4752">
        <v>1</v>
      </c>
      <c r="F4752" s="7">
        <v>8502.55</v>
      </c>
      <c r="G4752">
        <v>0</v>
      </c>
      <c r="H4752" s="7">
        <v>0</v>
      </c>
    </row>
    <row r="4753" spans="1:8">
      <c r="A4753">
        <v>4</v>
      </c>
      <c r="B4753" t="s">
        <v>44</v>
      </c>
      <c r="C4753" t="s">
        <v>35</v>
      </c>
      <c r="D4753">
        <v>0</v>
      </c>
      <c r="E4753">
        <v>1</v>
      </c>
      <c r="F4753" s="7">
        <v>109648.19</v>
      </c>
      <c r="G4753">
        <v>0</v>
      </c>
      <c r="H4753" s="7">
        <v>0</v>
      </c>
    </row>
    <row r="4754" spans="1:8">
      <c r="A4754">
        <v>4</v>
      </c>
      <c r="B4754" t="s">
        <v>42</v>
      </c>
      <c r="C4754" t="s">
        <v>33</v>
      </c>
      <c r="D4754">
        <v>0</v>
      </c>
      <c r="E4754">
        <v>1</v>
      </c>
      <c r="F4754" s="7">
        <v>4687.14</v>
      </c>
      <c r="G4754">
        <v>0</v>
      </c>
      <c r="H4754" s="7">
        <v>0</v>
      </c>
    </row>
    <row r="4755" spans="1:8">
      <c r="A4755">
        <v>4</v>
      </c>
      <c r="B4755" t="s">
        <v>42</v>
      </c>
      <c r="C4755" t="s">
        <v>33</v>
      </c>
      <c r="D4755">
        <v>0</v>
      </c>
      <c r="E4755">
        <v>1</v>
      </c>
      <c r="F4755" s="7">
        <v>1500.68</v>
      </c>
      <c r="G4755">
        <v>0</v>
      </c>
      <c r="H4755" s="7">
        <v>0</v>
      </c>
    </row>
    <row r="4756" spans="1:8">
      <c r="A4756">
        <v>4</v>
      </c>
      <c r="B4756" t="s">
        <v>42</v>
      </c>
      <c r="C4756" t="s">
        <v>32</v>
      </c>
      <c r="D4756">
        <v>0</v>
      </c>
      <c r="E4756">
        <v>1</v>
      </c>
      <c r="F4756" s="7">
        <v>924.71</v>
      </c>
      <c r="G4756">
        <v>0</v>
      </c>
      <c r="H4756" s="7">
        <v>0</v>
      </c>
    </row>
    <row r="4757" spans="1:8">
      <c r="A4757">
        <v>4</v>
      </c>
      <c r="B4757" t="s">
        <v>43</v>
      </c>
      <c r="C4757" t="s">
        <v>35</v>
      </c>
      <c r="D4757">
        <v>0</v>
      </c>
      <c r="E4757">
        <v>1</v>
      </c>
      <c r="F4757" s="7">
        <v>178055.95</v>
      </c>
      <c r="G4757">
        <v>0</v>
      </c>
      <c r="H4757" s="7">
        <v>0</v>
      </c>
    </row>
    <row r="4758" spans="1:8">
      <c r="A4758">
        <v>4</v>
      </c>
      <c r="B4758" t="s">
        <v>42</v>
      </c>
      <c r="C4758" t="s">
        <v>32</v>
      </c>
      <c r="D4758">
        <v>0</v>
      </c>
      <c r="E4758">
        <v>1</v>
      </c>
      <c r="F4758" s="7">
        <v>668.69</v>
      </c>
      <c r="G4758">
        <v>0</v>
      </c>
      <c r="H4758" s="7">
        <v>0</v>
      </c>
    </row>
    <row r="4759" spans="1:8">
      <c r="A4759">
        <v>4</v>
      </c>
      <c r="B4759" t="s">
        <v>42</v>
      </c>
      <c r="C4759" t="s">
        <v>33</v>
      </c>
      <c r="D4759">
        <v>0</v>
      </c>
      <c r="E4759">
        <v>1</v>
      </c>
      <c r="F4759" s="7">
        <v>3483.45</v>
      </c>
      <c r="G4759">
        <v>0</v>
      </c>
      <c r="H4759" s="7">
        <v>0</v>
      </c>
    </row>
    <row r="4760" spans="1:8">
      <c r="A4760">
        <v>4</v>
      </c>
      <c r="B4760" t="s">
        <v>42</v>
      </c>
      <c r="C4760" t="s">
        <v>33</v>
      </c>
      <c r="D4760">
        <v>0</v>
      </c>
      <c r="E4760">
        <v>1</v>
      </c>
      <c r="F4760" s="7">
        <v>4076.16</v>
      </c>
      <c r="G4760">
        <v>0</v>
      </c>
      <c r="H4760" s="7">
        <v>0</v>
      </c>
    </row>
    <row r="4761" spans="1:8">
      <c r="A4761">
        <v>4</v>
      </c>
      <c r="B4761" t="s">
        <v>42</v>
      </c>
      <c r="C4761" t="s">
        <v>33</v>
      </c>
      <c r="D4761">
        <v>0</v>
      </c>
      <c r="E4761">
        <v>1</v>
      </c>
      <c r="F4761" s="7">
        <v>3027.49</v>
      </c>
      <c r="G4761">
        <v>0</v>
      </c>
      <c r="H4761" s="7">
        <v>0</v>
      </c>
    </row>
    <row r="4762" spans="1:8">
      <c r="A4762">
        <v>4</v>
      </c>
      <c r="B4762" t="s">
        <v>42</v>
      </c>
      <c r="C4762" t="s">
        <v>33</v>
      </c>
      <c r="D4762">
        <v>0</v>
      </c>
      <c r="E4762">
        <v>1</v>
      </c>
      <c r="F4762" s="7">
        <v>1731.42</v>
      </c>
      <c r="G4762">
        <v>0</v>
      </c>
      <c r="H4762" s="7">
        <v>0</v>
      </c>
    </row>
    <row r="4763" spans="1:8">
      <c r="A4763">
        <v>4</v>
      </c>
      <c r="B4763" t="s">
        <v>45</v>
      </c>
      <c r="C4763" t="s">
        <v>32</v>
      </c>
      <c r="D4763">
        <v>0</v>
      </c>
      <c r="E4763">
        <v>1</v>
      </c>
      <c r="F4763" s="7">
        <v>351.23</v>
      </c>
      <c r="G4763">
        <v>0</v>
      </c>
      <c r="H4763" s="7">
        <v>0</v>
      </c>
    </row>
    <row r="4764" spans="1:8">
      <c r="A4764">
        <v>4</v>
      </c>
      <c r="B4764" t="s">
        <v>45</v>
      </c>
      <c r="C4764" t="s">
        <v>33</v>
      </c>
      <c r="D4764">
        <v>0</v>
      </c>
      <c r="E4764">
        <v>1</v>
      </c>
      <c r="F4764" s="7">
        <v>1110.27</v>
      </c>
      <c r="G4764">
        <v>0</v>
      </c>
      <c r="H4764" s="7">
        <v>0</v>
      </c>
    </row>
    <row r="4765" spans="1:8">
      <c r="A4765">
        <v>4</v>
      </c>
      <c r="B4765" t="s">
        <v>42</v>
      </c>
      <c r="C4765" t="s">
        <v>32</v>
      </c>
      <c r="D4765">
        <v>0</v>
      </c>
      <c r="E4765">
        <v>1</v>
      </c>
      <c r="F4765" s="7">
        <v>71</v>
      </c>
      <c r="G4765">
        <v>0</v>
      </c>
      <c r="H4765" s="7">
        <v>0</v>
      </c>
    </row>
    <row r="4766" spans="1:8">
      <c r="A4766">
        <v>4</v>
      </c>
      <c r="B4766" t="s">
        <v>42</v>
      </c>
      <c r="C4766" t="s">
        <v>33</v>
      </c>
      <c r="D4766">
        <v>0</v>
      </c>
      <c r="E4766">
        <v>1</v>
      </c>
      <c r="F4766" s="7">
        <v>1559.58</v>
      </c>
      <c r="G4766">
        <v>0</v>
      </c>
      <c r="H4766" s="7">
        <v>0</v>
      </c>
    </row>
    <row r="4767" spans="1:8">
      <c r="A4767">
        <v>4</v>
      </c>
      <c r="B4767" t="s">
        <v>42</v>
      </c>
      <c r="C4767" t="s">
        <v>32</v>
      </c>
      <c r="D4767">
        <v>0</v>
      </c>
      <c r="E4767">
        <v>1</v>
      </c>
      <c r="F4767" s="7">
        <v>341.66</v>
      </c>
      <c r="G4767">
        <v>0</v>
      </c>
      <c r="H4767" s="7">
        <v>0</v>
      </c>
    </row>
    <row r="4768" spans="1:8">
      <c r="A4768">
        <v>4</v>
      </c>
      <c r="B4768" t="s">
        <v>42</v>
      </c>
      <c r="C4768" t="s">
        <v>33</v>
      </c>
      <c r="D4768">
        <v>0</v>
      </c>
      <c r="E4768">
        <v>1</v>
      </c>
      <c r="F4768" s="7">
        <v>4150.68</v>
      </c>
      <c r="G4768">
        <v>0</v>
      </c>
      <c r="H4768" s="7">
        <v>0</v>
      </c>
    </row>
    <row r="4769" spans="1:8">
      <c r="A4769">
        <v>4</v>
      </c>
      <c r="B4769" t="s">
        <v>42</v>
      </c>
      <c r="C4769" t="s">
        <v>33</v>
      </c>
      <c r="D4769">
        <v>0</v>
      </c>
      <c r="E4769">
        <v>1</v>
      </c>
      <c r="F4769" s="7">
        <v>3889.99</v>
      </c>
      <c r="G4769">
        <v>0</v>
      </c>
      <c r="H4769" s="7">
        <v>0</v>
      </c>
    </row>
    <row r="4770" spans="1:8">
      <c r="A4770">
        <v>4</v>
      </c>
      <c r="B4770" t="s">
        <v>44</v>
      </c>
      <c r="C4770" t="s">
        <v>35</v>
      </c>
      <c r="D4770">
        <v>0</v>
      </c>
      <c r="E4770">
        <v>1</v>
      </c>
      <c r="F4770" s="7">
        <v>104234.05</v>
      </c>
      <c r="G4770">
        <v>0</v>
      </c>
      <c r="H4770" s="7">
        <v>0</v>
      </c>
    </row>
    <row r="4771" spans="1:8">
      <c r="A4771">
        <v>4</v>
      </c>
      <c r="B4771" t="s">
        <v>42</v>
      </c>
      <c r="C4771" t="s">
        <v>33</v>
      </c>
      <c r="D4771">
        <v>0</v>
      </c>
      <c r="E4771">
        <v>1</v>
      </c>
      <c r="F4771" s="7">
        <v>5422.04</v>
      </c>
      <c r="G4771">
        <v>0</v>
      </c>
      <c r="H4771" s="7">
        <v>0</v>
      </c>
    </row>
    <row r="4772" spans="1:8">
      <c r="A4772">
        <v>4</v>
      </c>
      <c r="B4772" t="s">
        <v>45</v>
      </c>
      <c r="C4772" t="s">
        <v>32</v>
      </c>
      <c r="D4772">
        <v>0</v>
      </c>
      <c r="E4772">
        <v>1</v>
      </c>
      <c r="F4772" s="7">
        <v>515.29</v>
      </c>
      <c r="G4772">
        <v>0</v>
      </c>
      <c r="H4772" s="7">
        <v>0</v>
      </c>
    </row>
    <row r="4773" spans="1:8">
      <c r="A4773">
        <v>4</v>
      </c>
      <c r="B4773" t="s">
        <v>44</v>
      </c>
      <c r="C4773" t="s">
        <v>33</v>
      </c>
      <c r="D4773">
        <v>0</v>
      </c>
      <c r="E4773">
        <v>1</v>
      </c>
      <c r="F4773" s="7">
        <v>6701.1</v>
      </c>
      <c r="G4773">
        <v>0</v>
      </c>
      <c r="H4773" s="7">
        <v>0</v>
      </c>
    </row>
    <row r="4774" spans="1:8">
      <c r="A4774">
        <v>4</v>
      </c>
      <c r="B4774" t="s">
        <v>42</v>
      </c>
      <c r="C4774" t="s">
        <v>32</v>
      </c>
      <c r="D4774">
        <v>0</v>
      </c>
      <c r="E4774">
        <v>1</v>
      </c>
      <c r="F4774" s="7">
        <v>354.75</v>
      </c>
      <c r="G4774">
        <v>0</v>
      </c>
      <c r="H4774" s="7">
        <v>0</v>
      </c>
    </row>
    <row r="4775" spans="1:8">
      <c r="A4775">
        <v>4</v>
      </c>
      <c r="B4775" t="s">
        <v>42</v>
      </c>
      <c r="C4775" t="s">
        <v>33</v>
      </c>
      <c r="D4775">
        <v>0</v>
      </c>
      <c r="E4775">
        <v>1</v>
      </c>
      <c r="F4775" s="7">
        <v>2831.44</v>
      </c>
      <c r="G4775">
        <v>0</v>
      </c>
      <c r="H4775" s="7">
        <v>0</v>
      </c>
    </row>
    <row r="4776" spans="1:8">
      <c r="A4776">
        <v>4</v>
      </c>
      <c r="B4776" t="s">
        <v>42</v>
      </c>
      <c r="C4776" t="s">
        <v>33</v>
      </c>
      <c r="D4776">
        <v>0</v>
      </c>
      <c r="E4776">
        <v>1</v>
      </c>
      <c r="F4776" s="7">
        <v>4051.25</v>
      </c>
      <c r="G4776">
        <v>0</v>
      </c>
      <c r="H4776" s="7">
        <v>0</v>
      </c>
    </row>
    <row r="4777" spans="1:8">
      <c r="A4777">
        <v>4</v>
      </c>
      <c r="B4777" t="s">
        <v>42</v>
      </c>
      <c r="C4777" t="s">
        <v>32</v>
      </c>
      <c r="D4777">
        <v>0</v>
      </c>
      <c r="E4777">
        <v>1</v>
      </c>
      <c r="F4777" s="7">
        <v>869.49</v>
      </c>
      <c r="G4777">
        <v>0</v>
      </c>
      <c r="H4777" s="7">
        <v>0</v>
      </c>
    </row>
    <row r="4778" spans="1:8">
      <c r="A4778">
        <v>4</v>
      </c>
      <c r="B4778" t="s">
        <v>42</v>
      </c>
      <c r="C4778" t="s">
        <v>33</v>
      </c>
      <c r="D4778">
        <v>0</v>
      </c>
      <c r="E4778">
        <v>1</v>
      </c>
      <c r="F4778" s="7">
        <v>2914.36</v>
      </c>
      <c r="G4778">
        <v>0</v>
      </c>
      <c r="H4778" s="7">
        <v>0</v>
      </c>
    </row>
    <row r="4779" spans="1:8">
      <c r="A4779">
        <v>4</v>
      </c>
      <c r="B4779" t="s">
        <v>42</v>
      </c>
      <c r="C4779" t="s">
        <v>32</v>
      </c>
      <c r="D4779">
        <v>0</v>
      </c>
      <c r="E4779">
        <v>1</v>
      </c>
      <c r="F4779" s="7">
        <v>38.14</v>
      </c>
      <c r="G4779">
        <v>0</v>
      </c>
      <c r="H4779" s="7">
        <v>0</v>
      </c>
    </row>
    <row r="4780" spans="1:8">
      <c r="A4780">
        <v>4</v>
      </c>
      <c r="B4780" t="s">
        <v>45</v>
      </c>
      <c r="C4780" t="s">
        <v>32</v>
      </c>
      <c r="D4780">
        <v>0</v>
      </c>
      <c r="E4780">
        <v>1</v>
      </c>
      <c r="F4780" s="7">
        <v>775.76</v>
      </c>
      <c r="G4780">
        <v>0</v>
      </c>
      <c r="H4780" s="7">
        <v>0</v>
      </c>
    </row>
    <row r="4781" spans="1:8">
      <c r="A4781">
        <v>4</v>
      </c>
      <c r="B4781" t="s">
        <v>43</v>
      </c>
      <c r="C4781" t="s">
        <v>34</v>
      </c>
      <c r="D4781">
        <v>1</v>
      </c>
      <c r="E4781">
        <v>1</v>
      </c>
      <c r="F4781" s="7">
        <v>86070.17</v>
      </c>
      <c r="G4781">
        <v>1</v>
      </c>
      <c r="H4781" s="7">
        <v>86070.17</v>
      </c>
    </row>
    <row r="4782" spans="1:8">
      <c r="A4782">
        <v>4</v>
      </c>
      <c r="B4782" t="s">
        <v>44</v>
      </c>
      <c r="C4782" t="s">
        <v>34</v>
      </c>
      <c r="D4782">
        <v>1</v>
      </c>
      <c r="E4782">
        <v>1</v>
      </c>
      <c r="F4782" s="7">
        <v>86070.17</v>
      </c>
      <c r="G4782">
        <v>1</v>
      </c>
      <c r="H4782" s="7">
        <v>86070.17</v>
      </c>
    </row>
    <row r="4783" spans="1:8">
      <c r="A4783">
        <v>4</v>
      </c>
      <c r="B4783" t="s">
        <v>42</v>
      </c>
      <c r="C4783" t="s">
        <v>33</v>
      </c>
      <c r="D4783">
        <v>0</v>
      </c>
      <c r="E4783">
        <v>1</v>
      </c>
      <c r="F4783" s="7">
        <v>2738.44</v>
      </c>
      <c r="G4783">
        <v>0</v>
      </c>
      <c r="H4783" s="7">
        <v>0</v>
      </c>
    </row>
    <row r="4784" spans="1:8">
      <c r="A4784">
        <v>4</v>
      </c>
      <c r="B4784" t="s">
        <v>42</v>
      </c>
      <c r="C4784" t="s">
        <v>33</v>
      </c>
      <c r="D4784">
        <v>0</v>
      </c>
      <c r="E4784">
        <v>1</v>
      </c>
      <c r="F4784" s="7">
        <v>4837.77</v>
      </c>
      <c r="G4784">
        <v>0</v>
      </c>
      <c r="H4784" s="7">
        <v>0</v>
      </c>
    </row>
    <row r="4785" spans="1:8">
      <c r="A4785">
        <v>4</v>
      </c>
      <c r="B4785" t="s">
        <v>42</v>
      </c>
      <c r="C4785" t="s">
        <v>33</v>
      </c>
      <c r="D4785">
        <v>0</v>
      </c>
      <c r="E4785">
        <v>1</v>
      </c>
      <c r="F4785" s="7">
        <v>1685.11</v>
      </c>
      <c r="G4785">
        <v>0</v>
      </c>
      <c r="H4785" s="7">
        <v>0</v>
      </c>
    </row>
    <row r="4786" spans="1:8">
      <c r="A4786">
        <v>4</v>
      </c>
      <c r="B4786" t="s">
        <v>42</v>
      </c>
      <c r="C4786" t="s">
        <v>33</v>
      </c>
      <c r="D4786">
        <v>0</v>
      </c>
      <c r="E4786">
        <v>1</v>
      </c>
      <c r="F4786" s="7">
        <v>1080.65</v>
      </c>
      <c r="G4786">
        <v>0</v>
      </c>
      <c r="H4786" s="7">
        <v>0</v>
      </c>
    </row>
    <row r="4787" spans="1:8">
      <c r="A4787">
        <v>4</v>
      </c>
      <c r="B4787" t="s">
        <v>42</v>
      </c>
      <c r="C4787" t="s">
        <v>33</v>
      </c>
      <c r="D4787">
        <v>0</v>
      </c>
      <c r="E4787">
        <v>1</v>
      </c>
      <c r="F4787" s="7">
        <v>8583.71</v>
      </c>
      <c r="G4787">
        <v>0</v>
      </c>
      <c r="H4787" s="7">
        <v>0</v>
      </c>
    </row>
    <row r="4788" spans="1:8">
      <c r="A4788">
        <v>4</v>
      </c>
      <c r="B4788" t="s">
        <v>42</v>
      </c>
      <c r="C4788" t="s">
        <v>33</v>
      </c>
      <c r="D4788">
        <v>0</v>
      </c>
      <c r="E4788">
        <v>1</v>
      </c>
      <c r="F4788" s="7">
        <v>3604.39</v>
      </c>
      <c r="G4788">
        <v>0</v>
      </c>
      <c r="H4788" s="7">
        <v>0</v>
      </c>
    </row>
    <row r="4789" spans="1:8">
      <c r="A4789">
        <v>4</v>
      </c>
      <c r="B4789" t="s">
        <v>42</v>
      </c>
      <c r="C4789" t="s">
        <v>33</v>
      </c>
      <c r="D4789">
        <v>0</v>
      </c>
      <c r="E4789">
        <v>1</v>
      </c>
      <c r="F4789" s="7">
        <v>1379.78</v>
      </c>
      <c r="G4789">
        <v>0</v>
      </c>
      <c r="H4789" s="7">
        <v>0</v>
      </c>
    </row>
    <row r="4790" spans="1:8">
      <c r="A4790">
        <v>4</v>
      </c>
      <c r="B4790" t="s">
        <v>42</v>
      </c>
      <c r="C4790" t="s">
        <v>33</v>
      </c>
      <c r="D4790">
        <v>0</v>
      </c>
      <c r="E4790">
        <v>1</v>
      </c>
      <c r="F4790" s="7">
        <v>1396.96</v>
      </c>
      <c r="G4790">
        <v>0</v>
      </c>
      <c r="H4790" s="7">
        <v>0</v>
      </c>
    </row>
    <row r="4791" spans="1:8">
      <c r="A4791">
        <v>4</v>
      </c>
      <c r="B4791" t="s">
        <v>42</v>
      </c>
      <c r="C4791" t="s">
        <v>32</v>
      </c>
      <c r="D4791">
        <v>0</v>
      </c>
      <c r="E4791">
        <v>1</v>
      </c>
      <c r="F4791" s="7">
        <v>975.55</v>
      </c>
      <c r="G4791">
        <v>0</v>
      </c>
      <c r="H4791" s="7">
        <v>0</v>
      </c>
    </row>
    <row r="4792" spans="1:8">
      <c r="A4792">
        <v>4</v>
      </c>
      <c r="B4792" t="s">
        <v>42</v>
      </c>
      <c r="C4792" t="s">
        <v>33</v>
      </c>
      <c r="D4792">
        <v>0</v>
      </c>
      <c r="E4792">
        <v>1</v>
      </c>
      <c r="F4792" s="7">
        <v>3208.14</v>
      </c>
      <c r="G4792">
        <v>0</v>
      </c>
      <c r="H4792" s="7">
        <v>0</v>
      </c>
    </row>
    <row r="4793" spans="1:8">
      <c r="A4793">
        <v>4</v>
      </c>
      <c r="B4793" t="s">
        <v>42</v>
      </c>
      <c r="C4793" t="s">
        <v>33</v>
      </c>
      <c r="D4793">
        <v>0</v>
      </c>
      <c r="E4793">
        <v>1</v>
      </c>
      <c r="F4793" s="7">
        <v>3006.25</v>
      </c>
      <c r="G4793">
        <v>0</v>
      </c>
      <c r="H4793" s="7">
        <v>0</v>
      </c>
    </row>
    <row r="4794" spans="1:8">
      <c r="A4794">
        <v>4</v>
      </c>
      <c r="B4794" t="s">
        <v>44</v>
      </c>
      <c r="C4794" t="s">
        <v>34</v>
      </c>
      <c r="D4794">
        <v>0</v>
      </c>
      <c r="E4794">
        <v>1</v>
      </c>
      <c r="F4794" s="7">
        <v>20470.3</v>
      </c>
      <c r="G4794">
        <v>0</v>
      </c>
      <c r="H4794" s="7">
        <v>0</v>
      </c>
    </row>
    <row r="4795" spans="1:8">
      <c r="A4795">
        <v>4</v>
      </c>
      <c r="B4795" t="s">
        <v>42</v>
      </c>
      <c r="C4795" t="s">
        <v>32</v>
      </c>
      <c r="D4795">
        <v>0</v>
      </c>
      <c r="E4795">
        <v>1</v>
      </c>
      <c r="F4795" s="7">
        <v>770.23</v>
      </c>
      <c r="G4795">
        <v>0</v>
      </c>
      <c r="H4795" s="7">
        <v>0</v>
      </c>
    </row>
    <row r="4796" spans="1:8">
      <c r="A4796">
        <v>4</v>
      </c>
      <c r="B4796" t="s">
        <v>45</v>
      </c>
      <c r="C4796" t="s">
        <v>32</v>
      </c>
      <c r="D4796">
        <v>0</v>
      </c>
      <c r="E4796">
        <v>1</v>
      </c>
      <c r="F4796" s="7">
        <v>618.01</v>
      </c>
      <c r="G4796">
        <v>0</v>
      </c>
      <c r="H4796" s="7">
        <v>0</v>
      </c>
    </row>
    <row r="4797" spans="1:8">
      <c r="A4797">
        <v>4</v>
      </c>
      <c r="B4797" t="s">
        <v>42</v>
      </c>
      <c r="C4797" t="s">
        <v>33</v>
      </c>
      <c r="D4797">
        <v>0</v>
      </c>
      <c r="E4797">
        <v>1</v>
      </c>
      <c r="F4797" s="7">
        <v>4987.87</v>
      </c>
      <c r="G4797">
        <v>0</v>
      </c>
      <c r="H4797" s="7">
        <v>0</v>
      </c>
    </row>
    <row r="4798" spans="1:8">
      <c r="A4798">
        <v>4</v>
      </c>
      <c r="B4798" t="s">
        <v>42</v>
      </c>
      <c r="C4798" t="s">
        <v>33</v>
      </c>
      <c r="D4798">
        <v>0</v>
      </c>
      <c r="E4798">
        <v>1</v>
      </c>
      <c r="F4798" s="7">
        <v>2015.07</v>
      </c>
      <c r="G4798">
        <v>0</v>
      </c>
      <c r="H4798" s="7">
        <v>0</v>
      </c>
    </row>
    <row r="4799" spans="1:8">
      <c r="A4799">
        <v>4</v>
      </c>
      <c r="B4799" t="s">
        <v>43</v>
      </c>
      <c r="C4799" t="s">
        <v>34</v>
      </c>
      <c r="D4799">
        <v>0</v>
      </c>
      <c r="E4799">
        <v>1</v>
      </c>
      <c r="F4799" s="7">
        <v>17384.73</v>
      </c>
      <c r="G4799">
        <v>0</v>
      </c>
      <c r="H4799" s="7">
        <v>0</v>
      </c>
    </row>
    <row r="4800" spans="1:8">
      <c r="A4800">
        <v>4</v>
      </c>
      <c r="B4800" t="s">
        <v>42</v>
      </c>
      <c r="C4800" t="s">
        <v>32</v>
      </c>
      <c r="D4800">
        <v>0</v>
      </c>
      <c r="E4800">
        <v>1</v>
      </c>
      <c r="F4800" s="7">
        <v>276.8</v>
      </c>
      <c r="G4800">
        <v>0</v>
      </c>
      <c r="H4800" s="7">
        <v>0</v>
      </c>
    </row>
    <row r="4801" spans="1:8">
      <c r="A4801">
        <v>4</v>
      </c>
      <c r="B4801" t="s">
        <v>42</v>
      </c>
      <c r="C4801" t="s">
        <v>33</v>
      </c>
      <c r="D4801">
        <v>0</v>
      </c>
      <c r="E4801">
        <v>1</v>
      </c>
      <c r="F4801" s="7">
        <v>3655.9</v>
      </c>
      <c r="G4801">
        <v>0</v>
      </c>
      <c r="H4801" s="7">
        <v>0</v>
      </c>
    </row>
    <row r="4802" spans="1:8">
      <c r="A4802">
        <v>4</v>
      </c>
      <c r="B4802" t="s">
        <v>42</v>
      </c>
      <c r="C4802" t="s">
        <v>34</v>
      </c>
      <c r="D4802">
        <v>0</v>
      </c>
      <c r="E4802">
        <v>1</v>
      </c>
      <c r="F4802" s="7">
        <v>21885.09</v>
      </c>
      <c r="G4802">
        <v>0</v>
      </c>
      <c r="H4802" s="7">
        <v>0</v>
      </c>
    </row>
    <row r="4803" spans="1:8">
      <c r="A4803">
        <v>4</v>
      </c>
      <c r="B4803" t="s">
        <v>42</v>
      </c>
      <c r="C4803" t="s">
        <v>33</v>
      </c>
      <c r="D4803">
        <v>0</v>
      </c>
      <c r="E4803">
        <v>1</v>
      </c>
      <c r="F4803" s="7">
        <v>2619.71</v>
      </c>
      <c r="G4803">
        <v>0</v>
      </c>
      <c r="H4803" s="7">
        <v>0</v>
      </c>
    </row>
    <row r="4804" spans="1:8">
      <c r="A4804">
        <v>4</v>
      </c>
      <c r="B4804" t="s">
        <v>44</v>
      </c>
      <c r="C4804" t="s">
        <v>34</v>
      </c>
      <c r="D4804">
        <v>0</v>
      </c>
      <c r="E4804">
        <v>1</v>
      </c>
      <c r="F4804" s="7">
        <v>70344.95</v>
      </c>
      <c r="G4804">
        <v>0</v>
      </c>
      <c r="H4804" s="7">
        <v>0</v>
      </c>
    </row>
    <row r="4805" spans="1:8">
      <c r="A4805">
        <v>4</v>
      </c>
      <c r="B4805" t="s">
        <v>43</v>
      </c>
      <c r="C4805" t="s">
        <v>35</v>
      </c>
      <c r="D4805">
        <v>0</v>
      </c>
      <c r="E4805">
        <v>1</v>
      </c>
      <c r="F4805" s="7">
        <v>123755.39</v>
      </c>
      <c r="G4805">
        <v>0</v>
      </c>
      <c r="H4805" s="7">
        <v>0</v>
      </c>
    </row>
    <row r="4806" spans="1:8">
      <c r="A4806">
        <v>4</v>
      </c>
      <c r="B4806" t="s">
        <v>42</v>
      </c>
      <c r="C4806" t="s">
        <v>33</v>
      </c>
      <c r="D4806">
        <v>0</v>
      </c>
      <c r="E4806">
        <v>1</v>
      </c>
      <c r="F4806" s="7">
        <v>1199.16</v>
      </c>
      <c r="G4806">
        <v>0</v>
      </c>
      <c r="H4806" s="7">
        <v>0</v>
      </c>
    </row>
    <row r="4807" spans="1:8">
      <c r="A4807">
        <v>4</v>
      </c>
      <c r="B4807" t="s">
        <v>42</v>
      </c>
      <c r="C4807" t="s">
        <v>32</v>
      </c>
      <c r="D4807">
        <v>0</v>
      </c>
      <c r="E4807">
        <v>1</v>
      </c>
      <c r="F4807" s="7">
        <v>532.13</v>
      </c>
      <c r="G4807">
        <v>0</v>
      </c>
      <c r="H4807" s="7">
        <v>0</v>
      </c>
    </row>
    <row r="4808" spans="1:8">
      <c r="A4808">
        <v>4</v>
      </c>
      <c r="B4808" t="s">
        <v>42</v>
      </c>
      <c r="C4808" t="s">
        <v>33</v>
      </c>
      <c r="D4808">
        <v>0</v>
      </c>
      <c r="E4808">
        <v>1</v>
      </c>
      <c r="F4808" s="7">
        <v>3786.19</v>
      </c>
      <c r="G4808">
        <v>0</v>
      </c>
      <c r="H4808" s="7">
        <v>0</v>
      </c>
    </row>
    <row r="4809" spans="1:8">
      <c r="A4809">
        <v>4</v>
      </c>
      <c r="B4809" t="s">
        <v>42</v>
      </c>
      <c r="C4809" t="s">
        <v>33</v>
      </c>
      <c r="D4809">
        <v>0</v>
      </c>
      <c r="E4809">
        <v>1</v>
      </c>
      <c r="F4809" s="7">
        <v>2698.14</v>
      </c>
      <c r="G4809">
        <v>0</v>
      </c>
      <c r="H4809" s="7">
        <v>0</v>
      </c>
    </row>
    <row r="4810" spans="1:8">
      <c r="A4810">
        <v>4</v>
      </c>
      <c r="B4810" t="s">
        <v>42</v>
      </c>
      <c r="C4810" t="s">
        <v>33</v>
      </c>
      <c r="D4810">
        <v>0</v>
      </c>
      <c r="E4810">
        <v>1</v>
      </c>
      <c r="F4810" s="7">
        <v>2541.31</v>
      </c>
      <c r="G4810">
        <v>0</v>
      </c>
      <c r="H4810" s="7">
        <v>0</v>
      </c>
    </row>
    <row r="4811" spans="1:8">
      <c r="A4811">
        <v>4</v>
      </c>
      <c r="B4811" t="s">
        <v>42</v>
      </c>
      <c r="C4811" t="s">
        <v>33</v>
      </c>
      <c r="D4811">
        <v>0</v>
      </c>
      <c r="E4811">
        <v>1</v>
      </c>
      <c r="F4811" s="7">
        <v>1669.11</v>
      </c>
      <c r="G4811">
        <v>0</v>
      </c>
      <c r="H4811" s="7">
        <v>0</v>
      </c>
    </row>
    <row r="4812" spans="1:8">
      <c r="A4812">
        <v>4</v>
      </c>
      <c r="B4812" t="s">
        <v>42</v>
      </c>
      <c r="C4812" t="s">
        <v>33</v>
      </c>
      <c r="D4812">
        <v>0</v>
      </c>
      <c r="E4812">
        <v>1</v>
      </c>
      <c r="F4812" s="7">
        <v>2288.47</v>
      </c>
      <c r="G4812">
        <v>0</v>
      </c>
      <c r="H4812" s="7">
        <v>0</v>
      </c>
    </row>
    <row r="4813" spans="1:8">
      <c r="A4813">
        <v>4</v>
      </c>
      <c r="B4813" t="s">
        <v>44</v>
      </c>
      <c r="C4813" t="s">
        <v>35</v>
      </c>
      <c r="D4813">
        <v>0</v>
      </c>
      <c r="E4813">
        <v>1</v>
      </c>
      <c r="F4813" s="7">
        <v>166736.16</v>
      </c>
      <c r="G4813">
        <v>0</v>
      </c>
      <c r="H4813" s="7">
        <v>0</v>
      </c>
    </row>
    <row r="4814" spans="1:8">
      <c r="A4814">
        <v>4</v>
      </c>
      <c r="B4814" t="s">
        <v>44</v>
      </c>
      <c r="C4814" t="s">
        <v>35</v>
      </c>
      <c r="D4814">
        <v>0</v>
      </c>
      <c r="E4814">
        <v>1</v>
      </c>
      <c r="F4814" s="7">
        <v>221605.71</v>
      </c>
      <c r="G4814">
        <v>0</v>
      </c>
      <c r="H4814" s="7">
        <v>0</v>
      </c>
    </row>
    <row r="4815" spans="1:8">
      <c r="A4815">
        <v>4</v>
      </c>
      <c r="B4815" t="s">
        <v>45</v>
      </c>
      <c r="C4815" t="s">
        <v>32</v>
      </c>
      <c r="D4815">
        <v>0</v>
      </c>
      <c r="E4815">
        <v>1</v>
      </c>
      <c r="F4815" s="7">
        <v>485.42</v>
      </c>
      <c r="G4815">
        <v>0</v>
      </c>
      <c r="H4815" s="7">
        <v>0</v>
      </c>
    </row>
    <row r="4816" spans="1:8">
      <c r="A4816">
        <v>4</v>
      </c>
      <c r="B4816" t="s">
        <v>42</v>
      </c>
      <c r="C4816" t="s">
        <v>33</v>
      </c>
      <c r="D4816">
        <v>0</v>
      </c>
      <c r="E4816">
        <v>1</v>
      </c>
      <c r="F4816" s="7">
        <v>4303.63</v>
      </c>
      <c r="G4816">
        <v>0</v>
      </c>
      <c r="H4816" s="7">
        <v>0</v>
      </c>
    </row>
    <row r="4817" spans="1:8">
      <c r="A4817">
        <v>4</v>
      </c>
      <c r="B4817" t="s">
        <v>42</v>
      </c>
      <c r="C4817" t="s">
        <v>33</v>
      </c>
      <c r="D4817">
        <v>0</v>
      </c>
      <c r="E4817">
        <v>1</v>
      </c>
      <c r="F4817" s="7">
        <v>1184.99</v>
      </c>
      <c r="G4817">
        <v>0</v>
      </c>
      <c r="H4817" s="7">
        <v>0</v>
      </c>
    </row>
    <row r="4818" spans="1:8">
      <c r="A4818">
        <v>4</v>
      </c>
      <c r="B4818" t="s">
        <v>42</v>
      </c>
      <c r="C4818" t="s">
        <v>33</v>
      </c>
      <c r="D4818">
        <v>0</v>
      </c>
      <c r="E4818">
        <v>1</v>
      </c>
      <c r="F4818" s="7">
        <v>3118.48</v>
      </c>
      <c r="G4818">
        <v>0</v>
      </c>
      <c r="H4818" s="7">
        <v>0</v>
      </c>
    </row>
    <row r="4819" spans="1:8">
      <c r="A4819">
        <v>4</v>
      </c>
      <c r="B4819" t="s">
        <v>42</v>
      </c>
      <c r="C4819" t="s">
        <v>32</v>
      </c>
      <c r="D4819">
        <v>0</v>
      </c>
      <c r="E4819">
        <v>1</v>
      </c>
      <c r="F4819" s="7">
        <v>708.29</v>
      </c>
      <c r="G4819">
        <v>0</v>
      </c>
      <c r="H4819" s="7">
        <v>0</v>
      </c>
    </row>
    <row r="4820" spans="1:8">
      <c r="A4820">
        <v>4</v>
      </c>
      <c r="B4820" t="s">
        <v>42</v>
      </c>
      <c r="C4820" t="s">
        <v>33</v>
      </c>
      <c r="D4820">
        <v>0</v>
      </c>
      <c r="E4820">
        <v>1</v>
      </c>
      <c r="F4820" s="7">
        <v>3775.14</v>
      </c>
      <c r="G4820">
        <v>0</v>
      </c>
      <c r="H4820" s="7">
        <v>0</v>
      </c>
    </row>
    <row r="4821" spans="1:8">
      <c r="A4821">
        <v>4</v>
      </c>
      <c r="B4821" t="s">
        <v>42</v>
      </c>
      <c r="C4821" t="s">
        <v>33</v>
      </c>
      <c r="D4821">
        <v>0</v>
      </c>
      <c r="E4821">
        <v>1</v>
      </c>
      <c r="F4821" s="7">
        <v>4625.32</v>
      </c>
      <c r="G4821">
        <v>0</v>
      </c>
      <c r="H4821" s="7">
        <v>0</v>
      </c>
    </row>
    <row r="4822" spans="1:8">
      <c r="A4822">
        <v>4</v>
      </c>
      <c r="B4822" t="s">
        <v>42</v>
      </c>
      <c r="C4822" t="s">
        <v>33</v>
      </c>
      <c r="D4822">
        <v>0</v>
      </c>
      <c r="E4822">
        <v>1</v>
      </c>
      <c r="F4822" s="7">
        <v>6673.58</v>
      </c>
      <c r="G4822">
        <v>0</v>
      </c>
      <c r="H4822" s="7">
        <v>0</v>
      </c>
    </row>
    <row r="4823" spans="1:8">
      <c r="A4823">
        <v>4</v>
      </c>
      <c r="B4823" t="s">
        <v>42</v>
      </c>
      <c r="C4823" t="s">
        <v>33</v>
      </c>
      <c r="D4823">
        <v>0</v>
      </c>
      <c r="E4823">
        <v>1</v>
      </c>
      <c r="F4823" s="7">
        <v>8958.81</v>
      </c>
      <c r="G4823">
        <v>0</v>
      </c>
      <c r="H4823" s="7">
        <v>0</v>
      </c>
    </row>
    <row r="4824" spans="1:8">
      <c r="A4824">
        <v>4</v>
      </c>
      <c r="B4824" t="s">
        <v>42</v>
      </c>
      <c r="C4824" t="s">
        <v>33</v>
      </c>
      <c r="D4824">
        <v>0</v>
      </c>
      <c r="E4824">
        <v>1</v>
      </c>
      <c r="F4824" s="7">
        <v>7888.5</v>
      </c>
      <c r="G4824">
        <v>0</v>
      </c>
      <c r="H4824" s="7">
        <v>0</v>
      </c>
    </row>
    <row r="4825" spans="1:8">
      <c r="A4825">
        <v>4</v>
      </c>
      <c r="B4825" t="s">
        <v>42</v>
      </c>
      <c r="C4825" t="s">
        <v>33</v>
      </c>
      <c r="D4825">
        <v>0</v>
      </c>
      <c r="E4825">
        <v>1</v>
      </c>
      <c r="F4825" s="7">
        <v>1276.01</v>
      </c>
      <c r="G4825">
        <v>0</v>
      </c>
      <c r="H4825" s="7">
        <v>0</v>
      </c>
    </row>
    <row r="4826" spans="1:8">
      <c r="A4826">
        <v>4</v>
      </c>
      <c r="B4826" t="s">
        <v>42</v>
      </c>
      <c r="C4826" t="s">
        <v>34</v>
      </c>
      <c r="D4826">
        <v>0</v>
      </c>
      <c r="E4826">
        <v>1</v>
      </c>
      <c r="F4826" s="7">
        <v>46741.66</v>
      </c>
      <c r="G4826">
        <v>0</v>
      </c>
      <c r="H4826" s="7">
        <v>0</v>
      </c>
    </row>
    <row r="4827" spans="1:8">
      <c r="A4827">
        <v>4</v>
      </c>
      <c r="B4827" t="s">
        <v>42</v>
      </c>
      <c r="C4827" t="s">
        <v>34</v>
      </c>
      <c r="D4827">
        <v>0</v>
      </c>
      <c r="E4827">
        <v>1</v>
      </c>
      <c r="F4827" s="7">
        <v>11221.28</v>
      </c>
      <c r="G4827">
        <v>0</v>
      </c>
      <c r="H4827" s="7">
        <v>0</v>
      </c>
    </row>
    <row r="4828" spans="1:8">
      <c r="A4828">
        <v>4</v>
      </c>
      <c r="B4828" t="s">
        <v>42</v>
      </c>
      <c r="C4828" t="s">
        <v>33</v>
      </c>
      <c r="D4828">
        <v>0</v>
      </c>
      <c r="E4828">
        <v>1</v>
      </c>
      <c r="F4828" s="7">
        <v>4953.63</v>
      </c>
      <c r="G4828">
        <v>0</v>
      </c>
      <c r="H4828" s="7">
        <v>0</v>
      </c>
    </row>
    <row r="4829" spans="1:8">
      <c r="A4829">
        <v>4</v>
      </c>
      <c r="B4829" t="s">
        <v>42</v>
      </c>
      <c r="C4829" t="s">
        <v>33</v>
      </c>
      <c r="D4829">
        <v>0</v>
      </c>
      <c r="E4829">
        <v>1</v>
      </c>
      <c r="F4829" s="7">
        <v>5311.45</v>
      </c>
      <c r="G4829">
        <v>0</v>
      </c>
      <c r="H4829" s="7">
        <v>0</v>
      </c>
    </row>
    <row r="4830" spans="1:8">
      <c r="A4830">
        <v>4</v>
      </c>
      <c r="B4830" t="s">
        <v>42</v>
      </c>
      <c r="C4830" t="s">
        <v>33</v>
      </c>
      <c r="D4830">
        <v>0</v>
      </c>
      <c r="E4830">
        <v>1</v>
      </c>
      <c r="F4830" s="7">
        <v>9309.74</v>
      </c>
      <c r="G4830">
        <v>0</v>
      </c>
      <c r="H4830" s="7">
        <v>0</v>
      </c>
    </row>
    <row r="4831" spans="1:8">
      <c r="A4831">
        <v>4</v>
      </c>
      <c r="B4831" t="s">
        <v>42</v>
      </c>
      <c r="C4831" t="s">
        <v>34</v>
      </c>
      <c r="D4831">
        <v>0</v>
      </c>
      <c r="E4831">
        <v>1</v>
      </c>
      <c r="F4831" s="7">
        <v>13788.58</v>
      </c>
      <c r="G4831">
        <v>0</v>
      </c>
      <c r="H4831" s="7">
        <v>0</v>
      </c>
    </row>
    <row r="4832" spans="1:8">
      <c r="A4832">
        <v>4</v>
      </c>
      <c r="B4832" t="s">
        <v>42</v>
      </c>
      <c r="C4832" t="s">
        <v>33</v>
      </c>
      <c r="D4832">
        <v>0</v>
      </c>
      <c r="E4832">
        <v>1</v>
      </c>
      <c r="F4832" s="7">
        <v>5630.78</v>
      </c>
      <c r="G4832">
        <v>0</v>
      </c>
      <c r="H4832" s="7">
        <v>0</v>
      </c>
    </row>
    <row r="4833" spans="1:8">
      <c r="A4833">
        <v>4</v>
      </c>
      <c r="B4833" t="s">
        <v>42</v>
      </c>
      <c r="C4833" t="s">
        <v>33</v>
      </c>
      <c r="D4833">
        <v>0</v>
      </c>
      <c r="E4833">
        <v>1</v>
      </c>
      <c r="F4833" s="7">
        <v>7055.96</v>
      </c>
      <c r="G4833">
        <v>0</v>
      </c>
      <c r="H4833" s="7">
        <v>0</v>
      </c>
    </row>
    <row r="4834" spans="1:8">
      <c r="A4834">
        <v>4</v>
      </c>
      <c r="B4834" t="s">
        <v>42</v>
      </c>
      <c r="C4834" t="s">
        <v>33</v>
      </c>
      <c r="D4834">
        <v>0</v>
      </c>
      <c r="E4834">
        <v>1</v>
      </c>
      <c r="F4834" s="7">
        <v>7089.25</v>
      </c>
      <c r="G4834">
        <v>0</v>
      </c>
      <c r="H4834" s="7">
        <v>0</v>
      </c>
    </row>
    <row r="4835" spans="1:8">
      <c r="A4835">
        <v>4</v>
      </c>
      <c r="B4835" t="s">
        <v>42</v>
      </c>
      <c r="C4835" t="s">
        <v>33</v>
      </c>
      <c r="D4835">
        <v>0</v>
      </c>
      <c r="E4835">
        <v>1</v>
      </c>
      <c r="F4835" s="7">
        <v>2403.55</v>
      </c>
      <c r="G4835">
        <v>0</v>
      </c>
      <c r="H4835" s="7">
        <v>0</v>
      </c>
    </row>
    <row r="4836" spans="1:8">
      <c r="A4836">
        <v>4</v>
      </c>
      <c r="B4836" t="s">
        <v>42</v>
      </c>
      <c r="C4836" t="s">
        <v>34</v>
      </c>
      <c r="D4836">
        <v>0</v>
      </c>
      <c r="E4836">
        <v>1</v>
      </c>
      <c r="F4836" s="7">
        <v>11627.71</v>
      </c>
      <c r="G4836">
        <v>0</v>
      </c>
      <c r="H4836" s="7">
        <v>0</v>
      </c>
    </row>
    <row r="4837" spans="1:8">
      <c r="A4837">
        <v>4</v>
      </c>
      <c r="B4837" t="s">
        <v>42</v>
      </c>
      <c r="C4837" t="s">
        <v>33</v>
      </c>
      <c r="D4837">
        <v>0</v>
      </c>
      <c r="E4837">
        <v>1</v>
      </c>
      <c r="F4837" s="7">
        <v>3064.96</v>
      </c>
      <c r="G4837">
        <v>0</v>
      </c>
      <c r="H4837" s="7">
        <v>0</v>
      </c>
    </row>
    <row r="4838" spans="1:8">
      <c r="A4838">
        <v>4</v>
      </c>
      <c r="B4838" t="s">
        <v>42</v>
      </c>
      <c r="C4838" t="s">
        <v>33</v>
      </c>
      <c r="D4838">
        <v>0</v>
      </c>
      <c r="E4838">
        <v>1</v>
      </c>
      <c r="F4838" s="7">
        <v>5818.7</v>
      </c>
      <c r="G4838">
        <v>0</v>
      </c>
      <c r="H4838" s="7">
        <v>0</v>
      </c>
    </row>
    <row r="4839" spans="1:8">
      <c r="A4839">
        <v>4</v>
      </c>
      <c r="B4839" t="s">
        <v>42</v>
      </c>
      <c r="C4839" t="s">
        <v>33</v>
      </c>
      <c r="D4839">
        <v>0</v>
      </c>
      <c r="E4839">
        <v>1</v>
      </c>
      <c r="F4839" s="7">
        <v>7369.86</v>
      </c>
      <c r="G4839">
        <v>0</v>
      </c>
      <c r="H4839" s="7">
        <v>0</v>
      </c>
    </row>
    <row r="4840" spans="1:8">
      <c r="A4840">
        <v>4</v>
      </c>
      <c r="B4840" t="s">
        <v>42</v>
      </c>
      <c r="C4840" t="s">
        <v>33</v>
      </c>
      <c r="D4840">
        <v>0</v>
      </c>
      <c r="E4840">
        <v>1</v>
      </c>
      <c r="F4840" s="7">
        <v>2080.51</v>
      </c>
      <c r="G4840">
        <v>0</v>
      </c>
      <c r="H4840" s="7">
        <v>0</v>
      </c>
    </row>
    <row r="4841" spans="1:8">
      <c r="A4841">
        <v>4</v>
      </c>
      <c r="B4841" t="s">
        <v>43</v>
      </c>
      <c r="C4841" t="s">
        <v>35</v>
      </c>
      <c r="D4841">
        <v>0</v>
      </c>
      <c r="E4841">
        <v>1</v>
      </c>
      <c r="F4841" s="7">
        <v>148319.88</v>
      </c>
      <c r="G4841">
        <v>0</v>
      </c>
      <c r="H4841" s="7">
        <v>0</v>
      </c>
    </row>
    <row r="4842" spans="1:8">
      <c r="A4842">
        <v>4</v>
      </c>
      <c r="B4842" t="s">
        <v>42</v>
      </c>
      <c r="C4842" t="s">
        <v>32</v>
      </c>
      <c r="D4842">
        <v>0</v>
      </c>
      <c r="E4842">
        <v>1</v>
      </c>
      <c r="F4842" s="7">
        <v>964.35</v>
      </c>
      <c r="G4842">
        <v>0</v>
      </c>
      <c r="H4842" s="7">
        <v>0</v>
      </c>
    </row>
    <row r="4843" spans="1:8">
      <c r="A4843">
        <v>4</v>
      </c>
      <c r="B4843" t="s">
        <v>45</v>
      </c>
      <c r="C4843" t="s">
        <v>32</v>
      </c>
      <c r="D4843">
        <v>0</v>
      </c>
      <c r="E4843">
        <v>1</v>
      </c>
      <c r="F4843" s="7">
        <v>162.26</v>
      </c>
      <c r="G4843">
        <v>0</v>
      </c>
      <c r="H4843" s="7">
        <v>0</v>
      </c>
    </row>
    <row r="4844" spans="1:8">
      <c r="A4844">
        <v>4</v>
      </c>
      <c r="B4844" t="s">
        <v>42</v>
      </c>
      <c r="C4844" t="s">
        <v>33</v>
      </c>
      <c r="D4844">
        <v>0</v>
      </c>
      <c r="E4844">
        <v>1</v>
      </c>
      <c r="F4844" s="7">
        <v>3100.46</v>
      </c>
      <c r="G4844">
        <v>0</v>
      </c>
      <c r="H4844" s="7">
        <v>0</v>
      </c>
    </row>
    <row r="4845" spans="1:8">
      <c r="A4845">
        <v>5</v>
      </c>
      <c r="B4845" t="s">
        <v>42</v>
      </c>
      <c r="C4845" t="s">
        <v>33</v>
      </c>
      <c r="D4845">
        <v>0</v>
      </c>
      <c r="E4845">
        <v>1</v>
      </c>
      <c r="F4845" s="7">
        <v>7847.65</v>
      </c>
      <c r="G4845">
        <v>0</v>
      </c>
      <c r="H4845" s="7">
        <v>0</v>
      </c>
    </row>
    <row r="4846" spans="1:8">
      <c r="A4846">
        <v>5</v>
      </c>
      <c r="B4846" t="s">
        <v>44</v>
      </c>
      <c r="C4846" t="s">
        <v>34</v>
      </c>
      <c r="D4846">
        <v>0</v>
      </c>
      <c r="E4846">
        <v>1</v>
      </c>
      <c r="F4846" s="7">
        <v>85070.76</v>
      </c>
      <c r="G4846">
        <v>0</v>
      </c>
      <c r="H4846" s="7">
        <v>0</v>
      </c>
    </row>
    <row r="4847" spans="1:8">
      <c r="A4847">
        <v>5</v>
      </c>
      <c r="B4847" t="s">
        <v>42</v>
      </c>
      <c r="C4847" t="s">
        <v>32</v>
      </c>
      <c r="D4847">
        <v>0</v>
      </c>
      <c r="E4847">
        <v>1</v>
      </c>
      <c r="F4847" s="7">
        <v>438.7</v>
      </c>
      <c r="G4847">
        <v>0</v>
      </c>
      <c r="H4847" s="7">
        <v>0</v>
      </c>
    </row>
    <row r="4848" spans="1:8">
      <c r="A4848">
        <v>5</v>
      </c>
      <c r="B4848" t="s">
        <v>42</v>
      </c>
      <c r="C4848" t="s">
        <v>33</v>
      </c>
      <c r="D4848">
        <v>0</v>
      </c>
      <c r="E4848">
        <v>1</v>
      </c>
      <c r="F4848" s="7">
        <v>8215.28</v>
      </c>
      <c r="G4848">
        <v>0</v>
      </c>
      <c r="H4848" s="7">
        <v>0</v>
      </c>
    </row>
    <row r="4849" spans="1:8">
      <c r="A4849">
        <v>5</v>
      </c>
      <c r="B4849" t="s">
        <v>42</v>
      </c>
      <c r="C4849" t="s">
        <v>33</v>
      </c>
      <c r="D4849">
        <v>0</v>
      </c>
      <c r="E4849">
        <v>1</v>
      </c>
      <c r="F4849" s="7">
        <v>2882.94</v>
      </c>
      <c r="G4849">
        <v>0</v>
      </c>
      <c r="H4849" s="7">
        <v>0</v>
      </c>
    </row>
    <row r="4850" spans="1:8">
      <c r="A4850">
        <v>5</v>
      </c>
      <c r="B4850" t="s">
        <v>42</v>
      </c>
      <c r="C4850" t="s">
        <v>33</v>
      </c>
      <c r="D4850">
        <v>0</v>
      </c>
      <c r="E4850">
        <v>1</v>
      </c>
      <c r="F4850" s="7">
        <v>6822.49</v>
      </c>
      <c r="G4850">
        <v>0</v>
      </c>
      <c r="H4850" s="7">
        <v>0</v>
      </c>
    </row>
    <row r="4851" spans="1:8">
      <c r="A4851">
        <v>5</v>
      </c>
      <c r="B4851" t="s">
        <v>42</v>
      </c>
      <c r="C4851" t="s">
        <v>33</v>
      </c>
      <c r="D4851">
        <v>0</v>
      </c>
      <c r="E4851">
        <v>1</v>
      </c>
      <c r="F4851" s="7">
        <v>1024.56</v>
      </c>
      <c r="G4851">
        <v>0</v>
      </c>
      <c r="H4851" s="7">
        <v>0</v>
      </c>
    </row>
    <row r="4852" spans="1:8">
      <c r="A4852">
        <v>5</v>
      </c>
      <c r="B4852" t="s">
        <v>42</v>
      </c>
      <c r="C4852" t="s">
        <v>33</v>
      </c>
      <c r="D4852">
        <v>0</v>
      </c>
      <c r="E4852">
        <v>1</v>
      </c>
      <c r="F4852" s="7">
        <v>6784.39</v>
      </c>
      <c r="G4852">
        <v>0</v>
      </c>
      <c r="H4852" s="7">
        <v>0</v>
      </c>
    </row>
    <row r="4853" spans="1:8">
      <c r="A4853">
        <v>5</v>
      </c>
      <c r="B4853" t="s">
        <v>44</v>
      </c>
      <c r="C4853" t="s">
        <v>35</v>
      </c>
      <c r="D4853">
        <v>0</v>
      </c>
      <c r="E4853">
        <v>1</v>
      </c>
      <c r="F4853" s="7">
        <v>195542.41</v>
      </c>
      <c r="G4853">
        <v>0</v>
      </c>
      <c r="H4853" s="7">
        <v>0</v>
      </c>
    </row>
    <row r="4854" spans="1:8">
      <c r="A4854">
        <v>5</v>
      </c>
      <c r="B4854" t="s">
        <v>42</v>
      </c>
      <c r="C4854" t="s">
        <v>33</v>
      </c>
      <c r="D4854">
        <v>0</v>
      </c>
      <c r="E4854">
        <v>1</v>
      </c>
      <c r="F4854" s="7">
        <v>2634.1</v>
      </c>
      <c r="G4854">
        <v>0</v>
      </c>
      <c r="H4854" s="7">
        <v>0</v>
      </c>
    </row>
    <row r="4855" spans="1:8">
      <c r="A4855">
        <v>5</v>
      </c>
      <c r="B4855" t="s">
        <v>42</v>
      </c>
      <c r="C4855" t="s">
        <v>32</v>
      </c>
      <c r="D4855">
        <v>0</v>
      </c>
      <c r="E4855">
        <v>1</v>
      </c>
      <c r="F4855" s="7">
        <v>550.7</v>
      </c>
      <c r="G4855">
        <v>0</v>
      </c>
      <c r="H4855" s="7">
        <v>0</v>
      </c>
    </row>
    <row r="4856" spans="1:8">
      <c r="A4856">
        <v>5</v>
      </c>
      <c r="B4856" t="s">
        <v>42</v>
      </c>
      <c r="C4856" t="s">
        <v>33</v>
      </c>
      <c r="D4856">
        <v>0</v>
      </c>
      <c r="E4856">
        <v>1</v>
      </c>
      <c r="F4856" s="7">
        <v>7930.66</v>
      </c>
      <c r="G4856">
        <v>0</v>
      </c>
      <c r="H4856" s="7">
        <v>0</v>
      </c>
    </row>
    <row r="4857" spans="1:8">
      <c r="A4857">
        <v>5</v>
      </c>
      <c r="B4857" t="s">
        <v>42</v>
      </c>
      <c r="C4857" t="s">
        <v>33</v>
      </c>
      <c r="D4857">
        <v>0</v>
      </c>
      <c r="E4857">
        <v>1</v>
      </c>
      <c r="F4857" s="7">
        <v>6608.18</v>
      </c>
      <c r="G4857">
        <v>0</v>
      </c>
      <c r="H4857" s="7">
        <v>0</v>
      </c>
    </row>
    <row r="4858" spans="1:8">
      <c r="A4858">
        <v>5</v>
      </c>
      <c r="B4858" t="s">
        <v>42</v>
      </c>
      <c r="C4858" t="s">
        <v>33</v>
      </c>
      <c r="D4858">
        <v>0</v>
      </c>
      <c r="E4858">
        <v>1</v>
      </c>
      <c r="F4858" s="7">
        <v>6292.42</v>
      </c>
      <c r="G4858">
        <v>0</v>
      </c>
      <c r="H4858" s="7">
        <v>0</v>
      </c>
    </row>
    <row r="4859" spans="1:8">
      <c r="A4859">
        <v>5</v>
      </c>
      <c r="B4859" t="s">
        <v>42</v>
      </c>
      <c r="C4859" t="s">
        <v>33</v>
      </c>
      <c r="D4859">
        <v>0</v>
      </c>
      <c r="E4859">
        <v>1</v>
      </c>
      <c r="F4859" s="7">
        <v>5542.54</v>
      </c>
      <c r="G4859">
        <v>0</v>
      </c>
      <c r="H4859" s="7">
        <v>0</v>
      </c>
    </row>
    <row r="4860" spans="1:8">
      <c r="A4860">
        <v>5</v>
      </c>
      <c r="B4860" t="s">
        <v>42</v>
      </c>
      <c r="C4860" t="s">
        <v>33</v>
      </c>
      <c r="D4860">
        <v>0</v>
      </c>
      <c r="E4860">
        <v>1</v>
      </c>
      <c r="F4860" s="7">
        <v>3365.83</v>
      </c>
      <c r="G4860">
        <v>0</v>
      </c>
      <c r="H4860" s="7">
        <v>0</v>
      </c>
    </row>
    <row r="4861" spans="1:8">
      <c r="A4861">
        <v>5</v>
      </c>
      <c r="B4861" t="s">
        <v>42</v>
      </c>
      <c r="C4861" t="s">
        <v>32</v>
      </c>
      <c r="D4861">
        <v>0</v>
      </c>
      <c r="E4861">
        <v>1</v>
      </c>
      <c r="F4861" s="7">
        <v>851.94</v>
      </c>
      <c r="G4861">
        <v>0</v>
      </c>
      <c r="H4861" s="7">
        <v>0</v>
      </c>
    </row>
    <row r="4862" spans="1:8">
      <c r="A4862">
        <v>5</v>
      </c>
      <c r="B4862" t="s">
        <v>42</v>
      </c>
      <c r="C4862" t="s">
        <v>33</v>
      </c>
      <c r="D4862">
        <v>0</v>
      </c>
      <c r="E4862">
        <v>1</v>
      </c>
      <c r="F4862" s="7">
        <v>3765.86</v>
      </c>
      <c r="G4862">
        <v>0</v>
      </c>
      <c r="H4862" s="7">
        <v>0</v>
      </c>
    </row>
    <row r="4863" spans="1:8">
      <c r="A4863">
        <v>5</v>
      </c>
      <c r="B4863" t="s">
        <v>43</v>
      </c>
      <c r="C4863" t="s">
        <v>35</v>
      </c>
      <c r="D4863">
        <v>1</v>
      </c>
      <c r="E4863">
        <v>1</v>
      </c>
      <c r="F4863" s="7">
        <v>120074.73</v>
      </c>
      <c r="G4863">
        <v>1</v>
      </c>
      <c r="H4863" s="7">
        <v>120074.73</v>
      </c>
    </row>
    <row r="4864" spans="1:8">
      <c r="A4864">
        <v>5</v>
      </c>
      <c r="B4864" t="s">
        <v>44</v>
      </c>
      <c r="C4864" t="s">
        <v>35</v>
      </c>
      <c r="D4864">
        <v>1</v>
      </c>
      <c r="E4864">
        <v>1</v>
      </c>
      <c r="F4864" s="7">
        <v>120074.73</v>
      </c>
      <c r="G4864">
        <v>1</v>
      </c>
      <c r="H4864" s="7">
        <v>120074.73</v>
      </c>
    </row>
    <row r="4865" spans="1:8">
      <c r="A4865">
        <v>5</v>
      </c>
      <c r="B4865" t="s">
        <v>42</v>
      </c>
      <c r="C4865" t="s">
        <v>33</v>
      </c>
      <c r="D4865">
        <v>0</v>
      </c>
      <c r="E4865">
        <v>1</v>
      </c>
      <c r="F4865" s="7">
        <v>3728.76</v>
      </c>
      <c r="G4865">
        <v>0</v>
      </c>
      <c r="H4865" s="7">
        <v>0</v>
      </c>
    </row>
    <row r="4866" spans="1:8">
      <c r="A4866">
        <v>5</v>
      </c>
      <c r="B4866" t="s">
        <v>44</v>
      </c>
      <c r="C4866" t="s">
        <v>34</v>
      </c>
      <c r="D4866">
        <v>0</v>
      </c>
      <c r="E4866">
        <v>1</v>
      </c>
      <c r="F4866" s="7">
        <v>89888.52</v>
      </c>
      <c r="G4866">
        <v>0</v>
      </c>
      <c r="H4866" s="7">
        <v>0</v>
      </c>
    </row>
    <row r="4867" spans="1:8">
      <c r="A4867">
        <v>5</v>
      </c>
      <c r="B4867" t="s">
        <v>43</v>
      </c>
      <c r="C4867" t="s">
        <v>34</v>
      </c>
      <c r="D4867">
        <v>0</v>
      </c>
      <c r="E4867">
        <v>1</v>
      </c>
      <c r="F4867" s="7">
        <v>30608.52</v>
      </c>
      <c r="G4867">
        <v>0</v>
      </c>
      <c r="H4867" s="7">
        <v>0</v>
      </c>
    </row>
    <row r="4868" spans="1:8">
      <c r="A4868">
        <v>5</v>
      </c>
      <c r="B4868" t="s">
        <v>42</v>
      </c>
      <c r="C4868" t="s">
        <v>32</v>
      </c>
      <c r="D4868">
        <v>0</v>
      </c>
      <c r="E4868">
        <v>1</v>
      </c>
      <c r="F4868" s="7">
        <v>489.56</v>
      </c>
      <c r="G4868">
        <v>0</v>
      </c>
      <c r="H4868" s="7">
        <v>0</v>
      </c>
    </row>
    <row r="4869" spans="1:8">
      <c r="A4869">
        <v>5</v>
      </c>
      <c r="B4869" t="s">
        <v>42</v>
      </c>
      <c r="C4869" t="s">
        <v>34</v>
      </c>
      <c r="D4869">
        <v>0</v>
      </c>
      <c r="E4869">
        <v>1</v>
      </c>
      <c r="F4869" s="7">
        <v>10814.39</v>
      </c>
      <c r="G4869">
        <v>0</v>
      </c>
      <c r="H4869" s="7">
        <v>0</v>
      </c>
    </row>
    <row r="4870" spans="1:8">
      <c r="A4870">
        <v>5</v>
      </c>
      <c r="B4870" t="s">
        <v>45</v>
      </c>
      <c r="C4870" t="s">
        <v>33</v>
      </c>
      <c r="D4870">
        <v>0</v>
      </c>
      <c r="E4870">
        <v>1</v>
      </c>
      <c r="F4870" s="7">
        <v>1251.24</v>
      </c>
      <c r="G4870">
        <v>0</v>
      </c>
      <c r="H4870" s="7">
        <v>0</v>
      </c>
    </row>
    <row r="4871" spans="1:8">
      <c r="A4871">
        <v>5</v>
      </c>
      <c r="B4871" t="s">
        <v>45</v>
      </c>
      <c r="C4871" t="s">
        <v>32</v>
      </c>
      <c r="D4871">
        <v>0</v>
      </c>
      <c r="E4871">
        <v>1</v>
      </c>
      <c r="F4871" s="7">
        <v>68.95</v>
      </c>
      <c r="G4871">
        <v>0</v>
      </c>
      <c r="H4871" s="7">
        <v>0</v>
      </c>
    </row>
    <row r="4872" spans="1:8">
      <c r="A4872">
        <v>5</v>
      </c>
      <c r="B4872" t="s">
        <v>42</v>
      </c>
      <c r="C4872" t="s">
        <v>34</v>
      </c>
      <c r="D4872">
        <v>0</v>
      </c>
      <c r="E4872">
        <v>1</v>
      </c>
      <c r="F4872" s="7">
        <v>28965.75</v>
      </c>
      <c r="G4872">
        <v>0</v>
      </c>
      <c r="H4872" s="7">
        <v>0</v>
      </c>
    </row>
    <row r="4873" spans="1:8">
      <c r="A4873">
        <v>5</v>
      </c>
      <c r="B4873" t="s">
        <v>42</v>
      </c>
      <c r="C4873" t="s">
        <v>33</v>
      </c>
      <c r="D4873">
        <v>0</v>
      </c>
      <c r="E4873">
        <v>1</v>
      </c>
      <c r="F4873" s="7">
        <v>2273.88</v>
      </c>
      <c r="G4873">
        <v>0</v>
      </c>
      <c r="H4873" s="7">
        <v>0</v>
      </c>
    </row>
    <row r="4874" spans="1:8">
      <c r="A4874">
        <v>5</v>
      </c>
      <c r="B4874" t="s">
        <v>42</v>
      </c>
      <c r="C4874" t="s">
        <v>33</v>
      </c>
      <c r="D4874">
        <v>0</v>
      </c>
      <c r="E4874">
        <v>1</v>
      </c>
      <c r="F4874" s="7">
        <v>4289.33</v>
      </c>
      <c r="G4874">
        <v>0</v>
      </c>
      <c r="H4874" s="7">
        <v>0</v>
      </c>
    </row>
    <row r="4875" spans="1:8">
      <c r="A4875">
        <v>5</v>
      </c>
      <c r="B4875" t="s">
        <v>42</v>
      </c>
      <c r="C4875" t="s">
        <v>33</v>
      </c>
      <c r="D4875">
        <v>0</v>
      </c>
      <c r="E4875">
        <v>1</v>
      </c>
      <c r="F4875" s="7">
        <v>3710.8</v>
      </c>
      <c r="G4875">
        <v>0</v>
      </c>
      <c r="H4875" s="7">
        <v>0</v>
      </c>
    </row>
    <row r="4876" spans="1:8">
      <c r="A4876">
        <v>5</v>
      </c>
      <c r="B4876" t="s">
        <v>42</v>
      </c>
      <c r="C4876" t="s">
        <v>33</v>
      </c>
      <c r="D4876">
        <v>0</v>
      </c>
      <c r="E4876">
        <v>1</v>
      </c>
      <c r="F4876" s="7">
        <v>5513.44</v>
      </c>
      <c r="G4876">
        <v>0</v>
      </c>
      <c r="H4876" s="7">
        <v>0</v>
      </c>
    </row>
    <row r="4877" spans="1:8">
      <c r="A4877">
        <v>5</v>
      </c>
      <c r="B4877" t="s">
        <v>42</v>
      </c>
      <c r="C4877" t="s">
        <v>33</v>
      </c>
      <c r="D4877">
        <v>0</v>
      </c>
      <c r="E4877">
        <v>1</v>
      </c>
      <c r="F4877" s="7">
        <v>6225.18</v>
      </c>
      <c r="G4877">
        <v>0</v>
      </c>
      <c r="H4877" s="7">
        <v>0</v>
      </c>
    </row>
    <row r="4878" spans="1:8">
      <c r="A4878">
        <v>5</v>
      </c>
      <c r="B4878" t="s">
        <v>42</v>
      </c>
      <c r="C4878" t="s">
        <v>33</v>
      </c>
      <c r="D4878">
        <v>0</v>
      </c>
      <c r="E4878">
        <v>1</v>
      </c>
      <c r="F4878" s="7">
        <v>5352.45</v>
      </c>
      <c r="G4878">
        <v>0</v>
      </c>
      <c r="H4878" s="7">
        <v>0</v>
      </c>
    </row>
    <row r="4879" spans="1:8">
      <c r="A4879">
        <v>5</v>
      </c>
      <c r="B4879" t="s">
        <v>42</v>
      </c>
      <c r="C4879" t="s">
        <v>33</v>
      </c>
      <c r="D4879">
        <v>0</v>
      </c>
      <c r="E4879">
        <v>1</v>
      </c>
      <c r="F4879" s="7">
        <v>3543.75</v>
      </c>
      <c r="G4879">
        <v>0</v>
      </c>
      <c r="H4879" s="7">
        <v>0</v>
      </c>
    </row>
    <row r="4880" spans="1:8">
      <c r="A4880">
        <v>5</v>
      </c>
      <c r="B4880" t="s">
        <v>42</v>
      </c>
      <c r="C4880" t="s">
        <v>32</v>
      </c>
      <c r="D4880">
        <v>0</v>
      </c>
      <c r="E4880">
        <v>1</v>
      </c>
      <c r="F4880" s="7">
        <v>52.58</v>
      </c>
      <c r="G4880">
        <v>0</v>
      </c>
      <c r="H4880" s="7">
        <v>0</v>
      </c>
    </row>
    <row r="4881" spans="1:8">
      <c r="A4881">
        <v>5</v>
      </c>
      <c r="B4881" t="s">
        <v>42</v>
      </c>
      <c r="C4881" t="s">
        <v>33</v>
      </c>
      <c r="D4881">
        <v>0</v>
      </c>
      <c r="E4881">
        <v>1</v>
      </c>
      <c r="F4881" s="7">
        <v>2070.73</v>
      </c>
      <c r="G4881">
        <v>0</v>
      </c>
      <c r="H4881" s="7">
        <v>0</v>
      </c>
    </row>
    <row r="4882" spans="1:8">
      <c r="A4882">
        <v>5</v>
      </c>
      <c r="B4882" t="s">
        <v>42</v>
      </c>
      <c r="C4882" t="s">
        <v>32</v>
      </c>
      <c r="D4882">
        <v>0</v>
      </c>
      <c r="E4882">
        <v>1</v>
      </c>
      <c r="F4882" s="7">
        <v>247.56</v>
      </c>
      <c r="G4882">
        <v>0</v>
      </c>
      <c r="H4882" s="7">
        <v>0</v>
      </c>
    </row>
    <row r="4883" spans="1:8">
      <c r="A4883">
        <v>5</v>
      </c>
      <c r="B4883" t="s">
        <v>42</v>
      </c>
      <c r="C4883" t="s">
        <v>33</v>
      </c>
      <c r="D4883">
        <v>0</v>
      </c>
      <c r="E4883">
        <v>1</v>
      </c>
      <c r="F4883" s="7">
        <v>9201.12</v>
      </c>
      <c r="G4883">
        <v>0</v>
      </c>
      <c r="H4883" s="7">
        <v>0</v>
      </c>
    </row>
    <row r="4884" spans="1:8">
      <c r="A4884">
        <v>5</v>
      </c>
      <c r="B4884" t="s">
        <v>42</v>
      </c>
      <c r="C4884" t="s">
        <v>34</v>
      </c>
      <c r="D4884">
        <v>0</v>
      </c>
      <c r="E4884">
        <v>1</v>
      </c>
      <c r="F4884" s="7">
        <v>11936</v>
      </c>
      <c r="G4884">
        <v>0</v>
      </c>
      <c r="H4884" s="7">
        <v>0</v>
      </c>
    </row>
    <row r="4885" spans="1:8">
      <c r="A4885">
        <v>5</v>
      </c>
      <c r="B4885" t="s">
        <v>42</v>
      </c>
      <c r="C4885" t="s">
        <v>33</v>
      </c>
      <c r="D4885">
        <v>0</v>
      </c>
      <c r="E4885">
        <v>1</v>
      </c>
      <c r="F4885" s="7">
        <v>5146.88</v>
      </c>
      <c r="G4885">
        <v>0</v>
      </c>
      <c r="H4885" s="7">
        <v>0</v>
      </c>
    </row>
    <row r="4886" spans="1:8">
      <c r="A4886">
        <v>5</v>
      </c>
      <c r="B4886" t="s">
        <v>42</v>
      </c>
      <c r="C4886" t="s">
        <v>33</v>
      </c>
      <c r="D4886">
        <v>0</v>
      </c>
      <c r="E4886">
        <v>1</v>
      </c>
      <c r="F4886" s="7">
        <v>7429.59</v>
      </c>
      <c r="G4886">
        <v>0</v>
      </c>
      <c r="H4886" s="7">
        <v>0</v>
      </c>
    </row>
    <row r="4887" spans="1:8">
      <c r="A4887">
        <v>5</v>
      </c>
      <c r="B4887" t="s">
        <v>42</v>
      </c>
      <c r="C4887" t="s">
        <v>34</v>
      </c>
      <c r="D4887">
        <v>0</v>
      </c>
      <c r="E4887">
        <v>1</v>
      </c>
      <c r="F4887" s="7">
        <v>10260.12</v>
      </c>
      <c r="G4887">
        <v>0</v>
      </c>
      <c r="H4887" s="7">
        <v>0</v>
      </c>
    </row>
    <row r="4888" spans="1:8">
      <c r="A4888">
        <v>5</v>
      </c>
      <c r="B4888" t="s">
        <v>42</v>
      </c>
      <c r="C4888" t="s">
        <v>33</v>
      </c>
      <c r="D4888">
        <v>0</v>
      </c>
      <c r="E4888">
        <v>1</v>
      </c>
      <c r="F4888" s="7">
        <v>2728.03</v>
      </c>
      <c r="G4888">
        <v>0</v>
      </c>
      <c r="H4888" s="7">
        <v>0</v>
      </c>
    </row>
    <row r="4889" spans="1:8">
      <c r="A4889">
        <v>5</v>
      </c>
      <c r="B4889" t="s">
        <v>44</v>
      </c>
      <c r="C4889" t="s">
        <v>34</v>
      </c>
      <c r="D4889">
        <v>0</v>
      </c>
      <c r="E4889">
        <v>1</v>
      </c>
      <c r="F4889" s="7">
        <v>72688.93</v>
      </c>
      <c r="G4889">
        <v>0</v>
      </c>
      <c r="H4889" s="7">
        <v>0</v>
      </c>
    </row>
    <row r="4890" spans="1:8">
      <c r="A4890">
        <v>5</v>
      </c>
      <c r="B4890" t="s">
        <v>45</v>
      </c>
      <c r="C4890" t="s">
        <v>33</v>
      </c>
      <c r="D4890">
        <v>0</v>
      </c>
      <c r="E4890">
        <v>1</v>
      </c>
      <c r="F4890" s="7">
        <v>3068.71</v>
      </c>
      <c r="G4890">
        <v>0</v>
      </c>
      <c r="H4890" s="7">
        <v>0</v>
      </c>
    </row>
    <row r="4891" spans="1:8">
      <c r="A4891">
        <v>5</v>
      </c>
      <c r="B4891" t="s">
        <v>42</v>
      </c>
      <c r="C4891" t="s">
        <v>34</v>
      </c>
      <c r="D4891">
        <v>0</v>
      </c>
      <c r="E4891">
        <v>1</v>
      </c>
      <c r="F4891" s="7">
        <v>17770.7</v>
      </c>
      <c r="G4891">
        <v>0</v>
      </c>
      <c r="H4891" s="7">
        <v>0</v>
      </c>
    </row>
    <row r="4892" spans="1:8">
      <c r="A4892">
        <v>5</v>
      </c>
      <c r="B4892" t="s">
        <v>42</v>
      </c>
      <c r="C4892" t="s">
        <v>33</v>
      </c>
      <c r="D4892">
        <v>0</v>
      </c>
      <c r="E4892">
        <v>1</v>
      </c>
      <c r="F4892" s="7">
        <v>5851.45</v>
      </c>
      <c r="G4892">
        <v>0</v>
      </c>
      <c r="H4892" s="7">
        <v>0</v>
      </c>
    </row>
    <row r="4893" spans="1:8">
      <c r="A4893">
        <v>5</v>
      </c>
      <c r="B4893" t="s">
        <v>42</v>
      </c>
      <c r="C4893" t="s">
        <v>34</v>
      </c>
      <c r="D4893">
        <v>0</v>
      </c>
      <c r="E4893">
        <v>1</v>
      </c>
      <c r="F4893" s="7">
        <v>11446.18</v>
      </c>
      <c r="G4893">
        <v>0</v>
      </c>
      <c r="H4893" s="7">
        <v>0</v>
      </c>
    </row>
    <row r="4894" spans="1:8">
      <c r="A4894">
        <v>5</v>
      </c>
      <c r="B4894" t="s">
        <v>42</v>
      </c>
      <c r="C4894" t="s">
        <v>32</v>
      </c>
      <c r="D4894">
        <v>0</v>
      </c>
      <c r="E4894">
        <v>1</v>
      </c>
      <c r="F4894" s="7">
        <v>88.17</v>
      </c>
      <c r="G4894">
        <v>0</v>
      </c>
      <c r="H4894" s="7">
        <v>0</v>
      </c>
    </row>
    <row r="4895" spans="1:8">
      <c r="A4895">
        <v>5</v>
      </c>
      <c r="B4895" t="s">
        <v>44</v>
      </c>
      <c r="C4895" t="s">
        <v>34</v>
      </c>
      <c r="D4895">
        <v>0</v>
      </c>
      <c r="E4895">
        <v>1</v>
      </c>
      <c r="F4895" s="7">
        <v>74375.02</v>
      </c>
      <c r="G4895">
        <v>0</v>
      </c>
      <c r="H4895" s="7">
        <v>0</v>
      </c>
    </row>
    <row r="4896" spans="1:8">
      <c r="A4896">
        <v>5</v>
      </c>
      <c r="B4896" t="s">
        <v>42</v>
      </c>
      <c r="C4896" t="s">
        <v>33</v>
      </c>
      <c r="D4896">
        <v>0</v>
      </c>
      <c r="E4896">
        <v>1</v>
      </c>
      <c r="F4896" s="7">
        <v>1661.29</v>
      </c>
      <c r="G4896">
        <v>0</v>
      </c>
      <c r="H4896" s="7">
        <v>0</v>
      </c>
    </row>
    <row r="4897" spans="1:8">
      <c r="A4897">
        <v>5</v>
      </c>
      <c r="B4897" t="s">
        <v>42</v>
      </c>
      <c r="C4897" t="s">
        <v>34</v>
      </c>
      <c r="D4897">
        <v>0</v>
      </c>
      <c r="E4897">
        <v>1</v>
      </c>
      <c r="F4897" s="7">
        <v>25185.32</v>
      </c>
      <c r="G4897">
        <v>0</v>
      </c>
      <c r="H4897" s="7">
        <v>0</v>
      </c>
    </row>
    <row r="4898" spans="1:8">
      <c r="A4898">
        <v>5</v>
      </c>
      <c r="B4898" t="s">
        <v>42</v>
      </c>
      <c r="C4898" t="s">
        <v>33</v>
      </c>
      <c r="D4898">
        <v>0</v>
      </c>
      <c r="E4898">
        <v>1</v>
      </c>
      <c r="F4898" s="7">
        <v>4255.36</v>
      </c>
      <c r="G4898">
        <v>0</v>
      </c>
      <c r="H4898" s="7">
        <v>0</v>
      </c>
    </row>
    <row r="4899" spans="1:8">
      <c r="A4899">
        <v>5</v>
      </c>
      <c r="B4899" t="s">
        <v>44</v>
      </c>
      <c r="C4899" t="s">
        <v>35</v>
      </c>
      <c r="D4899">
        <v>0</v>
      </c>
      <c r="E4899">
        <v>1</v>
      </c>
      <c r="F4899" s="7">
        <v>139705.19</v>
      </c>
      <c r="G4899">
        <v>0</v>
      </c>
      <c r="H4899" s="7">
        <v>0</v>
      </c>
    </row>
    <row r="4900" spans="1:8">
      <c r="A4900">
        <v>5</v>
      </c>
      <c r="B4900" t="s">
        <v>42</v>
      </c>
      <c r="C4900" t="s">
        <v>33</v>
      </c>
      <c r="D4900">
        <v>0</v>
      </c>
      <c r="E4900">
        <v>1</v>
      </c>
      <c r="F4900" s="7">
        <v>7651.8</v>
      </c>
      <c r="G4900">
        <v>0</v>
      </c>
      <c r="H4900" s="7">
        <v>0</v>
      </c>
    </row>
    <row r="4901" spans="1:8">
      <c r="A4901">
        <v>5</v>
      </c>
      <c r="B4901" t="s">
        <v>42</v>
      </c>
      <c r="C4901" t="s">
        <v>32</v>
      </c>
      <c r="D4901">
        <v>0</v>
      </c>
      <c r="E4901">
        <v>1</v>
      </c>
      <c r="F4901" s="7">
        <v>267.92</v>
      </c>
      <c r="G4901">
        <v>0</v>
      </c>
      <c r="H4901" s="7">
        <v>0</v>
      </c>
    </row>
    <row r="4902" spans="1:8">
      <c r="A4902">
        <v>5</v>
      </c>
      <c r="B4902" t="s">
        <v>44</v>
      </c>
      <c r="C4902" t="s">
        <v>35</v>
      </c>
      <c r="D4902">
        <v>0</v>
      </c>
      <c r="E4902">
        <v>1</v>
      </c>
      <c r="F4902" s="7">
        <v>164935.63</v>
      </c>
      <c r="G4902">
        <v>0</v>
      </c>
      <c r="H4902" s="7">
        <v>0</v>
      </c>
    </row>
    <row r="4903" spans="1:8">
      <c r="A4903">
        <v>5</v>
      </c>
      <c r="B4903" t="s">
        <v>44</v>
      </c>
      <c r="C4903" t="s">
        <v>35</v>
      </c>
      <c r="D4903">
        <v>0</v>
      </c>
      <c r="E4903">
        <v>1</v>
      </c>
      <c r="F4903" s="7">
        <v>247480.23</v>
      </c>
      <c r="G4903">
        <v>0</v>
      </c>
      <c r="H4903" s="7">
        <v>0</v>
      </c>
    </row>
    <row r="4904" spans="1:8">
      <c r="A4904">
        <v>5</v>
      </c>
      <c r="B4904" t="s">
        <v>42</v>
      </c>
      <c r="C4904" t="s">
        <v>33</v>
      </c>
      <c r="D4904">
        <v>0</v>
      </c>
      <c r="E4904">
        <v>1</v>
      </c>
      <c r="F4904" s="7">
        <v>4927.23</v>
      </c>
      <c r="G4904">
        <v>0</v>
      </c>
      <c r="H4904" s="7">
        <v>0</v>
      </c>
    </row>
    <row r="4905" spans="1:8">
      <c r="A4905">
        <v>5</v>
      </c>
      <c r="B4905" t="s">
        <v>42</v>
      </c>
      <c r="C4905" t="s">
        <v>33</v>
      </c>
      <c r="D4905">
        <v>0</v>
      </c>
      <c r="E4905">
        <v>1</v>
      </c>
      <c r="F4905" s="7">
        <v>3864.48</v>
      </c>
      <c r="G4905">
        <v>0</v>
      </c>
      <c r="H4905" s="7">
        <v>0</v>
      </c>
    </row>
    <row r="4906" spans="1:8">
      <c r="A4906">
        <v>5</v>
      </c>
      <c r="B4906" t="s">
        <v>42</v>
      </c>
      <c r="C4906" t="s">
        <v>33</v>
      </c>
      <c r="D4906">
        <v>0</v>
      </c>
      <c r="E4906">
        <v>1</v>
      </c>
      <c r="F4906" s="7">
        <v>6579.48</v>
      </c>
      <c r="G4906">
        <v>0</v>
      </c>
      <c r="H4906" s="7">
        <v>0</v>
      </c>
    </row>
    <row r="4907" spans="1:8">
      <c r="A4907">
        <v>5</v>
      </c>
      <c r="B4907" t="s">
        <v>43</v>
      </c>
      <c r="C4907" t="s">
        <v>34</v>
      </c>
      <c r="D4907">
        <v>0</v>
      </c>
      <c r="E4907">
        <v>1</v>
      </c>
      <c r="F4907" s="7">
        <v>84466.1</v>
      </c>
      <c r="G4907">
        <v>0</v>
      </c>
      <c r="H4907" s="7">
        <v>0</v>
      </c>
    </row>
    <row r="4908" spans="1:8">
      <c r="A4908">
        <v>5</v>
      </c>
      <c r="B4908" t="s">
        <v>42</v>
      </c>
      <c r="C4908" t="s">
        <v>33</v>
      </c>
      <c r="D4908">
        <v>0</v>
      </c>
      <c r="E4908">
        <v>1</v>
      </c>
      <c r="F4908" s="7">
        <v>2927.68</v>
      </c>
      <c r="G4908">
        <v>0</v>
      </c>
      <c r="H4908" s="7">
        <v>0</v>
      </c>
    </row>
    <row r="4909" spans="1:8">
      <c r="A4909">
        <v>5</v>
      </c>
      <c r="B4909" t="s">
        <v>42</v>
      </c>
      <c r="C4909" t="s">
        <v>33</v>
      </c>
      <c r="D4909">
        <v>0</v>
      </c>
      <c r="E4909">
        <v>1</v>
      </c>
      <c r="F4909" s="7">
        <v>6484.32</v>
      </c>
      <c r="G4909">
        <v>0</v>
      </c>
      <c r="H4909" s="7">
        <v>0</v>
      </c>
    </row>
    <row r="4910" spans="1:8">
      <c r="A4910">
        <v>5</v>
      </c>
      <c r="B4910" t="s">
        <v>44</v>
      </c>
      <c r="C4910" t="s">
        <v>35</v>
      </c>
      <c r="D4910">
        <v>0</v>
      </c>
      <c r="E4910">
        <v>1</v>
      </c>
      <c r="F4910" s="7">
        <v>128823.03</v>
      </c>
      <c r="G4910">
        <v>0</v>
      </c>
      <c r="H4910" s="7">
        <v>0</v>
      </c>
    </row>
    <row r="4911" spans="1:8">
      <c r="A4911">
        <v>5</v>
      </c>
      <c r="B4911" t="s">
        <v>42</v>
      </c>
      <c r="C4911" t="s">
        <v>32</v>
      </c>
      <c r="D4911">
        <v>0</v>
      </c>
      <c r="E4911">
        <v>1</v>
      </c>
      <c r="F4911" s="7">
        <v>836.64</v>
      </c>
      <c r="G4911">
        <v>0</v>
      </c>
      <c r="H4911" s="7">
        <v>0</v>
      </c>
    </row>
    <row r="4912" spans="1:8">
      <c r="A4912">
        <v>5</v>
      </c>
      <c r="B4912" t="s">
        <v>46</v>
      </c>
      <c r="C4912" t="s">
        <v>35</v>
      </c>
      <c r="D4912">
        <v>0</v>
      </c>
      <c r="E4912">
        <v>1</v>
      </c>
      <c r="F4912" s="7">
        <v>348231.98</v>
      </c>
      <c r="G4912">
        <v>0</v>
      </c>
      <c r="H4912" s="7">
        <v>0</v>
      </c>
    </row>
    <row r="4913" spans="1:8">
      <c r="A4913">
        <v>5</v>
      </c>
      <c r="B4913" t="s">
        <v>42</v>
      </c>
      <c r="C4913" t="s">
        <v>33</v>
      </c>
      <c r="D4913">
        <v>0</v>
      </c>
      <c r="E4913">
        <v>1</v>
      </c>
      <c r="F4913" s="7">
        <v>1158.71</v>
      </c>
      <c r="G4913">
        <v>0</v>
      </c>
      <c r="H4913" s="7">
        <v>0</v>
      </c>
    </row>
    <row r="4914" spans="1:8">
      <c r="A4914">
        <v>5</v>
      </c>
      <c r="B4914" t="s">
        <v>46</v>
      </c>
      <c r="C4914" t="s">
        <v>35</v>
      </c>
      <c r="D4914">
        <v>0</v>
      </c>
      <c r="E4914">
        <v>1</v>
      </c>
      <c r="F4914" s="7">
        <v>746177.2</v>
      </c>
      <c r="G4914">
        <v>0</v>
      </c>
      <c r="H4914" s="7">
        <v>0</v>
      </c>
    </row>
    <row r="4915" spans="1:8">
      <c r="A4915">
        <v>5</v>
      </c>
      <c r="B4915" t="s">
        <v>46</v>
      </c>
      <c r="C4915" t="s">
        <v>35</v>
      </c>
      <c r="D4915">
        <v>0</v>
      </c>
      <c r="E4915">
        <v>1</v>
      </c>
      <c r="F4915" s="7">
        <v>225812.6</v>
      </c>
      <c r="G4915">
        <v>0</v>
      </c>
      <c r="H4915" s="7">
        <v>0</v>
      </c>
    </row>
    <row r="4916" spans="1:8">
      <c r="A4916">
        <v>5</v>
      </c>
      <c r="B4916" t="s">
        <v>46</v>
      </c>
      <c r="C4916" t="s">
        <v>35</v>
      </c>
      <c r="D4916">
        <v>0</v>
      </c>
      <c r="E4916">
        <v>1</v>
      </c>
      <c r="F4916" s="7">
        <v>171335.97</v>
      </c>
      <c r="G4916">
        <v>0</v>
      </c>
      <c r="H4916" s="7">
        <v>0</v>
      </c>
    </row>
    <row r="4917" spans="1:8">
      <c r="A4917">
        <v>5</v>
      </c>
      <c r="B4917" t="s">
        <v>46</v>
      </c>
      <c r="C4917" t="s">
        <v>35</v>
      </c>
      <c r="D4917">
        <v>0</v>
      </c>
      <c r="E4917">
        <v>1</v>
      </c>
      <c r="F4917" s="7">
        <v>260004.65</v>
      </c>
      <c r="G4917">
        <v>0</v>
      </c>
      <c r="H4917" s="7">
        <v>0</v>
      </c>
    </row>
    <row r="4918" spans="1:8">
      <c r="A4918">
        <v>5</v>
      </c>
      <c r="B4918" t="s">
        <v>46</v>
      </c>
      <c r="C4918" t="s">
        <v>35</v>
      </c>
      <c r="D4918">
        <v>0</v>
      </c>
      <c r="E4918">
        <v>1</v>
      </c>
      <c r="F4918" s="7">
        <v>122539.12</v>
      </c>
      <c r="G4918">
        <v>0</v>
      </c>
      <c r="H4918" s="7">
        <v>0</v>
      </c>
    </row>
    <row r="4919" spans="1:8">
      <c r="A4919">
        <v>5</v>
      </c>
      <c r="B4919" t="s">
        <v>46</v>
      </c>
      <c r="C4919" t="s">
        <v>35</v>
      </c>
      <c r="D4919">
        <v>0</v>
      </c>
      <c r="E4919">
        <v>1</v>
      </c>
      <c r="F4919" s="7">
        <v>217846.27</v>
      </c>
      <c r="G4919">
        <v>0</v>
      </c>
      <c r="H4919" s="7">
        <v>0</v>
      </c>
    </row>
    <row r="4920" spans="1:8">
      <c r="A4920">
        <v>5</v>
      </c>
      <c r="B4920" t="s">
        <v>46</v>
      </c>
      <c r="C4920" t="s">
        <v>35</v>
      </c>
      <c r="D4920">
        <v>0</v>
      </c>
      <c r="E4920">
        <v>1</v>
      </c>
      <c r="F4920" s="7">
        <v>596406.73</v>
      </c>
      <c r="G4920">
        <v>0</v>
      </c>
      <c r="H4920" s="7">
        <v>0</v>
      </c>
    </row>
    <row r="4921" spans="1:8">
      <c r="A4921">
        <v>5</v>
      </c>
      <c r="B4921" t="s">
        <v>46</v>
      </c>
      <c r="C4921" t="s">
        <v>35</v>
      </c>
      <c r="D4921">
        <v>0</v>
      </c>
      <c r="E4921">
        <v>1</v>
      </c>
      <c r="F4921" s="7">
        <v>673111.47</v>
      </c>
      <c r="G4921">
        <v>0</v>
      </c>
      <c r="H4921" s="7">
        <v>0</v>
      </c>
    </row>
    <row r="4922" spans="1:8">
      <c r="A4922">
        <v>5</v>
      </c>
      <c r="B4922" t="s">
        <v>46</v>
      </c>
      <c r="C4922" t="s">
        <v>35</v>
      </c>
      <c r="D4922">
        <v>0</v>
      </c>
      <c r="E4922">
        <v>1</v>
      </c>
      <c r="F4922" s="7">
        <v>298431.03</v>
      </c>
      <c r="G4922">
        <v>0</v>
      </c>
      <c r="H4922" s="7">
        <v>0</v>
      </c>
    </row>
    <row r="4923" spans="1:8">
      <c r="A4923">
        <v>5</v>
      </c>
      <c r="B4923" t="s">
        <v>46</v>
      </c>
      <c r="C4923" t="s">
        <v>34</v>
      </c>
      <c r="D4923">
        <v>0</v>
      </c>
      <c r="E4923">
        <v>1</v>
      </c>
      <c r="F4923" s="7">
        <v>39058.08</v>
      </c>
      <c r="G4923">
        <v>0</v>
      </c>
      <c r="H4923" s="7">
        <v>0</v>
      </c>
    </row>
    <row r="4924" spans="1:8">
      <c r="A4924">
        <v>5</v>
      </c>
      <c r="B4924" t="s">
        <v>46</v>
      </c>
      <c r="C4924" t="s">
        <v>35</v>
      </c>
      <c r="D4924">
        <v>0</v>
      </c>
      <c r="E4924">
        <v>1</v>
      </c>
      <c r="F4924" s="7">
        <v>106334.08</v>
      </c>
      <c r="G4924">
        <v>0</v>
      </c>
      <c r="H4924" s="7">
        <v>0</v>
      </c>
    </row>
    <row r="4925" spans="1:8">
      <c r="A4925">
        <v>5</v>
      </c>
      <c r="B4925" t="s">
        <v>46</v>
      </c>
      <c r="C4925" t="s">
        <v>35</v>
      </c>
      <c r="D4925">
        <v>0</v>
      </c>
      <c r="E4925">
        <v>1</v>
      </c>
      <c r="F4925" s="7">
        <v>354741.15</v>
      </c>
      <c r="G4925">
        <v>0</v>
      </c>
      <c r="H4925" s="7">
        <v>0</v>
      </c>
    </row>
    <row r="4926" spans="1:8">
      <c r="A4926">
        <v>5</v>
      </c>
      <c r="B4926" t="s">
        <v>46</v>
      </c>
      <c r="C4926" t="s">
        <v>35</v>
      </c>
      <c r="D4926">
        <v>0</v>
      </c>
      <c r="E4926">
        <v>1</v>
      </c>
      <c r="F4926" s="7">
        <v>223115.02</v>
      </c>
      <c r="G4926">
        <v>0</v>
      </c>
      <c r="H4926" s="7">
        <v>0</v>
      </c>
    </row>
    <row r="4927" spans="1:8">
      <c r="A4927">
        <v>5</v>
      </c>
      <c r="B4927" t="s">
        <v>46</v>
      </c>
      <c r="C4927" t="s">
        <v>34</v>
      </c>
      <c r="D4927">
        <v>0</v>
      </c>
      <c r="E4927">
        <v>1</v>
      </c>
      <c r="F4927" s="7">
        <v>63737.25</v>
      </c>
      <c r="G4927">
        <v>0</v>
      </c>
      <c r="H4927" s="7">
        <v>0</v>
      </c>
    </row>
    <row r="4928" spans="1:8">
      <c r="A4928">
        <v>5</v>
      </c>
      <c r="B4928" t="s">
        <v>46</v>
      </c>
      <c r="C4928" t="s">
        <v>34</v>
      </c>
      <c r="D4928">
        <v>0</v>
      </c>
      <c r="E4928">
        <v>1</v>
      </c>
      <c r="F4928" s="7">
        <v>84014.41</v>
      </c>
      <c r="G4928">
        <v>0</v>
      </c>
      <c r="H4928" s="7">
        <v>0</v>
      </c>
    </row>
    <row r="4929" spans="1:8">
      <c r="A4929">
        <v>5</v>
      </c>
      <c r="B4929" t="s">
        <v>46</v>
      </c>
      <c r="C4929" t="s">
        <v>35</v>
      </c>
      <c r="D4929">
        <v>0</v>
      </c>
      <c r="E4929">
        <v>1</v>
      </c>
      <c r="F4929" s="7">
        <v>178040.87</v>
      </c>
      <c r="G4929">
        <v>0</v>
      </c>
      <c r="H4929" s="7">
        <v>0</v>
      </c>
    </row>
    <row r="4930" spans="1:8">
      <c r="A4930">
        <v>5</v>
      </c>
      <c r="B4930" t="s">
        <v>46</v>
      </c>
      <c r="C4930" t="s">
        <v>35</v>
      </c>
      <c r="D4930">
        <v>0</v>
      </c>
      <c r="E4930">
        <v>1</v>
      </c>
      <c r="F4930" s="7">
        <v>334503.92</v>
      </c>
      <c r="G4930">
        <v>0</v>
      </c>
      <c r="H4930" s="7">
        <v>0</v>
      </c>
    </row>
    <row r="4931" spans="1:8">
      <c r="A4931">
        <v>5</v>
      </c>
      <c r="B4931" t="s">
        <v>46</v>
      </c>
      <c r="C4931" t="s">
        <v>34</v>
      </c>
      <c r="D4931">
        <v>0</v>
      </c>
      <c r="E4931">
        <v>1</v>
      </c>
      <c r="F4931" s="7">
        <v>75978.27</v>
      </c>
      <c r="G4931">
        <v>0</v>
      </c>
      <c r="H4931" s="7">
        <v>0</v>
      </c>
    </row>
    <row r="4932" spans="1:8">
      <c r="A4932">
        <v>5</v>
      </c>
      <c r="B4932" t="s">
        <v>46</v>
      </c>
      <c r="C4932" t="s">
        <v>35</v>
      </c>
      <c r="D4932">
        <v>0</v>
      </c>
      <c r="E4932">
        <v>1</v>
      </c>
      <c r="F4932" s="7">
        <v>396286.33</v>
      </c>
      <c r="G4932">
        <v>0</v>
      </c>
      <c r="H4932" s="7">
        <v>0</v>
      </c>
    </row>
    <row r="4933" spans="1:8">
      <c r="A4933">
        <v>5</v>
      </c>
      <c r="B4933" t="s">
        <v>46</v>
      </c>
      <c r="C4933" t="s">
        <v>34</v>
      </c>
      <c r="D4933">
        <v>0</v>
      </c>
      <c r="E4933">
        <v>1</v>
      </c>
      <c r="F4933" s="7">
        <v>82914.35</v>
      </c>
      <c r="G4933">
        <v>0</v>
      </c>
      <c r="H4933" s="7">
        <v>0</v>
      </c>
    </row>
    <row r="4934" spans="1:8">
      <c r="A4934">
        <v>5</v>
      </c>
      <c r="B4934" t="s">
        <v>46</v>
      </c>
      <c r="C4934" t="s">
        <v>34</v>
      </c>
      <c r="D4934">
        <v>0</v>
      </c>
      <c r="E4934">
        <v>1</v>
      </c>
      <c r="F4934" s="7">
        <v>83707.76</v>
      </c>
      <c r="G4934">
        <v>0</v>
      </c>
      <c r="H4934" s="7">
        <v>0</v>
      </c>
    </row>
    <row r="4935" spans="1:8">
      <c r="A4935">
        <v>5</v>
      </c>
      <c r="B4935" t="s">
        <v>46</v>
      </c>
      <c r="C4935" t="s">
        <v>34</v>
      </c>
      <c r="D4935">
        <v>0</v>
      </c>
      <c r="E4935">
        <v>1</v>
      </c>
      <c r="F4935" s="7">
        <v>17431.43</v>
      </c>
      <c r="G4935">
        <v>0</v>
      </c>
      <c r="H4935" s="7">
        <v>0</v>
      </c>
    </row>
    <row r="4936" spans="1:8">
      <c r="A4936">
        <v>5</v>
      </c>
      <c r="B4936" t="s">
        <v>46</v>
      </c>
      <c r="C4936" t="s">
        <v>34</v>
      </c>
      <c r="D4936">
        <v>0</v>
      </c>
      <c r="E4936">
        <v>1</v>
      </c>
      <c r="F4936" s="7">
        <v>76579.67</v>
      </c>
      <c r="G4936">
        <v>0</v>
      </c>
      <c r="H4936" s="7">
        <v>0</v>
      </c>
    </row>
    <row r="4937" spans="1:8">
      <c r="A4937">
        <v>5</v>
      </c>
      <c r="B4937" t="s">
        <v>46</v>
      </c>
      <c r="C4937" t="s">
        <v>35</v>
      </c>
      <c r="D4937">
        <v>0</v>
      </c>
      <c r="E4937">
        <v>1</v>
      </c>
      <c r="F4937" s="7">
        <v>197165.91</v>
      </c>
      <c r="G4937">
        <v>0</v>
      </c>
      <c r="H4937" s="7">
        <v>0</v>
      </c>
    </row>
    <row r="4938" spans="1:8">
      <c r="A4938">
        <v>5</v>
      </c>
      <c r="B4938" t="s">
        <v>46</v>
      </c>
      <c r="C4938" t="s">
        <v>33</v>
      </c>
      <c r="D4938">
        <v>0</v>
      </c>
      <c r="E4938">
        <v>1</v>
      </c>
      <c r="F4938" s="7">
        <v>5159.29</v>
      </c>
      <c r="G4938">
        <v>0</v>
      </c>
      <c r="H4938" s="7">
        <v>0</v>
      </c>
    </row>
    <row r="4939" spans="1:8">
      <c r="A4939">
        <v>5</v>
      </c>
      <c r="B4939" t="s">
        <v>46</v>
      </c>
      <c r="C4939" t="s">
        <v>34</v>
      </c>
      <c r="D4939">
        <v>0</v>
      </c>
      <c r="E4939">
        <v>1</v>
      </c>
      <c r="F4939" s="7">
        <v>40210.51</v>
      </c>
      <c r="G4939">
        <v>0</v>
      </c>
      <c r="H4939" s="7">
        <v>0</v>
      </c>
    </row>
    <row r="4940" spans="1:8">
      <c r="A4940">
        <v>5</v>
      </c>
      <c r="B4940" t="s">
        <v>46</v>
      </c>
      <c r="C4940" t="s">
        <v>35</v>
      </c>
      <c r="D4940">
        <v>0</v>
      </c>
      <c r="E4940">
        <v>1</v>
      </c>
      <c r="F4940" s="7">
        <v>158367.85</v>
      </c>
      <c r="G4940">
        <v>0</v>
      </c>
      <c r="H4940" s="7">
        <v>0</v>
      </c>
    </row>
    <row r="4941" spans="1:8">
      <c r="A4941">
        <v>5</v>
      </c>
      <c r="B4941" t="s">
        <v>46</v>
      </c>
      <c r="C4941" t="s">
        <v>34</v>
      </c>
      <c r="D4941">
        <v>0</v>
      </c>
      <c r="E4941">
        <v>1</v>
      </c>
      <c r="F4941" s="7">
        <v>81886.69</v>
      </c>
      <c r="G4941">
        <v>0</v>
      </c>
      <c r="H4941" s="7">
        <v>0</v>
      </c>
    </row>
    <row r="4942" spans="1:8">
      <c r="A4942">
        <v>5</v>
      </c>
      <c r="B4942" t="s">
        <v>46</v>
      </c>
      <c r="C4942" t="s">
        <v>35</v>
      </c>
      <c r="D4942">
        <v>0</v>
      </c>
      <c r="E4942">
        <v>1</v>
      </c>
      <c r="F4942" s="7">
        <v>176095.63</v>
      </c>
      <c r="G4942">
        <v>0</v>
      </c>
      <c r="H4942" s="7">
        <v>0</v>
      </c>
    </row>
    <row r="4943" spans="1:8">
      <c r="A4943">
        <v>5</v>
      </c>
      <c r="B4943" t="s">
        <v>46</v>
      </c>
      <c r="C4943" t="s">
        <v>35</v>
      </c>
      <c r="D4943">
        <v>0</v>
      </c>
      <c r="E4943">
        <v>1</v>
      </c>
      <c r="F4943" s="7">
        <v>258127.75</v>
      </c>
      <c r="G4943">
        <v>0</v>
      </c>
      <c r="H4943" s="7">
        <v>0</v>
      </c>
    </row>
    <row r="4944" spans="1:8">
      <c r="A4944">
        <v>5</v>
      </c>
      <c r="B4944" t="s">
        <v>46</v>
      </c>
      <c r="C4944" t="s">
        <v>35</v>
      </c>
      <c r="D4944">
        <v>0</v>
      </c>
      <c r="E4944">
        <v>1</v>
      </c>
      <c r="F4944" s="7">
        <v>378866.85</v>
      </c>
      <c r="G4944">
        <v>0</v>
      </c>
      <c r="H4944" s="7">
        <v>0</v>
      </c>
    </row>
    <row r="4945" spans="1:8">
      <c r="A4945">
        <v>5</v>
      </c>
      <c r="B4945" t="s">
        <v>46</v>
      </c>
      <c r="C4945" t="s">
        <v>35</v>
      </c>
      <c r="D4945">
        <v>0</v>
      </c>
      <c r="E4945">
        <v>1</v>
      </c>
      <c r="F4945" s="7">
        <v>281300.4</v>
      </c>
      <c r="G4945">
        <v>0</v>
      </c>
      <c r="H4945" s="7">
        <v>0</v>
      </c>
    </row>
    <row r="4946" spans="1:8">
      <c r="A4946">
        <v>5</v>
      </c>
      <c r="B4946" t="s">
        <v>46</v>
      </c>
      <c r="C4946" t="s">
        <v>34</v>
      </c>
      <c r="D4946">
        <v>0</v>
      </c>
      <c r="E4946">
        <v>1</v>
      </c>
      <c r="F4946" s="7">
        <v>16427.61</v>
      </c>
      <c r="G4946">
        <v>0</v>
      </c>
      <c r="H4946" s="7">
        <v>0</v>
      </c>
    </row>
    <row r="4947" spans="1:8">
      <c r="A4947">
        <v>5</v>
      </c>
      <c r="B4947" t="s">
        <v>46</v>
      </c>
      <c r="C4947" t="s">
        <v>35</v>
      </c>
      <c r="D4947">
        <v>0</v>
      </c>
      <c r="E4947">
        <v>1</v>
      </c>
      <c r="F4947" s="7">
        <v>157301.05</v>
      </c>
      <c r="G4947">
        <v>0</v>
      </c>
      <c r="H4947" s="7">
        <v>0</v>
      </c>
    </row>
    <row r="4948" spans="1:8">
      <c r="A4948">
        <v>5</v>
      </c>
      <c r="B4948" t="s">
        <v>46</v>
      </c>
      <c r="C4948" t="s">
        <v>35</v>
      </c>
      <c r="D4948">
        <v>0</v>
      </c>
      <c r="E4948">
        <v>1</v>
      </c>
      <c r="F4948" s="7">
        <v>644028.87</v>
      </c>
      <c r="G4948">
        <v>0</v>
      </c>
      <c r="H4948" s="7">
        <v>0</v>
      </c>
    </row>
    <row r="4949" spans="1:8">
      <c r="A4949">
        <v>5</v>
      </c>
      <c r="B4949" t="s">
        <v>46</v>
      </c>
      <c r="C4949" t="s">
        <v>35</v>
      </c>
      <c r="D4949">
        <v>0</v>
      </c>
      <c r="E4949">
        <v>1</v>
      </c>
      <c r="F4949" s="7">
        <v>375306.09</v>
      </c>
      <c r="G4949">
        <v>0</v>
      </c>
      <c r="H4949" s="7">
        <v>0</v>
      </c>
    </row>
    <row r="4950" spans="1:8">
      <c r="A4950">
        <v>5</v>
      </c>
      <c r="B4950" t="s">
        <v>46</v>
      </c>
      <c r="C4950" t="s">
        <v>34</v>
      </c>
      <c r="D4950">
        <v>0</v>
      </c>
      <c r="E4950">
        <v>1</v>
      </c>
      <c r="F4950" s="7">
        <v>44538.32</v>
      </c>
      <c r="G4950">
        <v>0</v>
      </c>
      <c r="H4950" s="7">
        <v>0</v>
      </c>
    </row>
    <row r="4951" spans="1:8">
      <c r="A4951">
        <v>5</v>
      </c>
      <c r="B4951" t="s">
        <v>46</v>
      </c>
      <c r="C4951" t="s">
        <v>35</v>
      </c>
      <c r="D4951">
        <v>0</v>
      </c>
      <c r="E4951">
        <v>1</v>
      </c>
      <c r="F4951" s="7">
        <v>119336.24</v>
      </c>
      <c r="G4951">
        <v>0</v>
      </c>
      <c r="H4951" s="7">
        <v>0</v>
      </c>
    </row>
    <row r="4952" spans="1:8">
      <c r="A4952">
        <v>5</v>
      </c>
      <c r="B4952" t="s">
        <v>46</v>
      </c>
      <c r="C4952" t="s">
        <v>35</v>
      </c>
      <c r="D4952">
        <v>0</v>
      </c>
      <c r="E4952">
        <v>1</v>
      </c>
      <c r="F4952" s="7">
        <v>255710.36</v>
      </c>
      <c r="G4952">
        <v>0</v>
      </c>
      <c r="H4952" s="7">
        <v>0</v>
      </c>
    </row>
    <row r="4953" spans="1:8">
      <c r="A4953">
        <v>5</v>
      </c>
      <c r="B4953" t="s">
        <v>46</v>
      </c>
      <c r="C4953" t="s">
        <v>34</v>
      </c>
      <c r="D4953">
        <v>0</v>
      </c>
      <c r="E4953">
        <v>1</v>
      </c>
      <c r="F4953" s="7">
        <v>94588.1</v>
      </c>
      <c r="G4953">
        <v>0</v>
      </c>
      <c r="H4953" s="7">
        <v>0</v>
      </c>
    </row>
    <row r="4954" spans="1:8">
      <c r="A4954">
        <v>5</v>
      </c>
      <c r="B4954" t="s">
        <v>46</v>
      </c>
      <c r="C4954" t="s">
        <v>35</v>
      </c>
      <c r="D4954">
        <v>0</v>
      </c>
      <c r="E4954">
        <v>1</v>
      </c>
      <c r="F4954" s="7">
        <v>231917.45</v>
      </c>
      <c r="G4954">
        <v>0</v>
      </c>
      <c r="H4954" s="7">
        <v>0</v>
      </c>
    </row>
    <row r="4955" spans="1:8">
      <c r="A4955">
        <v>5</v>
      </c>
      <c r="B4955" t="s">
        <v>46</v>
      </c>
      <c r="C4955" t="s">
        <v>34</v>
      </c>
      <c r="D4955">
        <v>0</v>
      </c>
      <c r="E4955">
        <v>1</v>
      </c>
      <c r="F4955" s="7">
        <v>84189.52</v>
      </c>
      <c r="G4955">
        <v>0</v>
      </c>
      <c r="H4955" s="7">
        <v>0</v>
      </c>
    </row>
    <row r="4956" spans="1:8">
      <c r="A4956">
        <v>5</v>
      </c>
      <c r="B4956" t="s">
        <v>46</v>
      </c>
      <c r="C4956" t="s">
        <v>34</v>
      </c>
      <c r="D4956">
        <v>0</v>
      </c>
      <c r="E4956">
        <v>1</v>
      </c>
      <c r="F4956" s="7">
        <v>49251.21</v>
      </c>
      <c r="G4956">
        <v>0</v>
      </c>
      <c r="H4956" s="7">
        <v>0</v>
      </c>
    </row>
    <row r="4957" spans="1:8">
      <c r="A4957">
        <v>5</v>
      </c>
      <c r="B4957" t="s">
        <v>46</v>
      </c>
      <c r="C4957" t="s">
        <v>35</v>
      </c>
      <c r="D4957">
        <v>0</v>
      </c>
      <c r="E4957">
        <v>1</v>
      </c>
      <c r="F4957" s="7">
        <v>257208.23</v>
      </c>
      <c r="G4957">
        <v>0</v>
      </c>
      <c r="H4957" s="7">
        <v>0</v>
      </c>
    </row>
    <row r="4958" spans="1:8">
      <c r="A4958">
        <v>5</v>
      </c>
      <c r="B4958" t="s">
        <v>46</v>
      </c>
      <c r="C4958" t="s">
        <v>34</v>
      </c>
      <c r="D4958">
        <v>0</v>
      </c>
      <c r="E4958">
        <v>1</v>
      </c>
      <c r="F4958" s="7">
        <v>20337.14</v>
      </c>
      <c r="G4958">
        <v>0</v>
      </c>
      <c r="H4958" s="7">
        <v>0</v>
      </c>
    </row>
    <row r="4959" spans="1:8">
      <c r="A4959">
        <v>5</v>
      </c>
      <c r="B4959" t="s">
        <v>46</v>
      </c>
      <c r="C4959" t="s">
        <v>34</v>
      </c>
      <c r="D4959">
        <v>0</v>
      </c>
      <c r="E4959">
        <v>1</v>
      </c>
      <c r="F4959" s="7">
        <v>74948.39</v>
      </c>
      <c r="G4959">
        <v>0</v>
      </c>
      <c r="H4959" s="7">
        <v>0</v>
      </c>
    </row>
    <row r="4960" spans="1:8">
      <c r="A4960">
        <v>5</v>
      </c>
      <c r="B4960" t="s">
        <v>46</v>
      </c>
      <c r="C4960" t="s">
        <v>35</v>
      </c>
      <c r="D4960">
        <v>0</v>
      </c>
      <c r="E4960">
        <v>1</v>
      </c>
      <c r="F4960" s="7">
        <v>243756.18</v>
      </c>
      <c r="G4960">
        <v>0</v>
      </c>
      <c r="H4960" s="7">
        <v>0</v>
      </c>
    </row>
    <row r="4961" spans="1:8">
      <c r="A4961">
        <v>5</v>
      </c>
      <c r="B4961" t="s">
        <v>46</v>
      </c>
      <c r="C4961" t="s">
        <v>34</v>
      </c>
      <c r="D4961">
        <v>0</v>
      </c>
      <c r="E4961">
        <v>1</v>
      </c>
      <c r="F4961" s="7">
        <v>21391.13</v>
      </c>
      <c r="G4961">
        <v>0</v>
      </c>
      <c r="H4961" s="7">
        <v>0</v>
      </c>
    </row>
    <row r="4962" spans="1:8">
      <c r="A4962">
        <v>5</v>
      </c>
      <c r="B4962" t="s">
        <v>46</v>
      </c>
      <c r="C4962" t="s">
        <v>34</v>
      </c>
      <c r="D4962">
        <v>0</v>
      </c>
      <c r="E4962">
        <v>1</v>
      </c>
      <c r="F4962" s="7">
        <v>31416.69</v>
      </c>
      <c r="G4962">
        <v>0</v>
      </c>
      <c r="H4962" s="7">
        <v>0</v>
      </c>
    </row>
    <row r="4963" spans="1:8">
      <c r="A4963">
        <v>5</v>
      </c>
      <c r="B4963" t="s">
        <v>46</v>
      </c>
      <c r="C4963" t="s">
        <v>35</v>
      </c>
      <c r="D4963">
        <v>0</v>
      </c>
      <c r="E4963">
        <v>1</v>
      </c>
      <c r="F4963" s="7">
        <v>123951.78</v>
      </c>
      <c r="G4963">
        <v>0</v>
      </c>
      <c r="H4963" s="7">
        <v>0</v>
      </c>
    </row>
    <row r="4964" spans="1:8">
      <c r="A4964">
        <v>5</v>
      </c>
      <c r="B4964" t="s">
        <v>46</v>
      </c>
      <c r="C4964" t="s">
        <v>34</v>
      </c>
      <c r="D4964">
        <v>0</v>
      </c>
      <c r="E4964">
        <v>1</v>
      </c>
      <c r="F4964" s="7">
        <v>67056.65</v>
      </c>
      <c r="G4964">
        <v>0</v>
      </c>
      <c r="H4964" s="7">
        <v>0</v>
      </c>
    </row>
    <row r="4965" spans="1:8">
      <c r="A4965">
        <v>5</v>
      </c>
      <c r="B4965" t="s">
        <v>46</v>
      </c>
      <c r="C4965" t="s">
        <v>34</v>
      </c>
      <c r="D4965">
        <v>0</v>
      </c>
      <c r="E4965">
        <v>1</v>
      </c>
      <c r="F4965" s="7">
        <v>20410.45</v>
      </c>
      <c r="G4965">
        <v>0</v>
      </c>
      <c r="H4965" s="7">
        <v>0</v>
      </c>
    </row>
    <row r="4966" spans="1:8">
      <c r="A4966">
        <v>5</v>
      </c>
      <c r="B4966" t="s">
        <v>46</v>
      </c>
      <c r="C4966" t="s">
        <v>34</v>
      </c>
      <c r="D4966">
        <v>0</v>
      </c>
      <c r="E4966">
        <v>1</v>
      </c>
      <c r="F4966" s="7">
        <v>29351.64</v>
      </c>
      <c r="G4966">
        <v>0</v>
      </c>
      <c r="H4966" s="7">
        <v>0</v>
      </c>
    </row>
    <row r="4967" spans="1:8">
      <c r="A4967">
        <v>5</v>
      </c>
      <c r="B4967" t="s">
        <v>46</v>
      </c>
      <c r="C4967" t="s">
        <v>34</v>
      </c>
      <c r="D4967">
        <v>0</v>
      </c>
      <c r="E4967">
        <v>1</v>
      </c>
      <c r="F4967" s="7">
        <v>58431.85</v>
      </c>
      <c r="G4967">
        <v>0</v>
      </c>
      <c r="H4967" s="7">
        <v>0</v>
      </c>
    </row>
    <row r="4968" spans="1:8">
      <c r="A4968">
        <v>5</v>
      </c>
      <c r="B4968" t="s">
        <v>46</v>
      </c>
      <c r="C4968" t="s">
        <v>35</v>
      </c>
      <c r="D4968">
        <v>0</v>
      </c>
      <c r="E4968">
        <v>1</v>
      </c>
      <c r="F4968" s="7">
        <v>182501.56</v>
      </c>
      <c r="G4968">
        <v>0</v>
      </c>
      <c r="H4968" s="7">
        <v>0</v>
      </c>
    </row>
    <row r="4969" spans="1:8">
      <c r="A4969">
        <v>5</v>
      </c>
      <c r="B4969" t="s">
        <v>46</v>
      </c>
      <c r="C4969" t="s">
        <v>34</v>
      </c>
      <c r="D4969">
        <v>0</v>
      </c>
      <c r="E4969">
        <v>1</v>
      </c>
      <c r="F4969" s="7">
        <v>17101.74</v>
      </c>
      <c r="G4969">
        <v>0</v>
      </c>
      <c r="H4969" s="7">
        <v>0</v>
      </c>
    </row>
    <row r="4970" spans="1:8">
      <c r="A4970">
        <v>5</v>
      </c>
      <c r="B4970" t="s">
        <v>46</v>
      </c>
      <c r="C4970" t="s">
        <v>34</v>
      </c>
      <c r="D4970">
        <v>0</v>
      </c>
      <c r="E4970">
        <v>1</v>
      </c>
      <c r="F4970" s="7">
        <v>24248.86</v>
      </c>
      <c r="G4970">
        <v>0</v>
      </c>
      <c r="H4970" s="7">
        <v>0</v>
      </c>
    </row>
    <row r="4971" spans="1:8">
      <c r="A4971">
        <v>5</v>
      </c>
      <c r="B4971" t="s">
        <v>46</v>
      </c>
      <c r="C4971" t="s">
        <v>35</v>
      </c>
      <c r="D4971">
        <v>0</v>
      </c>
      <c r="E4971">
        <v>1</v>
      </c>
      <c r="F4971" s="7">
        <v>585796.59</v>
      </c>
      <c r="G4971">
        <v>0</v>
      </c>
      <c r="H4971" s="7">
        <v>0</v>
      </c>
    </row>
    <row r="4972" spans="1:8">
      <c r="A4972">
        <v>5</v>
      </c>
      <c r="B4972" t="s">
        <v>46</v>
      </c>
      <c r="C4972" t="s">
        <v>34</v>
      </c>
      <c r="D4972">
        <v>0</v>
      </c>
      <c r="E4972">
        <v>1</v>
      </c>
      <c r="F4972" s="7">
        <v>12163.38</v>
      </c>
      <c r="G4972">
        <v>0</v>
      </c>
      <c r="H4972" s="7">
        <v>0</v>
      </c>
    </row>
    <row r="4973" spans="1:8">
      <c r="A4973">
        <v>5</v>
      </c>
      <c r="B4973" t="s">
        <v>46</v>
      </c>
      <c r="C4973" t="s">
        <v>35</v>
      </c>
      <c r="D4973">
        <v>0</v>
      </c>
      <c r="E4973">
        <v>1</v>
      </c>
      <c r="F4973" s="7">
        <v>208834.32</v>
      </c>
      <c r="G4973">
        <v>0</v>
      </c>
      <c r="H4973" s="7">
        <v>0</v>
      </c>
    </row>
    <row r="4974" spans="1:8">
      <c r="A4974">
        <v>5</v>
      </c>
      <c r="B4974" t="s">
        <v>46</v>
      </c>
      <c r="C4974" t="s">
        <v>35</v>
      </c>
      <c r="D4974">
        <v>0</v>
      </c>
      <c r="E4974">
        <v>1</v>
      </c>
      <c r="F4974" s="7">
        <v>360262.92</v>
      </c>
      <c r="G4974">
        <v>0</v>
      </c>
      <c r="H4974" s="7">
        <v>0</v>
      </c>
    </row>
    <row r="4975" spans="1:8">
      <c r="A4975">
        <v>5</v>
      </c>
      <c r="B4975" t="s">
        <v>46</v>
      </c>
      <c r="C4975" t="s">
        <v>35</v>
      </c>
      <c r="D4975">
        <v>0</v>
      </c>
      <c r="E4975">
        <v>1</v>
      </c>
      <c r="F4975" s="7">
        <v>129630.74</v>
      </c>
      <c r="G4975">
        <v>0</v>
      </c>
      <c r="H4975" s="7">
        <v>0</v>
      </c>
    </row>
    <row r="4976" spans="1:8">
      <c r="A4976">
        <v>5</v>
      </c>
      <c r="B4976" t="s">
        <v>46</v>
      </c>
      <c r="C4976" t="s">
        <v>35</v>
      </c>
      <c r="D4976">
        <v>0</v>
      </c>
      <c r="E4976">
        <v>1</v>
      </c>
      <c r="F4976" s="7">
        <v>130078.54</v>
      </c>
      <c r="G4976">
        <v>0</v>
      </c>
      <c r="H4976" s="7">
        <v>0</v>
      </c>
    </row>
    <row r="4977" spans="1:8">
      <c r="A4977">
        <v>5</v>
      </c>
      <c r="B4977" t="s">
        <v>46</v>
      </c>
      <c r="C4977" t="s">
        <v>35</v>
      </c>
      <c r="D4977">
        <v>0</v>
      </c>
      <c r="E4977">
        <v>1</v>
      </c>
      <c r="F4977" s="7">
        <v>125558.59</v>
      </c>
      <c r="G4977">
        <v>0</v>
      </c>
      <c r="H4977" s="7">
        <v>0</v>
      </c>
    </row>
    <row r="4978" spans="1:8">
      <c r="A4978">
        <v>5</v>
      </c>
      <c r="B4978" t="s">
        <v>46</v>
      </c>
      <c r="C4978" t="s">
        <v>35</v>
      </c>
      <c r="D4978">
        <v>0</v>
      </c>
      <c r="E4978">
        <v>1</v>
      </c>
      <c r="F4978" s="7">
        <v>357885.34</v>
      </c>
      <c r="G4978">
        <v>0</v>
      </c>
      <c r="H4978" s="7">
        <v>0</v>
      </c>
    </row>
    <row r="4979" spans="1:8">
      <c r="A4979">
        <v>5</v>
      </c>
      <c r="B4979" t="s">
        <v>46</v>
      </c>
      <c r="C4979" t="s">
        <v>35</v>
      </c>
      <c r="D4979">
        <v>0</v>
      </c>
      <c r="E4979">
        <v>1</v>
      </c>
      <c r="F4979" s="7">
        <v>281196.15</v>
      </c>
      <c r="G4979">
        <v>0</v>
      </c>
      <c r="H4979" s="7">
        <v>0</v>
      </c>
    </row>
    <row r="4980" spans="1:8">
      <c r="A4980">
        <v>5</v>
      </c>
      <c r="B4980" t="s">
        <v>46</v>
      </c>
      <c r="C4980" t="s">
        <v>34</v>
      </c>
      <c r="D4980">
        <v>0</v>
      </c>
      <c r="E4980">
        <v>1</v>
      </c>
      <c r="F4980" s="7">
        <v>59784.87</v>
      </c>
      <c r="G4980">
        <v>0</v>
      </c>
      <c r="H4980" s="7">
        <v>0</v>
      </c>
    </row>
    <row r="4981" spans="1:8">
      <c r="A4981">
        <v>5</v>
      </c>
      <c r="B4981" t="s">
        <v>46</v>
      </c>
      <c r="C4981" t="s">
        <v>35</v>
      </c>
      <c r="D4981">
        <v>0</v>
      </c>
      <c r="E4981">
        <v>1</v>
      </c>
      <c r="F4981" s="7">
        <v>181240.21</v>
      </c>
      <c r="G4981">
        <v>0</v>
      </c>
      <c r="H4981" s="7">
        <v>0</v>
      </c>
    </row>
    <row r="4982" spans="1:8">
      <c r="A4982">
        <v>5</v>
      </c>
      <c r="B4982" t="s">
        <v>46</v>
      </c>
      <c r="C4982" t="s">
        <v>35</v>
      </c>
      <c r="D4982">
        <v>0</v>
      </c>
      <c r="E4982">
        <v>1</v>
      </c>
      <c r="F4982" s="7">
        <v>140216.68</v>
      </c>
      <c r="G4982">
        <v>0</v>
      </c>
      <c r="H4982" s="7">
        <v>0</v>
      </c>
    </row>
    <row r="4983" spans="1:8">
      <c r="A4983">
        <v>5</v>
      </c>
      <c r="B4983" t="s">
        <v>46</v>
      </c>
      <c r="C4983" t="s">
        <v>34</v>
      </c>
      <c r="D4983">
        <v>0</v>
      </c>
      <c r="E4983">
        <v>1</v>
      </c>
      <c r="F4983" s="7">
        <v>81126.42</v>
      </c>
      <c r="G4983">
        <v>0</v>
      </c>
      <c r="H4983" s="7">
        <v>0</v>
      </c>
    </row>
    <row r="4984" spans="1:8">
      <c r="A4984">
        <v>5</v>
      </c>
      <c r="B4984" t="s">
        <v>42</v>
      </c>
      <c r="C4984" t="s">
        <v>32</v>
      </c>
      <c r="D4984">
        <v>0</v>
      </c>
      <c r="E4984">
        <v>1</v>
      </c>
      <c r="F4984" s="7">
        <v>718.51</v>
      </c>
      <c r="G4984">
        <v>0</v>
      </c>
      <c r="H4984" s="7">
        <v>0</v>
      </c>
    </row>
    <row r="4985" spans="1:8">
      <c r="A4985">
        <v>5</v>
      </c>
      <c r="B4985" t="s">
        <v>46</v>
      </c>
      <c r="C4985" t="s">
        <v>35</v>
      </c>
      <c r="D4985">
        <v>0</v>
      </c>
      <c r="E4985">
        <v>1</v>
      </c>
      <c r="F4985" s="7">
        <v>861582.21</v>
      </c>
      <c r="G4985">
        <v>0</v>
      </c>
      <c r="H4985" s="7">
        <v>0</v>
      </c>
    </row>
    <row r="4986" spans="1:8">
      <c r="A4986">
        <v>5</v>
      </c>
      <c r="B4986" t="s">
        <v>46</v>
      </c>
      <c r="C4986" t="s">
        <v>35</v>
      </c>
      <c r="D4986">
        <v>0</v>
      </c>
      <c r="E4986">
        <v>1</v>
      </c>
      <c r="F4986" s="7">
        <v>185257.33</v>
      </c>
      <c r="G4986">
        <v>0</v>
      </c>
      <c r="H4986" s="7">
        <v>0</v>
      </c>
    </row>
    <row r="4987" spans="1:8">
      <c r="A4987">
        <v>5</v>
      </c>
      <c r="B4987" t="s">
        <v>46</v>
      </c>
      <c r="C4987" t="s">
        <v>35</v>
      </c>
      <c r="D4987">
        <v>0</v>
      </c>
      <c r="E4987">
        <v>1</v>
      </c>
      <c r="F4987" s="7">
        <v>250891.95</v>
      </c>
      <c r="G4987">
        <v>0</v>
      </c>
      <c r="H4987" s="7">
        <v>0</v>
      </c>
    </row>
    <row r="4988" spans="1:8">
      <c r="A4988">
        <v>5</v>
      </c>
      <c r="B4988" t="s">
        <v>46</v>
      </c>
      <c r="C4988" t="s">
        <v>35</v>
      </c>
      <c r="D4988">
        <v>0</v>
      </c>
      <c r="E4988">
        <v>1</v>
      </c>
      <c r="F4988" s="7">
        <v>119072.9</v>
      </c>
      <c r="G4988">
        <v>0</v>
      </c>
      <c r="H4988" s="7">
        <v>0</v>
      </c>
    </row>
    <row r="4989" spans="1:8">
      <c r="A4989">
        <v>5</v>
      </c>
      <c r="B4989" t="s">
        <v>46</v>
      </c>
      <c r="C4989" t="s">
        <v>35</v>
      </c>
      <c r="D4989">
        <v>0</v>
      </c>
      <c r="E4989">
        <v>1</v>
      </c>
      <c r="F4989" s="7">
        <v>101055.18</v>
      </c>
      <c r="G4989">
        <v>0</v>
      </c>
      <c r="H4989" s="7">
        <v>0</v>
      </c>
    </row>
    <row r="4990" spans="1:8">
      <c r="A4990">
        <v>5</v>
      </c>
      <c r="B4990" t="s">
        <v>46</v>
      </c>
      <c r="C4990" t="s">
        <v>35</v>
      </c>
      <c r="D4990">
        <v>0</v>
      </c>
      <c r="E4990">
        <v>1</v>
      </c>
      <c r="F4990" s="7">
        <v>128336.28</v>
      </c>
      <c r="G4990">
        <v>0</v>
      </c>
      <c r="H4990" s="7">
        <v>0</v>
      </c>
    </row>
    <row r="4991" spans="1:8">
      <c r="A4991">
        <v>5</v>
      </c>
      <c r="B4991" t="s">
        <v>46</v>
      </c>
      <c r="C4991" t="s">
        <v>34</v>
      </c>
      <c r="D4991">
        <v>0</v>
      </c>
      <c r="E4991">
        <v>1</v>
      </c>
      <c r="F4991" s="7">
        <v>71887</v>
      </c>
      <c r="G4991">
        <v>0</v>
      </c>
      <c r="H4991" s="7">
        <v>0</v>
      </c>
    </row>
    <row r="4992" spans="1:8">
      <c r="A4992">
        <v>5</v>
      </c>
      <c r="B4992" t="s">
        <v>46</v>
      </c>
      <c r="C4992" t="s">
        <v>35</v>
      </c>
      <c r="D4992">
        <v>0</v>
      </c>
      <c r="E4992">
        <v>1</v>
      </c>
      <c r="F4992" s="7">
        <v>366645.12</v>
      </c>
      <c r="G4992">
        <v>0</v>
      </c>
      <c r="H4992" s="7">
        <v>0</v>
      </c>
    </row>
    <row r="4993" spans="1:8">
      <c r="A4993">
        <v>5</v>
      </c>
      <c r="B4993" t="s">
        <v>46</v>
      </c>
      <c r="C4993" t="s">
        <v>35</v>
      </c>
      <c r="D4993">
        <v>0</v>
      </c>
      <c r="E4993">
        <v>1</v>
      </c>
      <c r="F4993" s="7">
        <v>281593.55</v>
      </c>
      <c r="G4993">
        <v>0</v>
      </c>
      <c r="H4993" s="7">
        <v>0</v>
      </c>
    </row>
    <row r="4994" spans="1:8">
      <c r="A4994">
        <v>5</v>
      </c>
      <c r="B4994" t="s">
        <v>46</v>
      </c>
      <c r="C4994" t="s">
        <v>35</v>
      </c>
      <c r="D4994">
        <v>0</v>
      </c>
      <c r="E4994">
        <v>1</v>
      </c>
      <c r="F4994" s="7">
        <v>145475.51</v>
      </c>
      <c r="G4994">
        <v>0</v>
      </c>
      <c r="H4994" s="7">
        <v>0</v>
      </c>
    </row>
    <row r="4995" spans="1:8">
      <c r="A4995">
        <v>5</v>
      </c>
      <c r="B4995" t="s">
        <v>46</v>
      </c>
      <c r="C4995" t="s">
        <v>35</v>
      </c>
      <c r="D4995">
        <v>0</v>
      </c>
      <c r="E4995">
        <v>1</v>
      </c>
      <c r="F4995" s="7">
        <v>380950.81</v>
      </c>
      <c r="G4995">
        <v>0</v>
      </c>
      <c r="H4995" s="7">
        <v>0</v>
      </c>
    </row>
    <row r="4996" spans="1:8">
      <c r="A4996">
        <v>5</v>
      </c>
      <c r="B4996" t="s">
        <v>46</v>
      </c>
      <c r="C4996" t="s">
        <v>35</v>
      </c>
      <c r="D4996">
        <v>0</v>
      </c>
      <c r="E4996">
        <v>1</v>
      </c>
      <c r="F4996" s="7">
        <v>566903.96</v>
      </c>
      <c r="G4996">
        <v>0</v>
      </c>
      <c r="H4996" s="7">
        <v>0</v>
      </c>
    </row>
    <row r="4997" spans="1:8">
      <c r="A4997">
        <v>5</v>
      </c>
      <c r="B4997" t="s">
        <v>46</v>
      </c>
      <c r="C4997" t="s">
        <v>35</v>
      </c>
      <c r="D4997">
        <v>0</v>
      </c>
      <c r="E4997">
        <v>1</v>
      </c>
      <c r="F4997" s="7">
        <v>201464.96</v>
      </c>
      <c r="G4997">
        <v>0</v>
      </c>
      <c r="H4997" s="7">
        <v>0</v>
      </c>
    </row>
    <row r="4998" spans="1:8">
      <c r="A4998">
        <v>5</v>
      </c>
      <c r="B4998" t="s">
        <v>46</v>
      </c>
      <c r="C4998" t="s">
        <v>34</v>
      </c>
      <c r="D4998">
        <v>0</v>
      </c>
      <c r="E4998">
        <v>1</v>
      </c>
      <c r="F4998" s="7">
        <v>16593.82</v>
      </c>
      <c r="G4998">
        <v>0</v>
      </c>
      <c r="H4998" s="7">
        <v>0</v>
      </c>
    </row>
    <row r="4999" spans="1:8">
      <c r="A4999">
        <v>5</v>
      </c>
      <c r="B4999" t="s">
        <v>46</v>
      </c>
      <c r="C4999" t="s">
        <v>34</v>
      </c>
      <c r="D4999">
        <v>0</v>
      </c>
      <c r="E4999">
        <v>1</v>
      </c>
      <c r="F4999" s="7">
        <v>78588.13</v>
      </c>
      <c r="G4999">
        <v>0</v>
      </c>
      <c r="H4999" s="7">
        <v>0</v>
      </c>
    </row>
    <row r="5000" spans="1:8">
      <c r="A5000">
        <v>5</v>
      </c>
      <c r="B5000" t="s">
        <v>46</v>
      </c>
      <c r="C5000" t="s">
        <v>35</v>
      </c>
      <c r="D5000">
        <v>0</v>
      </c>
      <c r="E5000">
        <v>1</v>
      </c>
      <c r="F5000" s="7">
        <v>185680.98</v>
      </c>
      <c r="G5000">
        <v>0</v>
      </c>
      <c r="H5000" s="7">
        <v>0</v>
      </c>
    </row>
    <row r="5001" spans="1:8">
      <c r="A5001">
        <v>5</v>
      </c>
      <c r="B5001" t="s">
        <v>46</v>
      </c>
      <c r="C5001" t="s">
        <v>34</v>
      </c>
      <c r="D5001">
        <v>0</v>
      </c>
      <c r="E5001">
        <v>1</v>
      </c>
      <c r="F5001" s="7">
        <v>67017.13</v>
      </c>
      <c r="G5001">
        <v>0</v>
      </c>
      <c r="H5001" s="7">
        <v>0</v>
      </c>
    </row>
    <row r="5002" spans="1:8">
      <c r="A5002">
        <v>5</v>
      </c>
      <c r="B5002" t="s">
        <v>46</v>
      </c>
      <c r="C5002" t="s">
        <v>35</v>
      </c>
      <c r="D5002">
        <v>0</v>
      </c>
      <c r="E5002">
        <v>1</v>
      </c>
      <c r="F5002" s="7">
        <v>122744.28</v>
      </c>
      <c r="G5002">
        <v>0</v>
      </c>
      <c r="H5002" s="7">
        <v>0</v>
      </c>
    </row>
    <row r="5003" spans="1:8">
      <c r="A5003">
        <v>5</v>
      </c>
      <c r="B5003" t="s">
        <v>46</v>
      </c>
      <c r="C5003" t="s">
        <v>35</v>
      </c>
      <c r="D5003">
        <v>0</v>
      </c>
      <c r="E5003">
        <v>1</v>
      </c>
      <c r="F5003" s="7">
        <v>414729.24</v>
      </c>
      <c r="G5003">
        <v>0</v>
      </c>
      <c r="H5003" s="7">
        <v>0</v>
      </c>
    </row>
    <row r="5004" spans="1:8">
      <c r="A5004">
        <v>5</v>
      </c>
      <c r="B5004" t="s">
        <v>46</v>
      </c>
      <c r="C5004" t="s">
        <v>35</v>
      </c>
      <c r="D5004">
        <v>0</v>
      </c>
      <c r="E5004">
        <v>1</v>
      </c>
      <c r="F5004" s="7">
        <v>328776.1</v>
      </c>
      <c r="G5004">
        <v>0</v>
      </c>
      <c r="H5004" s="7">
        <v>0</v>
      </c>
    </row>
    <row r="5005" spans="1:8">
      <c r="A5005">
        <v>5</v>
      </c>
      <c r="B5005" t="s">
        <v>46</v>
      </c>
      <c r="C5005" t="s">
        <v>34</v>
      </c>
      <c r="D5005">
        <v>0</v>
      </c>
      <c r="E5005">
        <v>1</v>
      </c>
      <c r="F5005" s="7">
        <v>50535.87</v>
      </c>
      <c r="G5005">
        <v>0</v>
      </c>
      <c r="H5005" s="7">
        <v>0</v>
      </c>
    </row>
    <row r="5006" spans="1:8">
      <c r="A5006">
        <v>5</v>
      </c>
      <c r="B5006" t="s">
        <v>46</v>
      </c>
      <c r="C5006" t="s">
        <v>34</v>
      </c>
      <c r="D5006">
        <v>0</v>
      </c>
      <c r="E5006">
        <v>1</v>
      </c>
      <c r="F5006" s="7">
        <v>10870.95</v>
      </c>
      <c r="G5006">
        <v>0</v>
      </c>
      <c r="H5006" s="7">
        <v>0</v>
      </c>
    </row>
    <row r="5007" spans="1:8">
      <c r="A5007">
        <v>5</v>
      </c>
      <c r="B5007" t="s">
        <v>46</v>
      </c>
      <c r="C5007" t="s">
        <v>34</v>
      </c>
      <c r="D5007">
        <v>0</v>
      </c>
      <c r="E5007">
        <v>1</v>
      </c>
      <c r="F5007" s="7">
        <v>44694.86</v>
      </c>
      <c r="G5007">
        <v>0</v>
      </c>
      <c r="H5007" s="7">
        <v>0</v>
      </c>
    </row>
    <row r="5008" spans="1:8">
      <c r="A5008">
        <v>5</v>
      </c>
      <c r="B5008" t="s">
        <v>46</v>
      </c>
      <c r="C5008" t="s">
        <v>35</v>
      </c>
      <c r="D5008">
        <v>0</v>
      </c>
      <c r="E5008">
        <v>1</v>
      </c>
      <c r="F5008" s="7">
        <v>208812.28</v>
      </c>
      <c r="G5008">
        <v>0</v>
      </c>
      <c r="H5008" s="7">
        <v>0</v>
      </c>
    </row>
    <row r="5009" spans="1:8">
      <c r="A5009">
        <v>5</v>
      </c>
      <c r="B5009" t="s">
        <v>46</v>
      </c>
      <c r="C5009" t="s">
        <v>35</v>
      </c>
      <c r="D5009">
        <v>0</v>
      </c>
      <c r="E5009">
        <v>1</v>
      </c>
      <c r="F5009" s="7">
        <v>146193.7</v>
      </c>
      <c r="G5009">
        <v>0</v>
      </c>
      <c r="H5009" s="7">
        <v>0</v>
      </c>
    </row>
    <row r="5010" spans="1:8">
      <c r="A5010">
        <v>5</v>
      </c>
      <c r="B5010" t="s">
        <v>46</v>
      </c>
      <c r="C5010" t="s">
        <v>35</v>
      </c>
      <c r="D5010">
        <v>0</v>
      </c>
      <c r="E5010">
        <v>1</v>
      </c>
      <c r="F5010" s="7">
        <v>201261.11</v>
      </c>
      <c r="G5010">
        <v>0</v>
      </c>
      <c r="H5010" s="7">
        <v>0</v>
      </c>
    </row>
    <row r="5011" spans="1:8">
      <c r="A5011">
        <v>5</v>
      </c>
      <c r="B5011" t="s">
        <v>46</v>
      </c>
      <c r="C5011" t="s">
        <v>35</v>
      </c>
      <c r="D5011">
        <v>0</v>
      </c>
      <c r="E5011">
        <v>1</v>
      </c>
      <c r="F5011" s="7">
        <v>132745.75</v>
      </c>
      <c r="G5011">
        <v>0</v>
      </c>
      <c r="H5011" s="7">
        <v>0</v>
      </c>
    </row>
    <row r="5012" spans="1:8">
      <c r="A5012">
        <v>5</v>
      </c>
      <c r="B5012" t="s">
        <v>46</v>
      </c>
      <c r="C5012" t="s">
        <v>35</v>
      </c>
      <c r="D5012">
        <v>0</v>
      </c>
      <c r="E5012">
        <v>1</v>
      </c>
      <c r="F5012" s="7">
        <v>102749.59</v>
      </c>
      <c r="G5012">
        <v>0</v>
      </c>
      <c r="H5012" s="7">
        <v>0</v>
      </c>
    </row>
    <row r="5013" spans="1:8">
      <c r="A5013">
        <v>5</v>
      </c>
      <c r="B5013" t="s">
        <v>46</v>
      </c>
      <c r="C5013" t="s">
        <v>35</v>
      </c>
      <c r="D5013">
        <v>0</v>
      </c>
      <c r="E5013">
        <v>1</v>
      </c>
      <c r="F5013" s="7">
        <v>425052.43</v>
      </c>
      <c r="G5013">
        <v>0</v>
      </c>
      <c r="H5013" s="7">
        <v>0</v>
      </c>
    </row>
    <row r="5014" spans="1:8">
      <c r="A5014">
        <v>5</v>
      </c>
      <c r="B5014" t="s">
        <v>46</v>
      </c>
      <c r="C5014" t="s">
        <v>35</v>
      </c>
      <c r="D5014">
        <v>0</v>
      </c>
      <c r="E5014">
        <v>1</v>
      </c>
      <c r="F5014" s="7">
        <v>133038.81</v>
      </c>
      <c r="G5014">
        <v>0</v>
      </c>
      <c r="H5014" s="7">
        <v>0</v>
      </c>
    </row>
    <row r="5015" spans="1:8">
      <c r="A5015">
        <v>5</v>
      </c>
      <c r="B5015" t="s">
        <v>46</v>
      </c>
      <c r="C5015" t="s">
        <v>34</v>
      </c>
      <c r="D5015">
        <v>0</v>
      </c>
      <c r="E5015">
        <v>1</v>
      </c>
      <c r="F5015" s="7">
        <v>44347.45</v>
      </c>
      <c r="G5015">
        <v>0</v>
      </c>
      <c r="H5015" s="7">
        <v>0</v>
      </c>
    </row>
    <row r="5016" spans="1:8">
      <c r="A5016">
        <v>5</v>
      </c>
      <c r="B5016" t="s">
        <v>46</v>
      </c>
      <c r="C5016" t="s">
        <v>35</v>
      </c>
      <c r="D5016">
        <v>0</v>
      </c>
      <c r="E5016">
        <v>1</v>
      </c>
      <c r="F5016" s="7">
        <v>542616.63</v>
      </c>
      <c r="G5016">
        <v>0</v>
      </c>
      <c r="H5016" s="7">
        <v>0</v>
      </c>
    </row>
    <row r="5017" spans="1:8">
      <c r="A5017">
        <v>5</v>
      </c>
      <c r="B5017" t="s">
        <v>46</v>
      </c>
      <c r="C5017" t="s">
        <v>35</v>
      </c>
      <c r="D5017">
        <v>0</v>
      </c>
      <c r="E5017">
        <v>1</v>
      </c>
      <c r="F5017" s="7">
        <v>178230.41</v>
      </c>
      <c r="G5017">
        <v>0</v>
      </c>
      <c r="H5017" s="7">
        <v>0</v>
      </c>
    </row>
    <row r="5018" spans="1:8">
      <c r="A5018">
        <v>5</v>
      </c>
      <c r="B5018" t="s">
        <v>46</v>
      </c>
      <c r="C5018" t="s">
        <v>35</v>
      </c>
      <c r="D5018">
        <v>0</v>
      </c>
      <c r="E5018">
        <v>1</v>
      </c>
      <c r="F5018" s="7">
        <v>138641.99</v>
      </c>
      <c r="G5018">
        <v>0</v>
      </c>
      <c r="H5018" s="7">
        <v>0</v>
      </c>
    </row>
    <row r="5019" spans="1:8">
      <c r="A5019">
        <v>5</v>
      </c>
      <c r="B5019" t="s">
        <v>46</v>
      </c>
      <c r="C5019" t="s">
        <v>34</v>
      </c>
      <c r="D5019">
        <v>0</v>
      </c>
      <c r="E5019">
        <v>1</v>
      </c>
      <c r="F5019" s="7">
        <v>61663.75</v>
      </c>
      <c r="G5019">
        <v>0</v>
      </c>
      <c r="H5019" s="7">
        <v>0</v>
      </c>
    </row>
    <row r="5020" spans="1:8">
      <c r="A5020">
        <v>5</v>
      </c>
      <c r="B5020" t="s">
        <v>42</v>
      </c>
      <c r="C5020" t="s">
        <v>33</v>
      </c>
      <c r="D5020">
        <v>0</v>
      </c>
      <c r="E5020">
        <v>1</v>
      </c>
      <c r="F5020" s="7">
        <v>5922.53</v>
      </c>
      <c r="G5020">
        <v>0</v>
      </c>
      <c r="H5020" s="7">
        <v>0</v>
      </c>
    </row>
    <row r="5021" spans="1:8">
      <c r="A5021">
        <v>5</v>
      </c>
      <c r="B5021" t="s">
        <v>42</v>
      </c>
      <c r="C5021" t="s">
        <v>33</v>
      </c>
      <c r="D5021">
        <v>0</v>
      </c>
      <c r="E5021">
        <v>1</v>
      </c>
      <c r="F5021" s="7">
        <v>3046.6</v>
      </c>
      <c r="G5021">
        <v>0</v>
      </c>
      <c r="H5021" s="7">
        <v>0</v>
      </c>
    </row>
    <row r="5022" spans="1:8">
      <c r="A5022">
        <v>5</v>
      </c>
      <c r="B5022" t="s">
        <v>42</v>
      </c>
      <c r="C5022" t="s">
        <v>33</v>
      </c>
      <c r="D5022">
        <v>0</v>
      </c>
      <c r="E5022">
        <v>1</v>
      </c>
      <c r="F5022" s="7">
        <v>4158.31</v>
      </c>
      <c r="G5022">
        <v>0</v>
      </c>
      <c r="H5022" s="7">
        <v>0</v>
      </c>
    </row>
    <row r="5023" spans="1:8">
      <c r="A5023">
        <v>5</v>
      </c>
      <c r="B5023" t="s">
        <v>42</v>
      </c>
      <c r="C5023" t="s">
        <v>33</v>
      </c>
      <c r="D5023">
        <v>0</v>
      </c>
      <c r="E5023">
        <v>1</v>
      </c>
      <c r="F5023" s="7">
        <v>4372.99</v>
      </c>
      <c r="G5023">
        <v>0</v>
      </c>
      <c r="H5023" s="7">
        <v>0</v>
      </c>
    </row>
    <row r="5024" spans="1:8">
      <c r="A5024">
        <v>5</v>
      </c>
      <c r="B5024" t="s">
        <v>42</v>
      </c>
      <c r="C5024" t="s">
        <v>33</v>
      </c>
      <c r="D5024">
        <v>0</v>
      </c>
      <c r="E5024">
        <v>1</v>
      </c>
      <c r="F5024" s="7">
        <v>6448.84</v>
      </c>
      <c r="G5024">
        <v>0</v>
      </c>
      <c r="H5024" s="7">
        <v>0</v>
      </c>
    </row>
    <row r="5025" spans="1:8">
      <c r="A5025">
        <v>5</v>
      </c>
      <c r="B5025" t="s">
        <v>42</v>
      </c>
      <c r="C5025" t="s">
        <v>32</v>
      </c>
      <c r="D5025">
        <v>0</v>
      </c>
      <c r="E5025">
        <v>1</v>
      </c>
      <c r="F5025" s="7">
        <v>72.23</v>
      </c>
      <c r="G5025">
        <v>0</v>
      </c>
      <c r="H5025" s="7">
        <v>0</v>
      </c>
    </row>
    <row r="5026" spans="1:8">
      <c r="A5026">
        <v>5</v>
      </c>
      <c r="B5026" t="s">
        <v>42</v>
      </c>
      <c r="C5026" t="s">
        <v>33</v>
      </c>
      <c r="D5026">
        <v>0</v>
      </c>
      <c r="E5026">
        <v>1</v>
      </c>
      <c r="F5026" s="7">
        <v>2168.82</v>
      </c>
      <c r="G5026">
        <v>0</v>
      </c>
      <c r="H5026" s="7">
        <v>0</v>
      </c>
    </row>
    <row r="5027" spans="1:8">
      <c r="A5027">
        <v>5</v>
      </c>
      <c r="B5027" t="s">
        <v>42</v>
      </c>
      <c r="C5027" t="s">
        <v>33</v>
      </c>
      <c r="D5027">
        <v>0</v>
      </c>
      <c r="E5027">
        <v>1</v>
      </c>
      <c r="F5027" s="7">
        <v>2593.74</v>
      </c>
      <c r="G5027">
        <v>0</v>
      </c>
      <c r="H5027" s="7">
        <v>0</v>
      </c>
    </row>
    <row r="5028" spans="1:8">
      <c r="A5028">
        <v>5</v>
      </c>
      <c r="B5028" t="s">
        <v>42</v>
      </c>
      <c r="C5028" t="s">
        <v>33</v>
      </c>
      <c r="D5028">
        <v>0</v>
      </c>
      <c r="E5028">
        <v>1</v>
      </c>
      <c r="F5028" s="7">
        <v>4216.05</v>
      </c>
      <c r="G5028">
        <v>0</v>
      </c>
      <c r="H5028" s="7">
        <v>0</v>
      </c>
    </row>
    <row r="5029" spans="1:8">
      <c r="A5029">
        <v>5</v>
      </c>
      <c r="B5029" t="s">
        <v>42</v>
      </c>
      <c r="C5029" t="s">
        <v>33</v>
      </c>
      <c r="D5029">
        <v>0</v>
      </c>
      <c r="E5029">
        <v>1</v>
      </c>
      <c r="F5029" s="7">
        <v>6736.13</v>
      </c>
      <c r="G5029">
        <v>0</v>
      </c>
      <c r="H5029" s="7">
        <v>0</v>
      </c>
    </row>
    <row r="5030" spans="1:8">
      <c r="A5030">
        <v>5</v>
      </c>
      <c r="B5030" t="s">
        <v>42</v>
      </c>
      <c r="C5030" t="s">
        <v>33</v>
      </c>
      <c r="D5030">
        <v>0</v>
      </c>
      <c r="E5030">
        <v>1</v>
      </c>
      <c r="F5030" s="7">
        <v>4295.28</v>
      </c>
      <c r="G5030">
        <v>0</v>
      </c>
      <c r="H5030" s="7">
        <v>0</v>
      </c>
    </row>
    <row r="5031" spans="1:8">
      <c r="A5031">
        <v>5</v>
      </c>
      <c r="B5031" t="s">
        <v>42</v>
      </c>
      <c r="C5031" t="s">
        <v>34</v>
      </c>
      <c r="D5031">
        <v>0</v>
      </c>
      <c r="E5031">
        <v>1</v>
      </c>
      <c r="F5031" s="7">
        <v>15192.75</v>
      </c>
      <c r="G5031">
        <v>0</v>
      </c>
      <c r="H5031" s="7">
        <v>0</v>
      </c>
    </row>
    <row r="5032" spans="1:8">
      <c r="A5032">
        <v>5</v>
      </c>
      <c r="B5032" t="s">
        <v>42</v>
      </c>
      <c r="C5032" t="s">
        <v>33</v>
      </c>
      <c r="D5032">
        <v>0</v>
      </c>
      <c r="E5032">
        <v>1</v>
      </c>
      <c r="F5032" s="7">
        <v>2043.8</v>
      </c>
      <c r="G5032">
        <v>0</v>
      </c>
      <c r="H5032" s="7">
        <v>0</v>
      </c>
    </row>
    <row r="5033" spans="1:8">
      <c r="A5033">
        <v>5</v>
      </c>
      <c r="B5033" t="s">
        <v>42</v>
      </c>
      <c r="C5033" t="s">
        <v>33</v>
      </c>
      <c r="D5033">
        <v>0</v>
      </c>
      <c r="E5033">
        <v>1</v>
      </c>
      <c r="F5033" s="7">
        <v>3320.35</v>
      </c>
      <c r="G5033">
        <v>0</v>
      </c>
      <c r="H5033" s="7">
        <v>0</v>
      </c>
    </row>
    <row r="5034" spans="1:8">
      <c r="A5034">
        <v>5</v>
      </c>
      <c r="B5034" t="s">
        <v>42</v>
      </c>
      <c r="C5034" t="s">
        <v>34</v>
      </c>
      <c r="D5034">
        <v>0</v>
      </c>
      <c r="E5034">
        <v>1</v>
      </c>
      <c r="F5034" s="7">
        <v>26074.81</v>
      </c>
      <c r="G5034">
        <v>0</v>
      </c>
      <c r="H5034" s="7">
        <v>0</v>
      </c>
    </row>
    <row r="5035" spans="1:8">
      <c r="A5035">
        <v>5</v>
      </c>
      <c r="B5035" t="s">
        <v>42</v>
      </c>
      <c r="C5035" t="s">
        <v>34</v>
      </c>
      <c r="D5035">
        <v>0</v>
      </c>
      <c r="E5035">
        <v>1</v>
      </c>
      <c r="F5035" s="7">
        <v>10381.46</v>
      </c>
      <c r="G5035">
        <v>0</v>
      </c>
      <c r="H5035" s="7">
        <v>0</v>
      </c>
    </row>
    <row r="5036" spans="1:8">
      <c r="A5036">
        <v>5</v>
      </c>
      <c r="B5036" t="s">
        <v>42</v>
      </c>
      <c r="C5036" t="s">
        <v>33</v>
      </c>
      <c r="D5036">
        <v>0</v>
      </c>
      <c r="E5036">
        <v>1</v>
      </c>
      <c r="F5036" s="7">
        <v>2271.07</v>
      </c>
      <c r="G5036">
        <v>0</v>
      </c>
      <c r="H5036" s="7">
        <v>0</v>
      </c>
    </row>
    <row r="5037" spans="1:8">
      <c r="A5037">
        <v>5</v>
      </c>
      <c r="B5037" t="s">
        <v>42</v>
      </c>
      <c r="C5037" t="s">
        <v>34</v>
      </c>
      <c r="D5037">
        <v>0</v>
      </c>
      <c r="E5037">
        <v>1</v>
      </c>
      <c r="F5037" s="7">
        <v>17315.71</v>
      </c>
      <c r="G5037">
        <v>0</v>
      </c>
      <c r="H5037" s="7">
        <v>0</v>
      </c>
    </row>
    <row r="5038" spans="1:8">
      <c r="A5038">
        <v>5</v>
      </c>
      <c r="B5038" t="s">
        <v>42</v>
      </c>
      <c r="C5038" t="s">
        <v>33</v>
      </c>
      <c r="D5038">
        <v>0</v>
      </c>
      <c r="E5038">
        <v>1</v>
      </c>
      <c r="F5038" s="7">
        <v>1307.41</v>
      </c>
      <c r="G5038">
        <v>0</v>
      </c>
      <c r="H5038" s="7">
        <v>0</v>
      </c>
    </row>
    <row r="5039" spans="1:8">
      <c r="A5039">
        <v>5</v>
      </c>
      <c r="B5039" t="s">
        <v>42</v>
      </c>
      <c r="C5039" t="s">
        <v>33</v>
      </c>
      <c r="D5039">
        <v>0</v>
      </c>
      <c r="E5039">
        <v>1</v>
      </c>
      <c r="F5039" s="7">
        <v>6279.22</v>
      </c>
      <c r="G5039">
        <v>0</v>
      </c>
      <c r="H5039" s="7">
        <v>0</v>
      </c>
    </row>
    <row r="5040" spans="1:8">
      <c r="A5040">
        <v>5</v>
      </c>
      <c r="B5040" t="s">
        <v>42</v>
      </c>
      <c r="C5040" t="s">
        <v>34</v>
      </c>
      <c r="D5040">
        <v>0</v>
      </c>
      <c r="E5040">
        <v>1</v>
      </c>
      <c r="F5040" s="7">
        <v>25360.86</v>
      </c>
      <c r="G5040">
        <v>0</v>
      </c>
      <c r="H5040" s="7">
        <v>0</v>
      </c>
    </row>
    <row r="5041" spans="1:8">
      <c r="A5041">
        <v>5</v>
      </c>
      <c r="B5041" t="s">
        <v>42</v>
      </c>
      <c r="C5041" t="s">
        <v>33</v>
      </c>
      <c r="D5041">
        <v>0</v>
      </c>
      <c r="E5041">
        <v>1</v>
      </c>
      <c r="F5041" s="7">
        <v>8392.42</v>
      </c>
      <c r="G5041">
        <v>0</v>
      </c>
      <c r="H5041" s="7">
        <v>0</v>
      </c>
    </row>
    <row r="5042" spans="1:8">
      <c r="A5042">
        <v>5</v>
      </c>
      <c r="B5042" t="s">
        <v>42</v>
      </c>
      <c r="C5042" t="s">
        <v>33</v>
      </c>
      <c r="D5042">
        <v>0</v>
      </c>
      <c r="E5042">
        <v>1</v>
      </c>
      <c r="F5042" s="7">
        <v>3042.06</v>
      </c>
      <c r="G5042">
        <v>0</v>
      </c>
      <c r="H5042" s="7">
        <v>0</v>
      </c>
    </row>
    <row r="5043" spans="1:8">
      <c r="A5043">
        <v>5</v>
      </c>
      <c r="B5043" t="s">
        <v>42</v>
      </c>
      <c r="C5043" t="s">
        <v>34</v>
      </c>
      <c r="D5043">
        <v>0</v>
      </c>
      <c r="E5043">
        <v>1</v>
      </c>
      <c r="F5043" s="7">
        <v>14144.91</v>
      </c>
      <c r="G5043">
        <v>0</v>
      </c>
      <c r="H5043" s="7">
        <v>0</v>
      </c>
    </row>
    <row r="5044" spans="1:8">
      <c r="A5044">
        <v>5</v>
      </c>
      <c r="B5044" t="s">
        <v>42</v>
      </c>
      <c r="C5044" t="s">
        <v>34</v>
      </c>
      <c r="D5044">
        <v>0</v>
      </c>
      <c r="E5044">
        <v>1</v>
      </c>
      <c r="F5044" s="7">
        <v>11089.05</v>
      </c>
      <c r="G5044">
        <v>0</v>
      </c>
      <c r="H5044" s="7">
        <v>0</v>
      </c>
    </row>
    <row r="5045" spans="1:8">
      <c r="A5045">
        <v>5</v>
      </c>
      <c r="B5045" t="s">
        <v>42</v>
      </c>
      <c r="C5045" t="s">
        <v>33</v>
      </c>
      <c r="D5045">
        <v>0</v>
      </c>
      <c r="E5045">
        <v>1</v>
      </c>
      <c r="F5045" s="7">
        <v>2519.75</v>
      </c>
      <c r="G5045">
        <v>0</v>
      </c>
      <c r="H5045" s="7">
        <v>0</v>
      </c>
    </row>
    <row r="5046" spans="1:8">
      <c r="A5046">
        <v>5</v>
      </c>
      <c r="B5046" t="s">
        <v>42</v>
      </c>
      <c r="C5046" t="s">
        <v>33</v>
      </c>
      <c r="D5046">
        <v>0</v>
      </c>
      <c r="E5046">
        <v>1</v>
      </c>
      <c r="F5046" s="7">
        <v>4516.48</v>
      </c>
      <c r="G5046">
        <v>0</v>
      </c>
      <c r="H5046" s="7">
        <v>0</v>
      </c>
    </row>
    <row r="5047" spans="1:8">
      <c r="A5047">
        <v>5</v>
      </c>
      <c r="B5047" t="s">
        <v>42</v>
      </c>
      <c r="C5047" t="s">
        <v>33</v>
      </c>
      <c r="D5047">
        <v>0</v>
      </c>
      <c r="E5047">
        <v>1</v>
      </c>
      <c r="F5047" s="7">
        <v>2964.64</v>
      </c>
      <c r="G5047">
        <v>0</v>
      </c>
      <c r="H5047" s="7">
        <v>0</v>
      </c>
    </row>
    <row r="5048" spans="1:8">
      <c r="A5048">
        <v>5</v>
      </c>
      <c r="B5048" t="s">
        <v>45</v>
      </c>
      <c r="C5048" t="s">
        <v>33</v>
      </c>
      <c r="D5048">
        <v>0</v>
      </c>
      <c r="E5048">
        <v>1</v>
      </c>
      <c r="F5048" s="7">
        <v>2357.56</v>
      </c>
      <c r="G5048">
        <v>0</v>
      </c>
      <c r="H5048" s="7">
        <v>0</v>
      </c>
    </row>
    <row r="5049" spans="1:8">
      <c r="A5049">
        <v>5</v>
      </c>
      <c r="B5049" t="s">
        <v>43</v>
      </c>
      <c r="C5049" t="s">
        <v>34</v>
      </c>
      <c r="D5049">
        <v>0</v>
      </c>
      <c r="E5049">
        <v>1</v>
      </c>
      <c r="F5049" s="7">
        <v>29352.63</v>
      </c>
      <c r="G5049">
        <v>0</v>
      </c>
      <c r="H5049" s="7">
        <v>0</v>
      </c>
    </row>
    <row r="5050" spans="1:8">
      <c r="A5050">
        <v>5</v>
      </c>
      <c r="B5050" t="s">
        <v>44</v>
      </c>
      <c r="C5050" t="s">
        <v>34</v>
      </c>
      <c r="D5050">
        <v>0</v>
      </c>
      <c r="E5050">
        <v>1</v>
      </c>
      <c r="F5050" s="7">
        <v>84024.67</v>
      </c>
      <c r="G5050">
        <v>0</v>
      </c>
      <c r="H5050" s="7">
        <v>0</v>
      </c>
    </row>
    <row r="5051" spans="1:8">
      <c r="A5051">
        <v>5</v>
      </c>
      <c r="B5051" t="s">
        <v>45</v>
      </c>
      <c r="C5051" t="s">
        <v>33</v>
      </c>
      <c r="D5051">
        <v>0</v>
      </c>
      <c r="E5051">
        <v>1</v>
      </c>
      <c r="F5051" s="7">
        <v>2746.99</v>
      </c>
      <c r="G5051">
        <v>0</v>
      </c>
      <c r="H5051" s="7">
        <v>0</v>
      </c>
    </row>
    <row r="5052" spans="1:8">
      <c r="A5052">
        <v>5</v>
      </c>
      <c r="B5052" t="s">
        <v>45</v>
      </c>
      <c r="C5052" t="s">
        <v>33</v>
      </c>
      <c r="D5052">
        <v>0</v>
      </c>
      <c r="E5052">
        <v>1</v>
      </c>
      <c r="F5052" s="7">
        <v>1382.4</v>
      </c>
      <c r="G5052">
        <v>0</v>
      </c>
      <c r="H5052" s="7">
        <v>0</v>
      </c>
    </row>
    <row r="5053" spans="1:8">
      <c r="A5053">
        <v>5</v>
      </c>
      <c r="B5053" t="s">
        <v>42</v>
      </c>
      <c r="C5053" t="s">
        <v>33</v>
      </c>
      <c r="D5053">
        <v>0</v>
      </c>
      <c r="E5053">
        <v>1</v>
      </c>
      <c r="F5053" s="7">
        <v>4585.58</v>
      </c>
      <c r="G5053">
        <v>0</v>
      </c>
      <c r="H5053" s="7">
        <v>0</v>
      </c>
    </row>
    <row r="5054" spans="1:8">
      <c r="A5054">
        <v>5</v>
      </c>
      <c r="B5054" t="s">
        <v>42</v>
      </c>
      <c r="C5054" t="s">
        <v>33</v>
      </c>
      <c r="D5054">
        <v>0</v>
      </c>
      <c r="E5054">
        <v>1</v>
      </c>
      <c r="F5054" s="7">
        <v>6831.43</v>
      </c>
      <c r="G5054">
        <v>0</v>
      </c>
      <c r="H5054" s="7">
        <v>0</v>
      </c>
    </row>
    <row r="5055" spans="1:8">
      <c r="A5055">
        <v>5</v>
      </c>
      <c r="B5055" t="s">
        <v>42</v>
      </c>
      <c r="C5055" t="s">
        <v>33</v>
      </c>
      <c r="D5055">
        <v>0</v>
      </c>
      <c r="E5055">
        <v>1</v>
      </c>
      <c r="F5055" s="7">
        <v>6016.97</v>
      </c>
      <c r="G5055">
        <v>0</v>
      </c>
      <c r="H5055" s="7">
        <v>0</v>
      </c>
    </row>
    <row r="5056" spans="1:8">
      <c r="A5056">
        <v>5</v>
      </c>
      <c r="B5056" t="s">
        <v>42</v>
      </c>
      <c r="C5056" t="s">
        <v>33</v>
      </c>
      <c r="D5056">
        <v>0</v>
      </c>
      <c r="E5056">
        <v>1</v>
      </c>
      <c r="F5056" s="7">
        <v>1690.65</v>
      </c>
      <c r="G5056">
        <v>0</v>
      </c>
      <c r="H5056" s="7">
        <v>0</v>
      </c>
    </row>
    <row r="5057" spans="1:8">
      <c r="A5057">
        <v>5</v>
      </c>
      <c r="B5057" t="s">
        <v>42</v>
      </c>
      <c r="C5057" t="s">
        <v>33</v>
      </c>
      <c r="D5057">
        <v>0</v>
      </c>
      <c r="E5057">
        <v>1</v>
      </c>
      <c r="F5057" s="7">
        <v>4669.87</v>
      </c>
      <c r="G5057">
        <v>0</v>
      </c>
      <c r="H5057" s="7">
        <v>0</v>
      </c>
    </row>
    <row r="5058" spans="1:8">
      <c r="A5058">
        <v>5</v>
      </c>
      <c r="B5058" t="s">
        <v>42</v>
      </c>
      <c r="C5058" t="s">
        <v>33</v>
      </c>
      <c r="D5058">
        <v>0</v>
      </c>
      <c r="E5058">
        <v>1</v>
      </c>
      <c r="F5058" s="7">
        <v>4739.77</v>
      </c>
      <c r="G5058">
        <v>0</v>
      </c>
      <c r="H5058" s="7">
        <v>0</v>
      </c>
    </row>
    <row r="5059" spans="1:8">
      <c r="A5059">
        <v>5</v>
      </c>
      <c r="B5059" t="s">
        <v>43</v>
      </c>
      <c r="C5059" t="s">
        <v>33</v>
      </c>
      <c r="D5059">
        <v>0</v>
      </c>
      <c r="E5059">
        <v>1</v>
      </c>
      <c r="F5059" s="7">
        <v>1221.69</v>
      </c>
      <c r="G5059">
        <v>0</v>
      </c>
      <c r="H5059" s="7">
        <v>0</v>
      </c>
    </row>
    <row r="5060" spans="1:8">
      <c r="A5060">
        <v>5</v>
      </c>
      <c r="B5060" t="s">
        <v>42</v>
      </c>
      <c r="C5060" t="s">
        <v>32</v>
      </c>
      <c r="D5060">
        <v>0</v>
      </c>
      <c r="E5060">
        <v>1</v>
      </c>
      <c r="F5060" s="7">
        <v>252.71</v>
      </c>
      <c r="G5060">
        <v>0</v>
      </c>
      <c r="H5060" s="7">
        <v>0</v>
      </c>
    </row>
    <row r="5061" spans="1:8">
      <c r="A5061">
        <v>5</v>
      </c>
      <c r="B5061" t="s">
        <v>42</v>
      </c>
      <c r="C5061" t="s">
        <v>32</v>
      </c>
      <c r="D5061">
        <v>0</v>
      </c>
      <c r="E5061">
        <v>1</v>
      </c>
      <c r="F5061" s="7">
        <v>642.27</v>
      </c>
      <c r="G5061">
        <v>0</v>
      </c>
      <c r="H5061" s="7">
        <v>0</v>
      </c>
    </row>
    <row r="5062" spans="1:8">
      <c r="A5062">
        <v>5</v>
      </c>
      <c r="B5062" t="s">
        <v>45</v>
      </c>
      <c r="C5062" t="s">
        <v>33</v>
      </c>
      <c r="D5062">
        <v>0</v>
      </c>
      <c r="E5062">
        <v>1</v>
      </c>
      <c r="F5062" s="7">
        <v>2166.22</v>
      </c>
      <c r="G5062">
        <v>0</v>
      </c>
      <c r="H5062" s="7">
        <v>0</v>
      </c>
    </row>
    <row r="5063" spans="1:8">
      <c r="A5063">
        <v>5</v>
      </c>
      <c r="B5063" t="s">
        <v>42</v>
      </c>
      <c r="C5063" t="s">
        <v>33</v>
      </c>
      <c r="D5063">
        <v>0</v>
      </c>
      <c r="E5063">
        <v>1</v>
      </c>
      <c r="F5063" s="7">
        <v>2151.85</v>
      </c>
      <c r="G5063">
        <v>0</v>
      </c>
      <c r="H5063" s="7">
        <v>0</v>
      </c>
    </row>
    <row r="5064" spans="1:8">
      <c r="A5064">
        <v>5</v>
      </c>
      <c r="B5064" t="s">
        <v>42</v>
      </c>
      <c r="C5064" t="s">
        <v>34</v>
      </c>
      <c r="D5064">
        <v>0</v>
      </c>
      <c r="E5064">
        <v>1</v>
      </c>
      <c r="F5064" s="7">
        <v>22553.97</v>
      </c>
      <c r="G5064">
        <v>0</v>
      </c>
      <c r="H5064" s="7">
        <v>0</v>
      </c>
    </row>
    <row r="5065" spans="1:8">
      <c r="A5065">
        <v>5</v>
      </c>
      <c r="B5065" t="s">
        <v>42</v>
      </c>
      <c r="C5065" t="s">
        <v>33</v>
      </c>
      <c r="D5065">
        <v>0</v>
      </c>
      <c r="E5065">
        <v>1</v>
      </c>
      <c r="F5065" s="7">
        <v>6229.86</v>
      </c>
      <c r="G5065">
        <v>0</v>
      </c>
      <c r="H5065" s="7">
        <v>0</v>
      </c>
    </row>
    <row r="5066" spans="1:8">
      <c r="A5066">
        <v>5</v>
      </c>
      <c r="B5066" t="s">
        <v>42</v>
      </c>
      <c r="C5066" t="s">
        <v>33</v>
      </c>
      <c r="D5066">
        <v>0</v>
      </c>
      <c r="E5066">
        <v>1</v>
      </c>
      <c r="F5066" s="7">
        <v>4303.39</v>
      </c>
      <c r="G5066">
        <v>0</v>
      </c>
      <c r="H5066" s="7">
        <v>0</v>
      </c>
    </row>
    <row r="5067" spans="1:8">
      <c r="A5067">
        <v>5</v>
      </c>
      <c r="B5067" t="s">
        <v>42</v>
      </c>
      <c r="C5067" t="s">
        <v>33</v>
      </c>
      <c r="D5067">
        <v>0</v>
      </c>
      <c r="E5067">
        <v>1</v>
      </c>
      <c r="F5067" s="7">
        <v>5576.3</v>
      </c>
      <c r="G5067">
        <v>0</v>
      </c>
      <c r="H5067" s="7">
        <v>0</v>
      </c>
    </row>
    <row r="5068" spans="1:8">
      <c r="A5068">
        <v>5</v>
      </c>
      <c r="B5068" t="s">
        <v>44</v>
      </c>
      <c r="C5068" t="s">
        <v>35</v>
      </c>
      <c r="D5068">
        <v>0</v>
      </c>
      <c r="E5068">
        <v>1</v>
      </c>
      <c r="F5068" s="7">
        <v>211418.41</v>
      </c>
      <c r="G5068">
        <v>0</v>
      </c>
      <c r="H5068" s="7">
        <v>0</v>
      </c>
    </row>
    <row r="5069" spans="1:8">
      <c r="A5069">
        <v>5</v>
      </c>
      <c r="B5069" t="s">
        <v>42</v>
      </c>
      <c r="C5069" t="s">
        <v>33</v>
      </c>
      <c r="D5069">
        <v>0</v>
      </c>
      <c r="E5069">
        <v>1</v>
      </c>
      <c r="F5069" s="7">
        <v>7775.3</v>
      </c>
      <c r="G5069">
        <v>0</v>
      </c>
      <c r="H5069" s="7">
        <v>0</v>
      </c>
    </row>
    <row r="5070" spans="1:8">
      <c r="A5070">
        <v>5</v>
      </c>
      <c r="B5070" t="s">
        <v>42</v>
      </c>
      <c r="C5070" t="s">
        <v>33</v>
      </c>
      <c r="D5070">
        <v>0</v>
      </c>
      <c r="E5070">
        <v>1</v>
      </c>
      <c r="F5070" s="7">
        <v>1911.57</v>
      </c>
      <c r="G5070">
        <v>0</v>
      </c>
      <c r="H5070" s="7">
        <v>0</v>
      </c>
    </row>
    <row r="5071" spans="1:8">
      <c r="A5071">
        <v>5</v>
      </c>
      <c r="B5071" t="s">
        <v>42</v>
      </c>
      <c r="C5071" t="s">
        <v>33</v>
      </c>
      <c r="D5071">
        <v>0</v>
      </c>
      <c r="E5071">
        <v>1</v>
      </c>
      <c r="F5071" s="7">
        <v>3259.56</v>
      </c>
      <c r="G5071">
        <v>0</v>
      </c>
      <c r="H5071" s="7">
        <v>0</v>
      </c>
    </row>
    <row r="5072" spans="1:8">
      <c r="A5072">
        <v>5</v>
      </c>
      <c r="B5072" t="s">
        <v>42</v>
      </c>
      <c r="C5072" t="s">
        <v>33</v>
      </c>
      <c r="D5072">
        <v>0</v>
      </c>
      <c r="E5072">
        <v>1</v>
      </c>
      <c r="F5072" s="7">
        <v>2812.07</v>
      </c>
      <c r="G5072">
        <v>0</v>
      </c>
      <c r="H5072" s="7">
        <v>0</v>
      </c>
    </row>
    <row r="5073" spans="1:8">
      <c r="A5073">
        <v>5</v>
      </c>
      <c r="B5073" t="s">
        <v>46</v>
      </c>
      <c r="C5073" t="s">
        <v>35</v>
      </c>
      <c r="D5073">
        <v>0</v>
      </c>
      <c r="E5073">
        <v>1</v>
      </c>
      <c r="F5073" s="7">
        <v>224763.96</v>
      </c>
      <c r="G5073">
        <v>0</v>
      </c>
      <c r="H5073" s="7">
        <v>0</v>
      </c>
    </row>
    <row r="5074" spans="1:8">
      <c r="A5074">
        <v>5</v>
      </c>
      <c r="B5074" t="s">
        <v>46</v>
      </c>
      <c r="C5074" t="s">
        <v>35</v>
      </c>
      <c r="D5074">
        <v>0</v>
      </c>
      <c r="E5074">
        <v>1</v>
      </c>
      <c r="F5074" s="7">
        <v>106082</v>
      </c>
      <c r="G5074">
        <v>0</v>
      </c>
      <c r="H5074" s="7">
        <v>0</v>
      </c>
    </row>
    <row r="5075" spans="1:8">
      <c r="A5075">
        <v>5</v>
      </c>
      <c r="B5075" t="s">
        <v>46</v>
      </c>
      <c r="C5075" t="s">
        <v>35</v>
      </c>
      <c r="D5075">
        <v>0</v>
      </c>
      <c r="E5075">
        <v>1</v>
      </c>
      <c r="F5075" s="7">
        <v>197677.22</v>
      </c>
      <c r="G5075">
        <v>0</v>
      </c>
      <c r="H5075" s="7">
        <v>0</v>
      </c>
    </row>
    <row r="5076" spans="1:8">
      <c r="A5076">
        <v>5</v>
      </c>
      <c r="B5076" t="s">
        <v>46</v>
      </c>
      <c r="C5076" t="s">
        <v>35</v>
      </c>
      <c r="D5076">
        <v>0</v>
      </c>
      <c r="E5076">
        <v>1</v>
      </c>
      <c r="F5076" s="7">
        <v>439939.28</v>
      </c>
      <c r="G5076">
        <v>0</v>
      </c>
      <c r="H5076" s="7">
        <v>0</v>
      </c>
    </row>
    <row r="5077" spans="1:8">
      <c r="A5077">
        <v>5</v>
      </c>
      <c r="B5077" t="s">
        <v>46</v>
      </c>
      <c r="C5077" t="s">
        <v>35</v>
      </c>
      <c r="D5077">
        <v>0</v>
      </c>
      <c r="E5077">
        <v>1</v>
      </c>
      <c r="F5077" s="7">
        <v>166437.13</v>
      </c>
      <c r="G5077">
        <v>0</v>
      </c>
      <c r="H5077" s="7">
        <v>0</v>
      </c>
    </row>
    <row r="5078" spans="1:8">
      <c r="A5078">
        <v>5</v>
      </c>
      <c r="B5078" t="s">
        <v>46</v>
      </c>
      <c r="C5078" t="s">
        <v>35</v>
      </c>
      <c r="D5078">
        <v>0</v>
      </c>
      <c r="E5078">
        <v>1</v>
      </c>
      <c r="F5078" s="7">
        <v>131815.57</v>
      </c>
      <c r="G5078">
        <v>0</v>
      </c>
      <c r="H5078" s="7">
        <v>0</v>
      </c>
    </row>
    <row r="5079" spans="1:8">
      <c r="A5079">
        <v>5</v>
      </c>
      <c r="B5079" t="s">
        <v>46</v>
      </c>
      <c r="C5079" t="s">
        <v>35</v>
      </c>
      <c r="D5079">
        <v>0</v>
      </c>
      <c r="E5079">
        <v>1</v>
      </c>
      <c r="F5079" s="7">
        <v>214443.25</v>
      </c>
      <c r="G5079">
        <v>0</v>
      </c>
      <c r="H5079" s="7">
        <v>0</v>
      </c>
    </row>
    <row r="5080" spans="1:8">
      <c r="A5080">
        <v>5</v>
      </c>
      <c r="B5080" t="s">
        <v>46</v>
      </c>
      <c r="C5080" t="s">
        <v>35</v>
      </c>
      <c r="D5080">
        <v>0</v>
      </c>
      <c r="E5080">
        <v>1</v>
      </c>
      <c r="F5080" s="7">
        <v>482855.36</v>
      </c>
      <c r="G5080">
        <v>0</v>
      </c>
      <c r="H5080" s="7">
        <v>0</v>
      </c>
    </row>
    <row r="5081" spans="1:8">
      <c r="A5081">
        <v>5</v>
      </c>
      <c r="B5081" t="s">
        <v>46</v>
      </c>
      <c r="C5081" t="s">
        <v>34</v>
      </c>
      <c r="D5081">
        <v>0</v>
      </c>
      <c r="E5081">
        <v>1</v>
      </c>
      <c r="F5081" s="7">
        <v>37831.13</v>
      </c>
      <c r="G5081">
        <v>0</v>
      </c>
      <c r="H5081" s="7">
        <v>0</v>
      </c>
    </row>
    <row r="5082" spans="1:8">
      <c r="A5082">
        <v>5</v>
      </c>
      <c r="B5082" t="s">
        <v>46</v>
      </c>
      <c r="C5082" t="s">
        <v>35</v>
      </c>
      <c r="D5082">
        <v>0</v>
      </c>
      <c r="E5082">
        <v>1</v>
      </c>
      <c r="F5082" s="7">
        <v>504968.12</v>
      </c>
      <c r="G5082">
        <v>0</v>
      </c>
      <c r="H5082" s="7">
        <v>0</v>
      </c>
    </row>
    <row r="5083" spans="1:8">
      <c r="A5083">
        <v>5</v>
      </c>
      <c r="B5083" t="s">
        <v>46</v>
      </c>
      <c r="C5083" t="s">
        <v>35</v>
      </c>
      <c r="D5083">
        <v>0</v>
      </c>
      <c r="E5083">
        <v>1</v>
      </c>
      <c r="F5083" s="7">
        <v>188573.55</v>
      </c>
      <c r="G5083">
        <v>0</v>
      </c>
      <c r="H5083" s="7">
        <v>0</v>
      </c>
    </row>
    <row r="5084" spans="1:8">
      <c r="A5084">
        <v>5</v>
      </c>
      <c r="B5084" t="s">
        <v>46</v>
      </c>
      <c r="C5084" t="s">
        <v>35</v>
      </c>
      <c r="D5084">
        <v>0</v>
      </c>
      <c r="E5084">
        <v>1</v>
      </c>
      <c r="F5084" s="7">
        <v>285594.46</v>
      </c>
      <c r="G5084">
        <v>0</v>
      </c>
      <c r="H5084" s="7">
        <v>0</v>
      </c>
    </row>
    <row r="5085" spans="1:8">
      <c r="A5085">
        <v>5</v>
      </c>
      <c r="B5085" t="s">
        <v>46</v>
      </c>
      <c r="C5085" t="s">
        <v>35</v>
      </c>
      <c r="D5085">
        <v>0</v>
      </c>
      <c r="E5085">
        <v>1</v>
      </c>
      <c r="F5085" s="7">
        <v>301488.1</v>
      </c>
      <c r="G5085">
        <v>0</v>
      </c>
      <c r="H5085" s="7">
        <v>0</v>
      </c>
    </row>
    <row r="5086" spans="1:8">
      <c r="A5086">
        <v>5</v>
      </c>
      <c r="B5086" t="s">
        <v>46</v>
      </c>
      <c r="C5086" t="s">
        <v>34</v>
      </c>
      <c r="D5086">
        <v>0</v>
      </c>
      <c r="E5086">
        <v>1</v>
      </c>
      <c r="F5086" s="7">
        <v>13564.12</v>
      </c>
      <c r="G5086">
        <v>0</v>
      </c>
      <c r="H5086" s="7">
        <v>0</v>
      </c>
    </row>
    <row r="5087" spans="1:8">
      <c r="A5087">
        <v>5</v>
      </c>
      <c r="B5087" t="s">
        <v>46</v>
      </c>
      <c r="C5087" t="s">
        <v>35</v>
      </c>
      <c r="D5087">
        <v>0</v>
      </c>
      <c r="E5087">
        <v>1</v>
      </c>
      <c r="F5087" s="7">
        <v>182825.43</v>
      </c>
      <c r="G5087">
        <v>0</v>
      </c>
      <c r="H5087" s="7">
        <v>0</v>
      </c>
    </row>
    <row r="5088" spans="1:8">
      <c r="A5088">
        <v>5</v>
      </c>
      <c r="B5088" t="s">
        <v>46</v>
      </c>
      <c r="C5088" t="s">
        <v>35</v>
      </c>
      <c r="D5088">
        <v>0</v>
      </c>
      <c r="E5088">
        <v>1</v>
      </c>
      <c r="F5088" s="7">
        <v>299368.99</v>
      </c>
      <c r="G5088">
        <v>0</v>
      </c>
      <c r="H5088" s="7">
        <v>0</v>
      </c>
    </row>
    <row r="5089" spans="1:8">
      <c r="A5089">
        <v>5</v>
      </c>
      <c r="B5089" t="s">
        <v>46</v>
      </c>
      <c r="C5089" t="s">
        <v>34</v>
      </c>
      <c r="D5089">
        <v>0</v>
      </c>
      <c r="E5089">
        <v>1</v>
      </c>
      <c r="F5089" s="7">
        <v>77655.59</v>
      </c>
      <c r="G5089">
        <v>0</v>
      </c>
      <c r="H5089" s="7">
        <v>0</v>
      </c>
    </row>
    <row r="5090" spans="1:8">
      <c r="A5090">
        <v>5</v>
      </c>
      <c r="B5090" t="s">
        <v>46</v>
      </c>
      <c r="C5090" t="s">
        <v>32</v>
      </c>
      <c r="D5090">
        <v>0</v>
      </c>
      <c r="E5090">
        <v>1</v>
      </c>
      <c r="F5090" s="7">
        <v>833.39</v>
      </c>
      <c r="G5090">
        <v>0</v>
      </c>
      <c r="H5090" s="7">
        <v>0</v>
      </c>
    </row>
    <row r="5091" spans="1:8">
      <c r="A5091">
        <v>5</v>
      </c>
      <c r="B5091" t="s">
        <v>46</v>
      </c>
      <c r="C5091" t="s">
        <v>35</v>
      </c>
      <c r="D5091">
        <v>0</v>
      </c>
      <c r="E5091">
        <v>1</v>
      </c>
      <c r="F5091" s="7">
        <v>325483.3</v>
      </c>
      <c r="G5091">
        <v>0</v>
      </c>
      <c r="H5091" s="7">
        <v>0</v>
      </c>
    </row>
    <row r="5092" spans="1:8">
      <c r="A5092">
        <v>5</v>
      </c>
      <c r="B5092" t="s">
        <v>46</v>
      </c>
      <c r="C5092" t="s">
        <v>34</v>
      </c>
      <c r="D5092">
        <v>0</v>
      </c>
      <c r="E5092">
        <v>1</v>
      </c>
      <c r="F5092" s="7">
        <v>51876.97</v>
      </c>
      <c r="G5092">
        <v>0</v>
      </c>
      <c r="H5092" s="7">
        <v>0</v>
      </c>
    </row>
    <row r="5093" spans="1:8">
      <c r="A5093">
        <v>5</v>
      </c>
      <c r="B5093" t="s">
        <v>46</v>
      </c>
      <c r="C5093" t="s">
        <v>34</v>
      </c>
      <c r="D5093">
        <v>0</v>
      </c>
      <c r="E5093">
        <v>1</v>
      </c>
      <c r="F5093" s="7">
        <v>24734.93</v>
      </c>
      <c r="G5093">
        <v>0</v>
      </c>
      <c r="H5093" s="7">
        <v>0</v>
      </c>
    </row>
    <row r="5094" spans="1:8">
      <c r="A5094">
        <v>5</v>
      </c>
      <c r="B5094" t="s">
        <v>46</v>
      </c>
      <c r="C5094" t="s">
        <v>33</v>
      </c>
      <c r="D5094">
        <v>0</v>
      </c>
      <c r="E5094">
        <v>1</v>
      </c>
      <c r="F5094" s="7">
        <v>6845.48</v>
      </c>
      <c r="G5094">
        <v>0</v>
      </c>
      <c r="H5094" s="7">
        <v>0</v>
      </c>
    </row>
    <row r="5095" spans="1:8">
      <c r="A5095">
        <v>5</v>
      </c>
      <c r="B5095" t="s">
        <v>46</v>
      </c>
      <c r="C5095" t="s">
        <v>34</v>
      </c>
      <c r="D5095">
        <v>0</v>
      </c>
      <c r="E5095">
        <v>1</v>
      </c>
      <c r="F5095" s="7">
        <v>37872.44</v>
      </c>
      <c r="G5095">
        <v>0</v>
      </c>
      <c r="H5095" s="7">
        <v>0</v>
      </c>
    </row>
    <row r="5096" spans="1:8">
      <c r="A5096">
        <v>5</v>
      </c>
      <c r="B5096" t="s">
        <v>46</v>
      </c>
      <c r="C5096" t="s">
        <v>34</v>
      </c>
      <c r="D5096">
        <v>0</v>
      </c>
      <c r="E5096">
        <v>1</v>
      </c>
      <c r="F5096" s="7">
        <v>72980.01</v>
      </c>
      <c r="G5096">
        <v>0</v>
      </c>
      <c r="H5096" s="7">
        <v>0</v>
      </c>
    </row>
    <row r="5097" spans="1:8">
      <c r="A5097">
        <v>5</v>
      </c>
      <c r="B5097" t="s">
        <v>46</v>
      </c>
      <c r="C5097" t="s">
        <v>35</v>
      </c>
      <c r="D5097">
        <v>0</v>
      </c>
      <c r="E5097">
        <v>1</v>
      </c>
      <c r="F5097" s="7">
        <v>146131.91</v>
      </c>
      <c r="G5097">
        <v>0</v>
      </c>
      <c r="H5097" s="7">
        <v>0</v>
      </c>
    </row>
    <row r="5098" spans="1:8">
      <c r="A5098">
        <v>5</v>
      </c>
      <c r="B5098" t="s">
        <v>42</v>
      </c>
      <c r="C5098" t="s">
        <v>33</v>
      </c>
      <c r="D5098">
        <v>0</v>
      </c>
      <c r="E5098">
        <v>1</v>
      </c>
      <c r="F5098" s="7">
        <v>4287.23</v>
      </c>
      <c r="G5098">
        <v>0</v>
      </c>
      <c r="H5098" s="7">
        <v>0</v>
      </c>
    </row>
    <row r="5099" spans="1:8">
      <c r="A5099">
        <v>5</v>
      </c>
      <c r="B5099" t="s">
        <v>42</v>
      </c>
      <c r="C5099" t="s">
        <v>33</v>
      </c>
      <c r="D5099">
        <v>0</v>
      </c>
      <c r="E5099">
        <v>1</v>
      </c>
      <c r="F5099" s="7">
        <v>2513.72</v>
      </c>
      <c r="G5099">
        <v>0</v>
      </c>
      <c r="H5099" s="7">
        <v>0</v>
      </c>
    </row>
    <row r="5100" spans="1:8">
      <c r="A5100">
        <v>5</v>
      </c>
      <c r="B5100" t="s">
        <v>42</v>
      </c>
      <c r="C5100" t="s">
        <v>33</v>
      </c>
      <c r="D5100">
        <v>0</v>
      </c>
      <c r="E5100">
        <v>1</v>
      </c>
      <c r="F5100" s="7">
        <v>2305.22</v>
      </c>
      <c r="G5100">
        <v>0</v>
      </c>
      <c r="H5100" s="7">
        <v>0</v>
      </c>
    </row>
    <row r="5101" spans="1:8">
      <c r="A5101">
        <v>5</v>
      </c>
      <c r="B5101" t="s">
        <v>42</v>
      </c>
      <c r="C5101" t="s">
        <v>33</v>
      </c>
      <c r="D5101">
        <v>0</v>
      </c>
      <c r="E5101">
        <v>1</v>
      </c>
      <c r="F5101" s="7">
        <v>4610.54</v>
      </c>
      <c r="G5101">
        <v>0</v>
      </c>
      <c r="H5101" s="7">
        <v>0</v>
      </c>
    </row>
    <row r="5102" spans="1:8">
      <c r="A5102">
        <v>5</v>
      </c>
      <c r="B5102" t="s">
        <v>42</v>
      </c>
      <c r="C5102" t="s">
        <v>33</v>
      </c>
      <c r="D5102">
        <v>0</v>
      </c>
      <c r="E5102">
        <v>1</v>
      </c>
      <c r="F5102" s="7">
        <v>4205.98</v>
      </c>
      <c r="G5102">
        <v>0</v>
      </c>
      <c r="H5102" s="7">
        <v>0</v>
      </c>
    </row>
    <row r="5103" spans="1:8">
      <c r="A5103">
        <v>5</v>
      </c>
      <c r="B5103" t="s">
        <v>42</v>
      </c>
      <c r="C5103" t="s">
        <v>34</v>
      </c>
      <c r="D5103">
        <v>0</v>
      </c>
      <c r="E5103">
        <v>1</v>
      </c>
      <c r="F5103" s="7">
        <v>11691.84</v>
      </c>
      <c r="G5103">
        <v>0</v>
      </c>
      <c r="H5103" s="7">
        <v>0</v>
      </c>
    </row>
    <row r="5104" spans="1:8">
      <c r="A5104">
        <v>5</v>
      </c>
      <c r="B5104" t="s">
        <v>42</v>
      </c>
      <c r="C5104" t="s">
        <v>33</v>
      </c>
      <c r="D5104">
        <v>0</v>
      </c>
      <c r="E5104">
        <v>1</v>
      </c>
      <c r="F5104" s="7">
        <v>2011.87</v>
      </c>
      <c r="G5104">
        <v>0</v>
      </c>
      <c r="H5104" s="7">
        <v>0</v>
      </c>
    </row>
    <row r="5105" spans="1:8">
      <c r="A5105">
        <v>5</v>
      </c>
      <c r="B5105" t="s">
        <v>43</v>
      </c>
      <c r="C5105" t="s">
        <v>35</v>
      </c>
      <c r="D5105">
        <v>0</v>
      </c>
      <c r="E5105">
        <v>1</v>
      </c>
      <c r="F5105" s="7">
        <v>102359.17</v>
      </c>
      <c r="G5105">
        <v>0</v>
      </c>
      <c r="H5105" s="7">
        <v>0</v>
      </c>
    </row>
    <row r="5106" spans="1:8">
      <c r="A5106">
        <v>5</v>
      </c>
      <c r="B5106" t="s">
        <v>44</v>
      </c>
      <c r="C5106" t="s">
        <v>34</v>
      </c>
      <c r="D5106">
        <v>0</v>
      </c>
      <c r="E5106">
        <v>1</v>
      </c>
      <c r="F5106" s="7">
        <v>89293.11</v>
      </c>
      <c r="G5106">
        <v>0</v>
      </c>
      <c r="H5106" s="7">
        <v>0</v>
      </c>
    </row>
    <row r="5107" spans="1:8">
      <c r="A5107">
        <v>5</v>
      </c>
      <c r="B5107" t="s">
        <v>42</v>
      </c>
      <c r="C5107" t="s">
        <v>33</v>
      </c>
      <c r="D5107">
        <v>0</v>
      </c>
      <c r="E5107">
        <v>1</v>
      </c>
      <c r="F5107" s="7">
        <v>3743.99</v>
      </c>
      <c r="G5107">
        <v>0</v>
      </c>
      <c r="H5107" s="7">
        <v>0</v>
      </c>
    </row>
    <row r="5108" spans="1:8">
      <c r="A5108">
        <v>5</v>
      </c>
      <c r="B5108" t="s">
        <v>42</v>
      </c>
      <c r="C5108" t="s">
        <v>33</v>
      </c>
      <c r="D5108">
        <v>0</v>
      </c>
      <c r="E5108">
        <v>1</v>
      </c>
      <c r="F5108" s="7">
        <v>9675.69</v>
      </c>
      <c r="G5108">
        <v>0</v>
      </c>
      <c r="H5108" s="7">
        <v>0</v>
      </c>
    </row>
    <row r="5109" spans="1:8">
      <c r="A5109">
        <v>5</v>
      </c>
      <c r="B5109" t="s">
        <v>42</v>
      </c>
      <c r="C5109" t="s">
        <v>33</v>
      </c>
      <c r="D5109">
        <v>0</v>
      </c>
      <c r="E5109">
        <v>1</v>
      </c>
      <c r="F5109" s="7">
        <v>3212.82</v>
      </c>
      <c r="G5109">
        <v>0</v>
      </c>
      <c r="H5109" s="7">
        <v>0</v>
      </c>
    </row>
    <row r="5110" spans="1:8">
      <c r="A5110">
        <v>5</v>
      </c>
      <c r="B5110" t="s">
        <v>42</v>
      </c>
      <c r="C5110" t="s">
        <v>33</v>
      </c>
      <c r="D5110">
        <v>0</v>
      </c>
      <c r="E5110">
        <v>1</v>
      </c>
      <c r="F5110" s="7">
        <v>1723.33</v>
      </c>
      <c r="G5110">
        <v>0</v>
      </c>
      <c r="H5110" s="7">
        <v>0</v>
      </c>
    </row>
    <row r="5111" spans="1:8">
      <c r="A5111">
        <v>5</v>
      </c>
      <c r="B5111" t="s">
        <v>42</v>
      </c>
      <c r="C5111" t="s">
        <v>34</v>
      </c>
      <c r="D5111">
        <v>0</v>
      </c>
      <c r="E5111">
        <v>1</v>
      </c>
      <c r="F5111" s="7">
        <v>12603.14</v>
      </c>
      <c r="G5111">
        <v>0</v>
      </c>
      <c r="H5111" s="7">
        <v>0</v>
      </c>
    </row>
    <row r="5112" spans="1:8">
      <c r="A5112">
        <v>5</v>
      </c>
      <c r="B5112" t="s">
        <v>42</v>
      </c>
      <c r="C5112" t="s">
        <v>33</v>
      </c>
      <c r="D5112">
        <v>0</v>
      </c>
      <c r="E5112">
        <v>1</v>
      </c>
      <c r="F5112" s="7">
        <v>2689.55</v>
      </c>
      <c r="G5112">
        <v>0</v>
      </c>
      <c r="H5112" s="7">
        <v>0</v>
      </c>
    </row>
    <row r="5113" spans="1:8">
      <c r="A5113">
        <v>5</v>
      </c>
      <c r="B5113" t="s">
        <v>42</v>
      </c>
      <c r="C5113" t="s">
        <v>33</v>
      </c>
      <c r="D5113">
        <v>0</v>
      </c>
      <c r="E5113">
        <v>1</v>
      </c>
      <c r="F5113" s="7">
        <v>3225.49</v>
      </c>
      <c r="G5113">
        <v>0</v>
      </c>
      <c r="H5113" s="7">
        <v>0</v>
      </c>
    </row>
    <row r="5114" spans="1:8">
      <c r="A5114">
        <v>5</v>
      </c>
      <c r="B5114" t="s">
        <v>42</v>
      </c>
      <c r="C5114" t="s">
        <v>33</v>
      </c>
      <c r="D5114">
        <v>0</v>
      </c>
      <c r="E5114">
        <v>1</v>
      </c>
      <c r="F5114" s="7">
        <v>4397.58</v>
      </c>
      <c r="G5114">
        <v>0</v>
      </c>
      <c r="H5114" s="7">
        <v>0</v>
      </c>
    </row>
    <row r="5115" spans="1:8">
      <c r="A5115">
        <v>5</v>
      </c>
      <c r="B5115" t="s">
        <v>42</v>
      </c>
      <c r="C5115" t="s">
        <v>32</v>
      </c>
      <c r="D5115">
        <v>0</v>
      </c>
      <c r="E5115">
        <v>1</v>
      </c>
      <c r="F5115" s="7">
        <v>195.22</v>
      </c>
      <c r="G5115">
        <v>0</v>
      </c>
      <c r="H5115" s="7">
        <v>0</v>
      </c>
    </row>
    <row r="5116" spans="1:8">
      <c r="A5116">
        <v>5</v>
      </c>
      <c r="B5116" t="s">
        <v>44</v>
      </c>
      <c r="C5116" t="s">
        <v>34</v>
      </c>
      <c r="D5116">
        <v>0</v>
      </c>
      <c r="E5116">
        <v>1</v>
      </c>
      <c r="F5116" s="7">
        <v>81917.31</v>
      </c>
      <c r="G5116">
        <v>0</v>
      </c>
      <c r="H5116" s="7">
        <v>0</v>
      </c>
    </row>
    <row r="5117" spans="1:8">
      <c r="A5117">
        <v>5</v>
      </c>
      <c r="B5117" t="s">
        <v>44</v>
      </c>
      <c r="C5117" t="s">
        <v>34</v>
      </c>
      <c r="D5117">
        <v>0</v>
      </c>
      <c r="E5117">
        <v>1</v>
      </c>
      <c r="F5117" s="7">
        <v>38326.82</v>
      </c>
      <c r="G5117">
        <v>0</v>
      </c>
      <c r="H5117" s="7">
        <v>0</v>
      </c>
    </row>
    <row r="5118" spans="1:8">
      <c r="A5118">
        <v>5</v>
      </c>
      <c r="B5118" t="s">
        <v>42</v>
      </c>
      <c r="C5118" t="s">
        <v>33</v>
      </c>
      <c r="D5118">
        <v>0</v>
      </c>
      <c r="E5118">
        <v>1</v>
      </c>
      <c r="F5118" s="7">
        <v>2520.08</v>
      </c>
      <c r="G5118">
        <v>0</v>
      </c>
      <c r="H5118" s="7">
        <v>0</v>
      </c>
    </row>
    <row r="5119" spans="1:8">
      <c r="A5119">
        <v>5</v>
      </c>
      <c r="B5119" t="s">
        <v>42</v>
      </c>
      <c r="C5119" t="s">
        <v>33</v>
      </c>
      <c r="D5119">
        <v>0</v>
      </c>
      <c r="E5119">
        <v>1</v>
      </c>
      <c r="F5119" s="7">
        <v>6988.56</v>
      </c>
      <c r="G5119">
        <v>0</v>
      </c>
      <c r="H5119" s="7">
        <v>0</v>
      </c>
    </row>
    <row r="5120" spans="1:8">
      <c r="A5120">
        <v>5</v>
      </c>
      <c r="B5120" t="s">
        <v>42</v>
      </c>
      <c r="C5120" t="s">
        <v>33</v>
      </c>
      <c r="D5120">
        <v>0</v>
      </c>
      <c r="E5120">
        <v>1</v>
      </c>
      <c r="F5120" s="7">
        <v>1270.66</v>
      </c>
      <c r="G5120">
        <v>0</v>
      </c>
      <c r="H5120" s="7">
        <v>0</v>
      </c>
    </row>
    <row r="5121" spans="1:8">
      <c r="A5121">
        <v>5</v>
      </c>
      <c r="B5121" t="s">
        <v>42</v>
      </c>
      <c r="C5121" t="s">
        <v>33</v>
      </c>
      <c r="D5121">
        <v>0</v>
      </c>
      <c r="E5121">
        <v>1</v>
      </c>
      <c r="F5121" s="7">
        <v>2205.72</v>
      </c>
      <c r="G5121">
        <v>0</v>
      </c>
      <c r="H5121" s="7">
        <v>0</v>
      </c>
    </row>
    <row r="5122" spans="1:8">
      <c r="A5122">
        <v>5</v>
      </c>
      <c r="B5122" t="s">
        <v>42</v>
      </c>
      <c r="C5122" t="s">
        <v>33</v>
      </c>
      <c r="D5122">
        <v>0</v>
      </c>
      <c r="E5122">
        <v>1</v>
      </c>
      <c r="F5122" s="7">
        <v>2892.22</v>
      </c>
      <c r="G5122">
        <v>0</v>
      </c>
      <c r="H5122" s="7">
        <v>0</v>
      </c>
    </row>
    <row r="5123" spans="1:8">
      <c r="A5123">
        <v>5</v>
      </c>
      <c r="B5123" t="s">
        <v>42</v>
      </c>
      <c r="C5123" t="s">
        <v>33</v>
      </c>
      <c r="D5123">
        <v>0</v>
      </c>
      <c r="E5123">
        <v>1</v>
      </c>
      <c r="F5123" s="7">
        <v>3181.68</v>
      </c>
      <c r="G5123">
        <v>0</v>
      </c>
      <c r="H5123" s="7">
        <v>0</v>
      </c>
    </row>
    <row r="5124" spans="1:8">
      <c r="A5124">
        <v>5</v>
      </c>
      <c r="B5124" t="s">
        <v>42</v>
      </c>
      <c r="C5124" t="s">
        <v>34</v>
      </c>
      <c r="D5124">
        <v>0</v>
      </c>
      <c r="E5124">
        <v>1</v>
      </c>
      <c r="F5124" s="7">
        <v>13702.52</v>
      </c>
      <c r="G5124">
        <v>0</v>
      </c>
      <c r="H5124" s="7">
        <v>0</v>
      </c>
    </row>
    <row r="5125" spans="1:8">
      <c r="A5125">
        <v>5</v>
      </c>
      <c r="B5125" t="s">
        <v>42</v>
      </c>
      <c r="C5125" t="s">
        <v>33</v>
      </c>
      <c r="D5125">
        <v>0</v>
      </c>
      <c r="E5125">
        <v>1</v>
      </c>
      <c r="F5125" s="7">
        <v>1574.63</v>
      </c>
      <c r="G5125">
        <v>0</v>
      </c>
      <c r="H5125" s="7">
        <v>0</v>
      </c>
    </row>
    <row r="5126" spans="1:8">
      <c r="A5126">
        <v>5</v>
      </c>
      <c r="B5126" t="s">
        <v>42</v>
      </c>
      <c r="C5126" t="s">
        <v>33</v>
      </c>
      <c r="D5126">
        <v>0</v>
      </c>
      <c r="E5126">
        <v>1</v>
      </c>
      <c r="F5126" s="7">
        <v>2573.24</v>
      </c>
      <c r="G5126">
        <v>0</v>
      </c>
      <c r="H5126" s="7">
        <v>0</v>
      </c>
    </row>
    <row r="5127" spans="1:8">
      <c r="A5127">
        <v>5</v>
      </c>
      <c r="B5127" t="s">
        <v>42</v>
      </c>
      <c r="C5127" t="s">
        <v>32</v>
      </c>
      <c r="D5127">
        <v>0</v>
      </c>
      <c r="E5127">
        <v>1</v>
      </c>
      <c r="F5127" s="7">
        <v>952.87</v>
      </c>
      <c r="G5127">
        <v>0</v>
      </c>
      <c r="H5127" s="7">
        <v>0</v>
      </c>
    </row>
    <row r="5128" spans="1:8">
      <c r="A5128">
        <v>5</v>
      </c>
      <c r="B5128" t="s">
        <v>42</v>
      </c>
      <c r="C5128" t="s">
        <v>33</v>
      </c>
      <c r="D5128">
        <v>0</v>
      </c>
      <c r="E5128">
        <v>1</v>
      </c>
      <c r="F5128" s="7">
        <v>3143.95</v>
      </c>
      <c r="G5128">
        <v>0</v>
      </c>
      <c r="H5128" s="7">
        <v>0</v>
      </c>
    </row>
    <row r="5129" spans="1:8">
      <c r="A5129">
        <v>5</v>
      </c>
      <c r="B5129" t="s">
        <v>43</v>
      </c>
      <c r="C5129" t="s">
        <v>34</v>
      </c>
      <c r="D5129">
        <v>1</v>
      </c>
      <c r="E5129">
        <v>1</v>
      </c>
      <c r="F5129" s="7">
        <v>60726.57</v>
      </c>
      <c r="G5129">
        <v>1</v>
      </c>
      <c r="H5129" s="7">
        <v>60726.57</v>
      </c>
    </row>
    <row r="5130" spans="1:8">
      <c r="A5130">
        <v>5</v>
      </c>
      <c r="B5130" t="s">
        <v>44</v>
      </c>
      <c r="C5130" t="s">
        <v>34</v>
      </c>
      <c r="D5130">
        <v>1</v>
      </c>
      <c r="E5130">
        <v>1</v>
      </c>
      <c r="F5130" s="7">
        <v>60726.57</v>
      </c>
      <c r="G5130">
        <v>1</v>
      </c>
      <c r="H5130" s="7">
        <v>60726.57</v>
      </c>
    </row>
    <row r="5131" spans="1:8">
      <c r="A5131">
        <v>5</v>
      </c>
      <c r="B5131" t="s">
        <v>42</v>
      </c>
      <c r="C5131" t="s">
        <v>33</v>
      </c>
      <c r="D5131">
        <v>0</v>
      </c>
      <c r="E5131">
        <v>1</v>
      </c>
      <c r="F5131" s="7">
        <v>2354.7</v>
      </c>
      <c r="G5131">
        <v>0</v>
      </c>
      <c r="H5131" s="7">
        <v>0</v>
      </c>
    </row>
    <row r="5132" spans="1:8">
      <c r="A5132">
        <v>5</v>
      </c>
      <c r="B5132" t="s">
        <v>42</v>
      </c>
      <c r="C5132" t="s">
        <v>33</v>
      </c>
      <c r="D5132">
        <v>0</v>
      </c>
      <c r="E5132">
        <v>1</v>
      </c>
      <c r="F5132" s="7">
        <v>5301.12</v>
      </c>
      <c r="G5132">
        <v>0</v>
      </c>
      <c r="H5132" s="7">
        <v>0</v>
      </c>
    </row>
    <row r="5133" spans="1:8">
      <c r="A5133">
        <v>5</v>
      </c>
      <c r="B5133" t="s">
        <v>42</v>
      </c>
      <c r="C5133" t="s">
        <v>34</v>
      </c>
      <c r="D5133">
        <v>0</v>
      </c>
      <c r="E5133">
        <v>1</v>
      </c>
      <c r="F5133" s="7">
        <v>40156.69</v>
      </c>
      <c r="G5133">
        <v>0</v>
      </c>
      <c r="H5133" s="7">
        <v>0</v>
      </c>
    </row>
    <row r="5134" spans="1:8">
      <c r="A5134">
        <v>5</v>
      </c>
      <c r="B5134" t="s">
        <v>42</v>
      </c>
      <c r="C5134" t="s">
        <v>34</v>
      </c>
      <c r="D5134">
        <v>0</v>
      </c>
      <c r="E5134">
        <v>1</v>
      </c>
      <c r="F5134" s="7">
        <v>10227.49</v>
      </c>
      <c r="G5134">
        <v>0</v>
      </c>
      <c r="H5134" s="7">
        <v>0</v>
      </c>
    </row>
    <row r="5135" spans="1:8">
      <c r="A5135">
        <v>5</v>
      </c>
      <c r="B5135" t="s">
        <v>42</v>
      </c>
      <c r="C5135" t="s">
        <v>33</v>
      </c>
      <c r="D5135">
        <v>0</v>
      </c>
      <c r="E5135">
        <v>1</v>
      </c>
      <c r="F5135" s="7">
        <v>8411.86</v>
      </c>
      <c r="G5135">
        <v>0</v>
      </c>
      <c r="H5135" s="7">
        <v>0</v>
      </c>
    </row>
    <row r="5136" spans="1:8">
      <c r="A5136">
        <v>5</v>
      </c>
      <c r="B5136" t="s">
        <v>45</v>
      </c>
      <c r="C5136" t="s">
        <v>33</v>
      </c>
      <c r="D5136">
        <v>0</v>
      </c>
      <c r="E5136">
        <v>1</v>
      </c>
      <c r="F5136" s="7">
        <v>1207.85</v>
      </c>
      <c r="G5136">
        <v>0</v>
      </c>
      <c r="H5136" s="7">
        <v>0</v>
      </c>
    </row>
    <row r="5137" spans="1:8">
      <c r="A5137">
        <v>5</v>
      </c>
      <c r="B5137" t="s">
        <v>42</v>
      </c>
      <c r="C5137" t="s">
        <v>33</v>
      </c>
      <c r="D5137">
        <v>0</v>
      </c>
      <c r="E5137">
        <v>1</v>
      </c>
      <c r="F5137" s="7">
        <v>3728.6</v>
      </c>
      <c r="G5137">
        <v>0</v>
      </c>
      <c r="H5137" s="7">
        <v>0</v>
      </c>
    </row>
    <row r="5138" spans="1:8">
      <c r="A5138">
        <v>5</v>
      </c>
      <c r="B5138" t="s">
        <v>42</v>
      </c>
      <c r="C5138" t="s">
        <v>34</v>
      </c>
      <c r="D5138">
        <v>0</v>
      </c>
      <c r="E5138">
        <v>1</v>
      </c>
      <c r="F5138" s="7">
        <v>12472.53</v>
      </c>
      <c r="G5138">
        <v>0</v>
      </c>
      <c r="H5138" s="7">
        <v>0</v>
      </c>
    </row>
    <row r="5139" spans="1:8">
      <c r="A5139">
        <v>5</v>
      </c>
      <c r="B5139" t="s">
        <v>42</v>
      </c>
      <c r="C5139" t="s">
        <v>32</v>
      </c>
      <c r="D5139">
        <v>0</v>
      </c>
      <c r="E5139">
        <v>1</v>
      </c>
      <c r="F5139" s="7">
        <v>469.63</v>
      </c>
      <c r="G5139">
        <v>0</v>
      </c>
      <c r="H5139" s="7">
        <v>0</v>
      </c>
    </row>
    <row r="5140" spans="1:8">
      <c r="A5140">
        <v>5</v>
      </c>
      <c r="B5140" t="s">
        <v>44</v>
      </c>
      <c r="C5140" t="s">
        <v>34</v>
      </c>
      <c r="D5140">
        <v>0</v>
      </c>
      <c r="E5140">
        <v>1</v>
      </c>
      <c r="F5140" s="7">
        <v>49804.17</v>
      </c>
      <c r="G5140">
        <v>0</v>
      </c>
      <c r="H5140" s="7">
        <v>0</v>
      </c>
    </row>
    <row r="5141" spans="1:8">
      <c r="A5141">
        <v>5</v>
      </c>
      <c r="B5141" t="s">
        <v>42</v>
      </c>
      <c r="C5141" t="s">
        <v>33</v>
      </c>
      <c r="D5141">
        <v>0</v>
      </c>
      <c r="E5141">
        <v>1</v>
      </c>
      <c r="F5141" s="7">
        <v>5693.64</v>
      </c>
      <c r="G5141">
        <v>0</v>
      </c>
      <c r="H5141" s="7">
        <v>0</v>
      </c>
    </row>
    <row r="5142" spans="1:8">
      <c r="A5142">
        <v>5</v>
      </c>
      <c r="B5142" t="s">
        <v>42</v>
      </c>
      <c r="C5142" t="s">
        <v>33</v>
      </c>
      <c r="D5142">
        <v>0</v>
      </c>
      <c r="E5142">
        <v>1</v>
      </c>
      <c r="F5142" s="7">
        <v>7840.38</v>
      </c>
      <c r="G5142">
        <v>0</v>
      </c>
      <c r="H5142" s="7">
        <v>0</v>
      </c>
    </row>
    <row r="5143" spans="1:8">
      <c r="A5143">
        <v>5</v>
      </c>
      <c r="B5143" t="s">
        <v>42</v>
      </c>
      <c r="C5143" t="s">
        <v>33</v>
      </c>
      <c r="D5143">
        <v>0</v>
      </c>
      <c r="E5143">
        <v>1</v>
      </c>
      <c r="F5143" s="7">
        <v>1967.35</v>
      </c>
      <c r="G5143">
        <v>0</v>
      </c>
      <c r="H5143" s="7">
        <v>0</v>
      </c>
    </row>
    <row r="5144" spans="1:8">
      <c r="A5144">
        <v>5</v>
      </c>
      <c r="B5144" t="s">
        <v>42</v>
      </c>
      <c r="C5144" t="s">
        <v>33</v>
      </c>
      <c r="D5144">
        <v>0</v>
      </c>
      <c r="E5144">
        <v>1</v>
      </c>
      <c r="F5144" s="7">
        <v>4260.13</v>
      </c>
      <c r="G5144">
        <v>0</v>
      </c>
      <c r="H5144" s="7">
        <v>0</v>
      </c>
    </row>
    <row r="5145" spans="1:8">
      <c r="A5145">
        <v>5</v>
      </c>
      <c r="B5145" t="s">
        <v>42</v>
      </c>
      <c r="C5145" t="s">
        <v>33</v>
      </c>
      <c r="D5145">
        <v>0</v>
      </c>
      <c r="E5145">
        <v>1</v>
      </c>
      <c r="F5145" s="7">
        <v>7959.58</v>
      </c>
      <c r="G5145">
        <v>0</v>
      </c>
      <c r="H5145" s="7">
        <v>0</v>
      </c>
    </row>
    <row r="5146" spans="1:8">
      <c r="A5146">
        <v>5</v>
      </c>
      <c r="B5146" t="s">
        <v>42</v>
      </c>
      <c r="C5146" t="s">
        <v>33</v>
      </c>
      <c r="D5146">
        <v>0</v>
      </c>
      <c r="E5146">
        <v>1</v>
      </c>
      <c r="F5146" s="7">
        <v>5080.22</v>
      </c>
      <c r="G5146">
        <v>0</v>
      </c>
      <c r="H5146" s="7">
        <v>0</v>
      </c>
    </row>
    <row r="5147" spans="1:8">
      <c r="A5147">
        <v>5</v>
      </c>
      <c r="B5147" t="s">
        <v>42</v>
      </c>
      <c r="C5147" t="s">
        <v>32</v>
      </c>
      <c r="D5147">
        <v>0</v>
      </c>
      <c r="E5147">
        <v>1</v>
      </c>
      <c r="F5147" s="7">
        <v>360.38</v>
      </c>
      <c r="G5147">
        <v>0</v>
      </c>
      <c r="H5147" s="7">
        <v>0</v>
      </c>
    </row>
    <row r="5148" spans="1:8">
      <c r="A5148">
        <v>5</v>
      </c>
      <c r="B5148" t="s">
        <v>42</v>
      </c>
      <c r="C5148" t="s">
        <v>33</v>
      </c>
      <c r="D5148">
        <v>0</v>
      </c>
      <c r="E5148">
        <v>1</v>
      </c>
      <c r="F5148" s="7">
        <v>7683.38</v>
      </c>
      <c r="G5148">
        <v>0</v>
      </c>
      <c r="H5148" s="7">
        <v>0</v>
      </c>
    </row>
    <row r="5149" spans="1:8">
      <c r="A5149">
        <v>5</v>
      </c>
      <c r="B5149" t="s">
        <v>42</v>
      </c>
      <c r="C5149" t="s">
        <v>33</v>
      </c>
      <c r="D5149">
        <v>0</v>
      </c>
      <c r="E5149">
        <v>1</v>
      </c>
      <c r="F5149" s="7">
        <v>6453.51</v>
      </c>
      <c r="G5149">
        <v>0</v>
      </c>
      <c r="H5149" s="7">
        <v>0</v>
      </c>
    </row>
    <row r="5150" spans="1:8">
      <c r="A5150">
        <v>5</v>
      </c>
      <c r="B5150" t="s">
        <v>42</v>
      </c>
      <c r="C5150" t="s">
        <v>33</v>
      </c>
      <c r="D5150">
        <v>0</v>
      </c>
      <c r="E5150">
        <v>1</v>
      </c>
      <c r="F5150" s="7">
        <v>2161.3</v>
      </c>
      <c r="G5150">
        <v>0</v>
      </c>
      <c r="H5150" s="7">
        <v>0</v>
      </c>
    </row>
    <row r="5151" spans="1:8">
      <c r="A5151">
        <v>5</v>
      </c>
      <c r="B5151" t="s">
        <v>42</v>
      </c>
      <c r="C5151" t="s">
        <v>33</v>
      </c>
      <c r="D5151">
        <v>0</v>
      </c>
      <c r="E5151">
        <v>1</v>
      </c>
      <c r="F5151" s="7">
        <v>6823.03</v>
      </c>
      <c r="G5151">
        <v>0</v>
      </c>
      <c r="H5151" s="7">
        <v>0</v>
      </c>
    </row>
    <row r="5152" spans="1:8">
      <c r="A5152">
        <v>5</v>
      </c>
      <c r="B5152" t="s">
        <v>42</v>
      </c>
      <c r="C5152" t="s">
        <v>33</v>
      </c>
      <c r="D5152">
        <v>0</v>
      </c>
      <c r="E5152">
        <v>1</v>
      </c>
      <c r="F5152" s="7">
        <v>8343.34</v>
      </c>
      <c r="G5152">
        <v>0</v>
      </c>
      <c r="H5152" s="7">
        <v>0</v>
      </c>
    </row>
    <row r="5153" spans="1:8">
      <c r="A5153">
        <v>5</v>
      </c>
      <c r="B5153" t="s">
        <v>42</v>
      </c>
      <c r="C5153" t="s">
        <v>33</v>
      </c>
      <c r="D5153">
        <v>0</v>
      </c>
      <c r="E5153">
        <v>1</v>
      </c>
      <c r="F5153" s="7">
        <v>3141.09</v>
      </c>
      <c r="G5153">
        <v>0</v>
      </c>
      <c r="H5153" s="7">
        <v>0</v>
      </c>
    </row>
    <row r="5154" spans="1:8">
      <c r="A5154">
        <v>5</v>
      </c>
      <c r="B5154" t="s">
        <v>45</v>
      </c>
      <c r="C5154" t="s">
        <v>33</v>
      </c>
      <c r="D5154">
        <v>0</v>
      </c>
      <c r="E5154">
        <v>1</v>
      </c>
      <c r="F5154" s="7">
        <v>1826.28</v>
      </c>
      <c r="G5154">
        <v>0</v>
      </c>
      <c r="H5154" s="7">
        <v>0</v>
      </c>
    </row>
    <row r="5155" spans="1:8">
      <c r="A5155">
        <v>5</v>
      </c>
      <c r="B5155" t="s">
        <v>42</v>
      </c>
      <c r="C5155" t="s">
        <v>33</v>
      </c>
      <c r="D5155">
        <v>0</v>
      </c>
      <c r="E5155">
        <v>1</v>
      </c>
      <c r="F5155" s="7">
        <v>1216.39</v>
      </c>
      <c r="G5155">
        <v>0</v>
      </c>
      <c r="H5155" s="7">
        <v>0</v>
      </c>
    </row>
    <row r="5156" spans="1:8">
      <c r="A5156">
        <v>5</v>
      </c>
      <c r="B5156" t="s">
        <v>42</v>
      </c>
      <c r="C5156" t="s">
        <v>33</v>
      </c>
      <c r="D5156">
        <v>0</v>
      </c>
      <c r="E5156">
        <v>1</v>
      </c>
      <c r="F5156" s="7">
        <v>2088.53</v>
      </c>
      <c r="G5156">
        <v>0</v>
      </c>
      <c r="H5156" s="7">
        <v>0</v>
      </c>
    </row>
    <row r="5157" spans="1:8">
      <c r="A5157">
        <v>5</v>
      </c>
      <c r="B5157" t="s">
        <v>42</v>
      </c>
      <c r="C5157" t="s">
        <v>33</v>
      </c>
      <c r="D5157">
        <v>0</v>
      </c>
      <c r="E5157">
        <v>1</v>
      </c>
      <c r="F5157" s="7">
        <v>2558.03</v>
      </c>
      <c r="G5157">
        <v>0</v>
      </c>
      <c r="H5157" s="7">
        <v>0</v>
      </c>
    </row>
    <row r="5158" spans="1:8">
      <c r="A5158">
        <v>5</v>
      </c>
      <c r="B5158" t="s">
        <v>42</v>
      </c>
      <c r="C5158" t="s">
        <v>34</v>
      </c>
      <c r="D5158">
        <v>0</v>
      </c>
      <c r="E5158">
        <v>1</v>
      </c>
      <c r="F5158" s="7">
        <v>26921.32</v>
      </c>
      <c r="G5158">
        <v>0</v>
      </c>
      <c r="H5158" s="7">
        <v>0</v>
      </c>
    </row>
    <row r="5159" spans="1:8">
      <c r="A5159">
        <v>5</v>
      </c>
      <c r="B5159" t="s">
        <v>42</v>
      </c>
      <c r="C5159" t="s">
        <v>34</v>
      </c>
      <c r="D5159">
        <v>0</v>
      </c>
      <c r="E5159">
        <v>1</v>
      </c>
      <c r="F5159" s="7">
        <v>12438.52</v>
      </c>
      <c r="G5159">
        <v>0</v>
      </c>
      <c r="H5159" s="7">
        <v>0</v>
      </c>
    </row>
    <row r="5160" spans="1:8">
      <c r="A5160">
        <v>5</v>
      </c>
      <c r="B5160" t="s">
        <v>42</v>
      </c>
      <c r="C5160" t="s">
        <v>33</v>
      </c>
      <c r="D5160">
        <v>0</v>
      </c>
      <c r="E5160">
        <v>1</v>
      </c>
      <c r="F5160" s="7">
        <v>5743.03</v>
      </c>
      <c r="G5160">
        <v>0</v>
      </c>
      <c r="H5160" s="7">
        <v>0</v>
      </c>
    </row>
    <row r="5161" spans="1:8">
      <c r="A5161">
        <v>5</v>
      </c>
      <c r="B5161" t="s">
        <v>42</v>
      </c>
      <c r="C5161" t="s">
        <v>32</v>
      </c>
      <c r="D5161">
        <v>0</v>
      </c>
      <c r="E5161">
        <v>1</v>
      </c>
      <c r="F5161" s="7">
        <v>472.71</v>
      </c>
      <c r="G5161">
        <v>0</v>
      </c>
      <c r="H5161" s="7">
        <v>0</v>
      </c>
    </row>
    <row r="5162" spans="1:8">
      <c r="A5162">
        <v>5</v>
      </c>
      <c r="B5162" t="s">
        <v>42</v>
      </c>
      <c r="C5162" t="s">
        <v>33</v>
      </c>
      <c r="D5162">
        <v>0</v>
      </c>
      <c r="E5162">
        <v>1</v>
      </c>
      <c r="F5162" s="7">
        <v>7002.74</v>
      </c>
      <c r="G5162">
        <v>0</v>
      </c>
      <c r="H5162" s="7">
        <v>0</v>
      </c>
    </row>
    <row r="5163" spans="1:8">
      <c r="A5163">
        <v>5</v>
      </c>
      <c r="B5163" t="s">
        <v>42</v>
      </c>
      <c r="C5163" t="s">
        <v>32</v>
      </c>
      <c r="D5163">
        <v>0</v>
      </c>
      <c r="E5163">
        <v>1</v>
      </c>
      <c r="F5163" s="7">
        <v>953.21</v>
      </c>
      <c r="G5163">
        <v>0</v>
      </c>
      <c r="H5163" s="7">
        <v>0</v>
      </c>
    </row>
    <row r="5164" spans="1:8">
      <c r="A5164">
        <v>5</v>
      </c>
      <c r="B5164" t="s">
        <v>42</v>
      </c>
      <c r="C5164" t="s">
        <v>32</v>
      </c>
      <c r="D5164">
        <v>0</v>
      </c>
      <c r="E5164">
        <v>1</v>
      </c>
      <c r="F5164" s="7">
        <v>822.37</v>
      </c>
      <c r="G5164">
        <v>0</v>
      </c>
      <c r="H5164" s="7">
        <v>0</v>
      </c>
    </row>
    <row r="5165" spans="1:8">
      <c r="A5165">
        <v>5</v>
      </c>
      <c r="B5165" t="s">
        <v>42</v>
      </c>
      <c r="C5165" t="s">
        <v>32</v>
      </c>
      <c r="D5165">
        <v>0</v>
      </c>
      <c r="E5165">
        <v>1</v>
      </c>
      <c r="F5165" s="7">
        <v>368.56</v>
      </c>
      <c r="G5165">
        <v>0</v>
      </c>
      <c r="H5165" s="7">
        <v>0</v>
      </c>
    </row>
    <row r="5166" spans="1:8">
      <c r="A5166">
        <v>5</v>
      </c>
      <c r="B5166" t="s">
        <v>43</v>
      </c>
      <c r="C5166" t="s">
        <v>34</v>
      </c>
      <c r="D5166">
        <v>0</v>
      </c>
      <c r="E5166">
        <v>1</v>
      </c>
      <c r="F5166" s="7">
        <v>92036.54</v>
      </c>
      <c r="G5166">
        <v>0</v>
      </c>
      <c r="H5166" s="7">
        <v>0</v>
      </c>
    </row>
    <row r="5167" spans="1:8">
      <c r="A5167">
        <v>5</v>
      </c>
      <c r="B5167" t="s">
        <v>43</v>
      </c>
      <c r="C5167" t="s">
        <v>35</v>
      </c>
      <c r="D5167">
        <v>0</v>
      </c>
      <c r="E5167">
        <v>1</v>
      </c>
      <c r="F5167" s="7">
        <v>166567.98</v>
      </c>
      <c r="G5167">
        <v>0</v>
      </c>
      <c r="H5167" s="7">
        <v>0</v>
      </c>
    </row>
    <row r="5168" spans="1:8">
      <c r="A5168">
        <v>5</v>
      </c>
      <c r="B5168" t="s">
        <v>43</v>
      </c>
      <c r="C5168" t="s">
        <v>36</v>
      </c>
      <c r="D5168">
        <v>0</v>
      </c>
      <c r="E5168">
        <v>1</v>
      </c>
      <c r="F5168" s="7">
        <v>1915470.93</v>
      </c>
      <c r="G5168">
        <v>0</v>
      </c>
      <c r="H5168" s="7">
        <v>0</v>
      </c>
    </row>
    <row r="5169" spans="1:8">
      <c r="A5169">
        <v>5</v>
      </c>
      <c r="B5169" t="s">
        <v>43</v>
      </c>
      <c r="C5169" t="s">
        <v>35</v>
      </c>
      <c r="D5169">
        <v>0</v>
      </c>
      <c r="E5169">
        <v>1</v>
      </c>
      <c r="F5169" s="7">
        <v>339163.04</v>
      </c>
      <c r="G5169">
        <v>0</v>
      </c>
      <c r="H5169" s="7">
        <v>0</v>
      </c>
    </row>
    <row r="5170" spans="1:8">
      <c r="A5170">
        <v>5</v>
      </c>
      <c r="B5170" t="s">
        <v>43</v>
      </c>
      <c r="C5170" t="s">
        <v>34</v>
      </c>
      <c r="D5170">
        <v>0</v>
      </c>
      <c r="E5170">
        <v>1</v>
      </c>
      <c r="F5170" s="7">
        <v>41139.2</v>
      </c>
      <c r="G5170">
        <v>0</v>
      </c>
      <c r="H5170" s="7">
        <v>0</v>
      </c>
    </row>
    <row r="5171" spans="1:8">
      <c r="A5171">
        <v>5</v>
      </c>
      <c r="B5171" t="s">
        <v>43</v>
      </c>
      <c r="C5171" t="s">
        <v>36</v>
      </c>
      <c r="D5171">
        <v>0</v>
      </c>
      <c r="E5171">
        <v>1</v>
      </c>
      <c r="F5171" s="7">
        <v>1716502.82</v>
      </c>
      <c r="G5171">
        <v>0</v>
      </c>
      <c r="H5171" s="7">
        <v>0</v>
      </c>
    </row>
    <row r="5172" spans="1:8">
      <c r="A5172">
        <v>5</v>
      </c>
      <c r="B5172" t="s">
        <v>43</v>
      </c>
      <c r="C5172" t="s">
        <v>36</v>
      </c>
      <c r="D5172">
        <v>0</v>
      </c>
      <c r="E5172">
        <v>1</v>
      </c>
      <c r="F5172" s="7">
        <v>1097510.65</v>
      </c>
      <c r="G5172">
        <v>0</v>
      </c>
      <c r="H5172" s="7">
        <v>0</v>
      </c>
    </row>
    <row r="5173" spans="1:8">
      <c r="A5173">
        <v>5</v>
      </c>
      <c r="B5173" t="s">
        <v>43</v>
      </c>
      <c r="C5173" t="s">
        <v>35</v>
      </c>
      <c r="D5173">
        <v>0</v>
      </c>
      <c r="E5173">
        <v>1</v>
      </c>
      <c r="F5173" s="7">
        <v>103759.56</v>
      </c>
      <c r="G5173">
        <v>0</v>
      </c>
      <c r="H5173" s="7">
        <v>0</v>
      </c>
    </row>
    <row r="5174" spans="1:8">
      <c r="A5174">
        <v>5</v>
      </c>
      <c r="B5174" t="s">
        <v>43</v>
      </c>
      <c r="C5174" t="s">
        <v>34</v>
      </c>
      <c r="D5174">
        <v>0</v>
      </c>
      <c r="E5174">
        <v>1</v>
      </c>
      <c r="F5174" s="7">
        <v>59691.76</v>
      </c>
      <c r="G5174">
        <v>0</v>
      </c>
      <c r="H5174" s="7">
        <v>0</v>
      </c>
    </row>
    <row r="5175" spans="1:8">
      <c r="A5175">
        <v>5</v>
      </c>
      <c r="B5175" t="s">
        <v>42</v>
      </c>
      <c r="C5175" t="s">
        <v>33</v>
      </c>
      <c r="D5175">
        <v>0</v>
      </c>
      <c r="E5175">
        <v>1</v>
      </c>
      <c r="F5175" s="7">
        <v>7561.15</v>
      </c>
      <c r="G5175">
        <v>0</v>
      </c>
      <c r="H5175" s="7">
        <v>0</v>
      </c>
    </row>
    <row r="5176" spans="1:8">
      <c r="A5176">
        <v>5</v>
      </c>
      <c r="B5176" t="s">
        <v>42</v>
      </c>
      <c r="C5176" t="s">
        <v>34</v>
      </c>
      <c r="D5176">
        <v>0</v>
      </c>
      <c r="E5176">
        <v>1</v>
      </c>
      <c r="F5176" s="7">
        <v>25625.94</v>
      </c>
      <c r="G5176">
        <v>0</v>
      </c>
      <c r="H5176" s="7">
        <v>0</v>
      </c>
    </row>
    <row r="5177" spans="1:8">
      <c r="A5177">
        <v>5</v>
      </c>
      <c r="B5177" t="s">
        <v>42</v>
      </c>
      <c r="C5177" t="s">
        <v>33</v>
      </c>
      <c r="D5177">
        <v>0</v>
      </c>
      <c r="E5177">
        <v>1</v>
      </c>
      <c r="F5177" s="7">
        <v>3032.18</v>
      </c>
      <c r="G5177">
        <v>0</v>
      </c>
      <c r="H5177" s="7">
        <v>0</v>
      </c>
    </row>
    <row r="5178" spans="1:8">
      <c r="A5178">
        <v>5</v>
      </c>
      <c r="B5178" t="s">
        <v>42</v>
      </c>
      <c r="C5178" t="s">
        <v>33</v>
      </c>
      <c r="D5178">
        <v>0</v>
      </c>
      <c r="E5178">
        <v>1</v>
      </c>
      <c r="F5178" s="7">
        <v>4758.17</v>
      </c>
      <c r="G5178">
        <v>0</v>
      </c>
      <c r="H5178" s="7">
        <v>0</v>
      </c>
    </row>
    <row r="5179" spans="1:8">
      <c r="A5179">
        <v>5</v>
      </c>
      <c r="B5179" t="s">
        <v>42</v>
      </c>
      <c r="C5179" t="s">
        <v>32</v>
      </c>
      <c r="D5179">
        <v>0</v>
      </c>
      <c r="E5179">
        <v>1</v>
      </c>
      <c r="F5179" s="7">
        <v>538.17</v>
      </c>
      <c r="G5179">
        <v>0</v>
      </c>
      <c r="H5179" s="7">
        <v>0</v>
      </c>
    </row>
    <row r="5180" spans="1:8">
      <c r="A5180">
        <v>5</v>
      </c>
      <c r="B5180" t="s">
        <v>42</v>
      </c>
      <c r="C5180" t="s">
        <v>33</v>
      </c>
      <c r="D5180">
        <v>0</v>
      </c>
      <c r="E5180">
        <v>1</v>
      </c>
      <c r="F5180" s="7">
        <v>3726.93</v>
      </c>
      <c r="G5180">
        <v>0</v>
      </c>
      <c r="H5180" s="7">
        <v>0</v>
      </c>
    </row>
    <row r="5181" spans="1:8">
      <c r="A5181">
        <v>5</v>
      </c>
      <c r="B5181" t="s">
        <v>42</v>
      </c>
      <c r="C5181" t="s">
        <v>34</v>
      </c>
      <c r="D5181">
        <v>0</v>
      </c>
      <c r="E5181">
        <v>1</v>
      </c>
      <c r="F5181" s="7">
        <v>14368.08</v>
      </c>
      <c r="G5181">
        <v>0</v>
      </c>
      <c r="H5181" s="7">
        <v>0</v>
      </c>
    </row>
    <row r="5182" spans="1:8">
      <c r="A5182">
        <v>5</v>
      </c>
      <c r="B5182" t="s">
        <v>42</v>
      </c>
      <c r="C5182" t="s">
        <v>33</v>
      </c>
      <c r="D5182">
        <v>0</v>
      </c>
      <c r="E5182">
        <v>1</v>
      </c>
      <c r="F5182" s="7">
        <v>6079.77</v>
      </c>
      <c r="G5182">
        <v>0</v>
      </c>
      <c r="H5182" s="7">
        <v>0</v>
      </c>
    </row>
    <row r="5183" spans="1:8">
      <c r="A5183">
        <v>5</v>
      </c>
      <c r="B5183" t="s">
        <v>42</v>
      </c>
      <c r="C5183" t="s">
        <v>33</v>
      </c>
      <c r="D5183">
        <v>0</v>
      </c>
      <c r="E5183">
        <v>1</v>
      </c>
      <c r="F5183" s="7">
        <v>5274.02</v>
      </c>
      <c r="G5183">
        <v>0</v>
      </c>
      <c r="H5183" s="7">
        <v>0</v>
      </c>
    </row>
    <row r="5184" spans="1:8">
      <c r="A5184">
        <v>5</v>
      </c>
      <c r="B5184" t="s">
        <v>42</v>
      </c>
      <c r="C5184" t="s">
        <v>33</v>
      </c>
      <c r="D5184">
        <v>0</v>
      </c>
      <c r="E5184">
        <v>1</v>
      </c>
      <c r="F5184" s="7">
        <v>6678.65</v>
      </c>
      <c r="G5184">
        <v>0</v>
      </c>
      <c r="H5184" s="7">
        <v>0</v>
      </c>
    </row>
    <row r="5185" spans="1:8">
      <c r="A5185">
        <v>5</v>
      </c>
      <c r="B5185" t="s">
        <v>45</v>
      </c>
      <c r="C5185" t="s">
        <v>32</v>
      </c>
      <c r="D5185">
        <v>0</v>
      </c>
      <c r="E5185">
        <v>1</v>
      </c>
      <c r="F5185" s="7">
        <v>858.71</v>
      </c>
      <c r="G5185">
        <v>0</v>
      </c>
      <c r="H5185" s="7">
        <v>0</v>
      </c>
    </row>
    <row r="5186" spans="1:8">
      <c r="A5186">
        <v>5</v>
      </c>
      <c r="B5186" t="s">
        <v>42</v>
      </c>
      <c r="C5186" t="s">
        <v>33</v>
      </c>
      <c r="D5186">
        <v>0</v>
      </c>
      <c r="E5186">
        <v>1</v>
      </c>
      <c r="F5186" s="7">
        <v>1405.7</v>
      </c>
      <c r="G5186">
        <v>0</v>
      </c>
      <c r="H5186" s="7">
        <v>0</v>
      </c>
    </row>
    <row r="5187" spans="1:8">
      <c r="A5187">
        <v>5</v>
      </c>
      <c r="B5187" t="s">
        <v>42</v>
      </c>
      <c r="C5187" t="s">
        <v>33</v>
      </c>
      <c r="D5187">
        <v>0</v>
      </c>
      <c r="E5187">
        <v>1</v>
      </c>
      <c r="F5187" s="7">
        <v>2092.99</v>
      </c>
      <c r="G5187">
        <v>0</v>
      </c>
      <c r="H5187" s="7">
        <v>0</v>
      </c>
    </row>
    <row r="5188" spans="1:8">
      <c r="A5188">
        <v>5</v>
      </c>
      <c r="B5188" t="s">
        <v>42</v>
      </c>
      <c r="C5188" t="s">
        <v>33</v>
      </c>
      <c r="D5188">
        <v>0</v>
      </c>
      <c r="E5188">
        <v>1</v>
      </c>
      <c r="F5188" s="7">
        <v>6324.03</v>
      </c>
      <c r="G5188">
        <v>0</v>
      </c>
      <c r="H5188" s="7">
        <v>0</v>
      </c>
    </row>
    <row r="5189" spans="1:8">
      <c r="A5189">
        <v>5</v>
      </c>
      <c r="B5189" t="s">
        <v>42</v>
      </c>
      <c r="C5189" t="s">
        <v>33</v>
      </c>
      <c r="D5189">
        <v>0</v>
      </c>
      <c r="E5189">
        <v>1</v>
      </c>
      <c r="F5189" s="7">
        <v>2399.58</v>
      </c>
      <c r="G5189">
        <v>0</v>
      </c>
      <c r="H5189" s="7">
        <v>0</v>
      </c>
    </row>
    <row r="5190" spans="1:8">
      <c r="A5190">
        <v>5</v>
      </c>
      <c r="B5190" t="s">
        <v>42</v>
      </c>
      <c r="C5190" t="s">
        <v>33</v>
      </c>
      <c r="D5190">
        <v>0</v>
      </c>
      <c r="E5190">
        <v>1</v>
      </c>
      <c r="F5190" s="7">
        <v>3044.66</v>
      </c>
      <c r="G5190">
        <v>0</v>
      </c>
      <c r="H5190" s="7">
        <v>0</v>
      </c>
    </row>
    <row r="5191" spans="1:8">
      <c r="A5191">
        <v>5</v>
      </c>
      <c r="B5191" t="s">
        <v>45</v>
      </c>
      <c r="C5191" t="s">
        <v>33</v>
      </c>
      <c r="D5191">
        <v>0</v>
      </c>
      <c r="E5191">
        <v>1</v>
      </c>
      <c r="F5191" s="7">
        <v>4397.38</v>
      </c>
      <c r="G5191">
        <v>0</v>
      </c>
      <c r="H5191" s="7">
        <v>0</v>
      </c>
    </row>
    <row r="5192" spans="1:8">
      <c r="A5192">
        <v>5</v>
      </c>
      <c r="B5192" t="s">
        <v>42</v>
      </c>
      <c r="C5192" t="s">
        <v>33</v>
      </c>
      <c r="D5192">
        <v>0</v>
      </c>
      <c r="E5192">
        <v>1</v>
      </c>
      <c r="F5192" s="7">
        <v>5304.33</v>
      </c>
      <c r="G5192">
        <v>0</v>
      </c>
      <c r="H5192" s="7">
        <v>0</v>
      </c>
    </row>
    <row r="5193" spans="1:8">
      <c r="A5193">
        <v>5</v>
      </c>
      <c r="B5193" t="s">
        <v>42</v>
      </c>
      <c r="C5193" t="s">
        <v>33</v>
      </c>
      <c r="D5193">
        <v>0</v>
      </c>
      <c r="E5193">
        <v>1</v>
      </c>
      <c r="F5193" s="7">
        <v>5267.26</v>
      </c>
      <c r="G5193">
        <v>0</v>
      </c>
      <c r="H5193" s="7">
        <v>0</v>
      </c>
    </row>
    <row r="5194" spans="1:8">
      <c r="A5194">
        <v>5</v>
      </c>
      <c r="B5194" t="s">
        <v>42</v>
      </c>
      <c r="C5194" t="s">
        <v>33</v>
      </c>
      <c r="D5194">
        <v>0</v>
      </c>
      <c r="E5194">
        <v>1</v>
      </c>
      <c r="F5194" s="7">
        <v>4826.29</v>
      </c>
      <c r="G5194">
        <v>0</v>
      </c>
      <c r="H5194" s="7">
        <v>0</v>
      </c>
    </row>
    <row r="5195" spans="1:8">
      <c r="A5195">
        <v>5</v>
      </c>
      <c r="B5195" t="s">
        <v>42</v>
      </c>
      <c r="C5195" t="s">
        <v>32</v>
      </c>
      <c r="D5195">
        <v>0</v>
      </c>
      <c r="E5195">
        <v>1</v>
      </c>
      <c r="F5195" s="7">
        <v>227.6</v>
      </c>
      <c r="G5195">
        <v>0</v>
      </c>
      <c r="H5195" s="7">
        <v>0</v>
      </c>
    </row>
    <row r="5196" spans="1:8">
      <c r="A5196">
        <v>5</v>
      </c>
      <c r="B5196" t="s">
        <v>42</v>
      </c>
      <c r="C5196" t="s">
        <v>34</v>
      </c>
      <c r="D5196">
        <v>0</v>
      </c>
      <c r="E5196">
        <v>1</v>
      </c>
      <c r="F5196" s="7">
        <v>15920.5</v>
      </c>
      <c r="G5196">
        <v>0</v>
      </c>
      <c r="H5196" s="7">
        <v>0</v>
      </c>
    </row>
    <row r="5197" spans="1:8">
      <c r="A5197">
        <v>5</v>
      </c>
      <c r="B5197" t="s">
        <v>42</v>
      </c>
      <c r="C5197" t="s">
        <v>33</v>
      </c>
      <c r="D5197">
        <v>0</v>
      </c>
      <c r="E5197">
        <v>1</v>
      </c>
      <c r="F5197" s="7">
        <v>3646.47</v>
      </c>
      <c r="G5197">
        <v>0</v>
      </c>
      <c r="H5197" s="7">
        <v>0</v>
      </c>
    </row>
    <row r="5198" spans="1:8">
      <c r="A5198">
        <v>5</v>
      </c>
      <c r="B5198" t="s">
        <v>42</v>
      </c>
      <c r="C5198" t="s">
        <v>33</v>
      </c>
      <c r="D5198">
        <v>0</v>
      </c>
      <c r="E5198">
        <v>1</v>
      </c>
      <c r="F5198" s="7">
        <v>1263.04</v>
      </c>
      <c r="G5198">
        <v>0</v>
      </c>
      <c r="H5198" s="7">
        <v>0</v>
      </c>
    </row>
    <row r="5199" spans="1:8">
      <c r="A5199">
        <v>5</v>
      </c>
      <c r="B5199" t="s">
        <v>42</v>
      </c>
      <c r="C5199" t="s">
        <v>33</v>
      </c>
      <c r="D5199">
        <v>0</v>
      </c>
      <c r="E5199">
        <v>1</v>
      </c>
      <c r="F5199" s="7">
        <v>1808.31</v>
      </c>
      <c r="G5199">
        <v>0</v>
      </c>
      <c r="H5199" s="7">
        <v>0</v>
      </c>
    </row>
    <row r="5200" spans="1:8">
      <c r="A5200">
        <v>5</v>
      </c>
      <c r="B5200" t="s">
        <v>42</v>
      </c>
      <c r="C5200" t="s">
        <v>33</v>
      </c>
      <c r="D5200">
        <v>0</v>
      </c>
      <c r="E5200">
        <v>1</v>
      </c>
      <c r="F5200" s="7">
        <v>8182.9</v>
      </c>
      <c r="G5200">
        <v>0</v>
      </c>
      <c r="H5200" s="7">
        <v>0</v>
      </c>
    </row>
    <row r="5201" spans="1:8">
      <c r="A5201">
        <v>5</v>
      </c>
      <c r="B5201" t="s">
        <v>42</v>
      </c>
      <c r="C5201" t="s">
        <v>32</v>
      </c>
      <c r="D5201">
        <v>0</v>
      </c>
      <c r="E5201">
        <v>1</v>
      </c>
      <c r="F5201" s="7">
        <v>977.36</v>
      </c>
      <c r="G5201">
        <v>0</v>
      </c>
      <c r="H5201" s="7">
        <v>0</v>
      </c>
    </row>
    <row r="5202" spans="1:8">
      <c r="A5202">
        <v>5</v>
      </c>
      <c r="B5202" t="s">
        <v>42</v>
      </c>
      <c r="C5202" t="s">
        <v>33</v>
      </c>
      <c r="D5202">
        <v>0</v>
      </c>
      <c r="E5202">
        <v>1</v>
      </c>
      <c r="F5202" s="7">
        <v>3617</v>
      </c>
      <c r="G5202">
        <v>0</v>
      </c>
      <c r="H5202" s="7">
        <v>0</v>
      </c>
    </row>
    <row r="5203" spans="1:8">
      <c r="A5203">
        <v>5</v>
      </c>
      <c r="B5203" t="s">
        <v>45</v>
      </c>
      <c r="C5203" t="s">
        <v>33</v>
      </c>
      <c r="D5203">
        <v>0</v>
      </c>
      <c r="E5203">
        <v>1</v>
      </c>
      <c r="F5203" s="7">
        <v>2939.48</v>
      </c>
      <c r="G5203">
        <v>0</v>
      </c>
      <c r="H5203" s="7">
        <v>0</v>
      </c>
    </row>
    <row r="5204" spans="1:8">
      <c r="A5204">
        <v>5</v>
      </c>
      <c r="B5204" t="s">
        <v>42</v>
      </c>
      <c r="C5204" t="s">
        <v>33</v>
      </c>
      <c r="D5204">
        <v>0</v>
      </c>
      <c r="E5204">
        <v>1</v>
      </c>
      <c r="F5204" s="7">
        <v>5288.3</v>
      </c>
      <c r="G5204">
        <v>0</v>
      </c>
      <c r="H5204" s="7">
        <v>0</v>
      </c>
    </row>
    <row r="5205" spans="1:8">
      <c r="A5205">
        <v>5</v>
      </c>
      <c r="B5205" t="s">
        <v>42</v>
      </c>
      <c r="C5205" t="s">
        <v>33</v>
      </c>
      <c r="D5205">
        <v>0</v>
      </c>
      <c r="E5205">
        <v>1</v>
      </c>
      <c r="F5205" s="7">
        <v>2716.81</v>
      </c>
      <c r="G5205">
        <v>0</v>
      </c>
      <c r="H5205" s="7">
        <v>0</v>
      </c>
    </row>
    <row r="5206" spans="1:8">
      <c r="A5206">
        <v>5</v>
      </c>
      <c r="B5206" t="s">
        <v>42</v>
      </c>
      <c r="C5206" t="s">
        <v>34</v>
      </c>
      <c r="D5206">
        <v>0</v>
      </c>
      <c r="E5206">
        <v>1</v>
      </c>
      <c r="F5206" s="7">
        <v>20563.52</v>
      </c>
      <c r="G5206">
        <v>0</v>
      </c>
      <c r="H5206" s="7">
        <v>0</v>
      </c>
    </row>
    <row r="5207" spans="1:8">
      <c r="A5207">
        <v>5</v>
      </c>
      <c r="B5207" t="s">
        <v>42</v>
      </c>
      <c r="C5207" t="s">
        <v>34</v>
      </c>
      <c r="D5207">
        <v>0</v>
      </c>
      <c r="E5207">
        <v>1</v>
      </c>
      <c r="F5207" s="7">
        <v>15330.96</v>
      </c>
      <c r="G5207">
        <v>0</v>
      </c>
      <c r="H5207" s="7">
        <v>0</v>
      </c>
    </row>
    <row r="5208" spans="1:8">
      <c r="A5208">
        <v>5</v>
      </c>
      <c r="B5208" t="s">
        <v>42</v>
      </c>
      <c r="C5208" t="s">
        <v>33</v>
      </c>
      <c r="D5208">
        <v>0</v>
      </c>
      <c r="E5208">
        <v>1</v>
      </c>
      <c r="F5208" s="7">
        <v>5435.76</v>
      </c>
      <c r="G5208">
        <v>0</v>
      </c>
      <c r="H5208" s="7">
        <v>0</v>
      </c>
    </row>
    <row r="5209" spans="1:8">
      <c r="A5209">
        <v>5</v>
      </c>
      <c r="B5209" t="s">
        <v>42</v>
      </c>
      <c r="C5209" t="s">
        <v>33</v>
      </c>
      <c r="D5209">
        <v>0</v>
      </c>
      <c r="E5209">
        <v>1</v>
      </c>
      <c r="F5209" s="7">
        <v>9144.91</v>
      </c>
      <c r="G5209">
        <v>0</v>
      </c>
      <c r="H5209" s="7">
        <v>0</v>
      </c>
    </row>
    <row r="5210" spans="1:8">
      <c r="A5210">
        <v>5</v>
      </c>
      <c r="B5210" t="s">
        <v>42</v>
      </c>
      <c r="C5210" t="s">
        <v>32</v>
      </c>
      <c r="D5210">
        <v>0</v>
      </c>
      <c r="E5210">
        <v>1</v>
      </c>
      <c r="F5210" s="7">
        <v>655.16</v>
      </c>
      <c r="G5210">
        <v>0</v>
      </c>
      <c r="H5210" s="7">
        <v>0</v>
      </c>
    </row>
    <row r="5211" spans="1:8">
      <c r="A5211">
        <v>5</v>
      </c>
      <c r="B5211" t="s">
        <v>42</v>
      </c>
      <c r="C5211" t="s">
        <v>32</v>
      </c>
      <c r="D5211">
        <v>0</v>
      </c>
      <c r="E5211">
        <v>1</v>
      </c>
      <c r="F5211" s="7">
        <v>49.61</v>
      </c>
      <c r="G5211">
        <v>0</v>
      </c>
      <c r="H5211" s="7">
        <v>0</v>
      </c>
    </row>
    <row r="5212" spans="1:8">
      <c r="A5212">
        <v>5</v>
      </c>
      <c r="B5212" t="s">
        <v>42</v>
      </c>
      <c r="C5212" t="s">
        <v>34</v>
      </c>
      <c r="D5212">
        <v>0</v>
      </c>
      <c r="E5212">
        <v>1</v>
      </c>
      <c r="F5212" s="7">
        <v>28765.49</v>
      </c>
      <c r="G5212">
        <v>0</v>
      </c>
      <c r="H5212" s="7">
        <v>0</v>
      </c>
    </row>
    <row r="5213" spans="1:8">
      <c r="A5213">
        <v>5</v>
      </c>
      <c r="B5213" t="s">
        <v>42</v>
      </c>
      <c r="C5213" t="s">
        <v>34</v>
      </c>
      <c r="D5213">
        <v>0</v>
      </c>
      <c r="E5213">
        <v>1</v>
      </c>
      <c r="F5213" s="7">
        <v>42355.9</v>
      </c>
      <c r="G5213">
        <v>0</v>
      </c>
      <c r="H5213" s="7">
        <v>0</v>
      </c>
    </row>
    <row r="5214" spans="1:8">
      <c r="A5214">
        <v>5</v>
      </c>
      <c r="B5214" t="s">
        <v>42</v>
      </c>
      <c r="C5214" t="s">
        <v>33</v>
      </c>
      <c r="D5214">
        <v>0</v>
      </c>
      <c r="E5214">
        <v>1</v>
      </c>
      <c r="F5214" s="7">
        <v>1119.39</v>
      </c>
      <c r="G5214">
        <v>0</v>
      </c>
      <c r="H5214" s="7">
        <v>0</v>
      </c>
    </row>
    <row r="5215" spans="1:8">
      <c r="A5215">
        <v>5</v>
      </c>
      <c r="B5215" t="s">
        <v>42</v>
      </c>
      <c r="C5215" t="s">
        <v>34</v>
      </c>
      <c r="D5215">
        <v>0</v>
      </c>
      <c r="E5215">
        <v>1</v>
      </c>
      <c r="F5215" s="7">
        <v>32593.48</v>
      </c>
      <c r="G5215">
        <v>0</v>
      </c>
      <c r="H5215" s="7">
        <v>0</v>
      </c>
    </row>
    <row r="5216" spans="1:8">
      <c r="A5216">
        <v>5</v>
      </c>
      <c r="B5216" t="s">
        <v>42</v>
      </c>
      <c r="C5216" t="s">
        <v>33</v>
      </c>
      <c r="D5216">
        <v>0</v>
      </c>
      <c r="E5216">
        <v>1</v>
      </c>
      <c r="F5216" s="7">
        <v>4121.51</v>
      </c>
      <c r="G5216">
        <v>0</v>
      </c>
      <c r="H5216" s="7">
        <v>0</v>
      </c>
    </row>
    <row r="5217" spans="1:8">
      <c r="A5217">
        <v>5</v>
      </c>
      <c r="B5217" t="s">
        <v>42</v>
      </c>
      <c r="C5217" t="s">
        <v>34</v>
      </c>
      <c r="D5217">
        <v>0</v>
      </c>
      <c r="E5217">
        <v>1</v>
      </c>
      <c r="F5217" s="7">
        <v>16741.22</v>
      </c>
      <c r="G5217">
        <v>0</v>
      </c>
      <c r="H5217" s="7">
        <v>0</v>
      </c>
    </row>
    <row r="5218" spans="1:8">
      <c r="A5218">
        <v>5</v>
      </c>
      <c r="B5218" t="s">
        <v>42</v>
      </c>
      <c r="C5218" t="s">
        <v>33</v>
      </c>
      <c r="D5218">
        <v>0</v>
      </c>
      <c r="E5218">
        <v>1</v>
      </c>
      <c r="F5218" s="7">
        <v>1220.13</v>
      </c>
      <c r="G5218">
        <v>0</v>
      </c>
      <c r="H5218" s="7">
        <v>0</v>
      </c>
    </row>
    <row r="5219" spans="1:8">
      <c r="A5219">
        <v>5</v>
      </c>
      <c r="B5219" t="s">
        <v>42</v>
      </c>
      <c r="C5219" t="s">
        <v>34</v>
      </c>
      <c r="D5219">
        <v>0</v>
      </c>
      <c r="E5219">
        <v>1</v>
      </c>
      <c r="F5219" s="7">
        <v>12702.69</v>
      </c>
      <c r="G5219">
        <v>0</v>
      </c>
      <c r="H5219" s="7">
        <v>0</v>
      </c>
    </row>
    <row r="5220" spans="1:8">
      <c r="A5220">
        <v>5</v>
      </c>
      <c r="B5220" t="s">
        <v>42</v>
      </c>
      <c r="C5220" t="s">
        <v>33</v>
      </c>
      <c r="D5220">
        <v>0</v>
      </c>
      <c r="E5220">
        <v>1</v>
      </c>
      <c r="F5220" s="7">
        <v>4187.93</v>
      </c>
      <c r="G5220">
        <v>0</v>
      </c>
      <c r="H5220" s="7">
        <v>0</v>
      </c>
    </row>
    <row r="5221" spans="1:8">
      <c r="A5221">
        <v>5</v>
      </c>
      <c r="B5221" t="s">
        <v>42</v>
      </c>
      <c r="C5221" t="s">
        <v>33</v>
      </c>
      <c r="D5221">
        <v>0</v>
      </c>
      <c r="E5221">
        <v>1</v>
      </c>
      <c r="F5221" s="7">
        <v>4021.67</v>
      </c>
      <c r="G5221">
        <v>0</v>
      </c>
      <c r="H5221" s="7">
        <v>0</v>
      </c>
    </row>
    <row r="5222" spans="1:8">
      <c r="A5222">
        <v>5</v>
      </c>
      <c r="B5222" t="s">
        <v>42</v>
      </c>
      <c r="C5222" t="s">
        <v>32</v>
      </c>
      <c r="D5222">
        <v>0</v>
      </c>
      <c r="E5222">
        <v>1</v>
      </c>
      <c r="F5222" s="7">
        <v>290.66</v>
      </c>
      <c r="G5222">
        <v>0</v>
      </c>
      <c r="H5222" s="7">
        <v>0</v>
      </c>
    </row>
    <row r="5223" spans="1:8">
      <c r="A5223">
        <v>5</v>
      </c>
      <c r="B5223" t="s">
        <v>42</v>
      </c>
      <c r="C5223" t="s">
        <v>33</v>
      </c>
      <c r="D5223">
        <v>0</v>
      </c>
      <c r="E5223">
        <v>1</v>
      </c>
      <c r="F5223" s="7">
        <v>5290.34</v>
      </c>
      <c r="G5223">
        <v>0</v>
      </c>
      <c r="H5223" s="7">
        <v>0</v>
      </c>
    </row>
    <row r="5224" spans="1:8">
      <c r="A5224">
        <v>5</v>
      </c>
      <c r="B5224" t="s">
        <v>42</v>
      </c>
      <c r="C5224" t="s">
        <v>33</v>
      </c>
      <c r="D5224">
        <v>0</v>
      </c>
      <c r="E5224">
        <v>1</v>
      </c>
      <c r="F5224" s="7">
        <v>3445.14</v>
      </c>
      <c r="G5224">
        <v>0</v>
      </c>
      <c r="H5224" s="7">
        <v>0</v>
      </c>
    </row>
    <row r="5225" spans="1:8">
      <c r="A5225">
        <v>5</v>
      </c>
      <c r="B5225" t="s">
        <v>42</v>
      </c>
      <c r="C5225" t="s">
        <v>34</v>
      </c>
      <c r="D5225">
        <v>0</v>
      </c>
      <c r="E5225">
        <v>1</v>
      </c>
      <c r="F5225" s="7">
        <v>17975.9</v>
      </c>
      <c r="G5225">
        <v>0</v>
      </c>
      <c r="H5225" s="7">
        <v>0</v>
      </c>
    </row>
    <row r="5226" spans="1:8">
      <c r="A5226">
        <v>5</v>
      </c>
      <c r="B5226" t="s">
        <v>42</v>
      </c>
      <c r="C5226" t="s">
        <v>33</v>
      </c>
      <c r="D5226">
        <v>0</v>
      </c>
      <c r="E5226">
        <v>1</v>
      </c>
      <c r="F5226" s="7">
        <v>4177.38</v>
      </c>
      <c r="G5226">
        <v>0</v>
      </c>
      <c r="H5226" s="7">
        <v>0</v>
      </c>
    </row>
    <row r="5227" spans="1:8">
      <c r="A5227">
        <v>5</v>
      </c>
      <c r="B5227" t="s">
        <v>42</v>
      </c>
      <c r="C5227" t="s">
        <v>32</v>
      </c>
      <c r="D5227">
        <v>0</v>
      </c>
      <c r="E5227">
        <v>1</v>
      </c>
      <c r="F5227" s="7">
        <v>530.4</v>
      </c>
      <c r="G5227">
        <v>0</v>
      </c>
      <c r="H5227" s="7">
        <v>0</v>
      </c>
    </row>
    <row r="5228" spans="1:8">
      <c r="A5228">
        <v>5</v>
      </c>
      <c r="B5228" t="s">
        <v>42</v>
      </c>
      <c r="C5228" t="s">
        <v>34</v>
      </c>
      <c r="D5228">
        <v>0</v>
      </c>
      <c r="E5228">
        <v>1</v>
      </c>
      <c r="F5228" s="7">
        <v>35994.44</v>
      </c>
      <c r="G5228">
        <v>0</v>
      </c>
      <c r="H5228" s="7">
        <v>0</v>
      </c>
    </row>
    <row r="5229" spans="1:8">
      <c r="A5229">
        <v>5</v>
      </c>
      <c r="B5229" t="s">
        <v>42</v>
      </c>
      <c r="C5229" t="s">
        <v>34</v>
      </c>
      <c r="D5229">
        <v>0</v>
      </c>
      <c r="E5229">
        <v>1</v>
      </c>
      <c r="F5229" s="7">
        <v>16184.43</v>
      </c>
      <c r="G5229">
        <v>0</v>
      </c>
      <c r="H5229" s="7">
        <v>0</v>
      </c>
    </row>
    <row r="5230" spans="1:8">
      <c r="A5230">
        <v>5</v>
      </c>
      <c r="B5230" t="s">
        <v>42</v>
      </c>
      <c r="C5230" t="s">
        <v>33</v>
      </c>
      <c r="D5230">
        <v>0</v>
      </c>
      <c r="E5230">
        <v>1</v>
      </c>
      <c r="F5230" s="7">
        <v>5909.55</v>
      </c>
      <c r="G5230">
        <v>0</v>
      </c>
      <c r="H5230" s="7">
        <v>0</v>
      </c>
    </row>
    <row r="5231" spans="1:8">
      <c r="A5231">
        <v>5</v>
      </c>
      <c r="B5231" t="s">
        <v>42</v>
      </c>
      <c r="C5231" t="s">
        <v>33</v>
      </c>
      <c r="D5231">
        <v>0</v>
      </c>
      <c r="E5231">
        <v>1</v>
      </c>
      <c r="F5231" s="7">
        <v>5379.76</v>
      </c>
      <c r="G5231">
        <v>0</v>
      </c>
      <c r="H5231" s="7">
        <v>0</v>
      </c>
    </row>
    <row r="5232" spans="1:8">
      <c r="A5232">
        <v>5</v>
      </c>
      <c r="B5232" t="s">
        <v>42</v>
      </c>
      <c r="C5232" t="s">
        <v>33</v>
      </c>
      <c r="D5232">
        <v>0</v>
      </c>
      <c r="E5232">
        <v>1</v>
      </c>
      <c r="F5232" s="7">
        <v>3592.05</v>
      </c>
      <c r="G5232">
        <v>0</v>
      </c>
      <c r="H5232" s="7">
        <v>0</v>
      </c>
    </row>
    <row r="5233" spans="1:8">
      <c r="A5233">
        <v>5</v>
      </c>
      <c r="B5233" t="s">
        <v>42</v>
      </c>
      <c r="C5233" t="s">
        <v>33</v>
      </c>
      <c r="D5233">
        <v>0</v>
      </c>
      <c r="E5233">
        <v>1</v>
      </c>
      <c r="F5233" s="7">
        <v>7643.08</v>
      </c>
      <c r="G5233">
        <v>0</v>
      </c>
      <c r="H5233" s="7">
        <v>0</v>
      </c>
    </row>
    <row r="5234" spans="1:8">
      <c r="A5234">
        <v>5</v>
      </c>
      <c r="B5234" t="s">
        <v>42</v>
      </c>
      <c r="C5234" t="s">
        <v>33</v>
      </c>
      <c r="D5234">
        <v>0</v>
      </c>
      <c r="E5234">
        <v>1</v>
      </c>
      <c r="F5234" s="7">
        <v>2098.34</v>
      </c>
      <c r="G5234">
        <v>0</v>
      </c>
      <c r="H5234" s="7">
        <v>0</v>
      </c>
    </row>
    <row r="5235" spans="1:8">
      <c r="A5235">
        <v>5</v>
      </c>
      <c r="B5235" t="s">
        <v>42</v>
      </c>
      <c r="C5235" t="s">
        <v>33</v>
      </c>
      <c r="D5235">
        <v>0</v>
      </c>
      <c r="E5235">
        <v>1</v>
      </c>
      <c r="F5235" s="7">
        <v>5278.65</v>
      </c>
      <c r="G5235">
        <v>0</v>
      </c>
      <c r="H5235" s="7">
        <v>0</v>
      </c>
    </row>
    <row r="5236" spans="1:8">
      <c r="A5236">
        <v>5</v>
      </c>
      <c r="B5236" t="s">
        <v>42</v>
      </c>
      <c r="C5236" t="s">
        <v>33</v>
      </c>
      <c r="D5236">
        <v>0</v>
      </c>
      <c r="E5236">
        <v>1</v>
      </c>
      <c r="F5236" s="7">
        <v>3674.62</v>
      </c>
      <c r="G5236">
        <v>0</v>
      </c>
      <c r="H5236" s="7">
        <v>0</v>
      </c>
    </row>
    <row r="5237" spans="1:8">
      <c r="A5237">
        <v>5</v>
      </c>
      <c r="B5237" t="s">
        <v>42</v>
      </c>
      <c r="C5237" t="s">
        <v>32</v>
      </c>
      <c r="D5237">
        <v>0</v>
      </c>
      <c r="E5237">
        <v>1</v>
      </c>
      <c r="F5237" s="7">
        <v>4.36</v>
      </c>
      <c r="G5237">
        <v>0</v>
      </c>
      <c r="H5237" s="7">
        <v>0</v>
      </c>
    </row>
    <row r="5238" spans="1:8">
      <c r="A5238">
        <v>5</v>
      </c>
      <c r="B5238" t="s">
        <v>42</v>
      </c>
      <c r="C5238" t="s">
        <v>33</v>
      </c>
      <c r="D5238">
        <v>0</v>
      </c>
      <c r="E5238">
        <v>1</v>
      </c>
      <c r="F5238" s="7">
        <v>1460.16</v>
      </c>
      <c r="G5238">
        <v>0</v>
      </c>
      <c r="H5238" s="7">
        <v>0</v>
      </c>
    </row>
    <row r="5239" spans="1:8">
      <c r="A5239">
        <v>5</v>
      </c>
      <c r="B5239" t="s">
        <v>42</v>
      </c>
      <c r="C5239" t="s">
        <v>33</v>
      </c>
      <c r="D5239">
        <v>0</v>
      </c>
      <c r="E5239">
        <v>1</v>
      </c>
      <c r="F5239" s="7">
        <v>6130.56</v>
      </c>
      <c r="G5239">
        <v>0</v>
      </c>
      <c r="H5239" s="7">
        <v>0</v>
      </c>
    </row>
    <row r="5240" spans="1:8">
      <c r="A5240">
        <v>5</v>
      </c>
      <c r="B5240" t="s">
        <v>42</v>
      </c>
      <c r="C5240" t="s">
        <v>33</v>
      </c>
      <c r="D5240">
        <v>0</v>
      </c>
      <c r="E5240">
        <v>1</v>
      </c>
      <c r="F5240" s="7">
        <v>7006.43</v>
      </c>
      <c r="G5240">
        <v>0</v>
      </c>
      <c r="H5240" s="7">
        <v>0</v>
      </c>
    </row>
    <row r="5241" spans="1:8">
      <c r="A5241">
        <v>5</v>
      </c>
      <c r="B5241" t="s">
        <v>42</v>
      </c>
      <c r="C5241" t="s">
        <v>33</v>
      </c>
      <c r="D5241">
        <v>0</v>
      </c>
      <c r="E5241">
        <v>1</v>
      </c>
      <c r="F5241" s="7">
        <v>5379.9</v>
      </c>
      <c r="G5241">
        <v>0</v>
      </c>
      <c r="H5241" s="7">
        <v>0</v>
      </c>
    </row>
    <row r="5242" spans="1:8">
      <c r="A5242">
        <v>5</v>
      </c>
      <c r="B5242" t="s">
        <v>42</v>
      </c>
      <c r="C5242" t="s">
        <v>33</v>
      </c>
      <c r="D5242">
        <v>0</v>
      </c>
      <c r="E5242">
        <v>1</v>
      </c>
      <c r="F5242" s="7">
        <v>3549.66</v>
      </c>
      <c r="G5242">
        <v>0</v>
      </c>
      <c r="H5242" s="7">
        <v>0</v>
      </c>
    </row>
    <row r="5243" spans="1:8">
      <c r="A5243">
        <v>5</v>
      </c>
      <c r="B5243" t="s">
        <v>45</v>
      </c>
      <c r="C5243" t="s">
        <v>32</v>
      </c>
      <c r="D5243">
        <v>0</v>
      </c>
      <c r="E5243">
        <v>1</v>
      </c>
      <c r="F5243" s="7">
        <v>543.21</v>
      </c>
      <c r="G5243">
        <v>0</v>
      </c>
      <c r="H5243" s="7">
        <v>0</v>
      </c>
    </row>
    <row r="5244" spans="1:8">
      <c r="A5244">
        <v>5</v>
      </c>
      <c r="B5244" t="s">
        <v>42</v>
      </c>
      <c r="C5244" t="s">
        <v>33</v>
      </c>
      <c r="D5244">
        <v>0</v>
      </c>
      <c r="E5244">
        <v>1</v>
      </c>
      <c r="F5244" s="7">
        <v>5073.8</v>
      </c>
      <c r="G5244">
        <v>0</v>
      </c>
      <c r="H5244" s="7">
        <v>0</v>
      </c>
    </row>
    <row r="5245" spans="1:8">
      <c r="A5245">
        <v>5</v>
      </c>
      <c r="B5245" t="s">
        <v>42</v>
      </c>
      <c r="C5245" t="s">
        <v>33</v>
      </c>
      <c r="D5245">
        <v>0</v>
      </c>
      <c r="E5245">
        <v>1</v>
      </c>
      <c r="F5245" s="7">
        <v>2808.11</v>
      </c>
      <c r="G5245">
        <v>0</v>
      </c>
      <c r="H5245" s="7">
        <v>0</v>
      </c>
    </row>
    <row r="5246" spans="1:8">
      <c r="A5246">
        <v>5</v>
      </c>
      <c r="B5246" t="s">
        <v>42</v>
      </c>
      <c r="C5246" t="s">
        <v>33</v>
      </c>
      <c r="D5246">
        <v>0</v>
      </c>
      <c r="E5246">
        <v>1</v>
      </c>
      <c r="F5246" s="7">
        <v>1292.63</v>
      </c>
      <c r="G5246">
        <v>0</v>
      </c>
      <c r="H5246" s="7">
        <v>0</v>
      </c>
    </row>
    <row r="5247" spans="1:8">
      <c r="A5247">
        <v>5</v>
      </c>
      <c r="B5247" t="s">
        <v>42</v>
      </c>
      <c r="C5247" t="s">
        <v>33</v>
      </c>
      <c r="D5247">
        <v>0</v>
      </c>
      <c r="E5247">
        <v>1</v>
      </c>
      <c r="F5247" s="7">
        <v>5172.58</v>
      </c>
      <c r="G5247">
        <v>0</v>
      </c>
      <c r="H5247" s="7">
        <v>0</v>
      </c>
    </row>
    <row r="5248" spans="1:8">
      <c r="A5248">
        <v>5</v>
      </c>
      <c r="B5248" t="s">
        <v>42</v>
      </c>
      <c r="C5248" t="s">
        <v>34</v>
      </c>
      <c r="D5248">
        <v>0</v>
      </c>
      <c r="E5248">
        <v>1</v>
      </c>
      <c r="F5248" s="7">
        <v>26891.86</v>
      </c>
      <c r="G5248">
        <v>0</v>
      </c>
      <c r="H5248" s="7">
        <v>0</v>
      </c>
    </row>
    <row r="5249" spans="1:8">
      <c r="A5249">
        <v>5</v>
      </c>
      <c r="B5249" t="s">
        <v>42</v>
      </c>
      <c r="C5249" t="s">
        <v>33</v>
      </c>
      <c r="D5249">
        <v>0</v>
      </c>
      <c r="E5249">
        <v>1</v>
      </c>
      <c r="F5249" s="7">
        <v>7796.39</v>
      </c>
      <c r="G5249">
        <v>0</v>
      </c>
      <c r="H5249" s="7">
        <v>0</v>
      </c>
    </row>
    <row r="5250" spans="1:8">
      <c r="A5250">
        <v>5</v>
      </c>
      <c r="B5250" t="s">
        <v>42</v>
      </c>
      <c r="C5250" t="s">
        <v>33</v>
      </c>
      <c r="D5250">
        <v>0</v>
      </c>
      <c r="E5250">
        <v>1</v>
      </c>
      <c r="F5250" s="7">
        <v>2588.64</v>
      </c>
      <c r="G5250">
        <v>0</v>
      </c>
      <c r="H5250" s="7">
        <v>0</v>
      </c>
    </row>
    <row r="5251" spans="1:8">
      <c r="A5251">
        <v>5</v>
      </c>
      <c r="B5251" t="s">
        <v>42</v>
      </c>
      <c r="C5251" t="s">
        <v>33</v>
      </c>
      <c r="D5251">
        <v>0</v>
      </c>
      <c r="E5251">
        <v>1</v>
      </c>
      <c r="F5251" s="7">
        <v>6507.26</v>
      </c>
      <c r="G5251">
        <v>0</v>
      </c>
      <c r="H5251" s="7">
        <v>0</v>
      </c>
    </row>
    <row r="5252" spans="1:8">
      <c r="A5252">
        <v>5</v>
      </c>
      <c r="B5252" t="s">
        <v>42</v>
      </c>
      <c r="C5252" t="s">
        <v>33</v>
      </c>
      <c r="D5252">
        <v>0</v>
      </c>
      <c r="E5252">
        <v>1</v>
      </c>
      <c r="F5252" s="7">
        <v>3600.19</v>
      </c>
      <c r="G5252">
        <v>0</v>
      </c>
      <c r="H5252" s="7">
        <v>0</v>
      </c>
    </row>
    <row r="5253" spans="1:8">
      <c r="A5253">
        <v>5</v>
      </c>
      <c r="B5253" t="s">
        <v>42</v>
      </c>
      <c r="C5253" t="s">
        <v>33</v>
      </c>
      <c r="D5253">
        <v>0</v>
      </c>
      <c r="E5253">
        <v>1</v>
      </c>
      <c r="F5253" s="7">
        <v>1282.59</v>
      </c>
      <c r="G5253">
        <v>0</v>
      </c>
      <c r="H5253" s="7">
        <v>0</v>
      </c>
    </row>
    <row r="5254" spans="1:8">
      <c r="A5254">
        <v>5</v>
      </c>
      <c r="B5254" t="s">
        <v>43</v>
      </c>
      <c r="C5254" t="s">
        <v>34</v>
      </c>
      <c r="D5254">
        <v>0</v>
      </c>
      <c r="E5254">
        <v>1</v>
      </c>
      <c r="F5254" s="7">
        <v>40975.4</v>
      </c>
      <c r="G5254">
        <v>0</v>
      </c>
      <c r="H5254" s="7">
        <v>0</v>
      </c>
    </row>
    <row r="5255" spans="1:8">
      <c r="A5255">
        <v>5</v>
      </c>
      <c r="B5255" t="s">
        <v>42</v>
      </c>
      <c r="C5255" t="s">
        <v>33</v>
      </c>
      <c r="D5255">
        <v>0</v>
      </c>
      <c r="E5255">
        <v>1</v>
      </c>
      <c r="F5255" s="7">
        <v>1481.02</v>
      </c>
      <c r="G5255">
        <v>0</v>
      </c>
      <c r="H5255" s="7">
        <v>0</v>
      </c>
    </row>
    <row r="5256" spans="1:8">
      <c r="A5256">
        <v>5</v>
      </c>
      <c r="B5256" t="s">
        <v>42</v>
      </c>
      <c r="C5256" t="s">
        <v>32</v>
      </c>
      <c r="D5256">
        <v>0</v>
      </c>
      <c r="E5256">
        <v>1</v>
      </c>
      <c r="F5256" s="7">
        <v>650.48</v>
      </c>
      <c r="G5256">
        <v>0</v>
      </c>
      <c r="H5256" s="7">
        <v>0</v>
      </c>
    </row>
    <row r="5257" spans="1:8">
      <c r="A5257">
        <v>5</v>
      </c>
      <c r="B5257" t="s">
        <v>42</v>
      </c>
      <c r="C5257" t="s">
        <v>32</v>
      </c>
      <c r="D5257">
        <v>0</v>
      </c>
      <c r="E5257">
        <v>1</v>
      </c>
      <c r="F5257" s="7">
        <v>972.33</v>
      </c>
      <c r="G5257">
        <v>0</v>
      </c>
      <c r="H5257" s="7">
        <v>0</v>
      </c>
    </row>
    <row r="5258" spans="1:8">
      <c r="A5258">
        <v>5</v>
      </c>
      <c r="B5258" t="s">
        <v>42</v>
      </c>
      <c r="C5258" t="s">
        <v>32</v>
      </c>
      <c r="D5258">
        <v>0</v>
      </c>
      <c r="E5258">
        <v>1</v>
      </c>
      <c r="F5258" s="7">
        <v>583.01</v>
      </c>
      <c r="G5258">
        <v>0</v>
      </c>
      <c r="H5258" s="7">
        <v>0</v>
      </c>
    </row>
    <row r="5259" spans="1:8">
      <c r="A5259">
        <v>5</v>
      </c>
      <c r="B5259" t="s">
        <v>43</v>
      </c>
      <c r="C5259" t="s">
        <v>35</v>
      </c>
      <c r="D5259">
        <v>0</v>
      </c>
      <c r="E5259">
        <v>1</v>
      </c>
      <c r="F5259" s="7">
        <v>169448.37</v>
      </c>
      <c r="G5259">
        <v>0</v>
      </c>
      <c r="H5259" s="7">
        <v>0</v>
      </c>
    </row>
    <row r="5260" spans="1:8">
      <c r="A5260">
        <v>5</v>
      </c>
      <c r="B5260" t="s">
        <v>42</v>
      </c>
      <c r="C5260" t="s">
        <v>33</v>
      </c>
      <c r="D5260">
        <v>0</v>
      </c>
      <c r="E5260">
        <v>1</v>
      </c>
      <c r="F5260" s="7">
        <v>3992.52</v>
      </c>
      <c r="G5260">
        <v>0</v>
      </c>
      <c r="H5260" s="7">
        <v>0</v>
      </c>
    </row>
    <row r="5261" spans="1:8">
      <c r="A5261">
        <v>5</v>
      </c>
      <c r="B5261" t="s">
        <v>42</v>
      </c>
      <c r="C5261" t="s">
        <v>33</v>
      </c>
      <c r="D5261">
        <v>0</v>
      </c>
      <c r="E5261">
        <v>1</v>
      </c>
      <c r="F5261" s="7">
        <v>8169.21</v>
      </c>
      <c r="G5261">
        <v>0</v>
      </c>
      <c r="H5261" s="7">
        <v>0</v>
      </c>
    </row>
    <row r="5262" spans="1:8">
      <c r="A5262">
        <v>5</v>
      </c>
      <c r="B5262" t="s">
        <v>42</v>
      </c>
      <c r="C5262" t="s">
        <v>33</v>
      </c>
      <c r="D5262">
        <v>0</v>
      </c>
      <c r="E5262">
        <v>1</v>
      </c>
      <c r="F5262" s="7">
        <v>4379.13</v>
      </c>
      <c r="G5262">
        <v>0</v>
      </c>
      <c r="H5262" s="7">
        <v>0</v>
      </c>
    </row>
    <row r="5263" spans="1:8">
      <c r="A5263">
        <v>5</v>
      </c>
      <c r="B5263" t="s">
        <v>42</v>
      </c>
      <c r="C5263" t="s">
        <v>33</v>
      </c>
      <c r="D5263">
        <v>0</v>
      </c>
      <c r="E5263">
        <v>1</v>
      </c>
      <c r="F5263" s="7">
        <v>1130.38</v>
      </c>
      <c r="G5263">
        <v>0</v>
      </c>
      <c r="H5263" s="7">
        <v>0</v>
      </c>
    </row>
    <row r="5264" spans="1:8">
      <c r="A5264">
        <v>5</v>
      </c>
      <c r="B5264" t="s">
        <v>42</v>
      </c>
      <c r="C5264" t="s">
        <v>33</v>
      </c>
      <c r="D5264">
        <v>0</v>
      </c>
      <c r="E5264">
        <v>1</v>
      </c>
      <c r="F5264" s="7">
        <v>9231.24</v>
      </c>
      <c r="G5264">
        <v>0</v>
      </c>
      <c r="H5264" s="7">
        <v>0</v>
      </c>
    </row>
    <row r="5265" spans="1:8">
      <c r="A5265">
        <v>5</v>
      </c>
      <c r="B5265" t="s">
        <v>42</v>
      </c>
      <c r="C5265" t="s">
        <v>33</v>
      </c>
      <c r="D5265">
        <v>0</v>
      </c>
      <c r="E5265">
        <v>1</v>
      </c>
      <c r="F5265" s="7">
        <v>1859.1</v>
      </c>
      <c r="G5265">
        <v>0</v>
      </c>
      <c r="H5265" s="7">
        <v>0</v>
      </c>
    </row>
    <row r="5266" spans="1:8">
      <c r="A5266">
        <v>5</v>
      </c>
      <c r="B5266" t="s">
        <v>42</v>
      </c>
      <c r="C5266" t="s">
        <v>33</v>
      </c>
      <c r="D5266">
        <v>0</v>
      </c>
      <c r="E5266">
        <v>1</v>
      </c>
      <c r="F5266" s="7">
        <v>1948.6</v>
      </c>
      <c r="G5266">
        <v>0</v>
      </c>
      <c r="H5266" s="7">
        <v>0</v>
      </c>
    </row>
    <row r="5267" spans="1:8">
      <c r="A5267">
        <v>5</v>
      </c>
      <c r="B5267" t="s">
        <v>42</v>
      </c>
      <c r="C5267" t="s">
        <v>33</v>
      </c>
      <c r="D5267">
        <v>0</v>
      </c>
      <c r="E5267">
        <v>1</v>
      </c>
      <c r="F5267" s="7">
        <v>4727.31</v>
      </c>
      <c r="G5267">
        <v>0</v>
      </c>
      <c r="H5267" s="7">
        <v>0</v>
      </c>
    </row>
    <row r="5268" spans="1:8">
      <c r="A5268">
        <v>5</v>
      </c>
      <c r="B5268" t="s">
        <v>44</v>
      </c>
      <c r="C5268" t="s">
        <v>35</v>
      </c>
      <c r="D5268">
        <v>0</v>
      </c>
      <c r="E5268">
        <v>1</v>
      </c>
      <c r="F5268" s="7">
        <v>142634.17</v>
      </c>
      <c r="G5268">
        <v>0</v>
      </c>
      <c r="H5268" s="7">
        <v>0</v>
      </c>
    </row>
    <row r="5269" spans="1:8">
      <c r="A5269">
        <v>5</v>
      </c>
      <c r="B5269" t="s">
        <v>42</v>
      </c>
      <c r="C5269" t="s">
        <v>33</v>
      </c>
      <c r="D5269">
        <v>0</v>
      </c>
      <c r="E5269">
        <v>1</v>
      </c>
      <c r="F5269" s="7">
        <v>1123.06</v>
      </c>
      <c r="G5269">
        <v>0</v>
      </c>
      <c r="H5269" s="7">
        <v>0</v>
      </c>
    </row>
    <row r="5270" spans="1:8">
      <c r="A5270">
        <v>5</v>
      </c>
      <c r="B5270" t="s">
        <v>42</v>
      </c>
      <c r="C5270" t="s">
        <v>33</v>
      </c>
      <c r="D5270">
        <v>0</v>
      </c>
      <c r="E5270">
        <v>1</v>
      </c>
      <c r="F5270" s="7">
        <v>1550.75</v>
      </c>
      <c r="G5270">
        <v>0</v>
      </c>
      <c r="H5270" s="7">
        <v>0</v>
      </c>
    </row>
    <row r="5271" spans="1:8">
      <c r="A5271">
        <v>5</v>
      </c>
      <c r="B5271" t="s">
        <v>45</v>
      </c>
      <c r="C5271" t="s">
        <v>33</v>
      </c>
      <c r="D5271">
        <v>0</v>
      </c>
      <c r="E5271">
        <v>1</v>
      </c>
      <c r="F5271" s="7">
        <v>2503.29</v>
      </c>
      <c r="G5271">
        <v>0</v>
      </c>
      <c r="H5271" s="7">
        <v>0</v>
      </c>
    </row>
    <row r="5272" spans="1:8">
      <c r="A5272">
        <v>5</v>
      </c>
      <c r="B5272" t="s">
        <v>43</v>
      </c>
      <c r="C5272" t="s">
        <v>34</v>
      </c>
      <c r="D5272">
        <v>0</v>
      </c>
      <c r="E5272">
        <v>1</v>
      </c>
      <c r="F5272" s="7">
        <v>71741.21</v>
      </c>
      <c r="G5272">
        <v>0</v>
      </c>
      <c r="H5272" s="7">
        <v>0</v>
      </c>
    </row>
    <row r="5273" spans="1:8">
      <c r="A5273">
        <v>5</v>
      </c>
      <c r="B5273" t="s">
        <v>42</v>
      </c>
      <c r="C5273" t="s">
        <v>33</v>
      </c>
      <c r="D5273">
        <v>0</v>
      </c>
      <c r="E5273">
        <v>1</v>
      </c>
      <c r="F5273" s="7">
        <v>1627.82</v>
      </c>
      <c r="G5273">
        <v>0</v>
      </c>
      <c r="H5273" s="7">
        <v>0</v>
      </c>
    </row>
    <row r="5274" spans="1:8">
      <c r="A5274">
        <v>5</v>
      </c>
      <c r="B5274" t="s">
        <v>42</v>
      </c>
      <c r="C5274" t="s">
        <v>33</v>
      </c>
      <c r="D5274">
        <v>0</v>
      </c>
      <c r="E5274">
        <v>1</v>
      </c>
      <c r="F5274" s="7">
        <v>3263.86</v>
      </c>
      <c r="G5274">
        <v>0</v>
      </c>
      <c r="H5274" s="7">
        <v>0</v>
      </c>
    </row>
    <row r="5275" spans="1:8">
      <c r="A5275">
        <v>5</v>
      </c>
      <c r="B5275" t="s">
        <v>42</v>
      </c>
      <c r="C5275" t="s">
        <v>33</v>
      </c>
      <c r="D5275">
        <v>0</v>
      </c>
      <c r="E5275">
        <v>1</v>
      </c>
      <c r="F5275" s="7">
        <v>2283.56</v>
      </c>
      <c r="G5275">
        <v>0</v>
      </c>
      <c r="H5275" s="7">
        <v>0</v>
      </c>
    </row>
    <row r="5276" spans="1:8">
      <c r="A5276">
        <v>5</v>
      </c>
      <c r="B5276" t="s">
        <v>42</v>
      </c>
      <c r="C5276" t="s">
        <v>33</v>
      </c>
      <c r="D5276">
        <v>0</v>
      </c>
      <c r="E5276">
        <v>1</v>
      </c>
      <c r="F5276" s="7">
        <v>5188.61</v>
      </c>
      <c r="G5276">
        <v>0</v>
      </c>
      <c r="H5276" s="7">
        <v>0</v>
      </c>
    </row>
    <row r="5277" spans="1:8">
      <c r="A5277">
        <v>5</v>
      </c>
      <c r="B5277" t="s">
        <v>45</v>
      </c>
      <c r="C5277" t="s">
        <v>32</v>
      </c>
      <c r="D5277">
        <v>0</v>
      </c>
      <c r="E5277">
        <v>1</v>
      </c>
      <c r="F5277" s="7">
        <v>700.89</v>
      </c>
      <c r="G5277">
        <v>0</v>
      </c>
      <c r="H5277" s="7">
        <v>0</v>
      </c>
    </row>
    <row r="5278" spans="1:8">
      <c r="A5278">
        <v>5</v>
      </c>
      <c r="B5278" t="s">
        <v>42</v>
      </c>
      <c r="C5278" t="s">
        <v>34</v>
      </c>
      <c r="D5278">
        <v>0</v>
      </c>
      <c r="E5278">
        <v>1</v>
      </c>
      <c r="F5278" s="7">
        <v>10940.74</v>
      </c>
      <c r="G5278">
        <v>0</v>
      </c>
      <c r="H5278" s="7">
        <v>0</v>
      </c>
    </row>
    <row r="5279" spans="1:8">
      <c r="A5279">
        <v>5</v>
      </c>
      <c r="B5279" t="s">
        <v>43</v>
      </c>
      <c r="C5279" t="s">
        <v>34</v>
      </c>
      <c r="D5279">
        <v>0</v>
      </c>
      <c r="E5279">
        <v>1</v>
      </c>
      <c r="F5279" s="7">
        <v>43479.45</v>
      </c>
      <c r="G5279">
        <v>0</v>
      </c>
      <c r="H5279" s="7">
        <v>0</v>
      </c>
    </row>
    <row r="5280" spans="1:8">
      <c r="A5280">
        <v>5</v>
      </c>
      <c r="B5280" t="s">
        <v>42</v>
      </c>
      <c r="C5280" t="s">
        <v>33</v>
      </c>
      <c r="D5280">
        <v>0</v>
      </c>
      <c r="E5280">
        <v>1</v>
      </c>
      <c r="F5280" s="7">
        <v>3509.48</v>
      </c>
      <c r="G5280">
        <v>0</v>
      </c>
      <c r="H5280" s="7">
        <v>0</v>
      </c>
    </row>
    <row r="5281" spans="1:8">
      <c r="A5281">
        <v>5</v>
      </c>
      <c r="B5281" t="s">
        <v>42</v>
      </c>
      <c r="C5281" t="s">
        <v>33</v>
      </c>
      <c r="D5281">
        <v>0</v>
      </c>
      <c r="E5281">
        <v>1</v>
      </c>
      <c r="F5281" s="7">
        <v>2466.6</v>
      </c>
      <c r="G5281">
        <v>0</v>
      </c>
      <c r="H5281" s="7">
        <v>0</v>
      </c>
    </row>
    <row r="5282" spans="1:8">
      <c r="A5282">
        <v>5</v>
      </c>
      <c r="B5282" t="s">
        <v>42</v>
      </c>
      <c r="C5282" t="s">
        <v>33</v>
      </c>
      <c r="D5282">
        <v>0</v>
      </c>
      <c r="E5282">
        <v>1</v>
      </c>
      <c r="F5282" s="7">
        <v>1871.25</v>
      </c>
      <c r="G5282">
        <v>0</v>
      </c>
      <c r="H5282" s="7">
        <v>0</v>
      </c>
    </row>
    <row r="5283" spans="1:8">
      <c r="A5283">
        <v>5</v>
      </c>
      <c r="B5283" t="s">
        <v>42</v>
      </c>
      <c r="C5283" t="s">
        <v>33</v>
      </c>
      <c r="D5283">
        <v>0</v>
      </c>
      <c r="E5283">
        <v>1</v>
      </c>
      <c r="F5283" s="7">
        <v>2224.36</v>
      </c>
      <c r="G5283">
        <v>0</v>
      </c>
      <c r="H5283" s="7">
        <v>0</v>
      </c>
    </row>
    <row r="5284" spans="1:8">
      <c r="A5284">
        <v>5</v>
      </c>
      <c r="B5284" t="s">
        <v>42</v>
      </c>
      <c r="C5284" t="s">
        <v>33</v>
      </c>
      <c r="D5284">
        <v>0</v>
      </c>
      <c r="E5284">
        <v>1</v>
      </c>
      <c r="F5284" s="7">
        <v>1315.93</v>
      </c>
      <c r="G5284">
        <v>0</v>
      </c>
      <c r="H5284" s="7">
        <v>0</v>
      </c>
    </row>
    <row r="5285" spans="1:8">
      <c r="A5285">
        <v>5</v>
      </c>
      <c r="B5285" t="s">
        <v>45</v>
      </c>
      <c r="C5285" t="s">
        <v>33</v>
      </c>
      <c r="D5285">
        <v>0</v>
      </c>
      <c r="E5285">
        <v>1</v>
      </c>
      <c r="F5285" s="7">
        <v>1831.16</v>
      </c>
      <c r="G5285">
        <v>0</v>
      </c>
      <c r="H5285" s="7">
        <v>0</v>
      </c>
    </row>
    <row r="5286" spans="1:8">
      <c r="A5286">
        <v>5</v>
      </c>
      <c r="B5286" t="s">
        <v>45</v>
      </c>
      <c r="C5286" t="s">
        <v>33</v>
      </c>
      <c r="D5286">
        <v>0</v>
      </c>
      <c r="E5286">
        <v>1</v>
      </c>
      <c r="F5286" s="7">
        <v>2329.14</v>
      </c>
      <c r="G5286">
        <v>0</v>
      </c>
      <c r="H5286" s="7">
        <v>0</v>
      </c>
    </row>
    <row r="5287" spans="1:8">
      <c r="A5287">
        <v>5</v>
      </c>
      <c r="B5287" t="s">
        <v>42</v>
      </c>
      <c r="C5287" t="s">
        <v>33</v>
      </c>
      <c r="D5287">
        <v>0</v>
      </c>
      <c r="E5287">
        <v>1</v>
      </c>
      <c r="F5287" s="7">
        <v>1319.42</v>
      </c>
      <c r="G5287">
        <v>0</v>
      </c>
      <c r="H5287" s="7">
        <v>0</v>
      </c>
    </row>
    <row r="5288" spans="1:8">
      <c r="A5288">
        <v>5</v>
      </c>
      <c r="B5288" t="s">
        <v>42</v>
      </c>
      <c r="C5288" t="s">
        <v>32</v>
      </c>
      <c r="D5288">
        <v>0</v>
      </c>
      <c r="E5288">
        <v>1</v>
      </c>
      <c r="F5288" s="7">
        <v>518.1</v>
      </c>
      <c r="G5288">
        <v>0</v>
      </c>
      <c r="H5288" s="7">
        <v>0</v>
      </c>
    </row>
    <row r="5289" spans="1:8">
      <c r="A5289">
        <v>5</v>
      </c>
      <c r="B5289" t="s">
        <v>42</v>
      </c>
      <c r="C5289" t="s">
        <v>32</v>
      </c>
      <c r="D5289">
        <v>0</v>
      </c>
      <c r="E5289">
        <v>1</v>
      </c>
      <c r="F5289" s="7">
        <v>494.64</v>
      </c>
      <c r="G5289">
        <v>0</v>
      </c>
      <c r="H5289" s="7">
        <v>0</v>
      </c>
    </row>
    <row r="5290" spans="1:8">
      <c r="A5290">
        <v>5</v>
      </c>
      <c r="B5290" t="s">
        <v>42</v>
      </c>
      <c r="C5290" t="s">
        <v>33</v>
      </c>
      <c r="D5290">
        <v>0</v>
      </c>
      <c r="E5290">
        <v>1</v>
      </c>
      <c r="F5290" s="7">
        <v>7873.13</v>
      </c>
      <c r="G5290">
        <v>0</v>
      </c>
      <c r="H5290" s="7">
        <v>0</v>
      </c>
    </row>
    <row r="5291" spans="1:8">
      <c r="A5291">
        <v>5</v>
      </c>
      <c r="B5291" t="s">
        <v>42</v>
      </c>
      <c r="C5291" t="s">
        <v>33</v>
      </c>
      <c r="D5291">
        <v>0</v>
      </c>
      <c r="E5291">
        <v>1</v>
      </c>
      <c r="F5291" s="7">
        <v>4510.15</v>
      </c>
      <c r="G5291">
        <v>0</v>
      </c>
      <c r="H5291" s="7">
        <v>0</v>
      </c>
    </row>
    <row r="5292" spans="1:8">
      <c r="A5292">
        <v>5</v>
      </c>
      <c r="B5292" t="s">
        <v>42</v>
      </c>
      <c r="C5292" t="s">
        <v>33</v>
      </c>
      <c r="D5292">
        <v>0</v>
      </c>
      <c r="E5292">
        <v>1</v>
      </c>
      <c r="F5292" s="7">
        <v>4426.72</v>
      </c>
      <c r="G5292">
        <v>0</v>
      </c>
      <c r="H5292" s="7">
        <v>0</v>
      </c>
    </row>
    <row r="5293" spans="1:8">
      <c r="A5293">
        <v>5</v>
      </c>
      <c r="B5293" t="s">
        <v>42</v>
      </c>
      <c r="C5293" t="s">
        <v>33</v>
      </c>
      <c r="D5293">
        <v>0</v>
      </c>
      <c r="E5293">
        <v>1</v>
      </c>
      <c r="F5293" s="7">
        <v>3003.85</v>
      </c>
      <c r="G5293">
        <v>0</v>
      </c>
      <c r="H5293" s="7">
        <v>0</v>
      </c>
    </row>
    <row r="5294" spans="1:8">
      <c r="A5294">
        <v>5</v>
      </c>
      <c r="B5294" t="s">
        <v>43</v>
      </c>
      <c r="C5294" t="s">
        <v>35</v>
      </c>
      <c r="D5294">
        <v>0</v>
      </c>
      <c r="E5294">
        <v>1</v>
      </c>
      <c r="F5294" s="7">
        <v>179651.4</v>
      </c>
      <c r="G5294">
        <v>0</v>
      </c>
      <c r="H5294" s="7">
        <v>0</v>
      </c>
    </row>
    <row r="5295" spans="1:8">
      <c r="A5295">
        <v>5</v>
      </c>
      <c r="B5295" t="s">
        <v>42</v>
      </c>
      <c r="C5295" t="s">
        <v>34</v>
      </c>
      <c r="D5295">
        <v>0</v>
      </c>
      <c r="E5295">
        <v>1</v>
      </c>
      <c r="F5295" s="7">
        <v>18067.41</v>
      </c>
      <c r="G5295">
        <v>0</v>
      </c>
      <c r="H5295" s="7">
        <v>0</v>
      </c>
    </row>
    <row r="5296" spans="1:8">
      <c r="A5296">
        <v>5</v>
      </c>
      <c r="B5296" t="s">
        <v>42</v>
      </c>
      <c r="C5296" t="s">
        <v>33</v>
      </c>
      <c r="D5296">
        <v>0</v>
      </c>
      <c r="E5296">
        <v>1</v>
      </c>
      <c r="F5296" s="7">
        <v>5666.41</v>
      </c>
      <c r="G5296">
        <v>0</v>
      </c>
      <c r="H5296" s="7">
        <v>0</v>
      </c>
    </row>
    <row r="5297" spans="1:8">
      <c r="A5297">
        <v>5</v>
      </c>
      <c r="B5297" t="s">
        <v>42</v>
      </c>
      <c r="C5297" t="s">
        <v>33</v>
      </c>
      <c r="D5297">
        <v>0</v>
      </c>
      <c r="E5297">
        <v>1</v>
      </c>
      <c r="F5297" s="7">
        <v>7496.64</v>
      </c>
      <c r="G5297">
        <v>0</v>
      </c>
      <c r="H5297" s="7">
        <v>0</v>
      </c>
    </row>
    <row r="5298" spans="1:8">
      <c r="A5298">
        <v>5</v>
      </c>
      <c r="B5298" t="s">
        <v>42</v>
      </c>
      <c r="C5298" t="s">
        <v>33</v>
      </c>
      <c r="D5298">
        <v>0</v>
      </c>
      <c r="E5298">
        <v>1</v>
      </c>
      <c r="F5298" s="7">
        <v>6902.52</v>
      </c>
      <c r="G5298">
        <v>0</v>
      </c>
      <c r="H5298" s="7">
        <v>0</v>
      </c>
    </row>
    <row r="5299" spans="1:8">
      <c r="A5299">
        <v>5</v>
      </c>
      <c r="B5299" t="s">
        <v>42</v>
      </c>
      <c r="C5299" t="s">
        <v>33</v>
      </c>
      <c r="D5299">
        <v>0</v>
      </c>
      <c r="E5299">
        <v>1</v>
      </c>
      <c r="F5299" s="7">
        <v>6351.38</v>
      </c>
      <c r="G5299">
        <v>0</v>
      </c>
      <c r="H5299" s="7">
        <v>0</v>
      </c>
    </row>
    <row r="5300" spans="1:8">
      <c r="A5300">
        <v>5</v>
      </c>
      <c r="B5300" t="s">
        <v>42</v>
      </c>
      <c r="C5300" t="s">
        <v>32</v>
      </c>
      <c r="D5300">
        <v>0</v>
      </c>
      <c r="E5300">
        <v>1</v>
      </c>
      <c r="F5300" s="7">
        <v>187.48</v>
      </c>
      <c r="G5300">
        <v>0</v>
      </c>
      <c r="H5300" s="7">
        <v>0</v>
      </c>
    </row>
    <row r="5301" spans="1:8">
      <c r="A5301">
        <v>5</v>
      </c>
      <c r="B5301" t="s">
        <v>42</v>
      </c>
      <c r="C5301" t="s">
        <v>32</v>
      </c>
      <c r="D5301">
        <v>0</v>
      </c>
      <c r="E5301">
        <v>1</v>
      </c>
      <c r="F5301" s="7">
        <v>774.62</v>
      </c>
      <c r="G5301">
        <v>0</v>
      </c>
      <c r="H5301" s="7">
        <v>0</v>
      </c>
    </row>
    <row r="5302" spans="1:8">
      <c r="A5302">
        <v>5</v>
      </c>
      <c r="B5302" t="s">
        <v>42</v>
      </c>
      <c r="C5302" t="s">
        <v>34</v>
      </c>
      <c r="D5302">
        <v>0</v>
      </c>
      <c r="E5302">
        <v>1</v>
      </c>
      <c r="F5302" s="7">
        <v>16475.34</v>
      </c>
      <c r="G5302">
        <v>0</v>
      </c>
      <c r="H5302" s="7">
        <v>0</v>
      </c>
    </row>
    <row r="5303" spans="1:8">
      <c r="A5303">
        <v>5</v>
      </c>
      <c r="B5303" t="s">
        <v>42</v>
      </c>
      <c r="C5303" t="s">
        <v>34</v>
      </c>
      <c r="D5303">
        <v>0</v>
      </c>
      <c r="E5303">
        <v>1</v>
      </c>
      <c r="F5303" s="7">
        <v>10576.89</v>
      </c>
      <c r="G5303">
        <v>0</v>
      </c>
      <c r="H5303" s="7">
        <v>0</v>
      </c>
    </row>
    <row r="5304" spans="1:8">
      <c r="A5304">
        <v>5</v>
      </c>
      <c r="B5304" t="s">
        <v>42</v>
      </c>
      <c r="C5304" t="s">
        <v>33</v>
      </c>
      <c r="D5304">
        <v>0</v>
      </c>
      <c r="E5304">
        <v>1</v>
      </c>
      <c r="F5304" s="7">
        <v>1553.21</v>
      </c>
      <c r="G5304">
        <v>0</v>
      </c>
      <c r="H5304" s="7">
        <v>0</v>
      </c>
    </row>
    <row r="5305" spans="1:8">
      <c r="A5305">
        <v>5</v>
      </c>
      <c r="B5305" t="s">
        <v>42</v>
      </c>
      <c r="C5305" t="s">
        <v>33</v>
      </c>
      <c r="D5305">
        <v>0</v>
      </c>
      <c r="E5305">
        <v>1</v>
      </c>
      <c r="F5305" s="7">
        <v>3508.93</v>
      </c>
      <c r="G5305">
        <v>0</v>
      </c>
      <c r="H5305" s="7">
        <v>0</v>
      </c>
    </row>
    <row r="5306" spans="1:8">
      <c r="A5306">
        <v>5</v>
      </c>
      <c r="B5306" t="s">
        <v>42</v>
      </c>
      <c r="C5306" t="s">
        <v>32</v>
      </c>
      <c r="D5306">
        <v>0</v>
      </c>
      <c r="E5306">
        <v>1</v>
      </c>
      <c r="F5306" s="7">
        <v>415.98</v>
      </c>
      <c r="G5306">
        <v>0</v>
      </c>
      <c r="H5306" s="7">
        <v>0</v>
      </c>
    </row>
    <row r="5307" spans="1:8">
      <c r="A5307">
        <v>5</v>
      </c>
      <c r="B5307" t="s">
        <v>42</v>
      </c>
      <c r="C5307" t="s">
        <v>33</v>
      </c>
      <c r="D5307">
        <v>0</v>
      </c>
      <c r="E5307">
        <v>1</v>
      </c>
      <c r="F5307" s="7">
        <v>1281.34</v>
      </c>
      <c r="G5307">
        <v>0</v>
      </c>
      <c r="H5307" s="7">
        <v>0</v>
      </c>
    </row>
    <row r="5308" spans="1:8">
      <c r="A5308">
        <v>5</v>
      </c>
      <c r="B5308" t="s">
        <v>42</v>
      </c>
      <c r="C5308" t="s">
        <v>32</v>
      </c>
      <c r="D5308">
        <v>0</v>
      </c>
      <c r="E5308">
        <v>1</v>
      </c>
      <c r="F5308" s="7">
        <v>462.23</v>
      </c>
      <c r="G5308">
        <v>0</v>
      </c>
      <c r="H5308" s="7">
        <v>0</v>
      </c>
    </row>
    <row r="5309" spans="1:8">
      <c r="A5309">
        <v>5</v>
      </c>
      <c r="B5309" t="s">
        <v>44</v>
      </c>
      <c r="C5309" t="s">
        <v>35</v>
      </c>
      <c r="D5309">
        <v>0</v>
      </c>
      <c r="E5309">
        <v>1</v>
      </c>
      <c r="F5309" s="7">
        <v>173210.02</v>
      </c>
      <c r="G5309">
        <v>0</v>
      </c>
      <c r="H5309" s="7">
        <v>0</v>
      </c>
    </row>
    <row r="5310" spans="1:8">
      <c r="A5310">
        <v>5</v>
      </c>
      <c r="B5310" t="s">
        <v>44</v>
      </c>
      <c r="C5310" t="s">
        <v>35</v>
      </c>
      <c r="D5310">
        <v>0</v>
      </c>
      <c r="E5310">
        <v>1</v>
      </c>
      <c r="F5310" s="7">
        <v>138480.68</v>
      </c>
      <c r="G5310">
        <v>0</v>
      </c>
      <c r="H5310" s="7">
        <v>0</v>
      </c>
    </row>
    <row r="5311" spans="1:8">
      <c r="A5311">
        <v>5</v>
      </c>
      <c r="B5311" t="s">
        <v>42</v>
      </c>
      <c r="C5311" t="s">
        <v>32</v>
      </c>
      <c r="D5311">
        <v>0</v>
      </c>
      <c r="E5311">
        <v>1</v>
      </c>
      <c r="F5311" s="7">
        <v>774.48</v>
      </c>
      <c r="G5311">
        <v>0</v>
      </c>
      <c r="H5311" s="7">
        <v>0</v>
      </c>
    </row>
    <row r="5312" spans="1:8">
      <c r="A5312">
        <v>5</v>
      </c>
      <c r="B5312" t="s">
        <v>42</v>
      </c>
      <c r="C5312" t="s">
        <v>33</v>
      </c>
      <c r="D5312">
        <v>0</v>
      </c>
      <c r="E5312">
        <v>1</v>
      </c>
      <c r="F5312" s="7">
        <v>9479.49</v>
      </c>
      <c r="G5312">
        <v>0</v>
      </c>
      <c r="H5312" s="7">
        <v>0</v>
      </c>
    </row>
    <row r="5313" spans="1:8">
      <c r="A5313">
        <v>5</v>
      </c>
      <c r="B5313" t="s">
        <v>42</v>
      </c>
      <c r="C5313" t="s">
        <v>33</v>
      </c>
      <c r="D5313">
        <v>0</v>
      </c>
      <c r="E5313">
        <v>1</v>
      </c>
      <c r="F5313" s="7">
        <v>1438.63</v>
      </c>
      <c r="G5313">
        <v>0</v>
      </c>
      <c r="H5313" s="7">
        <v>0</v>
      </c>
    </row>
    <row r="5314" spans="1:8">
      <c r="A5314">
        <v>5</v>
      </c>
      <c r="B5314" t="s">
        <v>42</v>
      </c>
      <c r="C5314" t="s">
        <v>33</v>
      </c>
      <c r="D5314">
        <v>0</v>
      </c>
      <c r="E5314">
        <v>1</v>
      </c>
      <c r="F5314" s="7">
        <v>1925.08</v>
      </c>
      <c r="G5314">
        <v>0</v>
      </c>
      <c r="H5314" s="7">
        <v>0</v>
      </c>
    </row>
    <row r="5315" spans="1:8">
      <c r="A5315">
        <v>5</v>
      </c>
      <c r="B5315" t="s">
        <v>42</v>
      </c>
      <c r="C5315" t="s">
        <v>33</v>
      </c>
      <c r="D5315">
        <v>0</v>
      </c>
      <c r="E5315">
        <v>1</v>
      </c>
      <c r="F5315" s="7">
        <v>2057.11</v>
      </c>
      <c r="G5315">
        <v>0</v>
      </c>
      <c r="H5315" s="7">
        <v>0</v>
      </c>
    </row>
    <row r="5316" spans="1:8">
      <c r="A5316">
        <v>5</v>
      </c>
      <c r="B5316" t="s">
        <v>42</v>
      </c>
      <c r="C5316" t="s">
        <v>33</v>
      </c>
      <c r="D5316">
        <v>0</v>
      </c>
      <c r="E5316">
        <v>1</v>
      </c>
      <c r="F5316" s="7">
        <v>2224.41</v>
      </c>
      <c r="G5316">
        <v>0</v>
      </c>
      <c r="H5316" s="7">
        <v>0</v>
      </c>
    </row>
    <row r="5317" spans="1:8">
      <c r="A5317">
        <v>5</v>
      </c>
      <c r="B5317" t="s">
        <v>44</v>
      </c>
      <c r="C5317" t="s">
        <v>35</v>
      </c>
      <c r="D5317">
        <v>0</v>
      </c>
      <c r="E5317">
        <v>1</v>
      </c>
      <c r="F5317" s="7">
        <v>272045.87</v>
      </c>
      <c r="G5317">
        <v>0</v>
      </c>
      <c r="H5317" s="7">
        <v>0</v>
      </c>
    </row>
    <row r="5318" spans="1:8">
      <c r="A5318">
        <v>5</v>
      </c>
      <c r="B5318" t="s">
        <v>42</v>
      </c>
      <c r="C5318" t="s">
        <v>33</v>
      </c>
      <c r="D5318">
        <v>0</v>
      </c>
      <c r="E5318">
        <v>1</v>
      </c>
      <c r="F5318" s="7">
        <v>2515.55</v>
      </c>
      <c r="G5318">
        <v>0</v>
      </c>
      <c r="H5318" s="7">
        <v>0</v>
      </c>
    </row>
    <row r="5319" spans="1:8">
      <c r="A5319">
        <v>5</v>
      </c>
      <c r="B5319" t="s">
        <v>42</v>
      </c>
      <c r="C5319" t="s">
        <v>33</v>
      </c>
      <c r="D5319">
        <v>0</v>
      </c>
      <c r="E5319">
        <v>1</v>
      </c>
      <c r="F5319" s="7">
        <v>2803.61</v>
      </c>
      <c r="G5319">
        <v>0</v>
      </c>
      <c r="H5319" s="7">
        <v>0</v>
      </c>
    </row>
    <row r="5320" spans="1:8">
      <c r="A5320">
        <v>5</v>
      </c>
      <c r="B5320" t="s">
        <v>42</v>
      </c>
      <c r="C5320" t="s">
        <v>33</v>
      </c>
      <c r="D5320">
        <v>0</v>
      </c>
      <c r="E5320">
        <v>1</v>
      </c>
      <c r="F5320" s="7">
        <v>8847.07</v>
      </c>
      <c r="G5320">
        <v>0</v>
      </c>
      <c r="H5320" s="7">
        <v>0</v>
      </c>
    </row>
    <row r="5321" spans="1:8">
      <c r="A5321">
        <v>5</v>
      </c>
      <c r="B5321" t="s">
        <v>42</v>
      </c>
      <c r="C5321" t="s">
        <v>33</v>
      </c>
      <c r="D5321">
        <v>0</v>
      </c>
      <c r="E5321">
        <v>1</v>
      </c>
      <c r="F5321" s="7">
        <v>5089.69</v>
      </c>
      <c r="G5321">
        <v>0</v>
      </c>
      <c r="H5321" s="7">
        <v>0</v>
      </c>
    </row>
    <row r="5322" spans="1:8">
      <c r="A5322">
        <v>5</v>
      </c>
      <c r="B5322" t="s">
        <v>42</v>
      </c>
      <c r="C5322" t="s">
        <v>34</v>
      </c>
      <c r="D5322">
        <v>0</v>
      </c>
      <c r="E5322">
        <v>1</v>
      </c>
      <c r="F5322" s="7">
        <v>27655.2</v>
      </c>
      <c r="G5322">
        <v>0</v>
      </c>
      <c r="H5322" s="7">
        <v>0</v>
      </c>
    </row>
    <row r="5323" spans="1:8">
      <c r="A5323">
        <v>5</v>
      </c>
      <c r="B5323" t="s">
        <v>42</v>
      </c>
      <c r="C5323" t="s">
        <v>33</v>
      </c>
      <c r="D5323">
        <v>0</v>
      </c>
      <c r="E5323">
        <v>1</v>
      </c>
      <c r="F5323" s="7">
        <v>4754.82</v>
      </c>
      <c r="G5323">
        <v>0</v>
      </c>
      <c r="H5323" s="7">
        <v>0</v>
      </c>
    </row>
    <row r="5324" spans="1:8">
      <c r="A5324">
        <v>5</v>
      </c>
      <c r="B5324" t="s">
        <v>43</v>
      </c>
      <c r="C5324" t="s">
        <v>35</v>
      </c>
      <c r="D5324">
        <v>0</v>
      </c>
      <c r="E5324">
        <v>1</v>
      </c>
      <c r="F5324" s="7">
        <v>132427.3</v>
      </c>
      <c r="G5324">
        <v>0</v>
      </c>
      <c r="H5324" s="7">
        <v>0</v>
      </c>
    </row>
    <row r="5325" spans="1:8">
      <c r="A5325">
        <v>5</v>
      </c>
      <c r="B5325" t="s">
        <v>44</v>
      </c>
      <c r="C5325" t="s">
        <v>35</v>
      </c>
      <c r="D5325">
        <v>0</v>
      </c>
      <c r="E5325">
        <v>1</v>
      </c>
      <c r="F5325" s="7">
        <v>180009.7</v>
      </c>
      <c r="G5325">
        <v>0</v>
      </c>
      <c r="H5325" s="7">
        <v>0</v>
      </c>
    </row>
    <row r="5326" spans="1:8">
      <c r="A5326">
        <v>5</v>
      </c>
      <c r="B5326" t="s">
        <v>42</v>
      </c>
      <c r="C5326" t="s">
        <v>32</v>
      </c>
      <c r="D5326">
        <v>0</v>
      </c>
      <c r="E5326">
        <v>1</v>
      </c>
      <c r="F5326" s="7">
        <v>852.95</v>
      </c>
      <c r="G5326">
        <v>0</v>
      </c>
      <c r="H5326" s="7">
        <v>0</v>
      </c>
    </row>
    <row r="5327" spans="1:8">
      <c r="A5327">
        <v>5</v>
      </c>
      <c r="B5327" t="s">
        <v>42</v>
      </c>
      <c r="C5327" t="s">
        <v>33</v>
      </c>
      <c r="D5327">
        <v>0</v>
      </c>
      <c r="E5327">
        <v>1</v>
      </c>
      <c r="F5327" s="7">
        <v>4392.73</v>
      </c>
      <c r="G5327">
        <v>0</v>
      </c>
      <c r="H5327" s="7">
        <v>0</v>
      </c>
    </row>
    <row r="5328" spans="1:8">
      <c r="A5328">
        <v>5</v>
      </c>
      <c r="B5328" t="s">
        <v>43</v>
      </c>
      <c r="C5328" t="s">
        <v>35</v>
      </c>
      <c r="D5328">
        <v>0</v>
      </c>
      <c r="E5328">
        <v>1</v>
      </c>
      <c r="F5328" s="7">
        <v>268571.64</v>
      </c>
      <c r="G5328">
        <v>0</v>
      </c>
      <c r="H5328" s="7">
        <v>0</v>
      </c>
    </row>
    <row r="5329" spans="1:8">
      <c r="A5329">
        <v>5</v>
      </c>
      <c r="B5329" t="s">
        <v>42</v>
      </c>
      <c r="C5329" t="s">
        <v>33</v>
      </c>
      <c r="D5329">
        <v>0</v>
      </c>
      <c r="E5329">
        <v>1</v>
      </c>
      <c r="F5329" s="7">
        <v>8479.04</v>
      </c>
      <c r="G5329">
        <v>0</v>
      </c>
      <c r="H5329" s="7">
        <v>0</v>
      </c>
    </row>
    <row r="5330" spans="1:8">
      <c r="A5330">
        <v>5</v>
      </c>
      <c r="B5330" t="s">
        <v>42</v>
      </c>
      <c r="C5330" t="s">
        <v>33</v>
      </c>
      <c r="D5330">
        <v>0</v>
      </c>
      <c r="E5330">
        <v>1</v>
      </c>
      <c r="F5330" s="7">
        <v>3833.36</v>
      </c>
      <c r="G5330">
        <v>0</v>
      </c>
      <c r="H5330" s="7">
        <v>0</v>
      </c>
    </row>
    <row r="5331" spans="1:8">
      <c r="A5331">
        <v>5</v>
      </c>
      <c r="B5331" t="s">
        <v>43</v>
      </c>
      <c r="C5331" t="s">
        <v>35</v>
      </c>
      <c r="D5331">
        <v>0</v>
      </c>
      <c r="E5331">
        <v>1</v>
      </c>
      <c r="F5331" s="7">
        <v>134294.1</v>
      </c>
      <c r="G5331">
        <v>0</v>
      </c>
      <c r="H5331" s="7">
        <v>0</v>
      </c>
    </row>
    <row r="5332" spans="1:8">
      <c r="A5332">
        <v>5</v>
      </c>
      <c r="B5332" t="s">
        <v>45</v>
      </c>
      <c r="C5332" t="s">
        <v>33</v>
      </c>
      <c r="D5332">
        <v>0</v>
      </c>
      <c r="E5332">
        <v>1</v>
      </c>
      <c r="F5332" s="7">
        <v>3092.94</v>
      </c>
      <c r="G5332">
        <v>0</v>
      </c>
      <c r="H5332" s="7">
        <v>0</v>
      </c>
    </row>
    <row r="5333" spans="1:8">
      <c r="A5333">
        <v>5</v>
      </c>
      <c r="B5333" t="s">
        <v>42</v>
      </c>
      <c r="C5333" t="s">
        <v>34</v>
      </c>
      <c r="D5333">
        <v>0</v>
      </c>
      <c r="E5333">
        <v>1</v>
      </c>
      <c r="F5333" s="7">
        <v>30981.44</v>
      </c>
      <c r="G5333">
        <v>0</v>
      </c>
      <c r="H5333" s="7">
        <v>0</v>
      </c>
    </row>
    <row r="5334" spans="1:8">
      <c r="A5334">
        <v>5</v>
      </c>
      <c r="B5334" t="s">
        <v>42</v>
      </c>
      <c r="C5334" t="s">
        <v>33</v>
      </c>
      <c r="D5334">
        <v>0</v>
      </c>
      <c r="E5334">
        <v>1</v>
      </c>
      <c r="F5334" s="7">
        <v>4532.37</v>
      </c>
      <c r="G5334">
        <v>0</v>
      </c>
      <c r="H5334" s="7">
        <v>0</v>
      </c>
    </row>
    <row r="5335" spans="1:8">
      <c r="A5335">
        <v>5</v>
      </c>
      <c r="B5335" t="s">
        <v>42</v>
      </c>
      <c r="C5335" t="s">
        <v>33</v>
      </c>
      <c r="D5335">
        <v>0</v>
      </c>
      <c r="E5335">
        <v>1</v>
      </c>
      <c r="F5335" s="7">
        <v>3016.29</v>
      </c>
      <c r="G5335">
        <v>0</v>
      </c>
      <c r="H5335" s="7">
        <v>0</v>
      </c>
    </row>
    <row r="5336" spans="1:8">
      <c r="A5336">
        <v>5</v>
      </c>
      <c r="B5336" t="s">
        <v>42</v>
      </c>
      <c r="C5336" t="s">
        <v>33</v>
      </c>
      <c r="D5336">
        <v>0</v>
      </c>
      <c r="E5336">
        <v>1</v>
      </c>
      <c r="F5336" s="7">
        <v>1903.52</v>
      </c>
      <c r="G5336">
        <v>0</v>
      </c>
      <c r="H5336" s="7">
        <v>0</v>
      </c>
    </row>
    <row r="5337" spans="1:8">
      <c r="A5337">
        <v>5</v>
      </c>
      <c r="B5337" t="s">
        <v>43</v>
      </c>
      <c r="C5337" t="s">
        <v>34</v>
      </c>
      <c r="D5337">
        <v>0</v>
      </c>
      <c r="E5337">
        <v>1</v>
      </c>
      <c r="F5337" s="7">
        <v>72825.75</v>
      </c>
      <c r="G5337">
        <v>0</v>
      </c>
      <c r="H5337" s="7">
        <v>0</v>
      </c>
    </row>
    <row r="5338" spans="1:8">
      <c r="A5338">
        <v>5</v>
      </c>
      <c r="B5338" t="s">
        <v>42</v>
      </c>
      <c r="C5338" t="s">
        <v>33</v>
      </c>
      <c r="D5338">
        <v>0</v>
      </c>
      <c r="E5338">
        <v>1</v>
      </c>
      <c r="F5338" s="7">
        <v>4026.05</v>
      </c>
      <c r="G5338">
        <v>0</v>
      </c>
      <c r="H5338" s="7">
        <v>0</v>
      </c>
    </row>
    <row r="5339" spans="1:8">
      <c r="A5339">
        <v>5</v>
      </c>
      <c r="B5339" t="s">
        <v>45</v>
      </c>
      <c r="C5339" t="s">
        <v>33</v>
      </c>
      <c r="D5339">
        <v>0</v>
      </c>
      <c r="E5339">
        <v>1</v>
      </c>
      <c r="F5339" s="7">
        <v>2298.7</v>
      </c>
      <c r="G5339">
        <v>0</v>
      </c>
      <c r="H5339" s="7">
        <v>0</v>
      </c>
    </row>
    <row r="5340" spans="1:8">
      <c r="A5340">
        <v>5</v>
      </c>
      <c r="B5340" t="s">
        <v>42</v>
      </c>
      <c r="C5340" t="s">
        <v>32</v>
      </c>
      <c r="D5340">
        <v>0</v>
      </c>
      <c r="E5340">
        <v>1</v>
      </c>
      <c r="F5340" s="7">
        <v>263.87</v>
      </c>
      <c r="G5340">
        <v>0</v>
      </c>
      <c r="H5340" s="7">
        <v>0</v>
      </c>
    </row>
    <row r="5341" spans="1:8">
      <c r="A5341">
        <v>5</v>
      </c>
      <c r="B5341" t="s">
        <v>42</v>
      </c>
      <c r="C5341" t="s">
        <v>33</v>
      </c>
      <c r="D5341">
        <v>0</v>
      </c>
      <c r="E5341">
        <v>1</v>
      </c>
      <c r="F5341" s="7">
        <v>7798.4</v>
      </c>
      <c r="G5341">
        <v>0</v>
      </c>
      <c r="H5341" s="7">
        <v>0</v>
      </c>
    </row>
    <row r="5342" spans="1:8">
      <c r="A5342">
        <v>5</v>
      </c>
      <c r="B5342" t="s">
        <v>42</v>
      </c>
      <c r="C5342" t="s">
        <v>33</v>
      </c>
      <c r="D5342">
        <v>0</v>
      </c>
      <c r="E5342">
        <v>1</v>
      </c>
      <c r="F5342" s="7">
        <v>4112.38</v>
      </c>
      <c r="G5342">
        <v>0</v>
      </c>
      <c r="H5342" s="7">
        <v>0</v>
      </c>
    </row>
    <row r="5343" spans="1:8">
      <c r="A5343">
        <v>5</v>
      </c>
      <c r="B5343" t="s">
        <v>42</v>
      </c>
      <c r="C5343" t="s">
        <v>33</v>
      </c>
      <c r="D5343">
        <v>0</v>
      </c>
      <c r="E5343">
        <v>1</v>
      </c>
      <c r="F5343" s="7">
        <v>6204.45</v>
      </c>
      <c r="G5343">
        <v>0</v>
      </c>
      <c r="H5343" s="7">
        <v>0</v>
      </c>
    </row>
    <row r="5344" spans="1:8">
      <c r="A5344">
        <v>5</v>
      </c>
      <c r="B5344" t="s">
        <v>42</v>
      </c>
      <c r="C5344" t="s">
        <v>33</v>
      </c>
      <c r="D5344">
        <v>0</v>
      </c>
      <c r="E5344">
        <v>1</v>
      </c>
      <c r="F5344" s="7">
        <v>1754.73</v>
      </c>
      <c r="G5344">
        <v>0</v>
      </c>
      <c r="H5344" s="7">
        <v>0</v>
      </c>
    </row>
    <row r="5345" spans="1:8">
      <c r="A5345">
        <v>5</v>
      </c>
      <c r="B5345" t="s">
        <v>42</v>
      </c>
      <c r="C5345" t="s">
        <v>33</v>
      </c>
      <c r="D5345">
        <v>0</v>
      </c>
      <c r="E5345">
        <v>1</v>
      </c>
      <c r="F5345" s="7">
        <v>2976.65</v>
      </c>
      <c r="G5345">
        <v>0</v>
      </c>
      <c r="H5345" s="7">
        <v>0</v>
      </c>
    </row>
    <row r="5346" spans="1:8">
      <c r="A5346">
        <v>5</v>
      </c>
      <c r="B5346" t="s">
        <v>42</v>
      </c>
      <c r="C5346" t="s">
        <v>33</v>
      </c>
      <c r="D5346">
        <v>0</v>
      </c>
      <c r="E5346">
        <v>1</v>
      </c>
      <c r="F5346" s="7">
        <v>3770.26</v>
      </c>
      <c r="G5346">
        <v>0</v>
      </c>
      <c r="H5346" s="7">
        <v>0</v>
      </c>
    </row>
    <row r="5347" spans="1:8">
      <c r="A5347">
        <v>5</v>
      </c>
      <c r="B5347" t="s">
        <v>44</v>
      </c>
      <c r="C5347" t="s">
        <v>35</v>
      </c>
      <c r="D5347">
        <v>0</v>
      </c>
      <c r="E5347">
        <v>1</v>
      </c>
      <c r="F5347" s="7">
        <v>220070.01</v>
      </c>
      <c r="G5347">
        <v>0</v>
      </c>
      <c r="H5347" s="7">
        <v>0</v>
      </c>
    </row>
    <row r="5348" spans="1:8">
      <c r="A5348">
        <v>5</v>
      </c>
      <c r="B5348" t="s">
        <v>42</v>
      </c>
      <c r="C5348" t="s">
        <v>33</v>
      </c>
      <c r="D5348">
        <v>0</v>
      </c>
      <c r="E5348">
        <v>1</v>
      </c>
      <c r="F5348" s="7">
        <v>4704</v>
      </c>
      <c r="G5348">
        <v>0</v>
      </c>
      <c r="H5348" s="7">
        <v>0</v>
      </c>
    </row>
    <row r="5349" spans="1:8">
      <c r="A5349">
        <v>5</v>
      </c>
      <c r="B5349" t="s">
        <v>43</v>
      </c>
      <c r="C5349" t="s">
        <v>34</v>
      </c>
      <c r="D5349">
        <v>0</v>
      </c>
      <c r="E5349">
        <v>1</v>
      </c>
      <c r="F5349" s="7">
        <v>56471.48</v>
      </c>
      <c r="G5349">
        <v>0</v>
      </c>
      <c r="H5349" s="7">
        <v>0</v>
      </c>
    </row>
    <row r="5350" spans="1:8">
      <c r="A5350">
        <v>5</v>
      </c>
      <c r="B5350" t="s">
        <v>42</v>
      </c>
      <c r="C5350" t="s">
        <v>33</v>
      </c>
      <c r="D5350">
        <v>0</v>
      </c>
      <c r="E5350">
        <v>1</v>
      </c>
      <c r="F5350" s="7">
        <v>1534.11</v>
      </c>
      <c r="G5350">
        <v>0</v>
      </c>
      <c r="H5350" s="7">
        <v>0</v>
      </c>
    </row>
    <row r="5351" spans="1:8">
      <c r="A5351">
        <v>5</v>
      </c>
      <c r="B5351" t="s">
        <v>42</v>
      </c>
      <c r="C5351" t="s">
        <v>33</v>
      </c>
      <c r="D5351">
        <v>0</v>
      </c>
      <c r="E5351">
        <v>1</v>
      </c>
      <c r="F5351" s="7">
        <v>4562.21</v>
      </c>
      <c r="G5351">
        <v>0</v>
      </c>
      <c r="H5351" s="7">
        <v>0</v>
      </c>
    </row>
    <row r="5352" spans="1:8">
      <c r="A5352">
        <v>5</v>
      </c>
      <c r="B5352" t="s">
        <v>42</v>
      </c>
      <c r="C5352" t="s">
        <v>33</v>
      </c>
      <c r="D5352">
        <v>0</v>
      </c>
      <c r="E5352">
        <v>1</v>
      </c>
      <c r="F5352" s="7">
        <v>1901.5</v>
      </c>
      <c r="G5352">
        <v>0</v>
      </c>
      <c r="H5352" s="7">
        <v>0</v>
      </c>
    </row>
    <row r="5353" spans="1:8">
      <c r="A5353">
        <v>5</v>
      </c>
      <c r="B5353" t="s">
        <v>42</v>
      </c>
      <c r="C5353" t="s">
        <v>34</v>
      </c>
      <c r="D5353">
        <v>0</v>
      </c>
      <c r="E5353">
        <v>1</v>
      </c>
      <c r="F5353" s="7">
        <v>15211.91</v>
      </c>
      <c r="G5353">
        <v>0</v>
      </c>
      <c r="H5353" s="7">
        <v>0</v>
      </c>
    </row>
    <row r="5354" spans="1:8">
      <c r="A5354">
        <v>5</v>
      </c>
      <c r="B5354" t="s">
        <v>42</v>
      </c>
      <c r="C5354" t="s">
        <v>34</v>
      </c>
      <c r="D5354">
        <v>0</v>
      </c>
      <c r="E5354">
        <v>1</v>
      </c>
      <c r="F5354" s="7">
        <v>32876.85</v>
      </c>
      <c r="G5354">
        <v>0</v>
      </c>
      <c r="H5354" s="7">
        <v>0</v>
      </c>
    </row>
    <row r="5355" spans="1:8">
      <c r="A5355">
        <v>5</v>
      </c>
      <c r="B5355" t="s">
        <v>42</v>
      </c>
      <c r="C5355" t="s">
        <v>33</v>
      </c>
      <c r="D5355">
        <v>0</v>
      </c>
      <c r="E5355">
        <v>1</v>
      </c>
      <c r="F5355" s="7">
        <v>2883.1</v>
      </c>
      <c r="G5355">
        <v>0</v>
      </c>
      <c r="H5355" s="7">
        <v>0</v>
      </c>
    </row>
    <row r="5356" spans="1:8">
      <c r="A5356">
        <v>5</v>
      </c>
      <c r="B5356" t="s">
        <v>42</v>
      </c>
      <c r="C5356" t="s">
        <v>34</v>
      </c>
      <c r="D5356">
        <v>0</v>
      </c>
      <c r="E5356">
        <v>1</v>
      </c>
      <c r="F5356" s="7">
        <v>38371.41</v>
      </c>
      <c r="G5356">
        <v>0</v>
      </c>
      <c r="H5356" s="7">
        <v>0</v>
      </c>
    </row>
    <row r="5357" spans="1:8">
      <c r="A5357">
        <v>5</v>
      </c>
      <c r="B5357" t="s">
        <v>42</v>
      </c>
      <c r="C5357" t="s">
        <v>34</v>
      </c>
      <c r="D5357">
        <v>0</v>
      </c>
      <c r="E5357">
        <v>1</v>
      </c>
      <c r="F5357" s="7">
        <v>19561.11</v>
      </c>
      <c r="G5357">
        <v>0</v>
      </c>
      <c r="H5357" s="7">
        <v>0</v>
      </c>
    </row>
    <row r="5358" spans="1:8">
      <c r="A5358">
        <v>5</v>
      </c>
      <c r="B5358" t="s">
        <v>42</v>
      </c>
      <c r="C5358" t="s">
        <v>33</v>
      </c>
      <c r="D5358">
        <v>0</v>
      </c>
      <c r="E5358">
        <v>1</v>
      </c>
      <c r="F5358" s="7">
        <v>9452.85</v>
      </c>
      <c r="G5358">
        <v>0</v>
      </c>
      <c r="H5358" s="7">
        <v>0</v>
      </c>
    </row>
    <row r="5359" spans="1:8">
      <c r="A5359">
        <v>5</v>
      </c>
      <c r="B5359" t="s">
        <v>42</v>
      </c>
      <c r="C5359" t="s">
        <v>34</v>
      </c>
      <c r="D5359">
        <v>0</v>
      </c>
      <c r="E5359">
        <v>1</v>
      </c>
      <c r="F5359" s="7">
        <v>16780.75</v>
      </c>
      <c r="G5359">
        <v>0</v>
      </c>
      <c r="H5359" s="7">
        <v>0</v>
      </c>
    </row>
    <row r="5360" spans="1:8">
      <c r="A5360">
        <v>5</v>
      </c>
      <c r="B5360" t="s">
        <v>42</v>
      </c>
      <c r="C5360" t="s">
        <v>34</v>
      </c>
      <c r="D5360">
        <v>0</v>
      </c>
      <c r="E5360">
        <v>1</v>
      </c>
      <c r="F5360" s="7">
        <v>20526.64</v>
      </c>
      <c r="G5360">
        <v>0</v>
      </c>
      <c r="H5360" s="7">
        <v>0</v>
      </c>
    </row>
    <row r="5361" spans="1:8">
      <c r="A5361">
        <v>5</v>
      </c>
      <c r="B5361" t="s">
        <v>42</v>
      </c>
      <c r="C5361" t="s">
        <v>33</v>
      </c>
      <c r="D5361">
        <v>0</v>
      </c>
      <c r="E5361">
        <v>1</v>
      </c>
      <c r="F5361" s="7">
        <v>4477.03</v>
      </c>
      <c r="G5361">
        <v>0</v>
      </c>
      <c r="H5361" s="7">
        <v>0</v>
      </c>
    </row>
    <row r="5362" spans="1:8">
      <c r="A5362">
        <v>5</v>
      </c>
      <c r="B5362" t="s">
        <v>42</v>
      </c>
      <c r="C5362" t="s">
        <v>34</v>
      </c>
      <c r="D5362">
        <v>0</v>
      </c>
      <c r="E5362">
        <v>1</v>
      </c>
      <c r="F5362" s="7">
        <v>17390.17</v>
      </c>
      <c r="G5362">
        <v>0</v>
      </c>
      <c r="H5362" s="7">
        <v>0</v>
      </c>
    </row>
    <row r="5363" spans="1:8">
      <c r="A5363">
        <v>5</v>
      </c>
      <c r="B5363" t="s">
        <v>42</v>
      </c>
      <c r="C5363" t="s">
        <v>34</v>
      </c>
      <c r="D5363">
        <v>0</v>
      </c>
      <c r="E5363">
        <v>1</v>
      </c>
      <c r="F5363" s="7">
        <v>27401.26</v>
      </c>
      <c r="G5363">
        <v>0</v>
      </c>
      <c r="H5363" s="7">
        <v>0</v>
      </c>
    </row>
    <row r="5364" spans="1:8">
      <c r="A5364">
        <v>5</v>
      </c>
      <c r="B5364" t="s">
        <v>42</v>
      </c>
      <c r="C5364" t="s">
        <v>33</v>
      </c>
      <c r="D5364">
        <v>0</v>
      </c>
      <c r="E5364">
        <v>1</v>
      </c>
      <c r="F5364" s="7">
        <v>7414.66</v>
      </c>
      <c r="G5364">
        <v>0</v>
      </c>
      <c r="H5364" s="7">
        <v>0</v>
      </c>
    </row>
    <row r="5365" spans="1:8">
      <c r="A5365">
        <v>5</v>
      </c>
      <c r="B5365" t="s">
        <v>42</v>
      </c>
      <c r="C5365" t="s">
        <v>34</v>
      </c>
      <c r="D5365">
        <v>0</v>
      </c>
      <c r="E5365">
        <v>1</v>
      </c>
      <c r="F5365" s="7">
        <v>18850.92</v>
      </c>
      <c r="G5365">
        <v>0</v>
      </c>
      <c r="H5365" s="7">
        <v>0</v>
      </c>
    </row>
    <row r="5366" spans="1:8">
      <c r="A5366">
        <v>5</v>
      </c>
      <c r="B5366" t="s">
        <v>42</v>
      </c>
      <c r="C5366" t="s">
        <v>34</v>
      </c>
      <c r="D5366">
        <v>0</v>
      </c>
      <c r="E5366">
        <v>1</v>
      </c>
      <c r="F5366" s="7">
        <v>11430.59</v>
      </c>
      <c r="G5366">
        <v>0</v>
      </c>
      <c r="H5366" s="7">
        <v>0</v>
      </c>
    </row>
    <row r="5367" spans="1:8">
      <c r="A5367">
        <v>5</v>
      </c>
      <c r="B5367" t="s">
        <v>42</v>
      </c>
      <c r="C5367" t="s">
        <v>33</v>
      </c>
      <c r="D5367">
        <v>0</v>
      </c>
      <c r="E5367">
        <v>1</v>
      </c>
      <c r="F5367" s="7">
        <v>1766.71</v>
      </c>
      <c r="G5367">
        <v>0</v>
      </c>
      <c r="H5367" s="7">
        <v>0</v>
      </c>
    </row>
    <row r="5368" spans="1:8">
      <c r="A5368">
        <v>5</v>
      </c>
      <c r="B5368" t="s">
        <v>42</v>
      </c>
      <c r="C5368" t="s">
        <v>33</v>
      </c>
      <c r="D5368">
        <v>0</v>
      </c>
      <c r="E5368">
        <v>1</v>
      </c>
      <c r="F5368" s="7">
        <v>7632.13</v>
      </c>
      <c r="G5368">
        <v>0</v>
      </c>
      <c r="H5368" s="7">
        <v>0</v>
      </c>
    </row>
    <row r="5369" spans="1:8">
      <c r="A5369">
        <v>5</v>
      </c>
      <c r="B5369" t="s">
        <v>42</v>
      </c>
      <c r="C5369" t="s">
        <v>33</v>
      </c>
      <c r="D5369">
        <v>0</v>
      </c>
      <c r="E5369">
        <v>1</v>
      </c>
      <c r="F5369" s="7">
        <v>2261.59</v>
      </c>
      <c r="G5369">
        <v>0</v>
      </c>
      <c r="H5369" s="7">
        <v>0</v>
      </c>
    </row>
    <row r="5370" spans="1:8">
      <c r="A5370">
        <v>5</v>
      </c>
      <c r="B5370" t="s">
        <v>42</v>
      </c>
      <c r="C5370" t="s">
        <v>32</v>
      </c>
      <c r="D5370">
        <v>0</v>
      </c>
      <c r="E5370">
        <v>1</v>
      </c>
      <c r="F5370" s="7">
        <v>3.75</v>
      </c>
      <c r="G5370">
        <v>0</v>
      </c>
      <c r="H5370" s="7">
        <v>0</v>
      </c>
    </row>
    <row r="5371" spans="1:8">
      <c r="A5371">
        <v>5</v>
      </c>
      <c r="B5371" t="s">
        <v>42</v>
      </c>
      <c r="C5371" t="s">
        <v>33</v>
      </c>
      <c r="D5371">
        <v>0</v>
      </c>
      <c r="E5371">
        <v>1</v>
      </c>
      <c r="F5371" s="7">
        <v>4408.24</v>
      </c>
      <c r="G5371">
        <v>0</v>
      </c>
      <c r="H5371" s="7">
        <v>0</v>
      </c>
    </row>
    <row r="5372" spans="1:8">
      <c r="A5372">
        <v>5</v>
      </c>
      <c r="B5372" t="s">
        <v>42</v>
      </c>
      <c r="C5372" t="s">
        <v>33</v>
      </c>
      <c r="D5372">
        <v>0</v>
      </c>
      <c r="E5372">
        <v>1</v>
      </c>
      <c r="F5372" s="7">
        <v>3117.04</v>
      </c>
      <c r="G5372">
        <v>0</v>
      </c>
      <c r="H5372" s="7">
        <v>0</v>
      </c>
    </row>
    <row r="5373" spans="1:8">
      <c r="A5373">
        <v>5</v>
      </c>
      <c r="B5373" t="s">
        <v>44</v>
      </c>
      <c r="C5373" t="s">
        <v>34</v>
      </c>
      <c r="D5373">
        <v>0</v>
      </c>
      <c r="E5373">
        <v>1</v>
      </c>
      <c r="F5373" s="7">
        <v>55207.84</v>
      </c>
      <c r="G5373">
        <v>0</v>
      </c>
      <c r="H5373" s="7">
        <v>0</v>
      </c>
    </row>
    <row r="5374" spans="1:8">
      <c r="A5374">
        <v>5</v>
      </c>
      <c r="B5374" t="s">
        <v>42</v>
      </c>
      <c r="C5374" t="s">
        <v>33</v>
      </c>
      <c r="D5374">
        <v>0</v>
      </c>
      <c r="E5374">
        <v>1</v>
      </c>
      <c r="F5374" s="7">
        <v>4962</v>
      </c>
      <c r="G5374">
        <v>0</v>
      </c>
      <c r="H5374" s="7">
        <v>0</v>
      </c>
    </row>
    <row r="5375" spans="1:8">
      <c r="A5375">
        <v>5</v>
      </c>
      <c r="B5375" t="s">
        <v>42</v>
      </c>
      <c r="C5375" t="s">
        <v>34</v>
      </c>
      <c r="D5375">
        <v>0</v>
      </c>
      <c r="E5375">
        <v>1</v>
      </c>
      <c r="F5375" s="7">
        <v>12479.16</v>
      </c>
      <c r="G5375">
        <v>0</v>
      </c>
      <c r="H5375" s="7">
        <v>0</v>
      </c>
    </row>
    <row r="5376" spans="1:8">
      <c r="A5376">
        <v>5</v>
      </c>
      <c r="B5376" t="s">
        <v>42</v>
      </c>
      <c r="C5376" t="s">
        <v>33</v>
      </c>
      <c r="D5376">
        <v>0</v>
      </c>
      <c r="E5376">
        <v>1</v>
      </c>
      <c r="F5376" s="7">
        <v>7464.54</v>
      </c>
      <c r="G5376">
        <v>0</v>
      </c>
      <c r="H5376" s="7">
        <v>0</v>
      </c>
    </row>
    <row r="5377" spans="1:8">
      <c r="A5377">
        <v>5</v>
      </c>
      <c r="B5377" t="s">
        <v>42</v>
      </c>
      <c r="C5377" t="s">
        <v>33</v>
      </c>
      <c r="D5377">
        <v>0</v>
      </c>
      <c r="E5377">
        <v>1</v>
      </c>
      <c r="F5377" s="7">
        <v>5820.27</v>
      </c>
      <c r="G5377">
        <v>0</v>
      </c>
      <c r="H5377" s="7">
        <v>0</v>
      </c>
    </row>
    <row r="5378" spans="1:8">
      <c r="A5378">
        <v>5</v>
      </c>
      <c r="B5378" t="s">
        <v>42</v>
      </c>
      <c r="C5378" t="s">
        <v>32</v>
      </c>
      <c r="D5378">
        <v>0</v>
      </c>
      <c r="E5378">
        <v>1</v>
      </c>
      <c r="F5378" s="7">
        <v>472.63</v>
      </c>
      <c r="G5378">
        <v>0</v>
      </c>
      <c r="H5378" s="7">
        <v>0</v>
      </c>
    </row>
    <row r="5379" spans="1:8">
      <c r="A5379">
        <v>5</v>
      </c>
      <c r="B5379" t="s">
        <v>42</v>
      </c>
      <c r="C5379" t="s">
        <v>34</v>
      </c>
      <c r="D5379">
        <v>0</v>
      </c>
      <c r="E5379">
        <v>1</v>
      </c>
      <c r="F5379" s="7">
        <v>12986.85</v>
      </c>
      <c r="G5379">
        <v>0</v>
      </c>
      <c r="H5379" s="7">
        <v>0</v>
      </c>
    </row>
    <row r="5380" spans="1:8">
      <c r="A5380">
        <v>5</v>
      </c>
      <c r="B5380" t="s">
        <v>42</v>
      </c>
      <c r="C5380" t="s">
        <v>33</v>
      </c>
      <c r="D5380">
        <v>0</v>
      </c>
      <c r="E5380">
        <v>1</v>
      </c>
      <c r="F5380" s="7">
        <v>3590.58</v>
      </c>
      <c r="G5380">
        <v>0</v>
      </c>
      <c r="H5380" s="7">
        <v>0</v>
      </c>
    </row>
    <row r="5381" spans="1:8">
      <c r="A5381">
        <v>5</v>
      </c>
      <c r="B5381" t="s">
        <v>42</v>
      </c>
      <c r="C5381" t="s">
        <v>34</v>
      </c>
      <c r="D5381">
        <v>0</v>
      </c>
      <c r="E5381">
        <v>1</v>
      </c>
      <c r="F5381" s="7">
        <v>24921.84</v>
      </c>
      <c r="G5381">
        <v>0</v>
      </c>
      <c r="H5381" s="7">
        <v>0</v>
      </c>
    </row>
    <row r="5382" spans="1:8">
      <c r="A5382">
        <v>5</v>
      </c>
      <c r="B5382" t="s">
        <v>43</v>
      </c>
      <c r="C5382" t="s">
        <v>35</v>
      </c>
      <c r="D5382">
        <v>0</v>
      </c>
      <c r="E5382">
        <v>1</v>
      </c>
      <c r="F5382" s="7">
        <v>145374.18</v>
      </c>
      <c r="G5382">
        <v>0</v>
      </c>
      <c r="H5382" s="7">
        <v>0</v>
      </c>
    </row>
    <row r="5383" spans="1:8">
      <c r="A5383">
        <v>5</v>
      </c>
      <c r="B5383" t="s">
        <v>42</v>
      </c>
      <c r="C5383" t="s">
        <v>33</v>
      </c>
      <c r="D5383">
        <v>0</v>
      </c>
      <c r="E5383">
        <v>1</v>
      </c>
      <c r="F5383" s="7">
        <v>3401.12</v>
      </c>
      <c r="G5383">
        <v>0</v>
      </c>
      <c r="H5383" s="7">
        <v>0</v>
      </c>
    </row>
    <row r="5384" spans="1:8">
      <c r="A5384">
        <v>5</v>
      </c>
      <c r="B5384" t="s">
        <v>42</v>
      </c>
      <c r="C5384" t="s">
        <v>33</v>
      </c>
      <c r="D5384">
        <v>0</v>
      </c>
      <c r="E5384">
        <v>1</v>
      </c>
      <c r="F5384" s="7">
        <v>9080.77</v>
      </c>
      <c r="G5384">
        <v>0</v>
      </c>
      <c r="H5384" s="7">
        <v>0</v>
      </c>
    </row>
    <row r="5385" spans="1:8">
      <c r="A5385">
        <v>5</v>
      </c>
      <c r="B5385" t="s">
        <v>42</v>
      </c>
      <c r="C5385" t="s">
        <v>33</v>
      </c>
      <c r="D5385">
        <v>0</v>
      </c>
      <c r="E5385">
        <v>1</v>
      </c>
      <c r="F5385" s="7">
        <v>1648.13</v>
      </c>
      <c r="G5385">
        <v>0</v>
      </c>
      <c r="H5385" s="7">
        <v>0</v>
      </c>
    </row>
    <row r="5386" spans="1:8">
      <c r="A5386">
        <v>5</v>
      </c>
      <c r="B5386" t="s">
        <v>42</v>
      </c>
      <c r="C5386" t="s">
        <v>33</v>
      </c>
      <c r="D5386">
        <v>0</v>
      </c>
      <c r="E5386">
        <v>1</v>
      </c>
      <c r="F5386" s="7">
        <v>7792.99</v>
      </c>
      <c r="G5386">
        <v>0</v>
      </c>
      <c r="H5386" s="7">
        <v>0</v>
      </c>
    </row>
    <row r="5387" spans="1:8">
      <c r="A5387">
        <v>5</v>
      </c>
      <c r="B5387" t="s">
        <v>42</v>
      </c>
      <c r="C5387" t="s">
        <v>32</v>
      </c>
      <c r="D5387">
        <v>0</v>
      </c>
      <c r="E5387">
        <v>1</v>
      </c>
      <c r="F5387" s="7">
        <v>491.11</v>
      </c>
      <c r="G5387">
        <v>0</v>
      </c>
      <c r="H5387" s="7">
        <v>0</v>
      </c>
    </row>
    <row r="5388" spans="1:8">
      <c r="A5388">
        <v>5</v>
      </c>
      <c r="B5388" t="s">
        <v>42</v>
      </c>
      <c r="C5388" t="s">
        <v>32</v>
      </c>
      <c r="D5388">
        <v>0</v>
      </c>
      <c r="E5388">
        <v>1</v>
      </c>
      <c r="F5388" s="7">
        <v>325.72</v>
      </c>
      <c r="G5388">
        <v>0</v>
      </c>
      <c r="H5388" s="7">
        <v>0</v>
      </c>
    </row>
    <row r="5389" spans="1:8">
      <c r="A5389">
        <v>5</v>
      </c>
      <c r="B5389" t="s">
        <v>44</v>
      </c>
      <c r="C5389" t="s">
        <v>35</v>
      </c>
      <c r="D5389">
        <v>0</v>
      </c>
      <c r="E5389">
        <v>1</v>
      </c>
      <c r="F5389" s="7">
        <v>190944.55</v>
      </c>
      <c r="G5389">
        <v>0</v>
      </c>
      <c r="H5389" s="7">
        <v>0</v>
      </c>
    </row>
    <row r="5390" spans="1:8">
      <c r="A5390">
        <v>5</v>
      </c>
      <c r="B5390" t="s">
        <v>45</v>
      </c>
      <c r="C5390" t="s">
        <v>33</v>
      </c>
      <c r="D5390">
        <v>0</v>
      </c>
      <c r="E5390">
        <v>1</v>
      </c>
      <c r="F5390" s="7">
        <v>2065.17</v>
      </c>
      <c r="G5390">
        <v>0</v>
      </c>
      <c r="H5390" s="7">
        <v>0</v>
      </c>
    </row>
    <row r="5391" spans="1:8">
      <c r="A5391">
        <v>5</v>
      </c>
      <c r="B5391" t="s">
        <v>42</v>
      </c>
      <c r="C5391" t="s">
        <v>33</v>
      </c>
      <c r="D5391">
        <v>0</v>
      </c>
      <c r="E5391">
        <v>1</v>
      </c>
      <c r="F5391" s="7">
        <v>1894.12</v>
      </c>
      <c r="G5391">
        <v>0</v>
      </c>
      <c r="H5391" s="7">
        <v>0</v>
      </c>
    </row>
    <row r="5392" spans="1:8">
      <c r="A5392">
        <v>5</v>
      </c>
      <c r="B5392" t="s">
        <v>42</v>
      </c>
      <c r="C5392" t="s">
        <v>32</v>
      </c>
      <c r="D5392">
        <v>0</v>
      </c>
      <c r="E5392">
        <v>1</v>
      </c>
      <c r="F5392" s="7">
        <v>437.22</v>
      </c>
      <c r="G5392">
        <v>0</v>
      </c>
      <c r="H5392" s="7">
        <v>0</v>
      </c>
    </row>
    <row r="5393" spans="1:8">
      <c r="A5393">
        <v>5</v>
      </c>
      <c r="B5393" t="s">
        <v>42</v>
      </c>
      <c r="C5393" t="s">
        <v>33</v>
      </c>
      <c r="D5393">
        <v>0</v>
      </c>
      <c r="E5393">
        <v>1</v>
      </c>
      <c r="F5393" s="7">
        <v>5210.66</v>
      </c>
      <c r="G5393">
        <v>0</v>
      </c>
      <c r="H5393" s="7">
        <v>0</v>
      </c>
    </row>
    <row r="5394" spans="1:8">
      <c r="A5394">
        <v>5</v>
      </c>
      <c r="B5394" t="s">
        <v>42</v>
      </c>
      <c r="C5394" t="s">
        <v>33</v>
      </c>
      <c r="D5394">
        <v>0</v>
      </c>
      <c r="E5394">
        <v>1</v>
      </c>
      <c r="F5394" s="7">
        <v>3897.56</v>
      </c>
      <c r="G5394">
        <v>0</v>
      </c>
      <c r="H5394" s="7">
        <v>0</v>
      </c>
    </row>
    <row r="5395" spans="1:8">
      <c r="A5395">
        <v>5</v>
      </c>
      <c r="B5395" t="s">
        <v>42</v>
      </c>
      <c r="C5395" t="s">
        <v>32</v>
      </c>
      <c r="D5395">
        <v>0</v>
      </c>
      <c r="E5395">
        <v>1</v>
      </c>
      <c r="F5395" s="7">
        <v>25.08</v>
      </c>
      <c r="G5395">
        <v>0</v>
      </c>
      <c r="H5395" s="7">
        <v>0</v>
      </c>
    </row>
    <row r="5396" spans="1:8">
      <c r="A5396">
        <v>5</v>
      </c>
      <c r="B5396" t="s">
        <v>42</v>
      </c>
      <c r="C5396" t="s">
        <v>33</v>
      </c>
      <c r="D5396">
        <v>0</v>
      </c>
      <c r="E5396">
        <v>1</v>
      </c>
      <c r="F5396" s="7">
        <v>2574.1</v>
      </c>
      <c r="G5396">
        <v>0</v>
      </c>
      <c r="H5396" s="7">
        <v>0</v>
      </c>
    </row>
    <row r="5397" spans="1:8">
      <c r="A5397">
        <v>5</v>
      </c>
      <c r="B5397" t="s">
        <v>42</v>
      </c>
      <c r="C5397" t="s">
        <v>33</v>
      </c>
      <c r="D5397">
        <v>0</v>
      </c>
      <c r="E5397">
        <v>1</v>
      </c>
      <c r="F5397" s="7">
        <v>3920.64</v>
      </c>
      <c r="G5397">
        <v>0</v>
      </c>
      <c r="H5397" s="7">
        <v>0</v>
      </c>
    </row>
    <row r="5398" spans="1:8">
      <c r="A5398">
        <v>5</v>
      </c>
      <c r="B5398" t="s">
        <v>42</v>
      </c>
      <c r="C5398" t="s">
        <v>33</v>
      </c>
      <c r="D5398">
        <v>0</v>
      </c>
      <c r="E5398">
        <v>1</v>
      </c>
      <c r="F5398" s="7">
        <v>1288.03</v>
      </c>
      <c r="G5398">
        <v>0</v>
      </c>
      <c r="H5398" s="7">
        <v>0</v>
      </c>
    </row>
    <row r="5399" spans="1:8">
      <c r="A5399">
        <v>5</v>
      </c>
      <c r="B5399" t="s">
        <v>45</v>
      </c>
      <c r="C5399" t="s">
        <v>33</v>
      </c>
      <c r="D5399">
        <v>0</v>
      </c>
      <c r="E5399">
        <v>1</v>
      </c>
      <c r="F5399" s="7">
        <v>3768.1</v>
      </c>
      <c r="G5399">
        <v>0</v>
      </c>
      <c r="H5399" s="7">
        <v>0</v>
      </c>
    </row>
    <row r="5400" spans="1:8">
      <c r="A5400">
        <v>5</v>
      </c>
      <c r="B5400" t="s">
        <v>42</v>
      </c>
      <c r="C5400" t="s">
        <v>32</v>
      </c>
      <c r="D5400">
        <v>0</v>
      </c>
      <c r="E5400">
        <v>1</v>
      </c>
      <c r="F5400" s="7">
        <v>905.86</v>
      </c>
      <c r="G5400">
        <v>0</v>
      </c>
      <c r="H5400" s="7">
        <v>0</v>
      </c>
    </row>
    <row r="5401" spans="1:8">
      <c r="A5401">
        <v>5</v>
      </c>
      <c r="B5401" t="s">
        <v>42</v>
      </c>
      <c r="C5401" t="s">
        <v>33</v>
      </c>
      <c r="D5401">
        <v>0</v>
      </c>
      <c r="E5401">
        <v>1</v>
      </c>
      <c r="F5401" s="7">
        <v>1744.46</v>
      </c>
      <c r="G5401">
        <v>0</v>
      </c>
      <c r="H5401" s="7">
        <v>0</v>
      </c>
    </row>
    <row r="5402" spans="1:8">
      <c r="A5402">
        <v>5</v>
      </c>
      <c r="B5402" t="s">
        <v>42</v>
      </c>
      <c r="C5402" t="s">
        <v>33</v>
      </c>
      <c r="D5402">
        <v>0</v>
      </c>
      <c r="E5402">
        <v>1</v>
      </c>
      <c r="F5402" s="7">
        <v>4433.42</v>
      </c>
      <c r="G5402">
        <v>0</v>
      </c>
      <c r="H5402" s="7">
        <v>0</v>
      </c>
    </row>
    <row r="5403" spans="1:8">
      <c r="A5403">
        <v>5</v>
      </c>
      <c r="B5403" t="s">
        <v>42</v>
      </c>
      <c r="C5403" t="s">
        <v>34</v>
      </c>
      <c r="D5403">
        <v>0</v>
      </c>
      <c r="E5403">
        <v>1</v>
      </c>
      <c r="F5403" s="7">
        <v>29762.68</v>
      </c>
      <c r="G5403">
        <v>0</v>
      </c>
      <c r="H5403" s="7">
        <v>0</v>
      </c>
    </row>
    <row r="5404" spans="1:8">
      <c r="A5404">
        <v>5</v>
      </c>
      <c r="B5404" t="s">
        <v>42</v>
      </c>
      <c r="C5404" t="s">
        <v>33</v>
      </c>
      <c r="D5404">
        <v>0</v>
      </c>
      <c r="E5404">
        <v>1</v>
      </c>
      <c r="F5404" s="7">
        <v>9531.19</v>
      </c>
      <c r="G5404">
        <v>0</v>
      </c>
      <c r="H5404" s="7">
        <v>0</v>
      </c>
    </row>
    <row r="5405" spans="1:8">
      <c r="A5405">
        <v>5</v>
      </c>
      <c r="B5405" t="s">
        <v>42</v>
      </c>
      <c r="C5405" t="s">
        <v>32</v>
      </c>
      <c r="D5405">
        <v>0</v>
      </c>
      <c r="E5405">
        <v>1</v>
      </c>
      <c r="F5405" s="7">
        <v>628.34</v>
      </c>
      <c r="G5405">
        <v>0</v>
      </c>
      <c r="H5405" s="7">
        <v>0</v>
      </c>
    </row>
    <row r="5406" spans="1:8">
      <c r="A5406">
        <v>5</v>
      </c>
      <c r="B5406" t="s">
        <v>42</v>
      </c>
      <c r="C5406" t="s">
        <v>34</v>
      </c>
      <c r="D5406">
        <v>0</v>
      </c>
      <c r="E5406">
        <v>1</v>
      </c>
      <c r="F5406" s="7">
        <v>10256.09</v>
      </c>
      <c r="G5406">
        <v>0</v>
      </c>
      <c r="H5406" s="7">
        <v>0</v>
      </c>
    </row>
    <row r="5407" spans="1:8">
      <c r="A5407">
        <v>5</v>
      </c>
      <c r="B5407" t="s">
        <v>42</v>
      </c>
      <c r="C5407" t="s">
        <v>33</v>
      </c>
      <c r="D5407">
        <v>0</v>
      </c>
      <c r="E5407">
        <v>1</v>
      </c>
      <c r="F5407" s="7">
        <v>7587.2</v>
      </c>
      <c r="G5407">
        <v>0</v>
      </c>
      <c r="H5407" s="7">
        <v>0</v>
      </c>
    </row>
    <row r="5408" spans="1:8">
      <c r="A5408">
        <v>5</v>
      </c>
      <c r="B5408" t="s">
        <v>44</v>
      </c>
      <c r="C5408" t="s">
        <v>34</v>
      </c>
      <c r="D5408">
        <v>0</v>
      </c>
      <c r="E5408">
        <v>1</v>
      </c>
      <c r="F5408" s="7">
        <v>78115.81</v>
      </c>
      <c r="G5408">
        <v>0</v>
      </c>
      <c r="H5408" s="7">
        <v>0</v>
      </c>
    </row>
    <row r="5409" spans="1:8">
      <c r="A5409">
        <v>5</v>
      </c>
      <c r="B5409" t="s">
        <v>43</v>
      </c>
      <c r="C5409" t="s">
        <v>34</v>
      </c>
      <c r="D5409">
        <v>0</v>
      </c>
      <c r="E5409">
        <v>1</v>
      </c>
      <c r="F5409" s="7">
        <v>97661.94</v>
      </c>
      <c r="G5409">
        <v>0</v>
      </c>
      <c r="H5409" s="7">
        <v>0</v>
      </c>
    </row>
    <row r="5410" spans="1:8">
      <c r="A5410">
        <v>5</v>
      </c>
      <c r="B5410" t="s">
        <v>42</v>
      </c>
      <c r="C5410" t="s">
        <v>33</v>
      </c>
      <c r="D5410">
        <v>0</v>
      </c>
      <c r="E5410">
        <v>1</v>
      </c>
      <c r="F5410" s="7">
        <v>4835.01</v>
      </c>
      <c r="G5410">
        <v>0</v>
      </c>
      <c r="H5410" s="7">
        <v>0</v>
      </c>
    </row>
    <row r="5411" spans="1:8">
      <c r="A5411">
        <v>5</v>
      </c>
      <c r="B5411" t="s">
        <v>45</v>
      </c>
      <c r="C5411" t="s">
        <v>33</v>
      </c>
      <c r="D5411">
        <v>0</v>
      </c>
      <c r="E5411">
        <v>1</v>
      </c>
      <c r="F5411" s="7">
        <v>1857.79</v>
      </c>
      <c r="G5411">
        <v>0</v>
      </c>
      <c r="H5411" s="7">
        <v>0</v>
      </c>
    </row>
    <row r="5412" spans="1:8">
      <c r="A5412">
        <v>5</v>
      </c>
      <c r="B5412" t="s">
        <v>42</v>
      </c>
      <c r="C5412" t="s">
        <v>33</v>
      </c>
      <c r="D5412">
        <v>0</v>
      </c>
      <c r="E5412">
        <v>1</v>
      </c>
      <c r="F5412" s="7">
        <v>5451.3</v>
      </c>
      <c r="G5412">
        <v>0</v>
      </c>
      <c r="H5412" s="7">
        <v>0</v>
      </c>
    </row>
    <row r="5413" spans="1:8">
      <c r="A5413">
        <v>5</v>
      </c>
      <c r="B5413" t="s">
        <v>42</v>
      </c>
      <c r="C5413" t="s">
        <v>33</v>
      </c>
      <c r="D5413">
        <v>0</v>
      </c>
      <c r="E5413">
        <v>1</v>
      </c>
      <c r="F5413" s="7">
        <v>1021.03</v>
      </c>
      <c r="G5413">
        <v>0</v>
      </c>
      <c r="H5413" s="7">
        <v>0</v>
      </c>
    </row>
    <row r="5414" spans="1:8">
      <c r="A5414">
        <v>5</v>
      </c>
      <c r="B5414" t="s">
        <v>42</v>
      </c>
      <c r="C5414" t="s">
        <v>33</v>
      </c>
      <c r="D5414">
        <v>0</v>
      </c>
      <c r="E5414">
        <v>1</v>
      </c>
      <c r="F5414" s="7">
        <v>5105.68</v>
      </c>
      <c r="G5414">
        <v>0</v>
      </c>
      <c r="H5414" s="7">
        <v>0</v>
      </c>
    </row>
    <row r="5415" spans="1:8">
      <c r="A5415">
        <v>5</v>
      </c>
      <c r="B5415" t="s">
        <v>42</v>
      </c>
      <c r="C5415" t="s">
        <v>33</v>
      </c>
      <c r="D5415">
        <v>0</v>
      </c>
      <c r="E5415">
        <v>1</v>
      </c>
      <c r="F5415" s="7">
        <v>2750.32</v>
      </c>
      <c r="G5415">
        <v>0</v>
      </c>
      <c r="H5415" s="7">
        <v>0</v>
      </c>
    </row>
    <row r="5416" spans="1:8">
      <c r="A5416">
        <v>5</v>
      </c>
      <c r="B5416" t="s">
        <v>42</v>
      </c>
      <c r="C5416" t="s">
        <v>33</v>
      </c>
      <c r="D5416">
        <v>0</v>
      </c>
      <c r="E5416">
        <v>1</v>
      </c>
      <c r="F5416" s="7">
        <v>7865.47</v>
      </c>
      <c r="G5416">
        <v>0</v>
      </c>
      <c r="H5416" s="7">
        <v>0</v>
      </c>
    </row>
    <row r="5417" spans="1:8">
      <c r="A5417">
        <v>5</v>
      </c>
      <c r="B5417" t="s">
        <v>42</v>
      </c>
      <c r="C5417" t="s">
        <v>33</v>
      </c>
      <c r="D5417">
        <v>0</v>
      </c>
      <c r="E5417">
        <v>1</v>
      </c>
      <c r="F5417" s="7">
        <v>2813.24</v>
      </c>
      <c r="G5417">
        <v>0</v>
      </c>
      <c r="H5417" s="7">
        <v>0</v>
      </c>
    </row>
    <row r="5418" spans="1:8">
      <c r="A5418">
        <v>5</v>
      </c>
      <c r="B5418" t="s">
        <v>42</v>
      </c>
      <c r="C5418" t="s">
        <v>34</v>
      </c>
      <c r="D5418">
        <v>0</v>
      </c>
      <c r="E5418">
        <v>1</v>
      </c>
      <c r="F5418" s="7">
        <v>13826.77</v>
      </c>
      <c r="G5418">
        <v>0</v>
      </c>
      <c r="H5418" s="7">
        <v>0</v>
      </c>
    </row>
    <row r="5419" spans="1:8">
      <c r="A5419">
        <v>5</v>
      </c>
      <c r="B5419" t="s">
        <v>42</v>
      </c>
      <c r="C5419" t="s">
        <v>34</v>
      </c>
      <c r="D5419">
        <v>0</v>
      </c>
      <c r="E5419">
        <v>1</v>
      </c>
      <c r="F5419" s="7">
        <v>47001.52</v>
      </c>
      <c r="G5419">
        <v>0</v>
      </c>
      <c r="H5419" s="7">
        <v>0</v>
      </c>
    </row>
    <row r="5420" spans="1:8">
      <c r="A5420">
        <v>5</v>
      </c>
      <c r="B5420" t="s">
        <v>42</v>
      </c>
      <c r="C5420" t="s">
        <v>34</v>
      </c>
      <c r="D5420">
        <v>0</v>
      </c>
      <c r="E5420">
        <v>1</v>
      </c>
      <c r="F5420" s="7">
        <v>11470.25</v>
      </c>
      <c r="G5420">
        <v>0</v>
      </c>
      <c r="H5420" s="7">
        <v>0</v>
      </c>
    </row>
    <row r="5421" spans="1:8">
      <c r="A5421">
        <v>5</v>
      </c>
      <c r="B5421" t="s">
        <v>42</v>
      </c>
      <c r="C5421" t="s">
        <v>34</v>
      </c>
      <c r="D5421">
        <v>0</v>
      </c>
      <c r="E5421">
        <v>1</v>
      </c>
      <c r="F5421" s="7">
        <v>12417.59</v>
      </c>
      <c r="G5421">
        <v>0</v>
      </c>
      <c r="H5421" s="7">
        <v>0</v>
      </c>
    </row>
    <row r="5422" spans="1:8">
      <c r="A5422">
        <v>5</v>
      </c>
      <c r="B5422" t="s">
        <v>42</v>
      </c>
      <c r="C5422" t="s">
        <v>33</v>
      </c>
      <c r="D5422">
        <v>0</v>
      </c>
      <c r="E5422">
        <v>1</v>
      </c>
      <c r="F5422" s="7">
        <v>9204.89</v>
      </c>
      <c r="G5422">
        <v>0</v>
      </c>
      <c r="H5422" s="7">
        <v>0</v>
      </c>
    </row>
    <row r="5423" spans="1:8">
      <c r="A5423">
        <v>5</v>
      </c>
      <c r="B5423" t="s">
        <v>42</v>
      </c>
      <c r="C5423" t="s">
        <v>33</v>
      </c>
      <c r="D5423">
        <v>0</v>
      </c>
      <c r="E5423">
        <v>1</v>
      </c>
      <c r="F5423" s="7">
        <v>2014.68</v>
      </c>
      <c r="G5423">
        <v>0</v>
      </c>
      <c r="H5423" s="7">
        <v>0</v>
      </c>
    </row>
    <row r="5424" spans="1:8">
      <c r="A5424">
        <v>5</v>
      </c>
      <c r="B5424" t="s">
        <v>42</v>
      </c>
      <c r="C5424" t="s">
        <v>33</v>
      </c>
      <c r="D5424">
        <v>0</v>
      </c>
      <c r="E5424">
        <v>1</v>
      </c>
      <c r="F5424" s="7">
        <v>9405.76</v>
      </c>
      <c r="G5424">
        <v>0</v>
      </c>
      <c r="H5424" s="7">
        <v>0</v>
      </c>
    </row>
    <row r="5425" spans="1:8">
      <c r="A5425">
        <v>5</v>
      </c>
      <c r="B5425" t="s">
        <v>42</v>
      </c>
      <c r="C5425" t="s">
        <v>33</v>
      </c>
      <c r="D5425">
        <v>0</v>
      </c>
      <c r="E5425">
        <v>1</v>
      </c>
      <c r="F5425" s="7">
        <v>8020.86</v>
      </c>
      <c r="G5425">
        <v>0</v>
      </c>
      <c r="H5425" s="7">
        <v>0</v>
      </c>
    </row>
    <row r="5426" spans="1:8">
      <c r="A5426">
        <v>5</v>
      </c>
      <c r="B5426" t="s">
        <v>42</v>
      </c>
      <c r="C5426" t="s">
        <v>33</v>
      </c>
      <c r="D5426">
        <v>0</v>
      </c>
      <c r="E5426">
        <v>1</v>
      </c>
      <c r="F5426" s="7">
        <v>5580.15</v>
      </c>
      <c r="G5426">
        <v>0</v>
      </c>
      <c r="H5426" s="7">
        <v>0</v>
      </c>
    </row>
    <row r="5427" spans="1:8">
      <c r="A5427">
        <v>5</v>
      </c>
      <c r="B5427" t="s">
        <v>42</v>
      </c>
      <c r="C5427" t="s">
        <v>34</v>
      </c>
      <c r="D5427">
        <v>0</v>
      </c>
      <c r="E5427">
        <v>1</v>
      </c>
      <c r="F5427" s="7">
        <v>15150.82</v>
      </c>
      <c r="G5427">
        <v>0</v>
      </c>
      <c r="H5427" s="7">
        <v>0</v>
      </c>
    </row>
    <row r="5428" spans="1:8">
      <c r="A5428">
        <v>5</v>
      </c>
      <c r="B5428" t="s">
        <v>42</v>
      </c>
      <c r="C5428" t="s">
        <v>33</v>
      </c>
      <c r="D5428">
        <v>0</v>
      </c>
      <c r="E5428">
        <v>1</v>
      </c>
      <c r="F5428" s="7">
        <v>5272.65</v>
      </c>
      <c r="G5428">
        <v>0</v>
      </c>
      <c r="H5428" s="7">
        <v>0</v>
      </c>
    </row>
    <row r="5429" spans="1:8">
      <c r="A5429">
        <v>5</v>
      </c>
      <c r="B5429" t="s">
        <v>42</v>
      </c>
      <c r="C5429" t="s">
        <v>33</v>
      </c>
      <c r="D5429">
        <v>0</v>
      </c>
      <c r="E5429">
        <v>1</v>
      </c>
      <c r="F5429" s="7">
        <v>3265.5</v>
      </c>
      <c r="G5429">
        <v>0</v>
      </c>
      <c r="H5429" s="7">
        <v>0</v>
      </c>
    </row>
    <row r="5430" spans="1:8">
      <c r="A5430">
        <v>5</v>
      </c>
      <c r="B5430" t="s">
        <v>42</v>
      </c>
      <c r="C5430" t="s">
        <v>33</v>
      </c>
      <c r="D5430">
        <v>0</v>
      </c>
      <c r="E5430">
        <v>1</v>
      </c>
      <c r="F5430" s="7">
        <v>2499.52</v>
      </c>
      <c r="G5430">
        <v>0</v>
      </c>
      <c r="H5430" s="7">
        <v>0</v>
      </c>
    </row>
    <row r="5431" spans="1:8">
      <c r="A5431">
        <v>5</v>
      </c>
      <c r="B5431" t="s">
        <v>42</v>
      </c>
      <c r="C5431" t="s">
        <v>34</v>
      </c>
      <c r="D5431">
        <v>0</v>
      </c>
      <c r="E5431">
        <v>1</v>
      </c>
      <c r="F5431" s="7">
        <v>26672.44</v>
      </c>
      <c r="G5431">
        <v>0</v>
      </c>
      <c r="H5431" s="7">
        <v>0</v>
      </c>
    </row>
    <row r="5432" spans="1:8">
      <c r="A5432">
        <v>5</v>
      </c>
      <c r="B5432" t="s">
        <v>42</v>
      </c>
      <c r="C5432" t="s">
        <v>33</v>
      </c>
      <c r="D5432">
        <v>0</v>
      </c>
      <c r="E5432">
        <v>1</v>
      </c>
      <c r="F5432" s="7">
        <v>3581.86</v>
      </c>
      <c r="G5432">
        <v>0</v>
      </c>
      <c r="H5432" s="7">
        <v>0</v>
      </c>
    </row>
    <row r="5433" spans="1:8">
      <c r="A5433">
        <v>5</v>
      </c>
      <c r="B5433" t="s">
        <v>42</v>
      </c>
      <c r="C5433" t="s">
        <v>33</v>
      </c>
      <c r="D5433">
        <v>0</v>
      </c>
      <c r="E5433">
        <v>1</v>
      </c>
      <c r="F5433" s="7">
        <v>1324.06</v>
      </c>
      <c r="G5433">
        <v>0</v>
      </c>
      <c r="H5433" s="7">
        <v>0</v>
      </c>
    </row>
    <row r="5434" spans="1:8">
      <c r="A5434">
        <v>5</v>
      </c>
      <c r="B5434" t="s">
        <v>42</v>
      </c>
      <c r="C5434" t="s">
        <v>33</v>
      </c>
      <c r="D5434">
        <v>0</v>
      </c>
      <c r="E5434">
        <v>1</v>
      </c>
      <c r="F5434" s="7">
        <v>3202.12</v>
      </c>
      <c r="G5434">
        <v>0</v>
      </c>
      <c r="H5434" s="7">
        <v>0</v>
      </c>
    </row>
    <row r="5435" spans="1:8">
      <c r="A5435">
        <v>5</v>
      </c>
      <c r="B5435" t="s">
        <v>42</v>
      </c>
      <c r="C5435" t="s">
        <v>33</v>
      </c>
      <c r="D5435">
        <v>0</v>
      </c>
      <c r="E5435">
        <v>1</v>
      </c>
      <c r="F5435" s="7">
        <v>7269.69</v>
      </c>
      <c r="G5435">
        <v>0</v>
      </c>
      <c r="H5435" s="7">
        <v>0</v>
      </c>
    </row>
    <row r="5436" spans="1:8">
      <c r="A5436">
        <v>5</v>
      </c>
      <c r="B5436" t="s">
        <v>42</v>
      </c>
      <c r="C5436" t="s">
        <v>33</v>
      </c>
      <c r="D5436">
        <v>0</v>
      </c>
      <c r="E5436">
        <v>1</v>
      </c>
      <c r="F5436" s="7">
        <v>6078.4</v>
      </c>
      <c r="G5436">
        <v>0</v>
      </c>
      <c r="H5436" s="7">
        <v>0</v>
      </c>
    </row>
    <row r="5437" spans="1:8">
      <c r="A5437">
        <v>5</v>
      </c>
      <c r="B5437" t="s">
        <v>42</v>
      </c>
      <c r="C5437" t="s">
        <v>33</v>
      </c>
      <c r="D5437">
        <v>0</v>
      </c>
      <c r="E5437">
        <v>1</v>
      </c>
      <c r="F5437" s="7">
        <v>4871.03</v>
      </c>
      <c r="G5437">
        <v>0</v>
      </c>
      <c r="H5437" s="7">
        <v>0</v>
      </c>
    </row>
    <row r="5438" spans="1:8">
      <c r="A5438">
        <v>5</v>
      </c>
      <c r="B5438" t="s">
        <v>42</v>
      </c>
      <c r="C5438" t="s">
        <v>34</v>
      </c>
      <c r="D5438">
        <v>0</v>
      </c>
      <c r="E5438">
        <v>1</v>
      </c>
      <c r="F5438" s="7">
        <v>14976.04</v>
      </c>
      <c r="G5438">
        <v>0</v>
      </c>
      <c r="H5438" s="7">
        <v>0</v>
      </c>
    </row>
    <row r="5439" spans="1:8">
      <c r="A5439">
        <v>5</v>
      </c>
      <c r="B5439" t="s">
        <v>42</v>
      </c>
      <c r="C5439" t="s">
        <v>33</v>
      </c>
      <c r="D5439">
        <v>0</v>
      </c>
      <c r="E5439">
        <v>1</v>
      </c>
      <c r="F5439" s="7">
        <v>2315.6</v>
      </c>
      <c r="G5439">
        <v>0</v>
      </c>
      <c r="H5439" s="7">
        <v>0</v>
      </c>
    </row>
    <row r="5440" spans="1:8">
      <c r="A5440">
        <v>5</v>
      </c>
      <c r="B5440" t="s">
        <v>42</v>
      </c>
      <c r="C5440" t="s">
        <v>33</v>
      </c>
      <c r="D5440">
        <v>0</v>
      </c>
      <c r="E5440">
        <v>1</v>
      </c>
      <c r="F5440" s="7">
        <v>3287.08</v>
      </c>
      <c r="G5440">
        <v>0</v>
      </c>
      <c r="H5440" s="7">
        <v>0</v>
      </c>
    </row>
    <row r="5441" spans="1:8">
      <c r="A5441">
        <v>5</v>
      </c>
      <c r="B5441" t="s">
        <v>42</v>
      </c>
      <c r="C5441" t="s">
        <v>33</v>
      </c>
      <c r="D5441">
        <v>0</v>
      </c>
      <c r="E5441">
        <v>1</v>
      </c>
      <c r="F5441" s="7">
        <v>4235.23</v>
      </c>
      <c r="G5441">
        <v>0</v>
      </c>
      <c r="H5441" s="7">
        <v>0</v>
      </c>
    </row>
    <row r="5442" spans="1:8">
      <c r="A5442">
        <v>5</v>
      </c>
      <c r="B5442" t="s">
        <v>44</v>
      </c>
      <c r="C5442" t="s">
        <v>35</v>
      </c>
      <c r="D5442">
        <v>0</v>
      </c>
      <c r="E5442">
        <v>1</v>
      </c>
      <c r="F5442" s="7">
        <v>101921.8</v>
      </c>
      <c r="G5442">
        <v>0</v>
      </c>
      <c r="H5442" s="7">
        <v>0</v>
      </c>
    </row>
    <row r="5443" spans="1:8">
      <c r="A5443">
        <v>5</v>
      </c>
      <c r="B5443" t="s">
        <v>44</v>
      </c>
      <c r="C5443" t="s">
        <v>35</v>
      </c>
      <c r="D5443">
        <v>0</v>
      </c>
      <c r="E5443">
        <v>1</v>
      </c>
      <c r="F5443" s="7">
        <v>135550.07</v>
      </c>
      <c r="G5443">
        <v>0</v>
      </c>
      <c r="H5443" s="7">
        <v>0</v>
      </c>
    </row>
    <row r="5444" spans="1:8">
      <c r="A5444">
        <v>5</v>
      </c>
      <c r="B5444" t="s">
        <v>42</v>
      </c>
      <c r="C5444" t="s">
        <v>33</v>
      </c>
      <c r="D5444">
        <v>0</v>
      </c>
      <c r="E5444">
        <v>1</v>
      </c>
      <c r="F5444" s="7">
        <v>4573.24</v>
      </c>
      <c r="G5444">
        <v>0</v>
      </c>
      <c r="H5444" s="7">
        <v>0</v>
      </c>
    </row>
    <row r="5445" spans="1:8">
      <c r="A5445">
        <v>5</v>
      </c>
      <c r="B5445" t="s">
        <v>42</v>
      </c>
      <c r="C5445" t="s">
        <v>33</v>
      </c>
      <c r="D5445">
        <v>0</v>
      </c>
      <c r="E5445">
        <v>1</v>
      </c>
      <c r="F5445" s="7">
        <v>5905.54</v>
      </c>
      <c r="G5445">
        <v>0</v>
      </c>
      <c r="H5445" s="7">
        <v>0</v>
      </c>
    </row>
    <row r="5446" spans="1:8">
      <c r="A5446">
        <v>5</v>
      </c>
      <c r="B5446" t="s">
        <v>45</v>
      </c>
      <c r="C5446" t="s">
        <v>32</v>
      </c>
      <c r="D5446">
        <v>0</v>
      </c>
      <c r="E5446">
        <v>1</v>
      </c>
      <c r="F5446" s="7">
        <v>665.37</v>
      </c>
      <c r="G5446">
        <v>0</v>
      </c>
      <c r="H5446" s="7">
        <v>0</v>
      </c>
    </row>
    <row r="5447" spans="1:8">
      <c r="A5447">
        <v>5</v>
      </c>
      <c r="B5447" t="s">
        <v>45</v>
      </c>
      <c r="C5447" t="s">
        <v>33</v>
      </c>
      <c r="D5447">
        <v>0</v>
      </c>
      <c r="E5447">
        <v>1</v>
      </c>
      <c r="F5447" s="7">
        <v>1674.09</v>
      </c>
      <c r="G5447">
        <v>0</v>
      </c>
      <c r="H5447" s="7">
        <v>0</v>
      </c>
    </row>
    <row r="5448" spans="1:8">
      <c r="A5448">
        <v>5</v>
      </c>
      <c r="B5448" t="s">
        <v>42</v>
      </c>
      <c r="C5448" t="s">
        <v>33</v>
      </c>
      <c r="D5448">
        <v>0</v>
      </c>
      <c r="E5448">
        <v>1</v>
      </c>
      <c r="F5448" s="7">
        <v>4762.15</v>
      </c>
      <c r="G5448">
        <v>0</v>
      </c>
      <c r="H5448" s="7">
        <v>0</v>
      </c>
    </row>
    <row r="5449" spans="1:8">
      <c r="A5449">
        <v>5</v>
      </c>
      <c r="B5449" t="s">
        <v>42</v>
      </c>
      <c r="C5449" t="s">
        <v>32</v>
      </c>
      <c r="D5449">
        <v>0</v>
      </c>
      <c r="E5449">
        <v>1</v>
      </c>
      <c r="F5449" s="7">
        <v>307.63</v>
      </c>
      <c r="G5449">
        <v>0</v>
      </c>
      <c r="H5449" s="7">
        <v>0</v>
      </c>
    </row>
    <row r="5450" spans="1:8">
      <c r="A5450">
        <v>5</v>
      </c>
      <c r="B5450" t="s">
        <v>42</v>
      </c>
      <c r="C5450" t="s">
        <v>33</v>
      </c>
      <c r="D5450">
        <v>0</v>
      </c>
      <c r="E5450">
        <v>1</v>
      </c>
      <c r="F5450" s="7">
        <v>3247.56</v>
      </c>
      <c r="G5450">
        <v>0</v>
      </c>
      <c r="H5450" s="7">
        <v>0</v>
      </c>
    </row>
    <row r="5451" spans="1:8">
      <c r="A5451">
        <v>5</v>
      </c>
      <c r="B5451" t="s">
        <v>42</v>
      </c>
      <c r="C5451" t="s">
        <v>33</v>
      </c>
      <c r="D5451">
        <v>0</v>
      </c>
      <c r="E5451">
        <v>1</v>
      </c>
      <c r="F5451" s="7">
        <v>2949.77</v>
      </c>
      <c r="G5451">
        <v>0</v>
      </c>
      <c r="H5451" s="7">
        <v>0</v>
      </c>
    </row>
    <row r="5452" spans="1:8">
      <c r="A5452">
        <v>5</v>
      </c>
      <c r="B5452" t="s">
        <v>42</v>
      </c>
      <c r="C5452" t="s">
        <v>33</v>
      </c>
      <c r="D5452">
        <v>0</v>
      </c>
      <c r="E5452">
        <v>1</v>
      </c>
      <c r="F5452" s="7">
        <v>4251.15</v>
      </c>
      <c r="G5452">
        <v>0</v>
      </c>
      <c r="H5452" s="7">
        <v>0</v>
      </c>
    </row>
    <row r="5453" spans="1:8">
      <c r="A5453">
        <v>5</v>
      </c>
      <c r="B5453" t="s">
        <v>42</v>
      </c>
      <c r="C5453" t="s">
        <v>33</v>
      </c>
      <c r="D5453">
        <v>0</v>
      </c>
      <c r="E5453">
        <v>1</v>
      </c>
      <c r="F5453" s="7">
        <v>5200</v>
      </c>
      <c r="G5453">
        <v>0</v>
      </c>
      <c r="H5453" s="7">
        <v>0</v>
      </c>
    </row>
    <row r="5454" spans="1:8">
      <c r="A5454">
        <v>5</v>
      </c>
      <c r="B5454" t="s">
        <v>42</v>
      </c>
      <c r="C5454" t="s">
        <v>33</v>
      </c>
      <c r="D5454">
        <v>0</v>
      </c>
      <c r="E5454">
        <v>1</v>
      </c>
      <c r="F5454" s="7">
        <v>3367.42</v>
      </c>
      <c r="G5454">
        <v>0</v>
      </c>
      <c r="H5454" s="7">
        <v>0</v>
      </c>
    </row>
    <row r="5455" spans="1:8">
      <c r="A5455">
        <v>5</v>
      </c>
      <c r="B5455" t="s">
        <v>44</v>
      </c>
      <c r="C5455" t="s">
        <v>34</v>
      </c>
      <c r="D5455">
        <v>0</v>
      </c>
      <c r="E5455">
        <v>1</v>
      </c>
      <c r="F5455" s="7">
        <v>41624.47</v>
      </c>
      <c r="G5455">
        <v>0</v>
      </c>
      <c r="H5455" s="7">
        <v>0</v>
      </c>
    </row>
    <row r="5456" spans="1:8">
      <c r="A5456">
        <v>5</v>
      </c>
      <c r="B5456" t="s">
        <v>42</v>
      </c>
      <c r="C5456" t="s">
        <v>33</v>
      </c>
      <c r="D5456">
        <v>0</v>
      </c>
      <c r="E5456">
        <v>1</v>
      </c>
      <c r="F5456" s="7">
        <v>3032.27</v>
      </c>
      <c r="G5456">
        <v>0</v>
      </c>
      <c r="H5456" s="7">
        <v>0</v>
      </c>
    </row>
    <row r="5457" spans="1:8">
      <c r="A5457">
        <v>5</v>
      </c>
      <c r="B5457" t="s">
        <v>42</v>
      </c>
      <c r="C5457" t="s">
        <v>34</v>
      </c>
      <c r="D5457">
        <v>0</v>
      </c>
      <c r="E5457">
        <v>1</v>
      </c>
      <c r="F5457" s="7">
        <v>17410.74</v>
      </c>
      <c r="G5457">
        <v>0</v>
      </c>
      <c r="H5457" s="7">
        <v>0</v>
      </c>
    </row>
    <row r="5458" spans="1:8">
      <c r="A5458">
        <v>5</v>
      </c>
      <c r="B5458" t="s">
        <v>42</v>
      </c>
      <c r="C5458" t="s">
        <v>33</v>
      </c>
      <c r="D5458">
        <v>0</v>
      </c>
      <c r="E5458">
        <v>1</v>
      </c>
      <c r="F5458" s="7">
        <v>8908.26</v>
      </c>
      <c r="G5458">
        <v>0</v>
      </c>
      <c r="H5458" s="7">
        <v>0</v>
      </c>
    </row>
    <row r="5459" spans="1:8">
      <c r="A5459">
        <v>5</v>
      </c>
      <c r="B5459" t="s">
        <v>42</v>
      </c>
      <c r="C5459" t="s">
        <v>33</v>
      </c>
      <c r="D5459">
        <v>0</v>
      </c>
      <c r="E5459">
        <v>1</v>
      </c>
      <c r="F5459" s="7">
        <v>1122.73</v>
      </c>
      <c r="G5459">
        <v>0</v>
      </c>
      <c r="H5459" s="7">
        <v>0</v>
      </c>
    </row>
    <row r="5460" spans="1:8">
      <c r="A5460">
        <v>5</v>
      </c>
      <c r="B5460" t="s">
        <v>42</v>
      </c>
      <c r="C5460" t="s">
        <v>34</v>
      </c>
      <c r="D5460">
        <v>0</v>
      </c>
      <c r="E5460">
        <v>1</v>
      </c>
      <c r="F5460" s="7">
        <v>17356.69</v>
      </c>
      <c r="G5460">
        <v>0</v>
      </c>
      <c r="H5460" s="7">
        <v>0</v>
      </c>
    </row>
    <row r="5461" spans="1:8">
      <c r="A5461">
        <v>5</v>
      </c>
      <c r="B5461" t="s">
        <v>42</v>
      </c>
      <c r="C5461" t="s">
        <v>32</v>
      </c>
      <c r="D5461">
        <v>0</v>
      </c>
      <c r="E5461">
        <v>1</v>
      </c>
      <c r="F5461" s="7">
        <v>914.59</v>
      </c>
      <c r="G5461">
        <v>0</v>
      </c>
      <c r="H5461" s="7">
        <v>0</v>
      </c>
    </row>
    <row r="5462" spans="1:8">
      <c r="A5462">
        <v>5</v>
      </c>
      <c r="B5462" t="s">
        <v>42</v>
      </c>
      <c r="C5462" t="s">
        <v>32</v>
      </c>
      <c r="D5462">
        <v>0</v>
      </c>
      <c r="E5462">
        <v>1</v>
      </c>
      <c r="F5462" s="7">
        <v>617.25</v>
      </c>
      <c r="G5462">
        <v>0</v>
      </c>
      <c r="H5462" s="7">
        <v>0</v>
      </c>
    </row>
    <row r="5463" spans="1:8">
      <c r="A5463">
        <v>5</v>
      </c>
      <c r="B5463" t="s">
        <v>44</v>
      </c>
      <c r="C5463" t="s">
        <v>34</v>
      </c>
      <c r="D5463">
        <v>0</v>
      </c>
      <c r="E5463">
        <v>1</v>
      </c>
      <c r="F5463" s="7">
        <v>48516.52</v>
      </c>
      <c r="G5463">
        <v>0</v>
      </c>
      <c r="H5463" s="7">
        <v>0</v>
      </c>
    </row>
    <row r="5464" spans="1:8">
      <c r="A5464">
        <v>5</v>
      </c>
      <c r="B5464" t="s">
        <v>44</v>
      </c>
      <c r="C5464" t="s">
        <v>35</v>
      </c>
      <c r="D5464">
        <v>0</v>
      </c>
      <c r="E5464">
        <v>1</v>
      </c>
      <c r="F5464" s="7">
        <v>305121.53</v>
      </c>
      <c r="G5464">
        <v>0</v>
      </c>
      <c r="H5464" s="7">
        <v>0</v>
      </c>
    </row>
    <row r="5465" spans="1:8">
      <c r="A5465">
        <v>5</v>
      </c>
      <c r="B5465" t="s">
        <v>44</v>
      </c>
      <c r="C5465" t="s">
        <v>35</v>
      </c>
      <c r="D5465">
        <v>0</v>
      </c>
      <c r="E5465">
        <v>1</v>
      </c>
      <c r="F5465" s="7">
        <v>268894.02</v>
      </c>
      <c r="G5465">
        <v>0</v>
      </c>
      <c r="H5465" s="7">
        <v>0</v>
      </c>
    </row>
    <row r="5466" spans="1:8">
      <c r="A5466">
        <v>5</v>
      </c>
      <c r="B5466" t="s">
        <v>44</v>
      </c>
      <c r="C5466" t="s">
        <v>35</v>
      </c>
      <c r="D5466">
        <v>0</v>
      </c>
      <c r="E5466">
        <v>1</v>
      </c>
      <c r="F5466" s="7">
        <v>233312.83</v>
      </c>
      <c r="G5466">
        <v>0</v>
      </c>
      <c r="H5466" s="7">
        <v>0</v>
      </c>
    </row>
    <row r="5467" spans="1:8">
      <c r="A5467">
        <v>5</v>
      </c>
      <c r="B5467" t="s">
        <v>44</v>
      </c>
      <c r="C5467" t="s">
        <v>35</v>
      </c>
      <c r="D5467">
        <v>0</v>
      </c>
      <c r="E5467">
        <v>1</v>
      </c>
      <c r="F5467" s="7">
        <v>198384.26</v>
      </c>
      <c r="G5467">
        <v>0</v>
      </c>
      <c r="H5467" s="7">
        <v>0</v>
      </c>
    </row>
    <row r="5468" spans="1:8">
      <c r="A5468">
        <v>5</v>
      </c>
      <c r="B5468" t="s">
        <v>44</v>
      </c>
      <c r="C5468" t="s">
        <v>35</v>
      </c>
      <c r="D5468">
        <v>0</v>
      </c>
      <c r="E5468">
        <v>1</v>
      </c>
      <c r="F5468" s="7">
        <v>311282.8</v>
      </c>
      <c r="G5468">
        <v>0</v>
      </c>
      <c r="H5468" s="7">
        <v>0</v>
      </c>
    </row>
    <row r="5469" spans="1:8">
      <c r="A5469">
        <v>5</v>
      </c>
      <c r="B5469" t="s">
        <v>42</v>
      </c>
      <c r="C5469" t="s">
        <v>33</v>
      </c>
      <c r="D5469">
        <v>0</v>
      </c>
      <c r="E5469">
        <v>1</v>
      </c>
      <c r="F5469" s="7">
        <v>7654.41</v>
      </c>
      <c r="G5469">
        <v>0</v>
      </c>
      <c r="H5469" s="7">
        <v>0</v>
      </c>
    </row>
    <row r="5470" spans="1:8">
      <c r="A5470">
        <v>5</v>
      </c>
      <c r="B5470" t="s">
        <v>42</v>
      </c>
      <c r="C5470" t="s">
        <v>33</v>
      </c>
      <c r="D5470">
        <v>0</v>
      </c>
      <c r="E5470">
        <v>1</v>
      </c>
      <c r="F5470" s="7">
        <v>2376.34</v>
      </c>
      <c r="G5470">
        <v>0</v>
      </c>
      <c r="H5470" s="7">
        <v>0</v>
      </c>
    </row>
    <row r="5471" spans="1:8">
      <c r="A5471">
        <v>5</v>
      </c>
      <c r="B5471" t="s">
        <v>42</v>
      </c>
      <c r="C5471" t="s">
        <v>34</v>
      </c>
      <c r="D5471">
        <v>0</v>
      </c>
      <c r="E5471">
        <v>1</v>
      </c>
      <c r="F5471" s="7">
        <v>10122.53</v>
      </c>
      <c r="G5471">
        <v>0</v>
      </c>
      <c r="H5471" s="7">
        <v>0</v>
      </c>
    </row>
    <row r="5472" spans="1:8">
      <c r="A5472">
        <v>5</v>
      </c>
      <c r="B5472" t="s">
        <v>43</v>
      </c>
      <c r="C5472" t="s">
        <v>34</v>
      </c>
      <c r="D5472">
        <v>1</v>
      </c>
      <c r="E5472">
        <v>1</v>
      </c>
      <c r="F5472" s="7">
        <v>10119.47</v>
      </c>
      <c r="G5472">
        <v>1</v>
      </c>
      <c r="H5472" s="7">
        <v>10119.47</v>
      </c>
    </row>
    <row r="5473" spans="1:8">
      <c r="A5473">
        <v>5</v>
      </c>
      <c r="B5473" t="s">
        <v>44</v>
      </c>
      <c r="C5473" t="s">
        <v>34</v>
      </c>
      <c r="D5473">
        <v>1</v>
      </c>
      <c r="E5473">
        <v>1</v>
      </c>
      <c r="F5473" s="7">
        <v>10119.47</v>
      </c>
      <c r="G5473">
        <v>1</v>
      </c>
      <c r="H5473" s="7">
        <v>10119.47</v>
      </c>
    </row>
    <row r="5474" spans="1:8">
      <c r="A5474">
        <v>5</v>
      </c>
      <c r="B5474" t="s">
        <v>42</v>
      </c>
      <c r="C5474" t="s">
        <v>33</v>
      </c>
      <c r="D5474">
        <v>0</v>
      </c>
      <c r="E5474">
        <v>1</v>
      </c>
      <c r="F5474" s="7">
        <v>4103.27</v>
      </c>
      <c r="G5474">
        <v>0</v>
      </c>
      <c r="H5474" s="7">
        <v>0</v>
      </c>
    </row>
    <row r="5475" spans="1:8">
      <c r="A5475">
        <v>5</v>
      </c>
      <c r="B5475" t="s">
        <v>42</v>
      </c>
      <c r="C5475" t="s">
        <v>33</v>
      </c>
      <c r="D5475">
        <v>0</v>
      </c>
      <c r="E5475">
        <v>1</v>
      </c>
      <c r="F5475" s="7">
        <v>5835.81</v>
      </c>
      <c r="G5475">
        <v>0</v>
      </c>
      <c r="H5475" s="7">
        <v>0</v>
      </c>
    </row>
    <row r="5476" spans="1:8">
      <c r="A5476">
        <v>5</v>
      </c>
      <c r="B5476" t="s">
        <v>42</v>
      </c>
      <c r="C5476" t="s">
        <v>32</v>
      </c>
      <c r="D5476">
        <v>0</v>
      </c>
      <c r="E5476">
        <v>1</v>
      </c>
      <c r="F5476" s="7">
        <v>925.48</v>
      </c>
      <c r="G5476">
        <v>0</v>
      </c>
      <c r="H5476" s="7">
        <v>0</v>
      </c>
    </row>
    <row r="5477" spans="1:8">
      <c r="A5477">
        <v>5</v>
      </c>
      <c r="B5477" t="s">
        <v>42</v>
      </c>
      <c r="C5477" t="s">
        <v>33</v>
      </c>
      <c r="D5477">
        <v>0</v>
      </c>
      <c r="E5477">
        <v>1</v>
      </c>
      <c r="F5477" s="7">
        <v>7543.1</v>
      </c>
      <c r="G5477">
        <v>0</v>
      </c>
      <c r="H5477" s="7">
        <v>0</v>
      </c>
    </row>
    <row r="5478" spans="1:8">
      <c r="A5478">
        <v>5</v>
      </c>
      <c r="B5478" t="s">
        <v>42</v>
      </c>
      <c r="C5478" t="s">
        <v>33</v>
      </c>
      <c r="D5478">
        <v>0</v>
      </c>
      <c r="E5478">
        <v>1</v>
      </c>
      <c r="F5478" s="7">
        <v>3159.86</v>
      </c>
      <c r="G5478">
        <v>0</v>
      </c>
      <c r="H5478" s="7">
        <v>0</v>
      </c>
    </row>
    <row r="5479" spans="1:8">
      <c r="A5479">
        <v>5</v>
      </c>
      <c r="B5479" t="s">
        <v>42</v>
      </c>
      <c r="C5479" t="s">
        <v>32</v>
      </c>
      <c r="D5479">
        <v>0</v>
      </c>
      <c r="E5479">
        <v>1</v>
      </c>
      <c r="F5479" s="7">
        <v>240.78</v>
      </c>
      <c r="G5479">
        <v>0</v>
      </c>
      <c r="H5479" s="7">
        <v>0</v>
      </c>
    </row>
    <row r="5480" spans="1:8">
      <c r="A5480">
        <v>5</v>
      </c>
      <c r="B5480" t="s">
        <v>44</v>
      </c>
      <c r="C5480" t="s">
        <v>35</v>
      </c>
      <c r="D5480">
        <v>0</v>
      </c>
      <c r="E5480">
        <v>1</v>
      </c>
      <c r="F5480" s="7">
        <v>366300.87</v>
      </c>
      <c r="G5480">
        <v>0</v>
      </c>
      <c r="H5480" s="7">
        <v>0</v>
      </c>
    </row>
    <row r="5481" spans="1:8">
      <c r="A5481">
        <v>5</v>
      </c>
      <c r="B5481" t="s">
        <v>44</v>
      </c>
      <c r="C5481" t="s">
        <v>34</v>
      </c>
      <c r="D5481">
        <v>0</v>
      </c>
      <c r="E5481">
        <v>1</v>
      </c>
      <c r="F5481" s="7">
        <v>33985.61</v>
      </c>
      <c r="G5481">
        <v>0</v>
      </c>
      <c r="H5481" s="7">
        <v>0</v>
      </c>
    </row>
    <row r="5482" spans="1:8">
      <c r="A5482">
        <v>5</v>
      </c>
      <c r="B5482" t="s">
        <v>44</v>
      </c>
      <c r="C5482" t="s">
        <v>35</v>
      </c>
      <c r="D5482">
        <v>0</v>
      </c>
      <c r="E5482">
        <v>1</v>
      </c>
      <c r="F5482" s="7">
        <v>439930.78</v>
      </c>
      <c r="G5482">
        <v>0</v>
      </c>
      <c r="H5482" s="7">
        <v>0</v>
      </c>
    </row>
    <row r="5483" spans="1:8">
      <c r="A5483">
        <v>5</v>
      </c>
      <c r="B5483" t="s">
        <v>44</v>
      </c>
      <c r="C5483" t="s">
        <v>35</v>
      </c>
      <c r="D5483">
        <v>0</v>
      </c>
      <c r="E5483">
        <v>1</v>
      </c>
      <c r="F5483" s="7">
        <v>218549.38</v>
      </c>
      <c r="G5483">
        <v>0</v>
      </c>
      <c r="H5483" s="7">
        <v>0</v>
      </c>
    </row>
    <row r="5484" spans="1:8">
      <c r="A5484">
        <v>5</v>
      </c>
      <c r="B5484" t="s">
        <v>44</v>
      </c>
      <c r="C5484" t="s">
        <v>35</v>
      </c>
      <c r="D5484">
        <v>0</v>
      </c>
      <c r="E5484">
        <v>1</v>
      </c>
      <c r="F5484" s="7">
        <v>498990.17</v>
      </c>
      <c r="G5484">
        <v>0</v>
      </c>
      <c r="H5484" s="7">
        <v>0</v>
      </c>
    </row>
    <row r="5485" spans="1:8">
      <c r="A5485">
        <v>5</v>
      </c>
      <c r="B5485" t="s">
        <v>44</v>
      </c>
      <c r="C5485" t="s">
        <v>35</v>
      </c>
      <c r="D5485">
        <v>0</v>
      </c>
      <c r="E5485">
        <v>1</v>
      </c>
      <c r="F5485" s="7">
        <v>134175.79</v>
      </c>
      <c r="G5485">
        <v>0</v>
      </c>
      <c r="H5485" s="7">
        <v>0</v>
      </c>
    </row>
    <row r="5486" spans="1:8">
      <c r="A5486">
        <v>5</v>
      </c>
      <c r="B5486" t="s">
        <v>44</v>
      </c>
      <c r="C5486" t="s">
        <v>34</v>
      </c>
      <c r="D5486">
        <v>0</v>
      </c>
      <c r="E5486">
        <v>1</v>
      </c>
      <c r="F5486" s="7">
        <v>70830.43</v>
      </c>
      <c r="G5486">
        <v>0</v>
      </c>
      <c r="H5486" s="7">
        <v>0</v>
      </c>
    </row>
    <row r="5487" spans="1:8">
      <c r="A5487">
        <v>5</v>
      </c>
      <c r="B5487" t="s">
        <v>44</v>
      </c>
      <c r="C5487" t="s">
        <v>35</v>
      </c>
      <c r="D5487">
        <v>0</v>
      </c>
      <c r="E5487">
        <v>1</v>
      </c>
      <c r="F5487" s="7">
        <v>293520.06</v>
      </c>
      <c r="G5487">
        <v>0</v>
      </c>
      <c r="H5487" s="7">
        <v>0</v>
      </c>
    </row>
    <row r="5488" spans="1:8">
      <c r="A5488">
        <v>5</v>
      </c>
      <c r="B5488" t="s">
        <v>44</v>
      </c>
      <c r="C5488" t="s">
        <v>35</v>
      </c>
      <c r="D5488">
        <v>0</v>
      </c>
      <c r="E5488">
        <v>1</v>
      </c>
      <c r="F5488" s="7">
        <v>247454.42</v>
      </c>
      <c r="G5488">
        <v>0</v>
      </c>
      <c r="H5488" s="7">
        <v>0</v>
      </c>
    </row>
    <row r="5489" spans="1:8">
      <c r="A5489">
        <v>5</v>
      </c>
      <c r="B5489" t="s">
        <v>44</v>
      </c>
      <c r="C5489" t="s">
        <v>35</v>
      </c>
      <c r="D5489">
        <v>0</v>
      </c>
      <c r="E5489">
        <v>1</v>
      </c>
      <c r="F5489" s="7">
        <v>182374.61</v>
      </c>
      <c r="G5489">
        <v>0</v>
      </c>
      <c r="H5489" s="7">
        <v>0</v>
      </c>
    </row>
    <row r="5490" spans="1:8">
      <c r="A5490">
        <v>5</v>
      </c>
      <c r="B5490" t="s">
        <v>44</v>
      </c>
      <c r="C5490" t="s">
        <v>35</v>
      </c>
      <c r="D5490">
        <v>0</v>
      </c>
      <c r="E5490">
        <v>1</v>
      </c>
      <c r="F5490" s="7">
        <v>183088.01</v>
      </c>
      <c r="G5490">
        <v>0</v>
      </c>
      <c r="H5490" s="7">
        <v>0</v>
      </c>
    </row>
    <row r="5491" spans="1:8">
      <c r="A5491">
        <v>5</v>
      </c>
      <c r="B5491" t="s">
        <v>44</v>
      </c>
      <c r="C5491" t="s">
        <v>35</v>
      </c>
      <c r="D5491">
        <v>0</v>
      </c>
      <c r="E5491">
        <v>1</v>
      </c>
      <c r="F5491" s="7">
        <v>278809.45</v>
      </c>
      <c r="G5491">
        <v>0</v>
      </c>
      <c r="H5491" s="7">
        <v>0</v>
      </c>
    </row>
    <row r="5492" spans="1:8">
      <c r="A5492">
        <v>5</v>
      </c>
      <c r="B5492" t="s">
        <v>44</v>
      </c>
      <c r="C5492" t="s">
        <v>34</v>
      </c>
      <c r="D5492">
        <v>0</v>
      </c>
      <c r="E5492">
        <v>1</v>
      </c>
      <c r="F5492" s="7">
        <v>83160.08</v>
      </c>
      <c r="G5492">
        <v>0</v>
      </c>
      <c r="H5492" s="7">
        <v>0</v>
      </c>
    </row>
    <row r="5493" spans="1:8">
      <c r="A5493">
        <v>5</v>
      </c>
      <c r="B5493" t="s">
        <v>44</v>
      </c>
      <c r="C5493" t="s">
        <v>35</v>
      </c>
      <c r="D5493">
        <v>0</v>
      </c>
      <c r="E5493">
        <v>1</v>
      </c>
      <c r="F5493" s="7">
        <v>122729.64</v>
      </c>
      <c r="G5493">
        <v>0</v>
      </c>
      <c r="H5493" s="7">
        <v>0</v>
      </c>
    </row>
    <row r="5494" spans="1:8">
      <c r="A5494">
        <v>5</v>
      </c>
      <c r="B5494" t="s">
        <v>44</v>
      </c>
      <c r="C5494" t="s">
        <v>35</v>
      </c>
      <c r="D5494">
        <v>0</v>
      </c>
      <c r="E5494">
        <v>1</v>
      </c>
      <c r="F5494" s="7">
        <v>127127.67</v>
      </c>
      <c r="G5494">
        <v>0</v>
      </c>
      <c r="H5494" s="7">
        <v>0</v>
      </c>
    </row>
    <row r="5495" spans="1:8">
      <c r="A5495">
        <v>5</v>
      </c>
      <c r="B5495" t="s">
        <v>43</v>
      </c>
      <c r="C5495" t="s">
        <v>34</v>
      </c>
      <c r="D5495">
        <v>0</v>
      </c>
      <c r="E5495">
        <v>1</v>
      </c>
      <c r="F5495" s="7">
        <v>97544.43</v>
      </c>
      <c r="G5495">
        <v>0</v>
      </c>
      <c r="H5495" s="7">
        <v>0</v>
      </c>
    </row>
    <row r="5496" spans="1:8">
      <c r="A5496">
        <v>5</v>
      </c>
      <c r="B5496" t="s">
        <v>42</v>
      </c>
      <c r="C5496" t="s">
        <v>33</v>
      </c>
      <c r="D5496">
        <v>0</v>
      </c>
      <c r="E5496">
        <v>1</v>
      </c>
      <c r="F5496" s="7">
        <v>3967.71</v>
      </c>
      <c r="G5496">
        <v>0</v>
      </c>
      <c r="H5496" s="7">
        <v>0</v>
      </c>
    </row>
    <row r="5497" spans="1:8">
      <c r="A5497">
        <v>5</v>
      </c>
      <c r="B5497" t="s">
        <v>44</v>
      </c>
      <c r="C5497" t="s">
        <v>35</v>
      </c>
      <c r="D5497">
        <v>0</v>
      </c>
      <c r="E5497">
        <v>1</v>
      </c>
      <c r="F5497" s="7">
        <v>269130.7</v>
      </c>
      <c r="G5497">
        <v>0</v>
      </c>
      <c r="H5497" s="7">
        <v>0</v>
      </c>
    </row>
    <row r="5498" spans="1:8">
      <c r="A5498">
        <v>5</v>
      </c>
      <c r="B5498" t="s">
        <v>44</v>
      </c>
      <c r="C5498" t="s">
        <v>34</v>
      </c>
      <c r="D5498">
        <v>0</v>
      </c>
      <c r="E5498">
        <v>1</v>
      </c>
      <c r="F5498" s="7">
        <v>31963.29</v>
      </c>
      <c r="G5498">
        <v>0</v>
      </c>
      <c r="H5498" s="7">
        <v>0</v>
      </c>
    </row>
    <row r="5499" spans="1:8">
      <c r="A5499">
        <v>5</v>
      </c>
      <c r="B5499" t="s">
        <v>44</v>
      </c>
      <c r="C5499" t="s">
        <v>35</v>
      </c>
      <c r="D5499">
        <v>0</v>
      </c>
      <c r="E5499">
        <v>1</v>
      </c>
      <c r="F5499" s="7">
        <v>137497.97</v>
      </c>
      <c r="G5499">
        <v>0</v>
      </c>
      <c r="H5499" s="7">
        <v>0</v>
      </c>
    </row>
    <row r="5500" spans="1:8">
      <c r="A5500">
        <v>5</v>
      </c>
      <c r="B5500" t="s">
        <v>44</v>
      </c>
      <c r="C5500" t="s">
        <v>34</v>
      </c>
      <c r="D5500">
        <v>0</v>
      </c>
      <c r="E5500">
        <v>1</v>
      </c>
      <c r="F5500" s="7">
        <v>89569.75</v>
      </c>
      <c r="G5500">
        <v>0</v>
      </c>
      <c r="H5500" s="7">
        <v>0</v>
      </c>
    </row>
    <row r="5501" spans="1:8">
      <c r="A5501">
        <v>5</v>
      </c>
      <c r="B5501" t="s">
        <v>44</v>
      </c>
      <c r="C5501" t="s">
        <v>35</v>
      </c>
      <c r="D5501">
        <v>0</v>
      </c>
      <c r="E5501">
        <v>1</v>
      </c>
      <c r="F5501" s="7">
        <v>286878.98</v>
      </c>
      <c r="G5501">
        <v>0</v>
      </c>
      <c r="H5501" s="7">
        <v>0</v>
      </c>
    </row>
    <row r="5502" spans="1:8">
      <c r="A5502">
        <v>5</v>
      </c>
      <c r="B5502" t="s">
        <v>44</v>
      </c>
      <c r="C5502" t="s">
        <v>35</v>
      </c>
      <c r="D5502">
        <v>0</v>
      </c>
      <c r="E5502">
        <v>1</v>
      </c>
      <c r="F5502" s="7">
        <v>521438.17</v>
      </c>
      <c r="G5502">
        <v>0</v>
      </c>
      <c r="H5502" s="7">
        <v>0</v>
      </c>
    </row>
    <row r="5503" spans="1:8">
      <c r="A5503">
        <v>5</v>
      </c>
      <c r="B5503" t="s">
        <v>44</v>
      </c>
      <c r="C5503" t="s">
        <v>35</v>
      </c>
      <c r="D5503">
        <v>0</v>
      </c>
      <c r="E5503">
        <v>1</v>
      </c>
      <c r="F5503" s="7">
        <v>141799.28</v>
      </c>
      <c r="G5503">
        <v>0</v>
      </c>
      <c r="H5503" s="7">
        <v>0</v>
      </c>
    </row>
    <row r="5504" spans="1:8">
      <c r="A5504">
        <v>5</v>
      </c>
      <c r="B5504" t="s">
        <v>44</v>
      </c>
      <c r="C5504" t="s">
        <v>35</v>
      </c>
      <c r="D5504">
        <v>0</v>
      </c>
      <c r="E5504">
        <v>1</v>
      </c>
      <c r="F5504" s="7">
        <v>101332.45</v>
      </c>
      <c r="G5504">
        <v>0</v>
      </c>
      <c r="H5504" s="7">
        <v>0</v>
      </c>
    </row>
    <row r="5505" spans="1:8">
      <c r="A5505">
        <v>5</v>
      </c>
      <c r="B5505" t="s">
        <v>44</v>
      </c>
      <c r="C5505" t="s">
        <v>35</v>
      </c>
      <c r="D5505">
        <v>0</v>
      </c>
      <c r="E5505">
        <v>1</v>
      </c>
      <c r="F5505" s="7">
        <v>297734.01</v>
      </c>
      <c r="G5505">
        <v>0</v>
      </c>
      <c r="H5505" s="7">
        <v>0</v>
      </c>
    </row>
    <row r="5506" spans="1:8">
      <c r="A5506">
        <v>5</v>
      </c>
      <c r="B5506" t="s">
        <v>44</v>
      </c>
      <c r="C5506" t="s">
        <v>35</v>
      </c>
      <c r="D5506">
        <v>0</v>
      </c>
      <c r="E5506">
        <v>1</v>
      </c>
      <c r="F5506" s="7">
        <v>105095.1</v>
      </c>
      <c r="G5506">
        <v>0</v>
      </c>
      <c r="H5506" s="7">
        <v>0</v>
      </c>
    </row>
    <row r="5507" spans="1:8">
      <c r="A5507">
        <v>5</v>
      </c>
      <c r="B5507" t="s">
        <v>42</v>
      </c>
      <c r="C5507" t="s">
        <v>33</v>
      </c>
      <c r="D5507">
        <v>0</v>
      </c>
      <c r="E5507">
        <v>1</v>
      </c>
      <c r="F5507" s="7">
        <v>5830.2</v>
      </c>
      <c r="G5507">
        <v>0</v>
      </c>
      <c r="H5507" s="7">
        <v>0</v>
      </c>
    </row>
    <row r="5508" spans="1:8">
      <c r="A5508">
        <v>5</v>
      </c>
      <c r="B5508" t="s">
        <v>42</v>
      </c>
      <c r="C5508" t="s">
        <v>32</v>
      </c>
      <c r="D5508">
        <v>0</v>
      </c>
      <c r="E5508">
        <v>1</v>
      </c>
      <c r="F5508" s="7">
        <v>612.19</v>
      </c>
      <c r="G5508">
        <v>0</v>
      </c>
      <c r="H5508" s="7">
        <v>0</v>
      </c>
    </row>
    <row r="5509" spans="1:8">
      <c r="A5509">
        <v>5</v>
      </c>
      <c r="B5509" t="s">
        <v>42</v>
      </c>
      <c r="C5509" t="s">
        <v>32</v>
      </c>
      <c r="D5509">
        <v>0</v>
      </c>
      <c r="E5509">
        <v>1</v>
      </c>
      <c r="F5509" s="7">
        <v>920.12</v>
      </c>
      <c r="G5509">
        <v>0</v>
      </c>
      <c r="H5509" s="7">
        <v>0</v>
      </c>
    </row>
    <row r="5510" spans="1:8">
      <c r="A5510">
        <v>6</v>
      </c>
      <c r="B5510" t="s">
        <v>42</v>
      </c>
      <c r="C5510" t="s">
        <v>33</v>
      </c>
      <c r="D5510">
        <v>0</v>
      </c>
      <c r="E5510">
        <v>1</v>
      </c>
      <c r="F5510" s="7">
        <v>4964.82</v>
      </c>
      <c r="G5510">
        <v>0</v>
      </c>
      <c r="H5510" s="7">
        <v>0</v>
      </c>
    </row>
    <row r="5511" spans="1:8">
      <c r="A5511">
        <v>6</v>
      </c>
      <c r="B5511" t="s">
        <v>42</v>
      </c>
      <c r="C5511" t="s">
        <v>33</v>
      </c>
      <c r="D5511">
        <v>0</v>
      </c>
      <c r="E5511">
        <v>1</v>
      </c>
      <c r="F5511" s="7">
        <v>1993.69</v>
      </c>
      <c r="G5511">
        <v>0</v>
      </c>
      <c r="H5511" s="7">
        <v>0</v>
      </c>
    </row>
    <row r="5512" spans="1:8">
      <c r="A5512">
        <v>6</v>
      </c>
      <c r="B5512" t="s">
        <v>42</v>
      </c>
      <c r="C5512" t="s">
        <v>33</v>
      </c>
      <c r="D5512">
        <v>0</v>
      </c>
      <c r="E5512">
        <v>1</v>
      </c>
      <c r="F5512" s="7">
        <v>4466.25</v>
      </c>
      <c r="G5512">
        <v>0</v>
      </c>
      <c r="H5512" s="7">
        <v>0</v>
      </c>
    </row>
    <row r="5513" spans="1:8">
      <c r="A5513">
        <v>6</v>
      </c>
      <c r="B5513" t="s">
        <v>42</v>
      </c>
      <c r="C5513" t="s">
        <v>33</v>
      </c>
      <c r="D5513">
        <v>0</v>
      </c>
      <c r="E5513">
        <v>1</v>
      </c>
      <c r="F5513" s="7">
        <v>3092.92</v>
      </c>
      <c r="G5513">
        <v>0</v>
      </c>
      <c r="H5513" s="7">
        <v>0</v>
      </c>
    </row>
    <row r="5514" spans="1:8">
      <c r="A5514">
        <v>6</v>
      </c>
      <c r="B5514" t="s">
        <v>42</v>
      </c>
      <c r="C5514" t="s">
        <v>33</v>
      </c>
      <c r="D5514">
        <v>0</v>
      </c>
      <c r="E5514">
        <v>1</v>
      </c>
      <c r="F5514" s="7">
        <v>3440.78</v>
      </c>
      <c r="G5514">
        <v>0</v>
      </c>
      <c r="H5514" s="7">
        <v>0</v>
      </c>
    </row>
    <row r="5515" spans="1:8">
      <c r="A5515">
        <v>6</v>
      </c>
      <c r="B5515" t="s">
        <v>42</v>
      </c>
      <c r="C5515" t="s">
        <v>34</v>
      </c>
      <c r="D5515">
        <v>0</v>
      </c>
      <c r="E5515">
        <v>1</v>
      </c>
      <c r="F5515" s="7">
        <v>26643.14</v>
      </c>
      <c r="G5515">
        <v>0</v>
      </c>
      <c r="H5515" s="7">
        <v>0</v>
      </c>
    </row>
    <row r="5516" spans="1:8">
      <c r="A5516">
        <v>6</v>
      </c>
      <c r="B5516" t="s">
        <v>42</v>
      </c>
      <c r="C5516" t="s">
        <v>34</v>
      </c>
      <c r="D5516">
        <v>0</v>
      </c>
      <c r="E5516">
        <v>1</v>
      </c>
      <c r="F5516" s="7">
        <v>12048.52</v>
      </c>
      <c r="G5516">
        <v>0</v>
      </c>
      <c r="H5516" s="7">
        <v>0</v>
      </c>
    </row>
    <row r="5517" spans="1:8">
      <c r="A5517">
        <v>6</v>
      </c>
      <c r="B5517" t="s">
        <v>42</v>
      </c>
      <c r="C5517" t="s">
        <v>33</v>
      </c>
      <c r="D5517">
        <v>0</v>
      </c>
      <c r="E5517">
        <v>1</v>
      </c>
      <c r="F5517" s="7">
        <v>2125.09</v>
      </c>
      <c r="G5517">
        <v>0</v>
      </c>
      <c r="H5517" s="7">
        <v>0</v>
      </c>
    </row>
    <row r="5518" spans="1:8">
      <c r="A5518">
        <v>6</v>
      </c>
      <c r="B5518" t="s">
        <v>44</v>
      </c>
      <c r="C5518" t="s">
        <v>35</v>
      </c>
      <c r="D5518">
        <v>0</v>
      </c>
      <c r="E5518">
        <v>1</v>
      </c>
      <c r="F5518" s="7">
        <v>229790.53</v>
      </c>
      <c r="G5518">
        <v>0</v>
      </c>
      <c r="H5518" s="7">
        <v>0</v>
      </c>
    </row>
    <row r="5519" spans="1:8">
      <c r="A5519">
        <v>6</v>
      </c>
      <c r="B5519" t="s">
        <v>42</v>
      </c>
      <c r="C5519" t="s">
        <v>33</v>
      </c>
      <c r="D5519">
        <v>0</v>
      </c>
      <c r="E5519">
        <v>1</v>
      </c>
      <c r="F5519" s="7">
        <v>2892.49</v>
      </c>
      <c r="G5519">
        <v>0</v>
      </c>
      <c r="H5519" s="7">
        <v>0</v>
      </c>
    </row>
    <row r="5520" spans="1:8">
      <c r="A5520">
        <v>6</v>
      </c>
      <c r="B5520" t="s">
        <v>42</v>
      </c>
      <c r="C5520" t="s">
        <v>33</v>
      </c>
      <c r="D5520">
        <v>0</v>
      </c>
      <c r="E5520">
        <v>1</v>
      </c>
      <c r="F5520" s="7">
        <v>8940.39</v>
      </c>
      <c r="G5520">
        <v>0</v>
      </c>
      <c r="H5520" s="7">
        <v>0</v>
      </c>
    </row>
    <row r="5521" spans="1:8">
      <c r="A5521">
        <v>6</v>
      </c>
      <c r="B5521" t="s">
        <v>42</v>
      </c>
      <c r="C5521" t="s">
        <v>34</v>
      </c>
      <c r="D5521">
        <v>0</v>
      </c>
      <c r="E5521">
        <v>1</v>
      </c>
      <c r="F5521" s="7">
        <v>15455.85</v>
      </c>
      <c r="G5521">
        <v>0</v>
      </c>
      <c r="H5521" s="7">
        <v>0</v>
      </c>
    </row>
    <row r="5522" spans="1:8">
      <c r="A5522">
        <v>6</v>
      </c>
      <c r="B5522" t="s">
        <v>42</v>
      </c>
      <c r="C5522" t="s">
        <v>34</v>
      </c>
      <c r="D5522">
        <v>0</v>
      </c>
      <c r="E5522">
        <v>1</v>
      </c>
      <c r="F5522" s="7">
        <v>12848.12</v>
      </c>
      <c r="G5522">
        <v>0</v>
      </c>
      <c r="H5522" s="7">
        <v>0</v>
      </c>
    </row>
    <row r="5523" spans="1:8">
      <c r="A5523">
        <v>6</v>
      </c>
      <c r="B5523" t="s">
        <v>42</v>
      </c>
      <c r="C5523" t="s">
        <v>32</v>
      </c>
      <c r="D5523">
        <v>0</v>
      </c>
      <c r="E5523">
        <v>1</v>
      </c>
      <c r="F5523" s="7">
        <v>352.7</v>
      </c>
      <c r="G5523">
        <v>0</v>
      </c>
      <c r="H5523" s="7">
        <v>0</v>
      </c>
    </row>
    <row r="5524" spans="1:8">
      <c r="A5524">
        <v>6</v>
      </c>
      <c r="B5524" t="s">
        <v>42</v>
      </c>
      <c r="C5524" t="s">
        <v>34</v>
      </c>
      <c r="D5524">
        <v>0</v>
      </c>
      <c r="E5524">
        <v>1</v>
      </c>
      <c r="F5524" s="7">
        <v>10296.83</v>
      </c>
      <c r="G5524">
        <v>0</v>
      </c>
      <c r="H5524" s="7">
        <v>0</v>
      </c>
    </row>
    <row r="5525" spans="1:8">
      <c r="A5525">
        <v>6</v>
      </c>
      <c r="B5525" t="s">
        <v>42</v>
      </c>
      <c r="C5525" t="s">
        <v>34</v>
      </c>
      <c r="D5525">
        <v>0</v>
      </c>
      <c r="E5525">
        <v>1</v>
      </c>
      <c r="F5525" s="7">
        <v>13597.47</v>
      </c>
      <c r="G5525">
        <v>0</v>
      </c>
      <c r="H5525" s="7">
        <v>0</v>
      </c>
    </row>
    <row r="5526" spans="1:8">
      <c r="A5526">
        <v>6</v>
      </c>
      <c r="B5526" t="s">
        <v>42</v>
      </c>
      <c r="C5526" t="s">
        <v>33</v>
      </c>
      <c r="D5526">
        <v>0</v>
      </c>
      <c r="E5526">
        <v>1</v>
      </c>
      <c r="F5526" s="7">
        <v>7341.98</v>
      </c>
      <c r="G5526">
        <v>0</v>
      </c>
      <c r="H5526" s="7">
        <v>0</v>
      </c>
    </row>
    <row r="5527" spans="1:8">
      <c r="A5527">
        <v>6</v>
      </c>
      <c r="B5527" t="s">
        <v>45</v>
      </c>
      <c r="C5527" t="s">
        <v>33</v>
      </c>
      <c r="D5527">
        <v>0</v>
      </c>
      <c r="E5527">
        <v>1</v>
      </c>
      <c r="F5527" s="7">
        <v>1556.49</v>
      </c>
      <c r="G5527">
        <v>0</v>
      </c>
      <c r="H5527" s="7">
        <v>0</v>
      </c>
    </row>
    <row r="5528" spans="1:8">
      <c r="A5528">
        <v>6</v>
      </c>
      <c r="B5528" t="s">
        <v>42</v>
      </c>
      <c r="C5528" t="s">
        <v>32</v>
      </c>
      <c r="D5528">
        <v>0</v>
      </c>
      <c r="E5528">
        <v>1</v>
      </c>
      <c r="F5528" s="7">
        <v>385.39</v>
      </c>
      <c r="G5528">
        <v>0</v>
      </c>
      <c r="H5528" s="7">
        <v>0</v>
      </c>
    </row>
    <row r="5529" spans="1:8">
      <c r="A5529">
        <v>6</v>
      </c>
      <c r="B5529" t="s">
        <v>42</v>
      </c>
      <c r="C5529" t="s">
        <v>33</v>
      </c>
      <c r="D5529">
        <v>0</v>
      </c>
      <c r="E5529">
        <v>1</v>
      </c>
      <c r="F5529" s="7">
        <v>8545.54</v>
      </c>
      <c r="G5529">
        <v>0</v>
      </c>
      <c r="H5529" s="7">
        <v>0</v>
      </c>
    </row>
    <row r="5530" spans="1:8">
      <c r="A5530">
        <v>6</v>
      </c>
      <c r="B5530" t="s">
        <v>42</v>
      </c>
      <c r="C5530" t="s">
        <v>33</v>
      </c>
      <c r="D5530">
        <v>0</v>
      </c>
      <c r="E5530">
        <v>1</v>
      </c>
      <c r="F5530" s="7">
        <v>7993.75</v>
      </c>
      <c r="G5530">
        <v>0</v>
      </c>
      <c r="H5530" s="7">
        <v>0</v>
      </c>
    </row>
    <row r="5531" spans="1:8">
      <c r="A5531">
        <v>6</v>
      </c>
      <c r="B5531" t="s">
        <v>42</v>
      </c>
      <c r="C5531" t="s">
        <v>34</v>
      </c>
      <c r="D5531">
        <v>0</v>
      </c>
      <c r="E5531">
        <v>1</v>
      </c>
      <c r="F5531" s="7">
        <v>27202.42</v>
      </c>
      <c r="G5531">
        <v>0</v>
      </c>
      <c r="H5531" s="7">
        <v>0</v>
      </c>
    </row>
    <row r="5532" spans="1:8">
      <c r="A5532">
        <v>6</v>
      </c>
      <c r="B5532" t="s">
        <v>42</v>
      </c>
      <c r="C5532" t="s">
        <v>34</v>
      </c>
      <c r="D5532">
        <v>0</v>
      </c>
      <c r="E5532">
        <v>1</v>
      </c>
      <c r="F5532" s="7">
        <v>18666.07</v>
      </c>
      <c r="G5532">
        <v>0</v>
      </c>
      <c r="H5532" s="7">
        <v>0</v>
      </c>
    </row>
    <row r="5533" spans="1:8">
      <c r="A5533">
        <v>6</v>
      </c>
      <c r="B5533" t="s">
        <v>42</v>
      </c>
      <c r="C5533" t="s">
        <v>34</v>
      </c>
      <c r="D5533">
        <v>0</v>
      </c>
      <c r="E5533">
        <v>1</v>
      </c>
      <c r="F5533" s="7">
        <v>20112.79</v>
      </c>
      <c r="G5533">
        <v>0</v>
      </c>
      <c r="H5533" s="7">
        <v>0</v>
      </c>
    </row>
    <row r="5534" spans="1:8">
      <c r="A5534">
        <v>6</v>
      </c>
      <c r="B5534" t="s">
        <v>42</v>
      </c>
      <c r="C5534" t="s">
        <v>34</v>
      </c>
      <c r="D5534">
        <v>0</v>
      </c>
      <c r="E5534">
        <v>1</v>
      </c>
      <c r="F5534" s="7">
        <v>16419.57</v>
      </c>
      <c r="G5534">
        <v>0</v>
      </c>
      <c r="H5534" s="7">
        <v>0</v>
      </c>
    </row>
    <row r="5535" spans="1:8">
      <c r="A5535">
        <v>6</v>
      </c>
      <c r="B5535" t="s">
        <v>42</v>
      </c>
      <c r="C5535" t="s">
        <v>33</v>
      </c>
      <c r="D5535">
        <v>0</v>
      </c>
      <c r="E5535">
        <v>1</v>
      </c>
      <c r="F5535" s="7">
        <v>5060.44</v>
      </c>
      <c r="G5535">
        <v>0</v>
      </c>
      <c r="H5535" s="7">
        <v>0</v>
      </c>
    </row>
    <row r="5536" spans="1:8">
      <c r="A5536">
        <v>6</v>
      </c>
      <c r="B5536" t="s">
        <v>42</v>
      </c>
      <c r="C5536" t="s">
        <v>33</v>
      </c>
      <c r="D5536">
        <v>0</v>
      </c>
      <c r="E5536">
        <v>1</v>
      </c>
      <c r="F5536" s="7">
        <v>1031.66</v>
      </c>
      <c r="G5536">
        <v>0</v>
      </c>
      <c r="H5536" s="7">
        <v>0</v>
      </c>
    </row>
    <row r="5537" spans="1:8">
      <c r="A5537">
        <v>6</v>
      </c>
      <c r="B5537" t="s">
        <v>42</v>
      </c>
      <c r="C5537" t="s">
        <v>33</v>
      </c>
      <c r="D5537">
        <v>0</v>
      </c>
      <c r="E5537">
        <v>1</v>
      </c>
      <c r="F5537" s="7">
        <v>7285.68</v>
      </c>
      <c r="G5537">
        <v>0</v>
      </c>
      <c r="H5537" s="7">
        <v>0</v>
      </c>
    </row>
    <row r="5538" spans="1:8">
      <c r="A5538">
        <v>6</v>
      </c>
      <c r="B5538" t="s">
        <v>42</v>
      </c>
      <c r="C5538" t="s">
        <v>33</v>
      </c>
      <c r="D5538">
        <v>0</v>
      </c>
      <c r="E5538">
        <v>1</v>
      </c>
      <c r="F5538" s="7">
        <v>1200.57</v>
      </c>
      <c r="G5538">
        <v>0</v>
      </c>
      <c r="H5538" s="7">
        <v>0</v>
      </c>
    </row>
    <row r="5539" spans="1:8">
      <c r="A5539">
        <v>6</v>
      </c>
      <c r="B5539" t="s">
        <v>42</v>
      </c>
      <c r="C5539" t="s">
        <v>33</v>
      </c>
      <c r="D5539">
        <v>0</v>
      </c>
      <c r="E5539">
        <v>1</v>
      </c>
      <c r="F5539" s="7">
        <v>8335.65</v>
      </c>
      <c r="G5539">
        <v>0</v>
      </c>
      <c r="H5539" s="7">
        <v>0</v>
      </c>
    </row>
    <row r="5540" spans="1:8">
      <c r="A5540">
        <v>6</v>
      </c>
      <c r="B5540" t="s">
        <v>42</v>
      </c>
      <c r="C5540" t="s">
        <v>34</v>
      </c>
      <c r="D5540">
        <v>0</v>
      </c>
      <c r="E5540">
        <v>1</v>
      </c>
      <c r="F5540" s="7">
        <v>12798.82</v>
      </c>
      <c r="G5540">
        <v>0</v>
      </c>
      <c r="H5540" s="7">
        <v>0</v>
      </c>
    </row>
    <row r="5541" spans="1:8">
      <c r="A5541">
        <v>6</v>
      </c>
      <c r="B5541" t="s">
        <v>42</v>
      </c>
      <c r="C5541" t="s">
        <v>33</v>
      </c>
      <c r="D5541">
        <v>0</v>
      </c>
      <c r="E5541">
        <v>1</v>
      </c>
      <c r="F5541" s="7">
        <v>6771.54</v>
      </c>
      <c r="G5541">
        <v>0</v>
      </c>
      <c r="H5541" s="7">
        <v>0</v>
      </c>
    </row>
    <row r="5542" spans="1:8">
      <c r="A5542">
        <v>6</v>
      </c>
      <c r="B5542" t="s">
        <v>42</v>
      </c>
      <c r="C5542" t="s">
        <v>33</v>
      </c>
      <c r="D5542">
        <v>0</v>
      </c>
      <c r="E5542">
        <v>1</v>
      </c>
      <c r="F5542" s="7">
        <v>2223.47</v>
      </c>
      <c r="G5542">
        <v>0</v>
      </c>
      <c r="H5542" s="7">
        <v>0</v>
      </c>
    </row>
    <row r="5543" spans="1:8">
      <c r="A5543">
        <v>6</v>
      </c>
      <c r="B5543" t="s">
        <v>42</v>
      </c>
      <c r="C5543" t="s">
        <v>34</v>
      </c>
      <c r="D5543">
        <v>0</v>
      </c>
      <c r="E5543">
        <v>1</v>
      </c>
      <c r="F5543" s="7">
        <v>10219.4</v>
      </c>
      <c r="G5543">
        <v>0</v>
      </c>
      <c r="H5543" s="7">
        <v>0</v>
      </c>
    </row>
    <row r="5544" spans="1:8">
      <c r="A5544">
        <v>6</v>
      </c>
      <c r="B5544" t="s">
        <v>42</v>
      </c>
      <c r="C5544" t="s">
        <v>34</v>
      </c>
      <c r="D5544">
        <v>0</v>
      </c>
      <c r="E5544">
        <v>1</v>
      </c>
      <c r="F5544" s="7">
        <v>24342.09</v>
      </c>
      <c r="G5544">
        <v>0</v>
      </c>
      <c r="H5544" s="7">
        <v>0</v>
      </c>
    </row>
    <row r="5545" spans="1:8">
      <c r="A5545">
        <v>6</v>
      </c>
      <c r="B5545" t="s">
        <v>42</v>
      </c>
      <c r="C5545" t="s">
        <v>33</v>
      </c>
      <c r="D5545">
        <v>0</v>
      </c>
      <c r="E5545">
        <v>1</v>
      </c>
      <c r="F5545" s="7">
        <v>7338.27</v>
      </c>
      <c r="G5545">
        <v>0</v>
      </c>
      <c r="H5545" s="7">
        <v>0</v>
      </c>
    </row>
    <row r="5546" spans="1:8">
      <c r="A5546">
        <v>6</v>
      </c>
      <c r="B5546" t="s">
        <v>42</v>
      </c>
      <c r="C5546" t="s">
        <v>33</v>
      </c>
      <c r="D5546">
        <v>0</v>
      </c>
      <c r="E5546">
        <v>1</v>
      </c>
      <c r="F5546" s="7">
        <v>1440.1</v>
      </c>
      <c r="G5546">
        <v>0</v>
      </c>
      <c r="H5546" s="7">
        <v>0</v>
      </c>
    </row>
    <row r="5547" spans="1:8">
      <c r="A5547">
        <v>6</v>
      </c>
      <c r="B5547" t="s">
        <v>42</v>
      </c>
      <c r="C5547" t="s">
        <v>33</v>
      </c>
      <c r="D5547">
        <v>0</v>
      </c>
      <c r="E5547">
        <v>1</v>
      </c>
      <c r="F5547" s="7">
        <v>2824.15</v>
      </c>
      <c r="G5547">
        <v>0</v>
      </c>
      <c r="H5547" s="7">
        <v>0</v>
      </c>
    </row>
    <row r="5548" spans="1:8">
      <c r="A5548">
        <v>6</v>
      </c>
      <c r="B5548" t="s">
        <v>42</v>
      </c>
      <c r="C5548" t="s">
        <v>33</v>
      </c>
      <c r="D5548">
        <v>0</v>
      </c>
      <c r="E5548">
        <v>1</v>
      </c>
      <c r="F5548" s="7">
        <v>7868.21</v>
      </c>
      <c r="G5548">
        <v>0</v>
      </c>
      <c r="H5548" s="7">
        <v>0</v>
      </c>
    </row>
    <row r="5549" spans="1:8">
      <c r="A5549">
        <v>6</v>
      </c>
      <c r="B5549" t="s">
        <v>42</v>
      </c>
      <c r="C5549" t="s">
        <v>33</v>
      </c>
      <c r="D5549">
        <v>0</v>
      </c>
      <c r="E5549">
        <v>1</v>
      </c>
      <c r="F5549" s="7">
        <v>8069.14</v>
      </c>
      <c r="G5549">
        <v>0</v>
      </c>
      <c r="H5549" s="7">
        <v>0</v>
      </c>
    </row>
    <row r="5550" spans="1:8">
      <c r="A5550">
        <v>6</v>
      </c>
      <c r="B5550" t="s">
        <v>42</v>
      </c>
      <c r="C5550" t="s">
        <v>33</v>
      </c>
      <c r="D5550">
        <v>0</v>
      </c>
      <c r="E5550">
        <v>1</v>
      </c>
      <c r="F5550" s="7">
        <v>4074.95</v>
      </c>
      <c r="G5550">
        <v>0</v>
      </c>
      <c r="H5550" s="7">
        <v>0</v>
      </c>
    </row>
    <row r="5551" spans="1:8">
      <c r="A5551">
        <v>6</v>
      </c>
      <c r="B5551" t="s">
        <v>42</v>
      </c>
      <c r="C5551" t="s">
        <v>33</v>
      </c>
      <c r="D5551">
        <v>0</v>
      </c>
      <c r="E5551">
        <v>1</v>
      </c>
      <c r="F5551" s="7">
        <v>6445.27</v>
      </c>
      <c r="G5551">
        <v>0</v>
      </c>
      <c r="H5551" s="7">
        <v>0</v>
      </c>
    </row>
    <row r="5552" spans="1:8">
      <c r="A5552">
        <v>6</v>
      </c>
      <c r="B5552" t="s">
        <v>46</v>
      </c>
      <c r="C5552" t="s">
        <v>34</v>
      </c>
      <c r="D5552">
        <v>0</v>
      </c>
      <c r="E5552">
        <v>1</v>
      </c>
      <c r="F5552" s="7">
        <v>93355.27</v>
      </c>
      <c r="G5552">
        <v>0</v>
      </c>
      <c r="H5552" s="7">
        <v>0</v>
      </c>
    </row>
    <row r="5553" spans="1:8">
      <c r="A5553">
        <v>6</v>
      </c>
      <c r="B5553" t="s">
        <v>42</v>
      </c>
      <c r="C5553" t="s">
        <v>33</v>
      </c>
      <c r="D5553">
        <v>0</v>
      </c>
      <c r="E5553">
        <v>1</v>
      </c>
      <c r="F5553" s="7">
        <v>5580.15</v>
      </c>
      <c r="G5553">
        <v>0</v>
      </c>
      <c r="H5553" s="7">
        <v>0</v>
      </c>
    </row>
    <row r="5554" spans="1:8">
      <c r="A5554">
        <v>6</v>
      </c>
      <c r="B5554" t="s">
        <v>42</v>
      </c>
      <c r="C5554" t="s">
        <v>34</v>
      </c>
      <c r="D5554">
        <v>0</v>
      </c>
      <c r="E5554">
        <v>1</v>
      </c>
      <c r="F5554" s="7">
        <v>11192.72</v>
      </c>
      <c r="G5554">
        <v>0</v>
      </c>
      <c r="H5554" s="7">
        <v>0</v>
      </c>
    </row>
    <row r="5555" spans="1:8">
      <c r="A5555">
        <v>6</v>
      </c>
      <c r="B5555" t="s">
        <v>42</v>
      </c>
      <c r="C5555" t="s">
        <v>34</v>
      </c>
      <c r="D5555">
        <v>0</v>
      </c>
      <c r="E5555">
        <v>1</v>
      </c>
      <c r="F5555" s="7">
        <v>18540.96</v>
      </c>
      <c r="G5555">
        <v>0</v>
      </c>
      <c r="H5555" s="7">
        <v>0</v>
      </c>
    </row>
    <row r="5556" spans="1:8">
      <c r="A5556">
        <v>6</v>
      </c>
      <c r="B5556" t="s">
        <v>42</v>
      </c>
      <c r="C5556" t="s">
        <v>34</v>
      </c>
      <c r="D5556">
        <v>0</v>
      </c>
      <c r="E5556">
        <v>1</v>
      </c>
      <c r="F5556" s="7">
        <v>32012.74</v>
      </c>
      <c r="G5556">
        <v>0</v>
      </c>
      <c r="H5556" s="7">
        <v>0</v>
      </c>
    </row>
    <row r="5557" spans="1:8">
      <c r="A5557">
        <v>6</v>
      </c>
      <c r="B5557" t="s">
        <v>42</v>
      </c>
      <c r="C5557" t="s">
        <v>33</v>
      </c>
      <c r="D5557">
        <v>0</v>
      </c>
      <c r="E5557">
        <v>1</v>
      </c>
      <c r="F5557" s="7">
        <v>5393.37</v>
      </c>
      <c r="G5557">
        <v>0</v>
      </c>
      <c r="H5557" s="7">
        <v>0</v>
      </c>
    </row>
    <row r="5558" spans="1:8">
      <c r="A5558">
        <v>6</v>
      </c>
      <c r="B5558" t="s">
        <v>42</v>
      </c>
      <c r="C5558" t="s">
        <v>34</v>
      </c>
      <c r="D5558">
        <v>0</v>
      </c>
      <c r="E5558">
        <v>1</v>
      </c>
      <c r="F5558" s="7">
        <v>30042.12</v>
      </c>
      <c r="G5558">
        <v>0</v>
      </c>
      <c r="H5558" s="7">
        <v>0</v>
      </c>
    </row>
    <row r="5559" spans="1:8">
      <c r="A5559">
        <v>6</v>
      </c>
      <c r="B5559" t="s">
        <v>42</v>
      </c>
      <c r="C5559" t="s">
        <v>34</v>
      </c>
      <c r="D5559">
        <v>0</v>
      </c>
      <c r="E5559">
        <v>1</v>
      </c>
      <c r="F5559" s="7">
        <v>34209.42</v>
      </c>
      <c r="G5559">
        <v>0</v>
      </c>
      <c r="H5559" s="7">
        <v>0</v>
      </c>
    </row>
    <row r="5560" spans="1:8">
      <c r="A5560">
        <v>6</v>
      </c>
      <c r="B5560" t="s">
        <v>42</v>
      </c>
      <c r="C5560" t="s">
        <v>34</v>
      </c>
      <c r="D5560">
        <v>0</v>
      </c>
      <c r="E5560">
        <v>1</v>
      </c>
      <c r="F5560" s="7">
        <v>11436.26</v>
      </c>
      <c r="G5560">
        <v>0</v>
      </c>
      <c r="H5560" s="7">
        <v>0</v>
      </c>
    </row>
    <row r="5561" spans="1:8">
      <c r="A5561">
        <v>6</v>
      </c>
      <c r="B5561" t="s">
        <v>42</v>
      </c>
      <c r="C5561" t="s">
        <v>34</v>
      </c>
      <c r="D5561">
        <v>0</v>
      </c>
      <c r="E5561">
        <v>1</v>
      </c>
      <c r="F5561" s="7">
        <v>20463.42</v>
      </c>
      <c r="G5561">
        <v>0</v>
      </c>
      <c r="H5561" s="7">
        <v>0</v>
      </c>
    </row>
    <row r="5562" spans="1:8">
      <c r="A5562">
        <v>6</v>
      </c>
      <c r="B5562" t="s">
        <v>42</v>
      </c>
      <c r="C5562" t="s">
        <v>33</v>
      </c>
      <c r="D5562">
        <v>0</v>
      </c>
      <c r="E5562">
        <v>1</v>
      </c>
      <c r="F5562" s="7">
        <v>8191.6</v>
      </c>
      <c r="G5562">
        <v>0</v>
      </c>
      <c r="H5562" s="7">
        <v>0</v>
      </c>
    </row>
    <row r="5563" spans="1:8">
      <c r="A5563">
        <v>6</v>
      </c>
      <c r="B5563" t="s">
        <v>42</v>
      </c>
      <c r="C5563" t="s">
        <v>33</v>
      </c>
      <c r="D5563">
        <v>0</v>
      </c>
      <c r="E5563">
        <v>1</v>
      </c>
      <c r="F5563" s="7">
        <v>3648.44</v>
      </c>
      <c r="G5563">
        <v>0</v>
      </c>
      <c r="H5563" s="7">
        <v>0</v>
      </c>
    </row>
    <row r="5564" spans="1:8">
      <c r="A5564">
        <v>6</v>
      </c>
      <c r="B5564" t="s">
        <v>43</v>
      </c>
      <c r="C5564" t="s">
        <v>34</v>
      </c>
      <c r="D5564">
        <v>1</v>
      </c>
      <c r="E5564">
        <v>1</v>
      </c>
      <c r="F5564" s="7">
        <v>33332.86</v>
      </c>
      <c r="G5564">
        <v>1</v>
      </c>
      <c r="H5564" s="7">
        <v>33332.86</v>
      </c>
    </row>
    <row r="5565" spans="1:8">
      <c r="A5565">
        <v>6</v>
      </c>
      <c r="B5565" t="s">
        <v>44</v>
      </c>
      <c r="C5565" t="s">
        <v>34</v>
      </c>
      <c r="D5565">
        <v>1</v>
      </c>
      <c r="E5565">
        <v>1</v>
      </c>
      <c r="F5565" s="7">
        <v>33332.86</v>
      </c>
      <c r="G5565">
        <v>1</v>
      </c>
      <c r="H5565" s="7">
        <v>33332.86</v>
      </c>
    </row>
    <row r="5566" spans="1:8">
      <c r="A5566">
        <v>6</v>
      </c>
      <c r="B5566" t="s">
        <v>42</v>
      </c>
      <c r="C5566" t="s">
        <v>33</v>
      </c>
      <c r="D5566">
        <v>0</v>
      </c>
      <c r="E5566">
        <v>1</v>
      </c>
      <c r="F5566" s="7">
        <v>5469.25</v>
      </c>
      <c r="G5566">
        <v>0</v>
      </c>
      <c r="H5566" s="7">
        <v>0</v>
      </c>
    </row>
    <row r="5567" spans="1:8">
      <c r="A5567">
        <v>6</v>
      </c>
      <c r="B5567" t="s">
        <v>42</v>
      </c>
      <c r="C5567" t="s">
        <v>34</v>
      </c>
      <c r="D5567">
        <v>0</v>
      </c>
      <c r="E5567">
        <v>1</v>
      </c>
      <c r="F5567" s="7">
        <v>21248.82</v>
      </c>
      <c r="G5567">
        <v>0</v>
      </c>
      <c r="H5567" s="7">
        <v>0</v>
      </c>
    </row>
    <row r="5568" spans="1:8">
      <c r="A5568">
        <v>6</v>
      </c>
      <c r="B5568" t="s">
        <v>42</v>
      </c>
      <c r="C5568" t="s">
        <v>33</v>
      </c>
      <c r="D5568">
        <v>0</v>
      </c>
      <c r="E5568">
        <v>1</v>
      </c>
      <c r="F5568" s="7">
        <v>1936.85</v>
      </c>
      <c r="G5568">
        <v>0</v>
      </c>
      <c r="H5568" s="7">
        <v>0</v>
      </c>
    </row>
    <row r="5569" spans="1:8">
      <c r="A5569">
        <v>6</v>
      </c>
      <c r="B5569" t="s">
        <v>42</v>
      </c>
      <c r="C5569" t="s">
        <v>34</v>
      </c>
      <c r="D5569">
        <v>0</v>
      </c>
      <c r="E5569">
        <v>1</v>
      </c>
      <c r="F5569" s="7">
        <v>18083.03</v>
      </c>
      <c r="G5569">
        <v>0</v>
      </c>
      <c r="H5569" s="7">
        <v>0</v>
      </c>
    </row>
    <row r="5570" spans="1:8">
      <c r="A5570">
        <v>6</v>
      </c>
      <c r="B5570" t="s">
        <v>42</v>
      </c>
      <c r="C5570" t="s">
        <v>33</v>
      </c>
      <c r="D5570">
        <v>0</v>
      </c>
      <c r="E5570">
        <v>1</v>
      </c>
      <c r="F5570" s="7">
        <v>1819.34</v>
      </c>
      <c r="G5570">
        <v>0</v>
      </c>
      <c r="H5570" s="7">
        <v>0</v>
      </c>
    </row>
    <row r="5571" spans="1:8">
      <c r="A5571">
        <v>6</v>
      </c>
      <c r="B5571" t="s">
        <v>42</v>
      </c>
      <c r="C5571" t="s">
        <v>33</v>
      </c>
      <c r="D5571">
        <v>0</v>
      </c>
      <c r="E5571">
        <v>1</v>
      </c>
      <c r="F5571" s="7">
        <v>7302.26</v>
      </c>
      <c r="G5571">
        <v>0</v>
      </c>
      <c r="H5571" s="7">
        <v>0</v>
      </c>
    </row>
    <row r="5572" spans="1:8">
      <c r="A5572">
        <v>6</v>
      </c>
      <c r="B5572" t="s">
        <v>42</v>
      </c>
      <c r="C5572" t="s">
        <v>34</v>
      </c>
      <c r="D5572">
        <v>0</v>
      </c>
      <c r="E5572">
        <v>1</v>
      </c>
      <c r="F5572" s="7">
        <v>28260.77</v>
      </c>
      <c r="G5572">
        <v>0</v>
      </c>
      <c r="H5572" s="7">
        <v>0</v>
      </c>
    </row>
    <row r="5573" spans="1:8">
      <c r="A5573">
        <v>6</v>
      </c>
      <c r="B5573" t="s">
        <v>42</v>
      </c>
      <c r="C5573" t="s">
        <v>33</v>
      </c>
      <c r="D5573">
        <v>0</v>
      </c>
      <c r="E5573">
        <v>1</v>
      </c>
      <c r="F5573" s="7">
        <v>5815.23</v>
      </c>
      <c r="G5573">
        <v>0</v>
      </c>
      <c r="H5573" s="7">
        <v>0</v>
      </c>
    </row>
    <row r="5574" spans="1:8">
      <c r="A5574">
        <v>6</v>
      </c>
      <c r="B5574" t="s">
        <v>43</v>
      </c>
      <c r="C5574" t="s">
        <v>35</v>
      </c>
      <c r="D5574">
        <v>0</v>
      </c>
      <c r="E5574">
        <v>1</v>
      </c>
      <c r="F5574" s="7">
        <v>118172.98</v>
      </c>
      <c r="G5574">
        <v>0</v>
      </c>
      <c r="H5574" s="7">
        <v>0</v>
      </c>
    </row>
    <row r="5575" spans="1:8">
      <c r="A5575">
        <v>6</v>
      </c>
      <c r="B5575" t="s">
        <v>42</v>
      </c>
      <c r="C5575" t="s">
        <v>34</v>
      </c>
      <c r="D5575">
        <v>0</v>
      </c>
      <c r="E5575">
        <v>1</v>
      </c>
      <c r="F5575" s="7">
        <v>25765.4</v>
      </c>
      <c r="G5575">
        <v>0</v>
      </c>
      <c r="H5575" s="7">
        <v>0</v>
      </c>
    </row>
    <row r="5576" spans="1:8">
      <c r="A5576">
        <v>6</v>
      </c>
      <c r="B5576" t="s">
        <v>42</v>
      </c>
      <c r="C5576" t="s">
        <v>33</v>
      </c>
      <c r="D5576">
        <v>0</v>
      </c>
      <c r="E5576">
        <v>1</v>
      </c>
      <c r="F5576" s="7">
        <v>5655.12</v>
      </c>
      <c r="G5576">
        <v>0</v>
      </c>
      <c r="H5576" s="7">
        <v>0</v>
      </c>
    </row>
    <row r="5577" spans="1:8">
      <c r="A5577">
        <v>6</v>
      </c>
      <c r="B5577" t="s">
        <v>42</v>
      </c>
      <c r="C5577" t="s">
        <v>32</v>
      </c>
      <c r="D5577">
        <v>0</v>
      </c>
      <c r="E5577">
        <v>1</v>
      </c>
      <c r="F5577" s="7">
        <v>565.14</v>
      </c>
      <c r="G5577">
        <v>0</v>
      </c>
      <c r="H5577" s="7">
        <v>0</v>
      </c>
    </row>
    <row r="5578" spans="1:8">
      <c r="A5578">
        <v>6</v>
      </c>
      <c r="B5578" t="s">
        <v>42</v>
      </c>
      <c r="C5578" t="s">
        <v>33</v>
      </c>
      <c r="D5578">
        <v>0</v>
      </c>
      <c r="E5578">
        <v>1</v>
      </c>
      <c r="F5578" s="7">
        <v>1056.8</v>
      </c>
      <c r="G5578">
        <v>0</v>
      </c>
      <c r="H5578" s="7">
        <v>0</v>
      </c>
    </row>
    <row r="5579" spans="1:8">
      <c r="A5579">
        <v>6</v>
      </c>
      <c r="B5579" t="s">
        <v>42</v>
      </c>
      <c r="C5579" t="s">
        <v>32</v>
      </c>
      <c r="D5579">
        <v>0</v>
      </c>
      <c r="E5579">
        <v>1</v>
      </c>
      <c r="F5579" s="7">
        <v>243.62</v>
      </c>
      <c r="G5579">
        <v>0</v>
      </c>
      <c r="H5579" s="7">
        <v>0</v>
      </c>
    </row>
    <row r="5580" spans="1:8">
      <c r="A5580">
        <v>6</v>
      </c>
      <c r="B5580" t="s">
        <v>42</v>
      </c>
      <c r="C5580" t="s">
        <v>33</v>
      </c>
      <c r="D5580">
        <v>0</v>
      </c>
      <c r="E5580">
        <v>1</v>
      </c>
      <c r="F5580" s="7">
        <v>7712.64</v>
      </c>
      <c r="G5580">
        <v>0</v>
      </c>
      <c r="H5580" s="7">
        <v>0</v>
      </c>
    </row>
    <row r="5581" spans="1:8">
      <c r="A5581">
        <v>6</v>
      </c>
      <c r="B5581" t="s">
        <v>42</v>
      </c>
      <c r="C5581" t="s">
        <v>34</v>
      </c>
      <c r="D5581">
        <v>0</v>
      </c>
      <c r="E5581">
        <v>1</v>
      </c>
      <c r="F5581" s="7">
        <v>18726.7</v>
      </c>
      <c r="G5581">
        <v>0</v>
      </c>
      <c r="H5581" s="7">
        <v>0</v>
      </c>
    </row>
    <row r="5582" spans="1:8">
      <c r="A5582">
        <v>6</v>
      </c>
      <c r="B5582" t="s">
        <v>42</v>
      </c>
      <c r="C5582" t="s">
        <v>34</v>
      </c>
      <c r="D5582">
        <v>0</v>
      </c>
      <c r="E5582">
        <v>1</v>
      </c>
      <c r="F5582" s="7">
        <v>20123.79</v>
      </c>
      <c r="G5582">
        <v>0</v>
      </c>
      <c r="H5582" s="7">
        <v>0</v>
      </c>
    </row>
    <row r="5583" spans="1:8">
      <c r="A5583">
        <v>6</v>
      </c>
      <c r="B5583" t="s">
        <v>42</v>
      </c>
      <c r="C5583" t="s">
        <v>34</v>
      </c>
      <c r="D5583">
        <v>0</v>
      </c>
      <c r="E5583">
        <v>1</v>
      </c>
      <c r="F5583" s="7">
        <v>12703.55</v>
      </c>
      <c r="G5583">
        <v>0</v>
      </c>
      <c r="H5583" s="7">
        <v>0</v>
      </c>
    </row>
    <row r="5584" spans="1:8">
      <c r="A5584">
        <v>6</v>
      </c>
      <c r="B5584" t="s">
        <v>42</v>
      </c>
      <c r="C5584" t="s">
        <v>33</v>
      </c>
      <c r="D5584">
        <v>0</v>
      </c>
      <c r="E5584">
        <v>1</v>
      </c>
      <c r="F5584" s="7">
        <v>4424.31</v>
      </c>
      <c r="G5584">
        <v>0</v>
      </c>
      <c r="H5584" s="7">
        <v>0</v>
      </c>
    </row>
    <row r="5585" spans="1:8">
      <c r="A5585">
        <v>6</v>
      </c>
      <c r="B5585" t="s">
        <v>42</v>
      </c>
      <c r="C5585" t="s">
        <v>34</v>
      </c>
      <c r="D5585">
        <v>0</v>
      </c>
      <c r="E5585">
        <v>1</v>
      </c>
      <c r="F5585" s="7">
        <v>51752.59</v>
      </c>
      <c r="G5585">
        <v>0</v>
      </c>
      <c r="H5585" s="7">
        <v>0</v>
      </c>
    </row>
    <row r="5586" spans="1:8">
      <c r="A5586">
        <v>6</v>
      </c>
      <c r="B5586" t="s">
        <v>43</v>
      </c>
      <c r="C5586" t="s">
        <v>35</v>
      </c>
      <c r="D5586">
        <v>0</v>
      </c>
      <c r="E5586">
        <v>1</v>
      </c>
      <c r="F5586" s="7">
        <v>627010.99</v>
      </c>
      <c r="G5586">
        <v>0</v>
      </c>
      <c r="H5586" s="7">
        <v>0</v>
      </c>
    </row>
    <row r="5587" spans="1:8">
      <c r="A5587">
        <v>6</v>
      </c>
      <c r="B5587" t="s">
        <v>43</v>
      </c>
      <c r="C5587" t="s">
        <v>35</v>
      </c>
      <c r="D5587">
        <v>0</v>
      </c>
      <c r="E5587">
        <v>1</v>
      </c>
      <c r="F5587" s="7">
        <v>267962.57</v>
      </c>
      <c r="G5587">
        <v>0</v>
      </c>
      <c r="H5587" s="7">
        <v>0</v>
      </c>
    </row>
    <row r="5588" spans="1:8">
      <c r="A5588">
        <v>6</v>
      </c>
      <c r="B5588" t="s">
        <v>42</v>
      </c>
      <c r="C5588" t="s">
        <v>34</v>
      </c>
      <c r="D5588">
        <v>0</v>
      </c>
      <c r="E5588">
        <v>1</v>
      </c>
      <c r="F5588" s="7">
        <v>17172.65</v>
      </c>
      <c r="G5588">
        <v>0</v>
      </c>
      <c r="H5588" s="7">
        <v>0</v>
      </c>
    </row>
    <row r="5589" spans="1:8">
      <c r="A5589">
        <v>6</v>
      </c>
      <c r="B5589" t="s">
        <v>42</v>
      </c>
      <c r="C5589" t="s">
        <v>33</v>
      </c>
      <c r="D5589">
        <v>0</v>
      </c>
      <c r="E5589">
        <v>1</v>
      </c>
      <c r="F5589" s="7">
        <v>8481.77</v>
      </c>
      <c r="G5589">
        <v>0</v>
      </c>
      <c r="H5589" s="7">
        <v>0</v>
      </c>
    </row>
    <row r="5590" spans="1:8">
      <c r="A5590">
        <v>6</v>
      </c>
      <c r="B5590" t="s">
        <v>42</v>
      </c>
      <c r="C5590" t="s">
        <v>33</v>
      </c>
      <c r="D5590">
        <v>0</v>
      </c>
      <c r="E5590">
        <v>1</v>
      </c>
      <c r="F5590" s="7">
        <v>3829</v>
      </c>
      <c r="G5590">
        <v>0</v>
      </c>
      <c r="H5590" s="7">
        <v>0</v>
      </c>
    </row>
    <row r="5591" spans="1:8">
      <c r="A5591">
        <v>6</v>
      </c>
      <c r="B5591" t="s">
        <v>44</v>
      </c>
      <c r="C5591" t="s">
        <v>35</v>
      </c>
      <c r="D5591">
        <v>0</v>
      </c>
      <c r="E5591">
        <v>1</v>
      </c>
      <c r="F5591" s="7">
        <v>139845.98</v>
      </c>
      <c r="G5591">
        <v>0</v>
      </c>
      <c r="H5591" s="7">
        <v>0</v>
      </c>
    </row>
    <row r="5592" spans="1:8">
      <c r="A5592">
        <v>6</v>
      </c>
      <c r="B5592" t="s">
        <v>42</v>
      </c>
      <c r="C5592" t="s">
        <v>33</v>
      </c>
      <c r="D5592">
        <v>0</v>
      </c>
      <c r="E5592">
        <v>1</v>
      </c>
      <c r="F5592" s="7">
        <v>9270.64</v>
      </c>
      <c r="G5592">
        <v>0</v>
      </c>
      <c r="H5592" s="7">
        <v>0</v>
      </c>
    </row>
    <row r="5593" spans="1:8">
      <c r="A5593">
        <v>6</v>
      </c>
      <c r="B5593" t="s">
        <v>42</v>
      </c>
      <c r="C5593" t="s">
        <v>33</v>
      </c>
      <c r="D5593">
        <v>0</v>
      </c>
      <c r="E5593">
        <v>1</v>
      </c>
      <c r="F5593" s="7">
        <v>5912.08</v>
      </c>
      <c r="G5593">
        <v>0</v>
      </c>
      <c r="H5593" s="7">
        <v>0</v>
      </c>
    </row>
    <row r="5594" spans="1:8">
      <c r="A5594">
        <v>6</v>
      </c>
      <c r="B5594" t="s">
        <v>44</v>
      </c>
      <c r="C5594" t="s">
        <v>35</v>
      </c>
      <c r="D5594">
        <v>0</v>
      </c>
      <c r="E5594">
        <v>1</v>
      </c>
      <c r="F5594" s="7">
        <v>191894.78</v>
      </c>
      <c r="G5594">
        <v>0</v>
      </c>
      <c r="H5594" s="7">
        <v>0</v>
      </c>
    </row>
    <row r="5595" spans="1:8">
      <c r="A5595">
        <v>6</v>
      </c>
      <c r="B5595" t="s">
        <v>44</v>
      </c>
      <c r="C5595" t="s">
        <v>34</v>
      </c>
      <c r="D5595">
        <v>0</v>
      </c>
      <c r="E5595">
        <v>1</v>
      </c>
      <c r="F5595" s="7">
        <v>69603.22</v>
      </c>
      <c r="G5595">
        <v>0</v>
      </c>
      <c r="H5595" s="7">
        <v>0</v>
      </c>
    </row>
    <row r="5596" spans="1:8">
      <c r="A5596">
        <v>6</v>
      </c>
      <c r="B5596" t="s">
        <v>42</v>
      </c>
      <c r="C5596" t="s">
        <v>33</v>
      </c>
      <c r="D5596">
        <v>0</v>
      </c>
      <c r="E5596">
        <v>1</v>
      </c>
      <c r="F5596" s="7">
        <v>1537.12</v>
      </c>
      <c r="G5596">
        <v>0</v>
      </c>
      <c r="H5596" s="7">
        <v>0</v>
      </c>
    </row>
    <row r="5597" spans="1:8">
      <c r="A5597">
        <v>6</v>
      </c>
      <c r="B5597" t="s">
        <v>43</v>
      </c>
      <c r="C5597" t="s">
        <v>35</v>
      </c>
      <c r="D5597">
        <v>0</v>
      </c>
      <c r="E5597">
        <v>1</v>
      </c>
      <c r="F5597" s="7">
        <v>140243.54</v>
      </c>
      <c r="G5597">
        <v>0</v>
      </c>
      <c r="H5597" s="7">
        <v>0</v>
      </c>
    </row>
    <row r="5598" spans="1:8">
      <c r="A5598">
        <v>6</v>
      </c>
      <c r="B5598" t="s">
        <v>42</v>
      </c>
      <c r="C5598" t="s">
        <v>33</v>
      </c>
      <c r="D5598">
        <v>0</v>
      </c>
      <c r="E5598">
        <v>1</v>
      </c>
      <c r="F5598" s="7">
        <v>7237.74</v>
      </c>
      <c r="G5598">
        <v>0</v>
      </c>
      <c r="H5598" s="7">
        <v>0</v>
      </c>
    </row>
    <row r="5599" spans="1:8">
      <c r="A5599">
        <v>6</v>
      </c>
      <c r="B5599" t="s">
        <v>42</v>
      </c>
      <c r="C5599" t="s">
        <v>34</v>
      </c>
      <c r="D5599">
        <v>0</v>
      </c>
      <c r="E5599">
        <v>1</v>
      </c>
      <c r="F5599" s="7">
        <v>14883.76</v>
      </c>
      <c r="G5599">
        <v>0</v>
      </c>
      <c r="H5599" s="7">
        <v>0</v>
      </c>
    </row>
    <row r="5600" spans="1:8">
      <c r="A5600">
        <v>6</v>
      </c>
      <c r="B5600" t="s">
        <v>42</v>
      </c>
      <c r="C5600" t="s">
        <v>34</v>
      </c>
      <c r="D5600">
        <v>0</v>
      </c>
      <c r="E5600">
        <v>1</v>
      </c>
      <c r="F5600" s="7">
        <v>17596.24</v>
      </c>
      <c r="G5600">
        <v>0</v>
      </c>
      <c r="H5600" s="7">
        <v>0</v>
      </c>
    </row>
    <row r="5601" spans="1:8">
      <c r="A5601">
        <v>6</v>
      </c>
      <c r="B5601" t="s">
        <v>42</v>
      </c>
      <c r="C5601" t="s">
        <v>33</v>
      </c>
      <c r="D5601">
        <v>0</v>
      </c>
      <c r="E5601">
        <v>1</v>
      </c>
      <c r="F5601" s="7">
        <v>8017.96</v>
      </c>
      <c r="G5601">
        <v>0</v>
      </c>
      <c r="H5601" s="7">
        <v>0</v>
      </c>
    </row>
    <row r="5602" spans="1:8">
      <c r="A5602">
        <v>6</v>
      </c>
      <c r="B5602" t="s">
        <v>42</v>
      </c>
      <c r="C5602" t="s">
        <v>33</v>
      </c>
      <c r="D5602">
        <v>0</v>
      </c>
      <c r="E5602">
        <v>1</v>
      </c>
      <c r="F5602" s="7">
        <v>4738.4</v>
      </c>
      <c r="G5602">
        <v>0</v>
      </c>
      <c r="H5602" s="7">
        <v>0</v>
      </c>
    </row>
    <row r="5603" spans="1:8">
      <c r="A5603">
        <v>6</v>
      </c>
      <c r="B5603" t="s">
        <v>42</v>
      </c>
      <c r="C5603" t="s">
        <v>34</v>
      </c>
      <c r="D5603">
        <v>0</v>
      </c>
      <c r="E5603">
        <v>1</v>
      </c>
      <c r="F5603" s="7">
        <v>10438.03</v>
      </c>
      <c r="G5603">
        <v>0</v>
      </c>
      <c r="H5603" s="7">
        <v>0</v>
      </c>
    </row>
    <row r="5604" spans="1:8">
      <c r="A5604">
        <v>6</v>
      </c>
      <c r="B5604" t="s">
        <v>42</v>
      </c>
      <c r="C5604" t="s">
        <v>34</v>
      </c>
      <c r="D5604">
        <v>0</v>
      </c>
      <c r="E5604">
        <v>1</v>
      </c>
      <c r="F5604" s="7">
        <v>45923.16</v>
      </c>
      <c r="G5604">
        <v>0</v>
      </c>
      <c r="H5604" s="7">
        <v>0</v>
      </c>
    </row>
    <row r="5605" spans="1:8">
      <c r="A5605">
        <v>6</v>
      </c>
      <c r="B5605" t="s">
        <v>42</v>
      </c>
      <c r="C5605" t="s">
        <v>34</v>
      </c>
      <c r="D5605">
        <v>0</v>
      </c>
      <c r="E5605">
        <v>1</v>
      </c>
      <c r="F5605" s="7">
        <v>14479.12</v>
      </c>
      <c r="G5605">
        <v>0</v>
      </c>
      <c r="H5605" s="7">
        <v>0</v>
      </c>
    </row>
    <row r="5606" spans="1:8">
      <c r="A5606">
        <v>6</v>
      </c>
      <c r="B5606" t="s">
        <v>42</v>
      </c>
      <c r="C5606" t="s">
        <v>34</v>
      </c>
      <c r="D5606">
        <v>0</v>
      </c>
      <c r="E5606">
        <v>1</v>
      </c>
      <c r="F5606" s="7">
        <v>16906.99</v>
      </c>
      <c r="G5606">
        <v>0</v>
      </c>
      <c r="H5606" s="7">
        <v>0</v>
      </c>
    </row>
    <row r="5607" spans="1:8">
      <c r="A5607">
        <v>6</v>
      </c>
      <c r="B5607" t="s">
        <v>42</v>
      </c>
      <c r="C5607" t="s">
        <v>33</v>
      </c>
      <c r="D5607">
        <v>0</v>
      </c>
      <c r="E5607">
        <v>1</v>
      </c>
      <c r="F5607" s="7">
        <v>5435.22</v>
      </c>
      <c r="G5607">
        <v>0</v>
      </c>
      <c r="H5607" s="7">
        <v>0</v>
      </c>
    </row>
    <row r="5608" spans="1:8">
      <c r="A5608">
        <v>6</v>
      </c>
      <c r="B5608" t="s">
        <v>42</v>
      </c>
      <c r="C5608" t="s">
        <v>34</v>
      </c>
      <c r="D5608">
        <v>0</v>
      </c>
      <c r="E5608">
        <v>1</v>
      </c>
      <c r="F5608" s="7">
        <v>23795</v>
      </c>
      <c r="G5608">
        <v>0</v>
      </c>
      <c r="H5608" s="7">
        <v>0</v>
      </c>
    </row>
    <row r="5609" spans="1:8">
      <c r="A5609">
        <v>6</v>
      </c>
      <c r="B5609" t="s">
        <v>42</v>
      </c>
      <c r="C5609" t="s">
        <v>33</v>
      </c>
      <c r="D5609">
        <v>0</v>
      </c>
      <c r="E5609">
        <v>1</v>
      </c>
      <c r="F5609" s="7">
        <v>1861.63</v>
      </c>
      <c r="G5609">
        <v>0</v>
      </c>
      <c r="H5609" s="7">
        <v>0</v>
      </c>
    </row>
    <row r="5610" spans="1:8">
      <c r="A5610">
        <v>6</v>
      </c>
      <c r="B5610" t="s">
        <v>42</v>
      </c>
      <c r="C5610" t="s">
        <v>33</v>
      </c>
      <c r="D5610">
        <v>0</v>
      </c>
      <c r="E5610">
        <v>1</v>
      </c>
      <c r="F5610" s="7">
        <v>6185.83</v>
      </c>
      <c r="G5610">
        <v>0</v>
      </c>
      <c r="H5610" s="7">
        <v>0</v>
      </c>
    </row>
    <row r="5611" spans="1:8">
      <c r="A5611">
        <v>6</v>
      </c>
      <c r="B5611" t="s">
        <v>42</v>
      </c>
      <c r="C5611" t="s">
        <v>34</v>
      </c>
      <c r="D5611">
        <v>0</v>
      </c>
      <c r="E5611">
        <v>1</v>
      </c>
      <c r="F5611" s="7">
        <v>10701.92</v>
      </c>
      <c r="G5611">
        <v>0</v>
      </c>
      <c r="H5611" s="7">
        <v>0</v>
      </c>
    </row>
    <row r="5612" spans="1:8">
      <c r="A5612">
        <v>6</v>
      </c>
      <c r="B5612" t="s">
        <v>42</v>
      </c>
      <c r="C5612" t="s">
        <v>34</v>
      </c>
      <c r="D5612">
        <v>0</v>
      </c>
      <c r="E5612">
        <v>1</v>
      </c>
      <c r="F5612" s="7">
        <v>20667.76</v>
      </c>
      <c r="G5612">
        <v>0</v>
      </c>
      <c r="H5612" s="7">
        <v>0</v>
      </c>
    </row>
    <row r="5613" spans="1:8">
      <c r="A5613">
        <v>6</v>
      </c>
      <c r="B5613" t="s">
        <v>42</v>
      </c>
      <c r="C5613" t="s">
        <v>34</v>
      </c>
      <c r="D5613">
        <v>0</v>
      </c>
      <c r="E5613">
        <v>1</v>
      </c>
      <c r="F5613" s="7">
        <v>13268.31</v>
      </c>
      <c r="G5613">
        <v>0</v>
      </c>
      <c r="H5613" s="7">
        <v>0</v>
      </c>
    </row>
    <row r="5614" spans="1:8">
      <c r="A5614">
        <v>6</v>
      </c>
      <c r="B5614" t="s">
        <v>42</v>
      </c>
      <c r="C5614" t="s">
        <v>33</v>
      </c>
      <c r="D5614">
        <v>0</v>
      </c>
      <c r="E5614">
        <v>1</v>
      </c>
      <c r="F5614" s="7">
        <v>1143.34</v>
      </c>
      <c r="G5614">
        <v>0</v>
      </c>
      <c r="H5614" s="7">
        <v>0</v>
      </c>
    </row>
    <row r="5615" spans="1:8">
      <c r="A5615">
        <v>6</v>
      </c>
      <c r="B5615" t="s">
        <v>42</v>
      </c>
      <c r="C5615" t="s">
        <v>33</v>
      </c>
      <c r="D5615">
        <v>0</v>
      </c>
      <c r="E5615">
        <v>1</v>
      </c>
      <c r="F5615" s="7">
        <v>7658.66</v>
      </c>
      <c r="G5615">
        <v>0</v>
      </c>
      <c r="H5615" s="7">
        <v>0</v>
      </c>
    </row>
    <row r="5616" spans="1:8">
      <c r="A5616">
        <v>6</v>
      </c>
      <c r="B5616" t="s">
        <v>42</v>
      </c>
      <c r="C5616" t="s">
        <v>33</v>
      </c>
      <c r="D5616">
        <v>0</v>
      </c>
      <c r="E5616">
        <v>1</v>
      </c>
      <c r="F5616" s="7">
        <v>3494.07</v>
      </c>
      <c r="G5616">
        <v>0</v>
      </c>
      <c r="H5616" s="7">
        <v>0</v>
      </c>
    </row>
    <row r="5617" spans="1:8">
      <c r="A5617">
        <v>6</v>
      </c>
      <c r="B5617" t="s">
        <v>42</v>
      </c>
      <c r="C5617" t="s">
        <v>33</v>
      </c>
      <c r="D5617">
        <v>0</v>
      </c>
      <c r="E5617">
        <v>1</v>
      </c>
      <c r="F5617" s="7">
        <v>8534.32</v>
      </c>
      <c r="G5617">
        <v>0</v>
      </c>
      <c r="H5617" s="7">
        <v>0</v>
      </c>
    </row>
    <row r="5618" spans="1:8">
      <c r="A5618">
        <v>6</v>
      </c>
      <c r="B5618" t="s">
        <v>42</v>
      </c>
      <c r="C5618" t="s">
        <v>33</v>
      </c>
      <c r="D5618">
        <v>0</v>
      </c>
      <c r="E5618">
        <v>1</v>
      </c>
      <c r="F5618" s="7">
        <v>7994.53</v>
      </c>
      <c r="G5618">
        <v>0</v>
      </c>
      <c r="H5618" s="7">
        <v>0</v>
      </c>
    </row>
    <row r="5619" spans="1:8">
      <c r="A5619">
        <v>6</v>
      </c>
      <c r="B5619" t="s">
        <v>42</v>
      </c>
      <c r="C5619" t="s">
        <v>34</v>
      </c>
      <c r="D5619">
        <v>0</v>
      </c>
      <c r="E5619">
        <v>1</v>
      </c>
      <c r="F5619" s="7">
        <v>12770.33</v>
      </c>
      <c r="G5619">
        <v>0</v>
      </c>
      <c r="H5619" s="7">
        <v>0</v>
      </c>
    </row>
    <row r="5620" spans="1:8">
      <c r="A5620">
        <v>6</v>
      </c>
      <c r="B5620" t="s">
        <v>45</v>
      </c>
      <c r="C5620" t="s">
        <v>33</v>
      </c>
      <c r="D5620">
        <v>0</v>
      </c>
      <c r="E5620">
        <v>1</v>
      </c>
      <c r="F5620" s="7">
        <v>3340.01</v>
      </c>
      <c r="G5620">
        <v>0</v>
      </c>
      <c r="H5620" s="7">
        <v>0</v>
      </c>
    </row>
    <row r="5621" spans="1:8">
      <c r="A5621">
        <v>6</v>
      </c>
      <c r="B5621" t="s">
        <v>42</v>
      </c>
      <c r="C5621" t="s">
        <v>34</v>
      </c>
      <c r="D5621">
        <v>0</v>
      </c>
      <c r="E5621">
        <v>1</v>
      </c>
      <c r="F5621" s="7">
        <v>20206.61</v>
      </c>
      <c r="G5621">
        <v>0</v>
      </c>
      <c r="H5621" s="7">
        <v>0</v>
      </c>
    </row>
    <row r="5622" spans="1:8">
      <c r="A5622">
        <v>6</v>
      </c>
      <c r="B5622" t="s">
        <v>42</v>
      </c>
      <c r="C5622" t="s">
        <v>34</v>
      </c>
      <c r="D5622">
        <v>0</v>
      </c>
      <c r="E5622">
        <v>1</v>
      </c>
      <c r="F5622" s="7">
        <v>14199.19</v>
      </c>
      <c r="G5622">
        <v>0</v>
      </c>
      <c r="H5622" s="7">
        <v>0</v>
      </c>
    </row>
    <row r="5623" spans="1:8">
      <c r="A5623">
        <v>6</v>
      </c>
      <c r="B5623" t="s">
        <v>42</v>
      </c>
      <c r="C5623" t="s">
        <v>34</v>
      </c>
      <c r="D5623">
        <v>0</v>
      </c>
      <c r="E5623">
        <v>1</v>
      </c>
      <c r="F5623" s="7">
        <v>18557.06</v>
      </c>
      <c r="G5623">
        <v>0</v>
      </c>
      <c r="H5623" s="7">
        <v>0</v>
      </c>
    </row>
    <row r="5624" spans="1:8">
      <c r="A5624">
        <v>6</v>
      </c>
      <c r="B5624" t="s">
        <v>42</v>
      </c>
      <c r="C5624" t="s">
        <v>34</v>
      </c>
      <c r="D5624">
        <v>0</v>
      </c>
      <c r="E5624">
        <v>1</v>
      </c>
      <c r="F5624" s="7">
        <v>19914.62</v>
      </c>
      <c r="G5624">
        <v>0</v>
      </c>
      <c r="H5624" s="7">
        <v>0</v>
      </c>
    </row>
    <row r="5625" spans="1:8">
      <c r="A5625">
        <v>6</v>
      </c>
      <c r="B5625" t="s">
        <v>42</v>
      </c>
      <c r="C5625" t="s">
        <v>34</v>
      </c>
      <c r="D5625">
        <v>0</v>
      </c>
      <c r="E5625">
        <v>1</v>
      </c>
      <c r="F5625" s="7">
        <v>11184.15</v>
      </c>
      <c r="G5625">
        <v>0</v>
      </c>
      <c r="H5625" s="7">
        <v>0</v>
      </c>
    </row>
    <row r="5626" spans="1:8">
      <c r="A5626">
        <v>6</v>
      </c>
      <c r="B5626" t="s">
        <v>42</v>
      </c>
      <c r="C5626" t="s">
        <v>33</v>
      </c>
      <c r="D5626">
        <v>0</v>
      </c>
      <c r="E5626">
        <v>1</v>
      </c>
      <c r="F5626" s="7">
        <v>6854.54</v>
      </c>
      <c r="G5626">
        <v>0</v>
      </c>
      <c r="H5626" s="7">
        <v>0</v>
      </c>
    </row>
    <row r="5627" spans="1:8">
      <c r="A5627">
        <v>6</v>
      </c>
      <c r="B5627" t="s">
        <v>42</v>
      </c>
      <c r="C5627" t="s">
        <v>33</v>
      </c>
      <c r="D5627">
        <v>0</v>
      </c>
      <c r="E5627">
        <v>1</v>
      </c>
      <c r="F5627" s="7">
        <v>6736.46</v>
      </c>
      <c r="G5627">
        <v>0</v>
      </c>
      <c r="H5627" s="7">
        <v>0</v>
      </c>
    </row>
    <row r="5628" spans="1:8">
      <c r="A5628">
        <v>6</v>
      </c>
      <c r="B5628" t="s">
        <v>42</v>
      </c>
      <c r="C5628" t="s">
        <v>34</v>
      </c>
      <c r="D5628">
        <v>0</v>
      </c>
      <c r="E5628">
        <v>1</v>
      </c>
      <c r="F5628" s="7">
        <v>21287.77</v>
      </c>
      <c r="G5628">
        <v>0</v>
      </c>
      <c r="H5628" s="7">
        <v>0</v>
      </c>
    </row>
    <row r="5629" spans="1:8">
      <c r="A5629">
        <v>6</v>
      </c>
      <c r="B5629" t="s">
        <v>42</v>
      </c>
      <c r="C5629" t="s">
        <v>34</v>
      </c>
      <c r="D5629">
        <v>0</v>
      </c>
      <c r="E5629">
        <v>1</v>
      </c>
      <c r="F5629" s="7">
        <v>18791.59</v>
      </c>
      <c r="G5629">
        <v>0</v>
      </c>
      <c r="H5629" s="7">
        <v>0</v>
      </c>
    </row>
    <row r="5630" spans="1:8">
      <c r="A5630">
        <v>6</v>
      </c>
      <c r="B5630" t="s">
        <v>43</v>
      </c>
      <c r="C5630" t="s">
        <v>35</v>
      </c>
      <c r="D5630">
        <v>0</v>
      </c>
      <c r="E5630">
        <v>1</v>
      </c>
      <c r="F5630" s="7">
        <v>381018.8</v>
      </c>
      <c r="G5630">
        <v>0</v>
      </c>
      <c r="H5630" s="7">
        <v>0</v>
      </c>
    </row>
    <row r="5631" spans="1:8">
      <c r="A5631">
        <v>6</v>
      </c>
      <c r="B5631" t="s">
        <v>43</v>
      </c>
      <c r="C5631" t="s">
        <v>34</v>
      </c>
      <c r="D5631">
        <v>0</v>
      </c>
      <c r="E5631">
        <v>1</v>
      </c>
      <c r="F5631" s="7">
        <v>67316.99</v>
      </c>
      <c r="G5631">
        <v>0</v>
      </c>
      <c r="H5631" s="7">
        <v>0</v>
      </c>
    </row>
    <row r="5632" spans="1:8">
      <c r="A5632">
        <v>6</v>
      </c>
      <c r="B5632" t="s">
        <v>43</v>
      </c>
      <c r="C5632" t="s">
        <v>35</v>
      </c>
      <c r="D5632">
        <v>0</v>
      </c>
      <c r="E5632">
        <v>1</v>
      </c>
      <c r="F5632" s="7">
        <v>564301.75</v>
      </c>
      <c r="G5632">
        <v>0</v>
      </c>
      <c r="H5632" s="7">
        <v>0</v>
      </c>
    </row>
    <row r="5633" spans="1:8">
      <c r="A5633">
        <v>6</v>
      </c>
      <c r="B5633" t="s">
        <v>43</v>
      </c>
      <c r="C5633" t="s">
        <v>36</v>
      </c>
      <c r="D5633">
        <v>0</v>
      </c>
      <c r="E5633">
        <v>1</v>
      </c>
      <c r="F5633" s="7">
        <v>1221819.02</v>
      </c>
      <c r="G5633">
        <v>0</v>
      </c>
      <c r="H5633" s="7">
        <v>0</v>
      </c>
    </row>
    <row r="5634" spans="1:8">
      <c r="A5634">
        <v>6</v>
      </c>
      <c r="B5634" t="s">
        <v>43</v>
      </c>
      <c r="C5634" t="s">
        <v>35</v>
      </c>
      <c r="D5634">
        <v>0</v>
      </c>
      <c r="E5634">
        <v>1</v>
      </c>
      <c r="F5634" s="7">
        <v>340473.03</v>
      </c>
      <c r="G5634">
        <v>0</v>
      </c>
      <c r="H5634" s="7">
        <v>0</v>
      </c>
    </row>
    <row r="5635" spans="1:8">
      <c r="A5635">
        <v>6</v>
      </c>
      <c r="B5635" t="s">
        <v>43</v>
      </c>
      <c r="C5635" t="s">
        <v>36</v>
      </c>
      <c r="D5635">
        <v>0</v>
      </c>
      <c r="E5635">
        <v>1</v>
      </c>
      <c r="F5635" s="7">
        <v>1545681.21</v>
      </c>
      <c r="G5635">
        <v>0</v>
      </c>
      <c r="H5635" s="7">
        <v>0</v>
      </c>
    </row>
    <row r="5636" spans="1:8">
      <c r="A5636">
        <v>6</v>
      </c>
      <c r="B5636" t="s">
        <v>43</v>
      </c>
      <c r="C5636" t="s">
        <v>35</v>
      </c>
      <c r="D5636">
        <v>0</v>
      </c>
      <c r="E5636">
        <v>1</v>
      </c>
      <c r="F5636" s="7">
        <v>484328.78</v>
      </c>
      <c r="G5636">
        <v>0</v>
      </c>
      <c r="H5636" s="7">
        <v>0</v>
      </c>
    </row>
    <row r="5637" spans="1:8">
      <c r="A5637">
        <v>6</v>
      </c>
      <c r="B5637" t="s">
        <v>43</v>
      </c>
      <c r="C5637" t="s">
        <v>35</v>
      </c>
      <c r="D5637">
        <v>0</v>
      </c>
      <c r="E5637">
        <v>1</v>
      </c>
      <c r="F5637" s="7">
        <v>536060.03</v>
      </c>
      <c r="G5637">
        <v>0</v>
      </c>
      <c r="H5637" s="7">
        <v>0</v>
      </c>
    </row>
    <row r="5638" spans="1:8">
      <c r="A5638">
        <v>6</v>
      </c>
      <c r="B5638" t="s">
        <v>43</v>
      </c>
      <c r="C5638" t="s">
        <v>34</v>
      </c>
      <c r="D5638">
        <v>0</v>
      </c>
      <c r="E5638">
        <v>1</v>
      </c>
      <c r="F5638" s="7">
        <v>66860.4</v>
      </c>
      <c r="G5638">
        <v>0</v>
      </c>
      <c r="H5638" s="7">
        <v>0</v>
      </c>
    </row>
    <row r="5639" spans="1:8">
      <c r="A5639">
        <v>6</v>
      </c>
      <c r="B5639" t="s">
        <v>43</v>
      </c>
      <c r="C5639" t="s">
        <v>35</v>
      </c>
      <c r="D5639">
        <v>0</v>
      </c>
      <c r="E5639">
        <v>1</v>
      </c>
      <c r="F5639" s="7">
        <v>641213.85</v>
      </c>
      <c r="G5639">
        <v>0</v>
      </c>
      <c r="H5639" s="7">
        <v>0</v>
      </c>
    </row>
    <row r="5640" spans="1:8">
      <c r="A5640">
        <v>6</v>
      </c>
      <c r="B5640" t="s">
        <v>43</v>
      </c>
      <c r="C5640" t="s">
        <v>35</v>
      </c>
      <c r="D5640">
        <v>0</v>
      </c>
      <c r="E5640">
        <v>1</v>
      </c>
      <c r="F5640" s="7">
        <v>487039.74</v>
      </c>
      <c r="G5640">
        <v>0</v>
      </c>
      <c r="H5640" s="7">
        <v>0</v>
      </c>
    </row>
    <row r="5641" spans="1:8">
      <c r="A5641">
        <v>6</v>
      </c>
      <c r="B5641" t="s">
        <v>43</v>
      </c>
      <c r="C5641" t="s">
        <v>35</v>
      </c>
      <c r="D5641">
        <v>0</v>
      </c>
      <c r="E5641">
        <v>1</v>
      </c>
      <c r="F5641" s="7">
        <v>665949.93</v>
      </c>
      <c r="G5641">
        <v>0</v>
      </c>
      <c r="H5641" s="7">
        <v>0</v>
      </c>
    </row>
    <row r="5642" spans="1:8">
      <c r="A5642">
        <v>6</v>
      </c>
      <c r="B5642" t="s">
        <v>43</v>
      </c>
      <c r="C5642" t="s">
        <v>35</v>
      </c>
      <c r="D5642">
        <v>0</v>
      </c>
      <c r="E5642">
        <v>1</v>
      </c>
      <c r="F5642" s="7">
        <v>185325.96</v>
      </c>
      <c r="G5642">
        <v>0</v>
      </c>
      <c r="H5642" s="7">
        <v>0</v>
      </c>
    </row>
    <row r="5643" spans="1:8">
      <c r="A5643">
        <v>6</v>
      </c>
      <c r="B5643" t="s">
        <v>42</v>
      </c>
      <c r="C5643" t="s">
        <v>33</v>
      </c>
      <c r="D5643">
        <v>0</v>
      </c>
      <c r="E5643">
        <v>1</v>
      </c>
      <c r="F5643" s="7">
        <v>8817.89</v>
      </c>
      <c r="G5643">
        <v>0</v>
      </c>
      <c r="H5643" s="7">
        <v>0</v>
      </c>
    </row>
    <row r="5644" spans="1:8">
      <c r="A5644">
        <v>6</v>
      </c>
      <c r="B5644" t="s">
        <v>42</v>
      </c>
      <c r="C5644" t="s">
        <v>33</v>
      </c>
      <c r="D5644">
        <v>0</v>
      </c>
      <c r="E5644">
        <v>1</v>
      </c>
      <c r="F5644" s="7">
        <v>3724.19</v>
      </c>
      <c r="G5644">
        <v>0</v>
      </c>
      <c r="H5644" s="7">
        <v>0</v>
      </c>
    </row>
    <row r="5645" spans="1:8">
      <c r="A5645">
        <v>6</v>
      </c>
      <c r="B5645" t="s">
        <v>42</v>
      </c>
      <c r="C5645" t="s">
        <v>33</v>
      </c>
      <c r="D5645">
        <v>0</v>
      </c>
      <c r="E5645">
        <v>1</v>
      </c>
      <c r="F5645" s="7">
        <v>7235.23</v>
      </c>
      <c r="G5645">
        <v>0</v>
      </c>
      <c r="H5645" s="7">
        <v>0</v>
      </c>
    </row>
    <row r="5646" spans="1:8">
      <c r="A5646">
        <v>6</v>
      </c>
      <c r="B5646" t="s">
        <v>42</v>
      </c>
      <c r="C5646" t="s">
        <v>33</v>
      </c>
      <c r="D5646">
        <v>0</v>
      </c>
      <c r="E5646">
        <v>1</v>
      </c>
      <c r="F5646" s="7">
        <v>3669.27</v>
      </c>
      <c r="G5646">
        <v>0</v>
      </c>
      <c r="H5646" s="7">
        <v>0</v>
      </c>
    </row>
    <row r="5647" spans="1:8">
      <c r="A5647">
        <v>6</v>
      </c>
      <c r="B5647" t="s">
        <v>42</v>
      </c>
      <c r="C5647" t="s">
        <v>34</v>
      </c>
      <c r="D5647">
        <v>0</v>
      </c>
      <c r="E5647">
        <v>1</v>
      </c>
      <c r="F5647" s="7">
        <v>10787.1</v>
      </c>
      <c r="G5647">
        <v>0</v>
      </c>
      <c r="H5647" s="7">
        <v>0</v>
      </c>
    </row>
    <row r="5648" spans="1:8">
      <c r="A5648">
        <v>6</v>
      </c>
      <c r="B5648" t="s">
        <v>42</v>
      </c>
      <c r="C5648" t="s">
        <v>34</v>
      </c>
      <c r="D5648">
        <v>0</v>
      </c>
      <c r="E5648">
        <v>1</v>
      </c>
      <c r="F5648" s="7">
        <v>16403.92</v>
      </c>
      <c r="G5648">
        <v>0</v>
      </c>
      <c r="H5648" s="7">
        <v>0</v>
      </c>
    </row>
    <row r="5649" spans="1:8">
      <c r="A5649">
        <v>6</v>
      </c>
      <c r="B5649" t="s">
        <v>42</v>
      </c>
      <c r="C5649" t="s">
        <v>34</v>
      </c>
      <c r="D5649">
        <v>0</v>
      </c>
      <c r="E5649">
        <v>1</v>
      </c>
      <c r="F5649" s="7">
        <v>22187.74</v>
      </c>
      <c r="G5649">
        <v>0</v>
      </c>
      <c r="H5649" s="7">
        <v>0</v>
      </c>
    </row>
    <row r="5650" spans="1:8">
      <c r="A5650">
        <v>6</v>
      </c>
      <c r="B5650" t="s">
        <v>42</v>
      </c>
      <c r="C5650" t="s">
        <v>34</v>
      </c>
      <c r="D5650">
        <v>0</v>
      </c>
      <c r="E5650">
        <v>1</v>
      </c>
      <c r="F5650" s="7">
        <v>25089.97</v>
      </c>
      <c r="G5650">
        <v>0</v>
      </c>
      <c r="H5650" s="7">
        <v>0</v>
      </c>
    </row>
    <row r="5651" spans="1:8">
      <c r="A5651">
        <v>6</v>
      </c>
      <c r="B5651" t="s">
        <v>42</v>
      </c>
      <c r="C5651" t="s">
        <v>33</v>
      </c>
      <c r="D5651">
        <v>0</v>
      </c>
      <c r="E5651">
        <v>1</v>
      </c>
      <c r="F5651" s="7">
        <v>4147.08</v>
      </c>
      <c r="G5651">
        <v>0</v>
      </c>
      <c r="H5651" s="7">
        <v>0</v>
      </c>
    </row>
    <row r="5652" spans="1:8">
      <c r="A5652">
        <v>6</v>
      </c>
      <c r="B5652" t="s">
        <v>44</v>
      </c>
      <c r="C5652" t="s">
        <v>34</v>
      </c>
      <c r="D5652">
        <v>0</v>
      </c>
      <c r="E5652">
        <v>1</v>
      </c>
      <c r="F5652" s="7">
        <v>33275.35</v>
      </c>
      <c r="G5652">
        <v>0</v>
      </c>
      <c r="H5652" s="7">
        <v>0</v>
      </c>
    </row>
    <row r="5653" spans="1:8">
      <c r="A5653">
        <v>6</v>
      </c>
      <c r="B5653" t="s">
        <v>42</v>
      </c>
      <c r="C5653" t="s">
        <v>34</v>
      </c>
      <c r="D5653">
        <v>0</v>
      </c>
      <c r="E5653">
        <v>1</v>
      </c>
      <c r="F5653" s="7">
        <v>21137.84</v>
      </c>
      <c r="G5653">
        <v>0</v>
      </c>
      <c r="H5653" s="7">
        <v>0</v>
      </c>
    </row>
    <row r="5654" spans="1:8">
      <c r="A5654">
        <v>6</v>
      </c>
      <c r="B5654" t="s">
        <v>42</v>
      </c>
      <c r="C5654" t="s">
        <v>32</v>
      </c>
      <c r="D5654">
        <v>0</v>
      </c>
      <c r="E5654">
        <v>1</v>
      </c>
      <c r="F5654" s="7">
        <v>600.58</v>
      </c>
      <c r="G5654">
        <v>0</v>
      </c>
      <c r="H5654" s="7">
        <v>0</v>
      </c>
    </row>
    <row r="5655" spans="1:8">
      <c r="A5655">
        <v>6</v>
      </c>
      <c r="B5655" t="s">
        <v>42</v>
      </c>
      <c r="C5655" t="s">
        <v>32</v>
      </c>
      <c r="D5655">
        <v>0</v>
      </c>
      <c r="E5655">
        <v>1</v>
      </c>
      <c r="F5655" s="7">
        <v>332.52</v>
      </c>
      <c r="G5655">
        <v>0</v>
      </c>
      <c r="H5655" s="7">
        <v>0</v>
      </c>
    </row>
    <row r="5656" spans="1:8">
      <c r="A5656">
        <v>6</v>
      </c>
      <c r="B5656" t="s">
        <v>44</v>
      </c>
      <c r="C5656" t="s">
        <v>35</v>
      </c>
      <c r="D5656">
        <v>0</v>
      </c>
      <c r="E5656">
        <v>1</v>
      </c>
      <c r="F5656" s="7">
        <v>196477.41</v>
      </c>
      <c r="G5656">
        <v>0</v>
      </c>
      <c r="H5656" s="7">
        <v>0</v>
      </c>
    </row>
    <row r="5657" spans="1:8">
      <c r="A5657">
        <v>6</v>
      </c>
      <c r="B5657" t="s">
        <v>42</v>
      </c>
      <c r="C5657" t="s">
        <v>32</v>
      </c>
      <c r="D5657">
        <v>0</v>
      </c>
      <c r="E5657">
        <v>1</v>
      </c>
      <c r="F5657" s="7">
        <v>578.57</v>
      </c>
      <c r="G5657">
        <v>0</v>
      </c>
      <c r="H5657" s="7">
        <v>0</v>
      </c>
    </row>
    <row r="5658" spans="1:8">
      <c r="A5658">
        <v>6</v>
      </c>
      <c r="B5658" t="s">
        <v>42</v>
      </c>
      <c r="C5658" t="s">
        <v>33</v>
      </c>
      <c r="D5658">
        <v>0</v>
      </c>
      <c r="E5658">
        <v>1</v>
      </c>
      <c r="F5658" s="7">
        <v>6469.74</v>
      </c>
      <c r="G5658">
        <v>0</v>
      </c>
      <c r="H5658" s="7">
        <v>0</v>
      </c>
    </row>
    <row r="5659" spans="1:8">
      <c r="A5659">
        <v>6</v>
      </c>
      <c r="B5659" t="s">
        <v>42</v>
      </c>
      <c r="C5659" t="s">
        <v>33</v>
      </c>
      <c r="D5659">
        <v>0</v>
      </c>
      <c r="E5659">
        <v>1</v>
      </c>
      <c r="F5659" s="7">
        <v>7959.49</v>
      </c>
      <c r="G5659">
        <v>0</v>
      </c>
      <c r="H5659" s="7">
        <v>0</v>
      </c>
    </row>
    <row r="5660" spans="1:8">
      <c r="A5660">
        <v>6</v>
      </c>
      <c r="B5660" t="s">
        <v>42</v>
      </c>
      <c r="C5660" t="s">
        <v>32</v>
      </c>
      <c r="D5660">
        <v>0</v>
      </c>
      <c r="E5660">
        <v>1</v>
      </c>
      <c r="F5660" s="7">
        <v>977.2</v>
      </c>
      <c r="G5660">
        <v>0</v>
      </c>
      <c r="H5660" s="7">
        <v>0</v>
      </c>
    </row>
    <row r="5661" spans="1:8">
      <c r="A5661">
        <v>6</v>
      </c>
      <c r="B5661" t="s">
        <v>42</v>
      </c>
      <c r="C5661" t="s">
        <v>33</v>
      </c>
      <c r="D5661">
        <v>0</v>
      </c>
      <c r="E5661">
        <v>1</v>
      </c>
      <c r="F5661" s="7">
        <v>8325.8</v>
      </c>
      <c r="G5661">
        <v>0</v>
      </c>
      <c r="H5661" s="7">
        <v>0</v>
      </c>
    </row>
    <row r="5662" spans="1:8">
      <c r="A5662">
        <v>6</v>
      </c>
      <c r="B5662" t="s">
        <v>42</v>
      </c>
      <c r="C5662" t="s">
        <v>34</v>
      </c>
      <c r="D5662">
        <v>0</v>
      </c>
      <c r="E5662">
        <v>1</v>
      </c>
      <c r="F5662" s="7">
        <v>10933.93</v>
      </c>
      <c r="G5662">
        <v>0</v>
      </c>
      <c r="H5662" s="7">
        <v>0</v>
      </c>
    </row>
    <row r="5663" spans="1:8">
      <c r="A5663">
        <v>6</v>
      </c>
      <c r="B5663" t="s">
        <v>42</v>
      </c>
      <c r="C5663" t="s">
        <v>33</v>
      </c>
      <c r="D5663">
        <v>0</v>
      </c>
      <c r="E5663">
        <v>1</v>
      </c>
      <c r="F5663" s="7">
        <v>2564.44</v>
      </c>
      <c r="G5663">
        <v>0</v>
      </c>
      <c r="H5663" s="7">
        <v>0</v>
      </c>
    </row>
    <row r="5664" spans="1:8">
      <c r="A5664">
        <v>6</v>
      </c>
      <c r="B5664" t="s">
        <v>42</v>
      </c>
      <c r="C5664" t="s">
        <v>34</v>
      </c>
      <c r="D5664">
        <v>0</v>
      </c>
      <c r="E5664">
        <v>1</v>
      </c>
      <c r="F5664" s="7">
        <v>29122.76</v>
      </c>
      <c r="G5664">
        <v>0</v>
      </c>
      <c r="H5664" s="7">
        <v>0</v>
      </c>
    </row>
    <row r="5665" spans="1:8">
      <c r="A5665">
        <v>6</v>
      </c>
      <c r="B5665" t="s">
        <v>42</v>
      </c>
      <c r="C5665" t="s">
        <v>34</v>
      </c>
      <c r="D5665">
        <v>0</v>
      </c>
      <c r="E5665">
        <v>1</v>
      </c>
      <c r="F5665" s="7">
        <v>32013.7</v>
      </c>
      <c r="G5665">
        <v>0</v>
      </c>
      <c r="H5665" s="7">
        <v>0</v>
      </c>
    </row>
    <row r="5666" spans="1:8">
      <c r="A5666">
        <v>6</v>
      </c>
      <c r="B5666" t="s">
        <v>42</v>
      </c>
      <c r="C5666" t="s">
        <v>34</v>
      </c>
      <c r="D5666">
        <v>0</v>
      </c>
      <c r="E5666">
        <v>1</v>
      </c>
      <c r="F5666" s="7">
        <v>13982.36</v>
      </c>
      <c r="G5666">
        <v>0</v>
      </c>
      <c r="H5666" s="7">
        <v>0</v>
      </c>
    </row>
    <row r="5667" spans="1:8">
      <c r="A5667">
        <v>6</v>
      </c>
      <c r="B5667" t="s">
        <v>42</v>
      </c>
      <c r="C5667" t="s">
        <v>34</v>
      </c>
      <c r="D5667">
        <v>0</v>
      </c>
      <c r="E5667">
        <v>1</v>
      </c>
      <c r="F5667" s="7">
        <v>17110.72</v>
      </c>
      <c r="G5667">
        <v>0</v>
      </c>
      <c r="H5667" s="7">
        <v>0</v>
      </c>
    </row>
    <row r="5668" spans="1:8">
      <c r="A5668">
        <v>6</v>
      </c>
      <c r="B5668" t="s">
        <v>42</v>
      </c>
      <c r="C5668" t="s">
        <v>33</v>
      </c>
      <c r="D5668">
        <v>0</v>
      </c>
      <c r="E5668">
        <v>1</v>
      </c>
      <c r="F5668" s="7">
        <v>8912.09</v>
      </c>
      <c r="G5668">
        <v>0</v>
      </c>
      <c r="H5668" s="7">
        <v>0</v>
      </c>
    </row>
    <row r="5669" spans="1:8">
      <c r="A5669">
        <v>6</v>
      </c>
      <c r="B5669" t="s">
        <v>42</v>
      </c>
      <c r="C5669" t="s">
        <v>34</v>
      </c>
      <c r="D5669">
        <v>0</v>
      </c>
      <c r="E5669">
        <v>1</v>
      </c>
      <c r="F5669" s="7">
        <v>10019.61</v>
      </c>
      <c r="G5669">
        <v>0</v>
      </c>
      <c r="H5669" s="7">
        <v>0</v>
      </c>
    </row>
    <row r="5670" spans="1:8">
      <c r="A5670">
        <v>6</v>
      </c>
      <c r="B5670" t="s">
        <v>42</v>
      </c>
      <c r="C5670" t="s">
        <v>34</v>
      </c>
      <c r="D5670">
        <v>0</v>
      </c>
      <c r="E5670">
        <v>1</v>
      </c>
      <c r="F5670" s="7">
        <v>21033.18</v>
      </c>
      <c r="G5670">
        <v>0</v>
      </c>
      <c r="H5670" s="7">
        <v>0</v>
      </c>
    </row>
    <row r="5671" spans="1:8">
      <c r="A5671">
        <v>6</v>
      </c>
      <c r="B5671" t="s">
        <v>42</v>
      </c>
      <c r="C5671" t="s">
        <v>34</v>
      </c>
      <c r="D5671">
        <v>0</v>
      </c>
      <c r="E5671">
        <v>1</v>
      </c>
      <c r="F5671" s="7">
        <v>12174.55</v>
      </c>
      <c r="G5671">
        <v>0</v>
      </c>
      <c r="H5671" s="7">
        <v>0</v>
      </c>
    </row>
    <row r="5672" spans="1:8">
      <c r="A5672">
        <v>6</v>
      </c>
      <c r="B5672" t="s">
        <v>42</v>
      </c>
      <c r="C5672" t="s">
        <v>33</v>
      </c>
      <c r="D5672">
        <v>0</v>
      </c>
      <c r="E5672">
        <v>1</v>
      </c>
      <c r="F5672" s="7">
        <v>9352.62</v>
      </c>
      <c r="G5672">
        <v>0</v>
      </c>
      <c r="H5672" s="7">
        <v>0</v>
      </c>
    </row>
    <row r="5673" spans="1:8">
      <c r="A5673">
        <v>6</v>
      </c>
      <c r="B5673" t="s">
        <v>42</v>
      </c>
      <c r="C5673" t="s">
        <v>32</v>
      </c>
      <c r="D5673">
        <v>0</v>
      </c>
      <c r="E5673">
        <v>1</v>
      </c>
      <c r="F5673" s="7">
        <v>280.58</v>
      </c>
      <c r="G5673">
        <v>0</v>
      </c>
      <c r="H5673" s="7">
        <v>0</v>
      </c>
    </row>
    <row r="5674" spans="1:8">
      <c r="A5674">
        <v>6</v>
      </c>
      <c r="B5674" t="s">
        <v>42</v>
      </c>
      <c r="C5674" t="s">
        <v>34</v>
      </c>
      <c r="D5674">
        <v>0</v>
      </c>
      <c r="E5674">
        <v>1</v>
      </c>
      <c r="F5674" s="7">
        <v>13101.5</v>
      </c>
      <c r="G5674">
        <v>0</v>
      </c>
      <c r="H5674" s="7">
        <v>0</v>
      </c>
    </row>
    <row r="5675" spans="1:8">
      <c r="A5675">
        <v>6</v>
      </c>
      <c r="B5675" t="s">
        <v>46</v>
      </c>
      <c r="C5675" t="s">
        <v>35</v>
      </c>
      <c r="D5675">
        <v>0</v>
      </c>
      <c r="E5675">
        <v>1</v>
      </c>
      <c r="F5675" s="7">
        <v>143165.59</v>
      </c>
      <c r="G5675">
        <v>0</v>
      </c>
      <c r="H5675" s="7">
        <v>0</v>
      </c>
    </row>
    <row r="5676" spans="1:8">
      <c r="A5676">
        <v>6</v>
      </c>
      <c r="B5676" t="s">
        <v>46</v>
      </c>
      <c r="C5676" t="s">
        <v>35</v>
      </c>
      <c r="D5676">
        <v>0</v>
      </c>
      <c r="E5676">
        <v>1</v>
      </c>
      <c r="F5676" s="7">
        <v>344436.64</v>
      </c>
      <c r="G5676">
        <v>0</v>
      </c>
      <c r="H5676" s="7">
        <v>0</v>
      </c>
    </row>
    <row r="5677" spans="1:8">
      <c r="A5677">
        <v>6</v>
      </c>
      <c r="B5677" t="s">
        <v>46</v>
      </c>
      <c r="C5677" t="s">
        <v>35</v>
      </c>
      <c r="D5677">
        <v>0</v>
      </c>
      <c r="E5677">
        <v>1</v>
      </c>
      <c r="F5677" s="7">
        <v>291681.95</v>
      </c>
      <c r="G5677">
        <v>0</v>
      </c>
      <c r="H5677" s="7">
        <v>0</v>
      </c>
    </row>
    <row r="5678" spans="1:8">
      <c r="A5678">
        <v>6</v>
      </c>
      <c r="B5678" t="s">
        <v>46</v>
      </c>
      <c r="C5678" t="s">
        <v>35</v>
      </c>
      <c r="D5678">
        <v>0</v>
      </c>
      <c r="E5678">
        <v>1</v>
      </c>
      <c r="F5678" s="7">
        <v>341884.94</v>
      </c>
      <c r="G5678">
        <v>0</v>
      </c>
      <c r="H5678" s="7">
        <v>0</v>
      </c>
    </row>
    <row r="5679" spans="1:8">
      <c r="A5679">
        <v>6</v>
      </c>
      <c r="B5679" t="s">
        <v>46</v>
      </c>
      <c r="C5679" t="s">
        <v>35</v>
      </c>
      <c r="D5679">
        <v>0</v>
      </c>
      <c r="E5679">
        <v>1</v>
      </c>
      <c r="F5679" s="7">
        <v>300026.34</v>
      </c>
      <c r="G5679">
        <v>0</v>
      </c>
      <c r="H5679" s="7">
        <v>0</v>
      </c>
    </row>
    <row r="5680" spans="1:8">
      <c r="A5680">
        <v>6</v>
      </c>
      <c r="B5680" t="s">
        <v>46</v>
      </c>
      <c r="C5680" t="s">
        <v>34</v>
      </c>
      <c r="D5680">
        <v>0</v>
      </c>
      <c r="E5680">
        <v>1</v>
      </c>
      <c r="F5680" s="7">
        <v>67248.4</v>
      </c>
      <c r="G5680">
        <v>0</v>
      </c>
      <c r="H5680" s="7">
        <v>0</v>
      </c>
    </row>
    <row r="5681" spans="1:8">
      <c r="A5681">
        <v>6</v>
      </c>
      <c r="B5681" t="s">
        <v>46</v>
      </c>
      <c r="C5681" t="s">
        <v>35</v>
      </c>
      <c r="D5681">
        <v>0</v>
      </c>
      <c r="E5681">
        <v>1</v>
      </c>
      <c r="F5681" s="7">
        <v>396205.76</v>
      </c>
      <c r="G5681">
        <v>0</v>
      </c>
      <c r="H5681" s="7">
        <v>0</v>
      </c>
    </row>
    <row r="5682" spans="1:8">
      <c r="A5682">
        <v>6</v>
      </c>
      <c r="B5682" t="s">
        <v>46</v>
      </c>
      <c r="C5682" t="s">
        <v>33</v>
      </c>
      <c r="D5682">
        <v>0</v>
      </c>
      <c r="E5682">
        <v>1</v>
      </c>
      <c r="F5682" s="7">
        <v>7159.95</v>
      </c>
      <c r="G5682">
        <v>0</v>
      </c>
      <c r="H5682" s="7">
        <v>0</v>
      </c>
    </row>
    <row r="5683" spans="1:8">
      <c r="A5683">
        <v>6</v>
      </c>
      <c r="B5683" t="s">
        <v>46</v>
      </c>
      <c r="C5683" t="s">
        <v>35</v>
      </c>
      <c r="D5683">
        <v>0</v>
      </c>
      <c r="E5683">
        <v>1</v>
      </c>
      <c r="F5683" s="7">
        <v>243542.61</v>
      </c>
      <c r="G5683">
        <v>0</v>
      </c>
      <c r="H5683" s="7">
        <v>0</v>
      </c>
    </row>
    <row r="5684" spans="1:8">
      <c r="A5684">
        <v>6</v>
      </c>
      <c r="B5684" t="s">
        <v>46</v>
      </c>
      <c r="C5684" t="s">
        <v>35</v>
      </c>
      <c r="D5684">
        <v>0</v>
      </c>
      <c r="E5684">
        <v>1</v>
      </c>
      <c r="F5684" s="7">
        <v>233628.2</v>
      </c>
      <c r="G5684">
        <v>0</v>
      </c>
      <c r="H5684" s="7">
        <v>0</v>
      </c>
    </row>
    <row r="5685" spans="1:8">
      <c r="A5685">
        <v>6</v>
      </c>
      <c r="B5685" t="s">
        <v>46</v>
      </c>
      <c r="C5685" t="s">
        <v>35</v>
      </c>
      <c r="D5685">
        <v>0</v>
      </c>
      <c r="E5685">
        <v>1</v>
      </c>
      <c r="F5685" s="7">
        <v>424472.59</v>
      </c>
      <c r="G5685">
        <v>0</v>
      </c>
      <c r="H5685" s="7">
        <v>0</v>
      </c>
    </row>
    <row r="5686" spans="1:8">
      <c r="A5686">
        <v>6</v>
      </c>
      <c r="B5686" t="s">
        <v>46</v>
      </c>
      <c r="C5686" t="s">
        <v>35</v>
      </c>
      <c r="D5686">
        <v>0</v>
      </c>
      <c r="E5686">
        <v>1</v>
      </c>
      <c r="F5686" s="7">
        <v>120910.43</v>
      </c>
      <c r="G5686">
        <v>0</v>
      </c>
      <c r="H5686" s="7">
        <v>0</v>
      </c>
    </row>
    <row r="5687" spans="1:8">
      <c r="A5687">
        <v>6</v>
      </c>
      <c r="B5687" t="s">
        <v>46</v>
      </c>
      <c r="C5687" t="s">
        <v>35</v>
      </c>
      <c r="D5687">
        <v>0</v>
      </c>
      <c r="E5687">
        <v>1</v>
      </c>
      <c r="F5687" s="7">
        <v>220733.04</v>
      </c>
      <c r="G5687">
        <v>0</v>
      </c>
      <c r="H5687" s="7">
        <v>0</v>
      </c>
    </row>
    <row r="5688" spans="1:8">
      <c r="A5688">
        <v>6</v>
      </c>
      <c r="B5688" t="s">
        <v>46</v>
      </c>
      <c r="C5688" t="s">
        <v>34</v>
      </c>
      <c r="D5688">
        <v>0</v>
      </c>
      <c r="E5688">
        <v>1</v>
      </c>
      <c r="F5688" s="7">
        <v>69196.27</v>
      </c>
      <c r="G5688">
        <v>0</v>
      </c>
      <c r="H5688" s="7">
        <v>0</v>
      </c>
    </row>
    <row r="5689" spans="1:8">
      <c r="A5689">
        <v>6</v>
      </c>
      <c r="B5689" t="s">
        <v>46</v>
      </c>
      <c r="C5689" t="s">
        <v>35</v>
      </c>
      <c r="D5689">
        <v>0</v>
      </c>
      <c r="E5689">
        <v>1</v>
      </c>
      <c r="F5689" s="7">
        <v>138102.63</v>
      </c>
      <c r="G5689">
        <v>0</v>
      </c>
      <c r="H5689" s="7">
        <v>0</v>
      </c>
    </row>
    <row r="5690" spans="1:8">
      <c r="A5690">
        <v>6</v>
      </c>
      <c r="B5690" t="s">
        <v>46</v>
      </c>
      <c r="C5690" t="s">
        <v>35</v>
      </c>
      <c r="D5690">
        <v>0</v>
      </c>
      <c r="E5690">
        <v>1</v>
      </c>
      <c r="F5690" s="7">
        <v>249043.84</v>
      </c>
      <c r="G5690">
        <v>0</v>
      </c>
      <c r="H5690" s="7">
        <v>0</v>
      </c>
    </row>
    <row r="5691" spans="1:8">
      <c r="A5691">
        <v>6</v>
      </c>
      <c r="B5691" t="s">
        <v>46</v>
      </c>
      <c r="C5691" t="s">
        <v>35</v>
      </c>
      <c r="D5691">
        <v>0</v>
      </c>
      <c r="E5691">
        <v>1</v>
      </c>
      <c r="F5691" s="7">
        <v>282900.93</v>
      </c>
      <c r="G5691">
        <v>0</v>
      </c>
      <c r="H5691" s="7">
        <v>0</v>
      </c>
    </row>
    <row r="5692" spans="1:8">
      <c r="A5692">
        <v>6</v>
      </c>
      <c r="B5692" t="s">
        <v>46</v>
      </c>
      <c r="C5692" t="s">
        <v>35</v>
      </c>
      <c r="D5692">
        <v>0</v>
      </c>
      <c r="E5692">
        <v>1</v>
      </c>
      <c r="F5692" s="7">
        <v>224547.42</v>
      </c>
      <c r="G5692">
        <v>0</v>
      </c>
      <c r="H5692" s="7">
        <v>0</v>
      </c>
    </row>
    <row r="5693" spans="1:8">
      <c r="A5693">
        <v>6</v>
      </c>
      <c r="B5693" t="s">
        <v>46</v>
      </c>
      <c r="C5693" t="s">
        <v>35</v>
      </c>
      <c r="D5693">
        <v>0</v>
      </c>
      <c r="E5693">
        <v>1</v>
      </c>
      <c r="F5693" s="7">
        <v>114381.77</v>
      </c>
      <c r="G5693">
        <v>0</v>
      </c>
      <c r="H5693" s="7">
        <v>0</v>
      </c>
    </row>
    <row r="5694" spans="1:8">
      <c r="A5694">
        <v>6</v>
      </c>
      <c r="B5694" t="s">
        <v>46</v>
      </c>
      <c r="C5694" t="s">
        <v>34</v>
      </c>
      <c r="D5694">
        <v>0</v>
      </c>
      <c r="E5694">
        <v>1</v>
      </c>
      <c r="F5694" s="7">
        <v>87371.77</v>
      </c>
      <c r="G5694">
        <v>0</v>
      </c>
      <c r="H5694" s="7">
        <v>0</v>
      </c>
    </row>
    <row r="5695" spans="1:8">
      <c r="A5695">
        <v>6</v>
      </c>
      <c r="B5695" t="s">
        <v>46</v>
      </c>
      <c r="C5695" t="s">
        <v>33</v>
      </c>
      <c r="D5695">
        <v>0</v>
      </c>
      <c r="E5695">
        <v>1</v>
      </c>
      <c r="F5695" s="7">
        <v>4518.64</v>
      </c>
      <c r="G5695">
        <v>0</v>
      </c>
      <c r="H5695" s="7">
        <v>0</v>
      </c>
    </row>
    <row r="5696" spans="1:8">
      <c r="A5696">
        <v>6</v>
      </c>
      <c r="B5696" t="s">
        <v>46</v>
      </c>
      <c r="C5696" t="s">
        <v>34</v>
      </c>
      <c r="D5696">
        <v>0</v>
      </c>
      <c r="E5696">
        <v>1</v>
      </c>
      <c r="F5696" s="7">
        <v>96300.34</v>
      </c>
      <c r="G5696">
        <v>0</v>
      </c>
      <c r="H5696" s="7">
        <v>0</v>
      </c>
    </row>
    <row r="5697" spans="1:8">
      <c r="A5697">
        <v>6</v>
      </c>
      <c r="B5697" t="s">
        <v>46</v>
      </c>
      <c r="C5697" t="s">
        <v>35</v>
      </c>
      <c r="D5697">
        <v>0</v>
      </c>
      <c r="E5697">
        <v>1</v>
      </c>
      <c r="F5697" s="7">
        <v>106019.41</v>
      </c>
      <c r="G5697">
        <v>0</v>
      </c>
      <c r="H5697" s="7">
        <v>0</v>
      </c>
    </row>
    <row r="5698" spans="1:8">
      <c r="A5698">
        <v>6</v>
      </c>
      <c r="B5698" t="s">
        <v>46</v>
      </c>
      <c r="C5698" t="s">
        <v>34</v>
      </c>
      <c r="D5698">
        <v>0</v>
      </c>
      <c r="E5698">
        <v>1</v>
      </c>
      <c r="F5698" s="7">
        <v>14768.26</v>
      </c>
      <c r="G5698">
        <v>0</v>
      </c>
      <c r="H5698" s="7">
        <v>0</v>
      </c>
    </row>
    <row r="5699" spans="1:8">
      <c r="A5699">
        <v>6</v>
      </c>
      <c r="B5699" t="s">
        <v>46</v>
      </c>
      <c r="C5699" t="s">
        <v>35</v>
      </c>
      <c r="D5699">
        <v>0</v>
      </c>
      <c r="E5699">
        <v>1</v>
      </c>
      <c r="F5699" s="7">
        <v>434517.44</v>
      </c>
      <c r="G5699">
        <v>0</v>
      </c>
      <c r="H5699" s="7">
        <v>0</v>
      </c>
    </row>
    <row r="5700" spans="1:8">
      <c r="A5700">
        <v>6</v>
      </c>
      <c r="B5700" t="s">
        <v>46</v>
      </c>
      <c r="C5700" t="s">
        <v>33</v>
      </c>
      <c r="D5700">
        <v>0</v>
      </c>
      <c r="E5700">
        <v>1</v>
      </c>
      <c r="F5700" s="7">
        <v>8887.01</v>
      </c>
      <c r="G5700">
        <v>0</v>
      </c>
      <c r="H5700" s="7">
        <v>0</v>
      </c>
    </row>
    <row r="5701" spans="1:8">
      <c r="A5701">
        <v>6</v>
      </c>
      <c r="B5701" t="s">
        <v>46</v>
      </c>
      <c r="C5701" t="s">
        <v>34</v>
      </c>
      <c r="D5701">
        <v>0</v>
      </c>
      <c r="E5701">
        <v>1</v>
      </c>
      <c r="F5701" s="7">
        <v>95670.52</v>
      </c>
      <c r="G5701">
        <v>0</v>
      </c>
      <c r="H5701" s="7">
        <v>0</v>
      </c>
    </row>
    <row r="5702" spans="1:8">
      <c r="A5702">
        <v>6</v>
      </c>
      <c r="B5702" t="s">
        <v>46</v>
      </c>
      <c r="C5702" t="s">
        <v>35</v>
      </c>
      <c r="D5702">
        <v>0</v>
      </c>
      <c r="E5702">
        <v>1</v>
      </c>
      <c r="F5702" s="7">
        <v>588327.76</v>
      </c>
      <c r="G5702">
        <v>0</v>
      </c>
      <c r="H5702" s="7">
        <v>0</v>
      </c>
    </row>
    <row r="5703" spans="1:8">
      <c r="A5703">
        <v>6</v>
      </c>
      <c r="B5703" t="s">
        <v>46</v>
      </c>
      <c r="C5703" t="s">
        <v>35</v>
      </c>
      <c r="D5703">
        <v>0</v>
      </c>
      <c r="E5703">
        <v>1</v>
      </c>
      <c r="F5703" s="7">
        <v>290002.35</v>
      </c>
      <c r="G5703">
        <v>0</v>
      </c>
      <c r="H5703" s="7">
        <v>0</v>
      </c>
    </row>
    <row r="5704" spans="1:8">
      <c r="A5704">
        <v>6</v>
      </c>
      <c r="B5704" t="s">
        <v>42</v>
      </c>
      <c r="C5704" t="s">
        <v>33</v>
      </c>
      <c r="D5704">
        <v>0</v>
      </c>
      <c r="E5704">
        <v>1</v>
      </c>
      <c r="F5704" s="7">
        <v>1161.92</v>
      </c>
      <c r="G5704">
        <v>0</v>
      </c>
      <c r="H5704" s="7">
        <v>0</v>
      </c>
    </row>
    <row r="5705" spans="1:8">
      <c r="A5705">
        <v>6</v>
      </c>
      <c r="B5705" t="s">
        <v>45</v>
      </c>
      <c r="C5705" t="s">
        <v>33</v>
      </c>
      <c r="D5705">
        <v>0</v>
      </c>
      <c r="E5705">
        <v>1</v>
      </c>
      <c r="F5705" s="7">
        <v>7821.8</v>
      </c>
      <c r="G5705">
        <v>0</v>
      </c>
      <c r="H5705" s="7">
        <v>0</v>
      </c>
    </row>
    <row r="5706" spans="1:8">
      <c r="A5706">
        <v>6</v>
      </c>
      <c r="B5706" t="s">
        <v>42</v>
      </c>
      <c r="C5706" t="s">
        <v>33</v>
      </c>
      <c r="D5706">
        <v>0</v>
      </c>
      <c r="E5706">
        <v>1</v>
      </c>
      <c r="F5706" s="7">
        <v>8567.57</v>
      </c>
      <c r="G5706">
        <v>0</v>
      </c>
      <c r="H5706" s="7">
        <v>0</v>
      </c>
    </row>
    <row r="5707" spans="1:8">
      <c r="A5707">
        <v>6</v>
      </c>
      <c r="B5707" t="s">
        <v>42</v>
      </c>
      <c r="C5707" t="s">
        <v>34</v>
      </c>
      <c r="D5707">
        <v>0</v>
      </c>
      <c r="E5707">
        <v>1</v>
      </c>
      <c r="F5707" s="7">
        <v>38755.91</v>
      </c>
      <c r="G5707">
        <v>0</v>
      </c>
      <c r="H5707" s="7">
        <v>0</v>
      </c>
    </row>
    <row r="5708" spans="1:8">
      <c r="A5708">
        <v>6</v>
      </c>
      <c r="B5708" t="s">
        <v>42</v>
      </c>
      <c r="C5708" t="s">
        <v>34</v>
      </c>
      <c r="D5708">
        <v>0</v>
      </c>
      <c r="E5708">
        <v>1</v>
      </c>
      <c r="F5708" s="7">
        <v>29426.86</v>
      </c>
      <c r="G5708">
        <v>0</v>
      </c>
      <c r="H5708" s="7">
        <v>0</v>
      </c>
    </row>
    <row r="5709" spans="1:8">
      <c r="A5709">
        <v>6</v>
      </c>
      <c r="B5709" t="s">
        <v>42</v>
      </c>
      <c r="C5709" t="s">
        <v>34</v>
      </c>
      <c r="D5709">
        <v>0</v>
      </c>
      <c r="E5709">
        <v>1</v>
      </c>
      <c r="F5709" s="7">
        <v>22020.95</v>
      </c>
      <c r="G5709">
        <v>0</v>
      </c>
      <c r="H5709" s="7">
        <v>0</v>
      </c>
    </row>
    <row r="5710" spans="1:8">
      <c r="A5710">
        <v>6</v>
      </c>
      <c r="B5710" t="s">
        <v>43</v>
      </c>
      <c r="C5710" t="s">
        <v>35</v>
      </c>
      <c r="D5710">
        <v>0</v>
      </c>
      <c r="E5710">
        <v>1</v>
      </c>
      <c r="F5710" s="7">
        <v>225464.91</v>
      </c>
      <c r="G5710">
        <v>0</v>
      </c>
      <c r="H5710" s="7">
        <v>0</v>
      </c>
    </row>
    <row r="5711" spans="1:8">
      <c r="A5711">
        <v>6</v>
      </c>
      <c r="B5711" t="s">
        <v>42</v>
      </c>
      <c r="C5711" t="s">
        <v>34</v>
      </c>
      <c r="D5711">
        <v>0</v>
      </c>
      <c r="E5711">
        <v>1</v>
      </c>
      <c r="F5711" s="7">
        <v>32189.93</v>
      </c>
      <c r="G5711">
        <v>0</v>
      </c>
      <c r="H5711" s="7">
        <v>0</v>
      </c>
    </row>
    <row r="5712" spans="1:8">
      <c r="A5712">
        <v>6</v>
      </c>
      <c r="B5712" t="s">
        <v>42</v>
      </c>
      <c r="C5712" t="s">
        <v>33</v>
      </c>
      <c r="D5712">
        <v>0</v>
      </c>
      <c r="E5712">
        <v>1</v>
      </c>
      <c r="F5712" s="7">
        <v>9557.31</v>
      </c>
      <c r="G5712">
        <v>0</v>
      </c>
      <c r="H5712" s="7">
        <v>0</v>
      </c>
    </row>
    <row r="5713" spans="1:8">
      <c r="A5713">
        <v>6</v>
      </c>
      <c r="B5713" t="s">
        <v>42</v>
      </c>
      <c r="C5713" t="s">
        <v>33</v>
      </c>
      <c r="D5713">
        <v>0</v>
      </c>
      <c r="E5713">
        <v>1</v>
      </c>
      <c r="F5713" s="7">
        <v>9313.43</v>
      </c>
      <c r="G5713">
        <v>0</v>
      </c>
      <c r="H5713" s="7">
        <v>0</v>
      </c>
    </row>
    <row r="5714" spans="1:8">
      <c r="A5714">
        <v>6</v>
      </c>
      <c r="B5714" t="s">
        <v>42</v>
      </c>
      <c r="C5714" t="s">
        <v>34</v>
      </c>
      <c r="D5714">
        <v>0</v>
      </c>
      <c r="E5714">
        <v>1</v>
      </c>
      <c r="F5714" s="7">
        <v>24261.25</v>
      </c>
      <c r="G5714">
        <v>0</v>
      </c>
      <c r="H5714" s="7">
        <v>0</v>
      </c>
    </row>
    <row r="5715" spans="1:8">
      <c r="A5715">
        <v>6</v>
      </c>
      <c r="B5715" t="s">
        <v>42</v>
      </c>
      <c r="C5715" t="s">
        <v>33</v>
      </c>
      <c r="D5715">
        <v>0</v>
      </c>
      <c r="E5715">
        <v>1</v>
      </c>
      <c r="F5715" s="7">
        <v>7876.6</v>
      </c>
      <c r="G5715">
        <v>0</v>
      </c>
      <c r="H5715" s="7">
        <v>0</v>
      </c>
    </row>
    <row r="5716" spans="1:8">
      <c r="A5716">
        <v>6</v>
      </c>
      <c r="B5716" t="s">
        <v>42</v>
      </c>
      <c r="C5716" t="s">
        <v>33</v>
      </c>
      <c r="D5716">
        <v>0</v>
      </c>
      <c r="E5716">
        <v>1</v>
      </c>
      <c r="F5716" s="7">
        <v>4103.11</v>
      </c>
      <c r="G5716">
        <v>0</v>
      </c>
      <c r="H5716" s="7">
        <v>0</v>
      </c>
    </row>
    <row r="5717" spans="1:8">
      <c r="A5717">
        <v>6</v>
      </c>
      <c r="B5717" t="s">
        <v>42</v>
      </c>
      <c r="C5717" t="s">
        <v>34</v>
      </c>
      <c r="D5717">
        <v>0</v>
      </c>
      <c r="E5717">
        <v>1</v>
      </c>
      <c r="F5717" s="7">
        <v>50747.77</v>
      </c>
      <c r="G5717">
        <v>0</v>
      </c>
      <c r="H5717" s="7">
        <v>0</v>
      </c>
    </row>
    <row r="5718" spans="1:8">
      <c r="A5718">
        <v>6</v>
      </c>
      <c r="B5718" t="s">
        <v>42</v>
      </c>
      <c r="C5718" t="s">
        <v>34</v>
      </c>
      <c r="D5718">
        <v>0</v>
      </c>
      <c r="E5718">
        <v>1</v>
      </c>
      <c r="F5718" s="7">
        <v>24417.76</v>
      </c>
      <c r="G5718">
        <v>0</v>
      </c>
      <c r="H5718" s="7">
        <v>0</v>
      </c>
    </row>
    <row r="5719" spans="1:8">
      <c r="A5719">
        <v>6</v>
      </c>
      <c r="B5719" t="s">
        <v>42</v>
      </c>
      <c r="C5719" t="s">
        <v>34</v>
      </c>
      <c r="D5719">
        <v>0</v>
      </c>
      <c r="E5719">
        <v>1</v>
      </c>
      <c r="F5719" s="7">
        <v>34389.04</v>
      </c>
      <c r="G5719">
        <v>0</v>
      </c>
      <c r="H5719" s="7">
        <v>0</v>
      </c>
    </row>
    <row r="5720" spans="1:8">
      <c r="A5720">
        <v>6</v>
      </c>
      <c r="B5720" t="s">
        <v>42</v>
      </c>
      <c r="C5720" t="s">
        <v>33</v>
      </c>
      <c r="D5720">
        <v>0</v>
      </c>
      <c r="E5720">
        <v>1</v>
      </c>
      <c r="F5720" s="7">
        <v>4856.8</v>
      </c>
      <c r="G5720">
        <v>0</v>
      </c>
      <c r="H5720" s="7">
        <v>0</v>
      </c>
    </row>
    <row r="5721" spans="1:8">
      <c r="A5721">
        <v>6</v>
      </c>
      <c r="B5721" t="s">
        <v>42</v>
      </c>
      <c r="C5721" t="s">
        <v>34</v>
      </c>
      <c r="D5721">
        <v>0</v>
      </c>
      <c r="E5721">
        <v>1</v>
      </c>
      <c r="F5721" s="7">
        <v>25388.91</v>
      </c>
      <c r="G5721">
        <v>0</v>
      </c>
      <c r="H5721" s="7">
        <v>0</v>
      </c>
    </row>
    <row r="5722" spans="1:8">
      <c r="A5722">
        <v>6</v>
      </c>
      <c r="B5722" t="s">
        <v>42</v>
      </c>
      <c r="C5722" t="s">
        <v>33</v>
      </c>
      <c r="D5722">
        <v>0</v>
      </c>
      <c r="E5722">
        <v>1</v>
      </c>
      <c r="F5722" s="7">
        <v>8564.52</v>
      </c>
      <c r="G5722">
        <v>0</v>
      </c>
      <c r="H5722" s="7">
        <v>0</v>
      </c>
    </row>
    <row r="5723" spans="1:8">
      <c r="A5723">
        <v>6</v>
      </c>
      <c r="B5723" t="s">
        <v>42</v>
      </c>
      <c r="C5723" t="s">
        <v>33</v>
      </c>
      <c r="D5723">
        <v>0</v>
      </c>
      <c r="E5723">
        <v>1</v>
      </c>
      <c r="F5723" s="7">
        <v>7605.58</v>
      </c>
      <c r="G5723">
        <v>0</v>
      </c>
      <c r="H5723" s="7">
        <v>0</v>
      </c>
    </row>
    <row r="5724" spans="1:8">
      <c r="A5724">
        <v>6</v>
      </c>
      <c r="B5724" t="s">
        <v>42</v>
      </c>
      <c r="C5724" t="s">
        <v>33</v>
      </c>
      <c r="D5724">
        <v>0</v>
      </c>
      <c r="E5724">
        <v>1</v>
      </c>
      <c r="F5724" s="7">
        <v>7798.05</v>
      </c>
      <c r="G5724">
        <v>0</v>
      </c>
      <c r="H5724" s="7">
        <v>0</v>
      </c>
    </row>
    <row r="5725" spans="1:8">
      <c r="A5725">
        <v>6</v>
      </c>
      <c r="B5725" t="s">
        <v>42</v>
      </c>
      <c r="C5725" t="s">
        <v>33</v>
      </c>
      <c r="D5725">
        <v>0</v>
      </c>
      <c r="E5725">
        <v>1</v>
      </c>
      <c r="F5725" s="7">
        <v>4276.93</v>
      </c>
      <c r="G5725">
        <v>0</v>
      </c>
      <c r="H5725" s="7">
        <v>0</v>
      </c>
    </row>
    <row r="5726" spans="1:8">
      <c r="A5726">
        <v>6</v>
      </c>
      <c r="B5726" t="s">
        <v>42</v>
      </c>
      <c r="C5726" t="s">
        <v>33</v>
      </c>
      <c r="D5726">
        <v>0</v>
      </c>
      <c r="E5726">
        <v>1</v>
      </c>
      <c r="F5726" s="7">
        <v>6034.16</v>
      </c>
      <c r="G5726">
        <v>0</v>
      </c>
      <c r="H5726" s="7">
        <v>0</v>
      </c>
    </row>
    <row r="5727" spans="1:8">
      <c r="A5727">
        <v>6</v>
      </c>
      <c r="B5727" t="s">
        <v>42</v>
      </c>
      <c r="C5727" t="s">
        <v>34</v>
      </c>
      <c r="D5727">
        <v>0</v>
      </c>
      <c r="E5727">
        <v>1</v>
      </c>
      <c r="F5727" s="7">
        <v>21300.1</v>
      </c>
      <c r="G5727">
        <v>0</v>
      </c>
      <c r="H5727" s="7">
        <v>0</v>
      </c>
    </row>
    <row r="5728" spans="1:8">
      <c r="A5728">
        <v>6</v>
      </c>
      <c r="B5728" t="s">
        <v>42</v>
      </c>
      <c r="C5728" t="s">
        <v>33</v>
      </c>
      <c r="D5728">
        <v>0</v>
      </c>
      <c r="E5728">
        <v>1</v>
      </c>
      <c r="F5728" s="7">
        <v>9470.18</v>
      </c>
      <c r="G5728">
        <v>0</v>
      </c>
      <c r="H5728" s="7">
        <v>0</v>
      </c>
    </row>
    <row r="5729" spans="1:8">
      <c r="A5729">
        <v>6</v>
      </c>
      <c r="B5729" t="s">
        <v>42</v>
      </c>
      <c r="C5729" t="s">
        <v>34</v>
      </c>
      <c r="D5729">
        <v>0</v>
      </c>
      <c r="E5729">
        <v>1</v>
      </c>
      <c r="F5729" s="7">
        <v>21719.62</v>
      </c>
      <c r="G5729">
        <v>0</v>
      </c>
      <c r="H5729" s="7">
        <v>0</v>
      </c>
    </row>
    <row r="5730" spans="1:8">
      <c r="A5730">
        <v>6</v>
      </c>
      <c r="B5730" t="s">
        <v>42</v>
      </c>
      <c r="C5730" t="s">
        <v>33</v>
      </c>
      <c r="D5730">
        <v>0</v>
      </c>
      <c r="E5730">
        <v>1</v>
      </c>
      <c r="F5730" s="7">
        <v>2186.82</v>
      </c>
      <c r="G5730">
        <v>0</v>
      </c>
      <c r="H5730" s="7">
        <v>0</v>
      </c>
    </row>
    <row r="5731" spans="1:8">
      <c r="A5731">
        <v>6</v>
      </c>
      <c r="B5731" t="s">
        <v>42</v>
      </c>
      <c r="C5731" t="s">
        <v>33</v>
      </c>
      <c r="D5731">
        <v>0</v>
      </c>
      <c r="E5731">
        <v>1</v>
      </c>
      <c r="F5731" s="7">
        <v>9170</v>
      </c>
      <c r="G5731">
        <v>0</v>
      </c>
      <c r="H5731" s="7">
        <v>0</v>
      </c>
    </row>
    <row r="5732" spans="1:8">
      <c r="A5732">
        <v>6</v>
      </c>
      <c r="B5732" t="s">
        <v>42</v>
      </c>
      <c r="C5732" t="s">
        <v>33</v>
      </c>
      <c r="D5732">
        <v>0</v>
      </c>
      <c r="E5732">
        <v>1</v>
      </c>
      <c r="F5732" s="7">
        <v>2471.23</v>
      </c>
      <c r="G5732">
        <v>0</v>
      </c>
      <c r="H5732" s="7">
        <v>0</v>
      </c>
    </row>
    <row r="5733" spans="1:8">
      <c r="A5733">
        <v>6</v>
      </c>
      <c r="B5733" t="s">
        <v>42</v>
      </c>
      <c r="C5733" t="s">
        <v>33</v>
      </c>
      <c r="D5733">
        <v>0</v>
      </c>
      <c r="E5733">
        <v>1</v>
      </c>
      <c r="F5733" s="7">
        <v>3850.05</v>
      </c>
      <c r="G5733">
        <v>0</v>
      </c>
      <c r="H5733" s="7">
        <v>0</v>
      </c>
    </row>
    <row r="5734" spans="1:8">
      <c r="A5734">
        <v>6</v>
      </c>
      <c r="B5734" t="s">
        <v>42</v>
      </c>
      <c r="C5734" t="s">
        <v>33</v>
      </c>
      <c r="D5734">
        <v>0</v>
      </c>
      <c r="E5734">
        <v>1</v>
      </c>
      <c r="F5734" s="7">
        <v>2496.08</v>
      </c>
      <c r="G5734">
        <v>0</v>
      </c>
      <c r="H5734" s="7">
        <v>0</v>
      </c>
    </row>
    <row r="5735" spans="1:8">
      <c r="A5735">
        <v>6</v>
      </c>
      <c r="B5735" t="s">
        <v>42</v>
      </c>
      <c r="C5735" t="s">
        <v>33</v>
      </c>
      <c r="D5735">
        <v>0</v>
      </c>
      <c r="E5735">
        <v>1</v>
      </c>
      <c r="F5735" s="7">
        <v>4084.11</v>
      </c>
      <c r="G5735">
        <v>0</v>
      </c>
      <c r="H5735" s="7">
        <v>0</v>
      </c>
    </row>
    <row r="5736" spans="1:8">
      <c r="A5736">
        <v>6</v>
      </c>
      <c r="B5736" t="s">
        <v>42</v>
      </c>
      <c r="C5736" t="s">
        <v>33</v>
      </c>
      <c r="D5736">
        <v>0</v>
      </c>
      <c r="E5736">
        <v>1</v>
      </c>
      <c r="F5736" s="7">
        <v>9158.69</v>
      </c>
      <c r="G5736">
        <v>0</v>
      </c>
      <c r="H5736" s="7">
        <v>0</v>
      </c>
    </row>
    <row r="5737" spans="1:8">
      <c r="A5737">
        <v>6</v>
      </c>
      <c r="B5737" t="s">
        <v>42</v>
      </c>
      <c r="C5737" t="s">
        <v>33</v>
      </c>
      <c r="D5737">
        <v>0</v>
      </c>
      <c r="E5737">
        <v>1</v>
      </c>
      <c r="F5737" s="7">
        <v>3118.24</v>
      </c>
      <c r="G5737">
        <v>0</v>
      </c>
      <c r="H5737" s="7">
        <v>0</v>
      </c>
    </row>
    <row r="5738" spans="1:8">
      <c r="A5738">
        <v>6</v>
      </c>
      <c r="B5738" t="s">
        <v>42</v>
      </c>
      <c r="C5738" t="s">
        <v>33</v>
      </c>
      <c r="D5738">
        <v>0</v>
      </c>
      <c r="E5738">
        <v>1</v>
      </c>
      <c r="F5738" s="7">
        <v>6119.49</v>
      </c>
      <c r="G5738">
        <v>0</v>
      </c>
      <c r="H5738" s="7">
        <v>0</v>
      </c>
    </row>
    <row r="5739" spans="1:8">
      <c r="A5739">
        <v>6</v>
      </c>
      <c r="B5739" t="s">
        <v>42</v>
      </c>
      <c r="C5739" t="s">
        <v>33</v>
      </c>
      <c r="D5739">
        <v>0</v>
      </c>
      <c r="E5739">
        <v>1</v>
      </c>
      <c r="F5739" s="7">
        <v>9474.34</v>
      </c>
      <c r="G5739">
        <v>0</v>
      </c>
      <c r="H5739" s="7">
        <v>0</v>
      </c>
    </row>
    <row r="5740" spans="1:8">
      <c r="A5740">
        <v>6</v>
      </c>
      <c r="B5740" t="s">
        <v>42</v>
      </c>
      <c r="C5740" t="s">
        <v>33</v>
      </c>
      <c r="D5740">
        <v>0</v>
      </c>
      <c r="E5740">
        <v>1</v>
      </c>
      <c r="F5740" s="7">
        <v>2006.1</v>
      </c>
      <c r="G5740">
        <v>0</v>
      </c>
      <c r="H5740" s="7">
        <v>0</v>
      </c>
    </row>
    <row r="5741" spans="1:8">
      <c r="A5741">
        <v>6</v>
      </c>
      <c r="B5741" t="s">
        <v>42</v>
      </c>
      <c r="C5741" t="s">
        <v>34</v>
      </c>
      <c r="D5741">
        <v>0</v>
      </c>
      <c r="E5741">
        <v>1</v>
      </c>
      <c r="F5741" s="7">
        <v>33019.3</v>
      </c>
      <c r="G5741">
        <v>0</v>
      </c>
      <c r="H5741" s="7">
        <v>0</v>
      </c>
    </row>
    <row r="5742" spans="1:8">
      <c r="A5742">
        <v>6</v>
      </c>
      <c r="B5742" t="s">
        <v>43</v>
      </c>
      <c r="C5742" t="s">
        <v>35</v>
      </c>
      <c r="D5742">
        <v>0</v>
      </c>
      <c r="E5742">
        <v>1</v>
      </c>
      <c r="F5742" s="7">
        <v>130145.62</v>
      </c>
      <c r="G5742">
        <v>0</v>
      </c>
      <c r="H5742" s="7">
        <v>0</v>
      </c>
    </row>
    <row r="5743" spans="1:8">
      <c r="A5743">
        <v>6</v>
      </c>
      <c r="B5743" t="s">
        <v>42</v>
      </c>
      <c r="C5743" t="s">
        <v>33</v>
      </c>
      <c r="D5743">
        <v>0</v>
      </c>
      <c r="E5743">
        <v>1</v>
      </c>
      <c r="F5743" s="7">
        <v>8640.07</v>
      </c>
      <c r="G5743">
        <v>0</v>
      </c>
      <c r="H5743" s="7">
        <v>0</v>
      </c>
    </row>
    <row r="5744" spans="1:8">
      <c r="A5744">
        <v>6</v>
      </c>
      <c r="B5744" t="s">
        <v>42</v>
      </c>
      <c r="C5744" t="s">
        <v>34</v>
      </c>
      <c r="D5744">
        <v>0</v>
      </c>
      <c r="E5744">
        <v>1</v>
      </c>
      <c r="F5744" s="7">
        <v>25691.16</v>
      </c>
      <c r="G5744">
        <v>0</v>
      </c>
      <c r="H5744" s="7">
        <v>0</v>
      </c>
    </row>
    <row r="5745" spans="1:8">
      <c r="A5745">
        <v>6</v>
      </c>
      <c r="B5745" t="s">
        <v>42</v>
      </c>
      <c r="C5745" t="s">
        <v>34</v>
      </c>
      <c r="D5745">
        <v>0</v>
      </c>
      <c r="E5745">
        <v>1</v>
      </c>
      <c r="F5745" s="7">
        <v>11971.97</v>
      </c>
      <c r="G5745">
        <v>0</v>
      </c>
      <c r="H5745" s="7">
        <v>0</v>
      </c>
    </row>
    <row r="5746" spans="1:8">
      <c r="A5746">
        <v>6</v>
      </c>
      <c r="B5746" t="s">
        <v>42</v>
      </c>
      <c r="C5746" t="s">
        <v>34</v>
      </c>
      <c r="D5746">
        <v>0</v>
      </c>
      <c r="E5746">
        <v>1</v>
      </c>
      <c r="F5746" s="7">
        <v>35551.62</v>
      </c>
      <c r="G5746">
        <v>0</v>
      </c>
      <c r="H5746" s="7">
        <v>0</v>
      </c>
    </row>
    <row r="5747" spans="1:8">
      <c r="A5747">
        <v>6</v>
      </c>
      <c r="B5747" t="s">
        <v>42</v>
      </c>
      <c r="C5747" t="s">
        <v>33</v>
      </c>
      <c r="D5747">
        <v>0</v>
      </c>
      <c r="E5747">
        <v>1</v>
      </c>
      <c r="F5747" s="7">
        <v>1695.69</v>
      </c>
      <c r="G5747">
        <v>0</v>
      </c>
      <c r="H5747" s="7">
        <v>0</v>
      </c>
    </row>
    <row r="5748" spans="1:8">
      <c r="A5748">
        <v>6</v>
      </c>
      <c r="B5748" t="s">
        <v>42</v>
      </c>
      <c r="C5748" t="s">
        <v>33</v>
      </c>
      <c r="D5748">
        <v>0</v>
      </c>
      <c r="E5748">
        <v>1</v>
      </c>
      <c r="F5748" s="7">
        <v>2933.1</v>
      </c>
      <c r="G5748">
        <v>0</v>
      </c>
      <c r="H5748" s="7">
        <v>0</v>
      </c>
    </row>
    <row r="5749" spans="1:8">
      <c r="A5749">
        <v>6</v>
      </c>
      <c r="B5749" t="s">
        <v>42</v>
      </c>
      <c r="C5749" t="s">
        <v>33</v>
      </c>
      <c r="D5749">
        <v>0</v>
      </c>
      <c r="E5749">
        <v>1</v>
      </c>
      <c r="F5749" s="7">
        <v>4357.61</v>
      </c>
      <c r="G5749">
        <v>0</v>
      </c>
      <c r="H5749" s="7">
        <v>0</v>
      </c>
    </row>
    <row r="5750" spans="1:8">
      <c r="A5750">
        <v>6</v>
      </c>
      <c r="B5750" t="s">
        <v>43</v>
      </c>
      <c r="C5750" t="s">
        <v>34</v>
      </c>
      <c r="D5750">
        <v>0</v>
      </c>
      <c r="E5750">
        <v>1</v>
      </c>
      <c r="F5750" s="7">
        <v>62574.57</v>
      </c>
      <c r="G5750">
        <v>0</v>
      </c>
      <c r="H5750" s="7">
        <v>0</v>
      </c>
    </row>
    <row r="5751" spans="1:8">
      <c r="A5751">
        <v>6</v>
      </c>
      <c r="B5751" t="s">
        <v>42</v>
      </c>
      <c r="C5751" t="s">
        <v>34</v>
      </c>
      <c r="D5751">
        <v>0</v>
      </c>
      <c r="E5751">
        <v>1</v>
      </c>
      <c r="F5751" s="7">
        <v>14432.84</v>
      </c>
      <c r="G5751">
        <v>0</v>
      </c>
      <c r="H5751" s="7">
        <v>0</v>
      </c>
    </row>
    <row r="5752" spans="1:8">
      <c r="A5752">
        <v>6</v>
      </c>
      <c r="B5752" t="s">
        <v>43</v>
      </c>
      <c r="C5752" t="s">
        <v>34</v>
      </c>
      <c r="D5752">
        <v>1</v>
      </c>
      <c r="E5752">
        <v>1</v>
      </c>
      <c r="F5752" s="7">
        <v>25975.86</v>
      </c>
      <c r="G5752">
        <v>1</v>
      </c>
      <c r="H5752" s="7">
        <v>25975.86</v>
      </c>
    </row>
    <row r="5753" spans="1:8">
      <c r="A5753">
        <v>6</v>
      </c>
      <c r="B5753" t="s">
        <v>44</v>
      </c>
      <c r="C5753" t="s">
        <v>34</v>
      </c>
      <c r="D5753">
        <v>1</v>
      </c>
      <c r="E5753">
        <v>1</v>
      </c>
      <c r="F5753" s="7">
        <v>25975.86</v>
      </c>
      <c r="G5753">
        <v>1</v>
      </c>
      <c r="H5753" s="7">
        <v>25975.86</v>
      </c>
    </row>
    <row r="5754" spans="1:8">
      <c r="A5754">
        <v>6</v>
      </c>
      <c r="B5754" t="s">
        <v>42</v>
      </c>
      <c r="C5754" t="s">
        <v>33</v>
      </c>
      <c r="D5754">
        <v>0</v>
      </c>
      <c r="E5754">
        <v>1</v>
      </c>
      <c r="F5754" s="7">
        <v>4699.12</v>
      </c>
      <c r="G5754">
        <v>0</v>
      </c>
      <c r="H5754" s="7">
        <v>0</v>
      </c>
    </row>
    <row r="5755" spans="1:8">
      <c r="A5755">
        <v>6</v>
      </c>
      <c r="B5755" t="s">
        <v>44</v>
      </c>
      <c r="C5755" t="s">
        <v>34</v>
      </c>
      <c r="D5755">
        <v>0</v>
      </c>
      <c r="E5755">
        <v>1</v>
      </c>
      <c r="F5755" s="7">
        <v>11950.98</v>
      </c>
      <c r="G5755">
        <v>0</v>
      </c>
      <c r="H5755" s="7">
        <v>0</v>
      </c>
    </row>
    <row r="5756" spans="1:8">
      <c r="A5756">
        <v>6</v>
      </c>
      <c r="B5756" t="s">
        <v>42</v>
      </c>
      <c r="C5756" t="s">
        <v>33</v>
      </c>
      <c r="D5756">
        <v>0</v>
      </c>
      <c r="E5756">
        <v>1</v>
      </c>
      <c r="F5756" s="7">
        <v>8927.92</v>
      </c>
      <c r="G5756">
        <v>0</v>
      </c>
      <c r="H5756" s="7">
        <v>0</v>
      </c>
    </row>
    <row r="5757" spans="1:8">
      <c r="A5757">
        <v>6</v>
      </c>
      <c r="B5757" t="s">
        <v>42</v>
      </c>
      <c r="C5757" t="s">
        <v>33</v>
      </c>
      <c r="D5757">
        <v>0</v>
      </c>
      <c r="E5757">
        <v>1</v>
      </c>
      <c r="F5757" s="7">
        <v>1667.26</v>
      </c>
      <c r="G5757">
        <v>0</v>
      </c>
      <c r="H5757" s="7">
        <v>0</v>
      </c>
    </row>
    <row r="5758" spans="1:8">
      <c r="A5758">
        <v>6</v>
      </c>
      <c r="B5758" t="s">
        <v>42</v>
      </c>
      <c r="C5758" t="s">
        <v>32</v>
      </c>
      <c r="D5758">
        <v>0</v>
      </c>
      <c r="E5758">
        <v>1</v>
      </c>
      <c r="F5758" s="7">
        <v>669.31</v>
      </c>
      <c r="G5758">
        <v>0</v>
      </c>
      <c r="H5758" s="7">
        <v>0</v>
      </c>
    </row>
    <row r="5759" spans="1:8">
      <c r="A5759">
        <v>6</v>
      </c>
      <c r="B5759" t="s">
        <v>42</v>
      </c>
      <c r="C5759" t="s">
        <v>33</v>
      </c>
      <c r="D5759">
        <v>0</v>
      </c>
      <c r="E5759">
        <v>1</v>
      </c>
      <c r="F5759" s="7">
        <v>4204.86</v>
      </c>
      <c r="G5759">
        <v>0</v>
      </c>
      <c r="H5759" s="7">
        <v>0</v>
      </c>
    </row>
    <row r="5760" spans="1:8">
      <c r="A5760">
        <v>6</v>
      </c>
      <c r="B5760" t="s">
        <v>42</v>
      </c>
      <c r="C5760" t="s">
        <v>34</v>
      </c>
      <c r="D5760">
        <v>0</v>
      </c>
      <c r="E5760">
        <v>1</v>
      </c>
      <c r="F5760" s="7">
        <v>17263.06</v>
      </c>
      <c r="G5760">
        <v>0</v>
      </c>
      <c r="H5760" s="7">
        <v>0</v>
      </c>
    </row>
    <row r="5761" spans="1:8">
      <c r="A5761">
        <v>6</v>
      </c>
      <c r="B5761" t="s">
        <v>42</v>
      </c>
      <c r="C5761" t="s">
        <v>34</v>
      </c>
      <c r="D5761">
        <v>0</v>
      </c>
      <c r="E5761">
        <v>1</v>
      </c>
      <c r="F5761" s="7">
        <v>16865.33</v>
      </c>
      <c r="G5761">
        <v>0</v>
      </c>
      <c r="H5761" s="7">
        <v>0</v>
      </c>
    </row>
    <row r="5762" spans="1:8">
      <c r="A5762">
        <v>6</v>
      </c>
      <c r="B5762" t="s">
        <v>42</v>
      </c>
      <c r="C5762" t="s">
        <v>34</v>
      </c>
      <c r="D5762">
        <v>0</v>
      </c>
      <c r="E5762">
        <v>1</v>
      </c>
      <c r="F5762" s="7">
        <v>19937.81</v>
      </c>
      <c r="G5762">
        <v>0</v>
      </c>
      <c r="H5762" s="7">
        <v>0</v>
      </c>
    </row>
    <row r="5763" spans="1:8">
      <c r="A5763">
        <v>6</v>
      </c>
      <c r="B5763" t="s">
        <v>46</v>
      </c>
      <c r="C5763" t="s">
        <v>35</v>
      </c>
      <c r="D5763">
        <v>0</v>
      </c>
      <c r="E5763">
        <v>1</v>
      </c>
      <c r="F5763" s="7">
        <v>289490.08</v>
      </c>
      <c r="G5763">
        <v>0</v>
      </c>
      <c r="H5763" s="7">
        <v>0</v>
      </c>
    </row>
    <row r="5764" spans="1:8">
      <c r="A5764">
        <v>6</v>
      </c>
      <c r="B5764" t="s">
        <v>46</v>
      </c>
      <c r="C5764" t="s">
        <v>35</v>
      </c>
      <c r="D5764">
        <v>0</v>
      </c>
      <c r="E5764">
        <v>1</v>
      </c>
      <c r="F5764" s="7">
        <v>302849.01</v>
      </c>
      <c r="G5764">
        <v>0</v>
      </c>
      <c r="H5764" s="7">
        <v>0</v>
      </c>
    </row>
    <row r="5765" spans="1:8">
      <c r="A5765">
        <v>6</v>
      </c>
      <c r="B5765" t="s">
        <v>46</v>
      </c>
      <c r="C5765" t="s">
        <v>35</v>
      </c>
      <c r="D5765">
        <v>0</v>
      </c>
      <c r="E5765">
        <v>1</v>
      </c>
      <c r="F5765" s="7">
        <v>107980.36</v>
      </c>
      <c r="G5765">
        <v>0</v>
      </c>
      <c r="H5765" s="7">
        <v>0</v>
      </c>
    </row>
    <row r="5766" spans="1:8">
      <c r="A5766">
        <v>6</v>
      </c>
      <c r="B5766" t="s">
        <v>46</v>
      </c>
      <c r="C5766" t="s">
        <v>35</v>
      </c>
      <c r="D5766">
        <v>0</v>
      </c>
      <c r="E5766">
        <v>1</v>
      </c>
      <c r="F5766" s="7">
        <v>139999.7</v>
      </c>
      <c r="G5766">
        <v>0</v>
      </c>
      <c r="H5766" s="7">
        <v>0</v>
      </c>
    </row>
    <row r="5767" spans="1:8">
      <c r="A5767">
        <v>6</v>
      </c>
      <c r="B5767" t="s">
        <v>46</v>
      </c>
      <c r="C5767" t="s">
        <v>35</v>
      </c>
      <c r="D5767">
        <v>0</v>
      </c>
      <c r="E5767">
        <v>1</v>
      </c>
      <c r="F5767" s="7">
        <v>441551.13</v>
      </c>
      <c r="G5767">
        <v>0</v>
      </c>
      <c r="H5767" s="7">
        <v>0</v>
      </c>
    </row>
    <row r="5768" spans="1:8">
      <c r="A5768">
        <v>6</v>
      </c>
      <c r="B5768" t="s">
        <v>46</v>
      </c>
      <c r="C5768" t="s">
        <v>34</v>
      </c>
      <c r="D5768">
        <v>0</v>
      </c>
      <c r="E5768">
        <v>1</v>
      </c>
      <c r="F5768" s="7">
        <v>18061.72</v>
      </c>
      <c r="G5768">
        <v>0</v>
      </c>
      <c r="H5768" s="7">
        <v>0</v>
      </c>
    </row>
    <row r="5769" spans="1:8">
      <c r="A5769">
        <v>6</v>
      </c>
      <c r="B5769" t="s">
        <v>46</v>
      </c>
      <c r="C5769" t="s">
        <v>34</v>
      </c>
      <c r="D5769">
        <v>0</v>
      </c>
      <c r="E5769">
        <v>1</v>
      </c>
      <c r="F5769" s="7">
        <v>57520.64</v>
      </c>
      <c r="G5769">
        <v>0</v>
      </c>
      <c r="H5769" s="7">
        <v>0</v>
      </c>
    </row>
    <row r="5770" spans="1:8">
      <c r="A5770">
        <v>6</v>
      </c>
      <c r="B5770" t="s">
        <v>46</v>
      </c>
      <c r="C5770" t="s">
        <v>34</v>
      </c>
      <c r="D5770">
        <v>0</v>
      </c>
      <c r="E5770">
        <v>1</v>
      </c>
      <c r="F5770" s="7">
        <v>44668.48</v>
      </c>
      <c r="G5770">
        <v>0</v>
      </c>
      <c r="H5770" s="7">
        <v>0</v>
      </c>
    </row>
    <row r="5771" spans="1:8">
      <c r="A5771">
        <v>6</v>
      </c>
      <c r="B5771" t="s">
        <v>46</v>
      </c>
      <c r="C5771" t="s">
        <v>35</v>
      </c>
      <c r="D5771">
        <v>0</v>
      </c>
      <c r="E5771">
        <v>1</v>
      </c>
      <c r="F5771" s="7">
        <v>251401.67</v>
      </c>
      <c r="G5771">
        <v>0</v>
      </c>
      <c r="H5771" s="7">
        <v>0</v>
      </c>
    </row>
    <row r="5772" spans="1:8">
      <c r="A5772">
        <v>6</v>
      </c>
      <c r="B5772" t="s">
        <v>46</v>
      </c>
      <c r="C5772" t="s">
        <v>35</v>
      </c>
      <c r="D5772">
        <v>0</v>
      </c>
      <c r="E5772">
        <v>1</v>
      </c>
      <c r="F5772" s="7">
        <v>176065.68</v>
      </c>
      <c r="G5772">
        <v>0</v>
      </c>
      <c r="H5772" s="7">
        <v>0</v>
      </c>
    </row>
    <row r="5773" spans="1:8">
      <c r="A5773">
        <v>6</v>
      </c>
      <c r="B5773" t="s">
        <v>46</v>
      </c>
      <c r="C5773" t="s">
        <v>35</v>
      </c>
      <c r="D5773">
        <v>0</v>
      </c>
      <c r="E5773">
        <v>1</v>
      </c>
      <c r="F5773" s="7">
        <v>112251.47</v>
      </c>
      <c r="G5773">
        <v>0</v>
      </c>
      <c r="H5773" s="7">
        <v>0</v>
      </c>
    </row>
    <row r="5774" spans="1:8">
      <c r="A5774">
        <v>6</v>
      </c>
      <c r="B5774" t="s">
        <v>46</v>
      </c>
      <c r="C5774" t="s">
        <v>35</v>
      </c>
      <c r="D5774">
        <v>0</v>
      </c>
      <c r="E5774">
        <v>1</v>
      </c>
      <c r="F5774" s="7">
        <v>182972.5</v>
      </c>
      <c r="G5774">
        <v>0</v>
      </c>
      <c r="H5774" s="7">
        <v>0</v>
      </c>
    </row>
    <row r="5775" spans="1:8">
      <c r="A5775">
        <v>6</v>
      </c>
      <c r="B5775" t="s">
        <v>46</v>
      </c>
      <c r="C5775" t="s">
        <v>34</v>
      </c>
      <c r="D5775">
        <v>0</v>
      </c>
      <c r="E5775">
        <v>1</v>
      </c>
      <c r="F5775" s="7">
        <v>60660.98</v>
      </c>
      <c r="G5775">
        <v>0</v>
      </c>
      <c r="H5775" s="7">
        <v>0</v>
      </c>
    </row>
    <row r="5776" spans="1:8">
      <c r="A5776">
        <v>6</v>
      </c>
      <c r="B5776" t="s">
        <v>46</v>
      </c>
      <c r="C5776" t="s">
        <v>34</v>
      </c>
      <c r="D5776">
        <v>0</v>
      </c>
      <c r="E5776">
        <v>1</v>
      </c>
      <c r="F5776" s="7">
        <v>98946.99</v>
      </c>
      <c r="G5776">
        <v>0</v>
      </c>
      <c r="H5776" s="7">
        <v>0</v>
      </c>
    </row>
    <row r="5777" spans="1:8">
      <c r="A5777">
        <v>6</v>
      </c>
      <c r="B5777" t="s">
        <v>46</v>
      </c>
      <c r="C5777" t="s">
        <v>35</v>
      </c>
      <c r="D5777">
        <v>0</v>
      </c>
      <c r="E5777">
        <v>1</v>
      </c>
      <c r="F5777" s="7">
        <v>130580.16</v>
      </c>
      <c r="G5777">
        <v>0</v>
      </c>
      <c r="H5777" s="7">
        <v>0</v>
      </c>
    </row>
    <row r="5778" spans="1:8">
      <c r="A5778">
        <v>6</v>
      </c>
      <c r="B5778" t="s">
        <v>46</v>
      </c>
      <c r="C5778" t="s">
        <v>35</v>
      </c>
      <c r="D5778">
        <v>0</v>
      </c>
      <c r="E5778">
        <v>1</v>
      </c>
      <c r="F5778" s="7">
        <v>112760.37</v>
      </c>
      <c r="G5778">
        <v>0</v>
      </c>
      <c r="H5778" s="7">
        <v>0</v>
      </c>
    </row>
    <row r="5779" spans="1:8">
      <c r="A5779">
        <v>6</v>
      </c>
      <c r="B5779" t="s">
        <v>46</v>
      </c>
      <c r="C5779" t="s">
        <v>35</v>
      </c>
      <c r="D5779">
        <v>0</v>
      </c>
      <c r="E5779">
        <v>1</v>
      </c>
      <c r="F5779" s="7">
        <v>109513.36</v>
      </c>
      <c r="G5779">
        <v>0</v>
      </c>
      <c r="H5779" s="7">
        <v>0</v>
      </c>
    </row>
    <row r="5780" spans="1:8">
      <c r="A5780">
        <v>6</v>
      </c>
      <c r="B5780" t="s">
        <v>46</v>
      </c>
      <c r="C5780" t="s">
        <v>35</v>
      </c>
      <c r="D5780">
        <v>0</v>
      </c>
      <c r="E5780">
        <v>1</v>
      </c>
      <c r="F5780" s="7">
        <v>515305.42</v>
      </c>
      <c r="G5780">
        <v>0</v>
      </c>
      <c r="H5780" s="7">
        <v>0</v>
      </c>
    </row>
    <row r="5781" spans="1:8">
      <c r="A5781">
        <v>6</v>
      </c>
      <c r="B5781" t="s">
        <v>46</v>
      </c>
      <c r="C5781" t="s">
        <v>35</v>
      </c>
      <c r="D5781">
        <v>0</v>
      </c>
      <c r="E5781">
        <v>1</v>
      </c>
      <c r="F5781" s="7">
        <v>256430.45</v>
      </c>
      <c r="G5781">
        <v>0</v>
      </c>
      <c r="H5781" s="7">
        <v>0</v>
      </c>
    </row>
    <row r="5782" spans="1:8">
      <c r="A5782">
        <v>6</v>
      </c>
      <c r="B5782" t="s">
        <v>46</v>
      </c>
      <c r="C5782" t="s">
        <v>35</v>
      </c>
      <c r="D5782">
        <v>0</v>
      </c>
      <c r="E5782">
        <v>1</v>
      </c>
      <c r="F5782" s="7">
        <v>202471.26</v>
      </c>
      <c r="G5782">
        <v>0</v>
      </c>
      <c r="H5782" s="7">
        <v>0</v>
      </c>
    </row>
    <row r="5783" spans="1:8">
      <c r="A5783">
        <v>6</v>
      </c>
      <c r="B5783" t="s">
        <v>46</v>
      </c>
      <c r="C5783" t="s">
        <v>34</v>
      </c>
      <c r="D5783">
        <v>0</v>
      </c>
      <c r="E5783">
        <v>1</v>
      </c>
      <c r="F5783" s="7">
        <v>49495.09</v>
      </c>
      <c r="G5783">
        <v>0</v>
      </c>
      <c r="H5783" s="7">
        <v>0</v>
      </c>
    </row>
    <row r="5784" spans="1:8">
      <c r="A5784">
        <v>6</v>
      </c>
      <c r="B5784" t="s">
        <v>46</v>
      </c>
      <c r="C5784" t="s">
        <v>34</v>
      </c>
      <c r="D5784">
        <v>0</v>
      </c>
      <c r="E5784">
        <v>1</v>
      </c>
      <c r="F5784" s="7">
        <v>91904.46</v>
      </c>
      <c r="G5784">
        <v>0</v>
      </c>
      <c r="H5784" s="7">
        <v>0</v>
      </c>
    </row>
    <row r="5785" spans="1:8">
      <c r="A5785">
        <v>6</v>
      </c>
      <c r="B5785" t="s">
        <v>46</v>
      </c>
      <c r="C5785" t="s">
        <v>34</v>
      </c>
      <c r="D5785">
        <v>0</v>
      </c>
      <c r="E5785">
        <v>1</v>
      </c>
      <c r="F5785" s="7">
        <v>91867.6</v>
      </c>
      <c r="G5785">
        <v>0</v>
      </c>
      <c r="H5785" s="7">
        <v>0</v>
      </c>
    </row>
    <row r="5786" spans="1:8">
      <c r="A5786">
        <v>6</v>
      </c>
      <c r="B5786" t="s">
        <v>46</v>
      </c>
      <c r="C5786" t="s">
        <v>34</v>
      </c>
      <c r="D5786">
        <v>0</v>
      </c>
      <c r="E5786">
        <v>1</v>
      </c>
      <c r="F5786" s="7">
        <v>25084.74</v>
      </c>
      <c r="G5786">
        <v>0</v>
      </c>
      <c r="H5786" s="7">
        <v>0</v>
      </c>
    </row>
    <row r="5787" spans="1:8">
      <c r="A5787">
        <v>6</v>
      </c>
      <c r="B5787" t="s">
        <v>46</v>
      </c>
      <c r="C5787" t="s">
        <v>35</v>
      </c>
      <c r="D5787">
        <v>0</v>
      </c>
      <c r="E5787">
        <v>1</v>
      </c>
      <c r="F5787" s="7">
        <v>132375.3</v>
      </c>
      <c r="G5787">
        <v>0</v>
      </c>
      <c r="H5787" s="7">
        <v>0</v>
      </c>
    </row>
    <row r="5788" spans="1:8">
      <c r="A5788">
        <v>6</v>
      </c>
      <c r="B5788" t="s">
        <v>46</v>
      </c>
      <c r="C5788" t="s">
        <v>35</v>
      </c>
      <c r="D5788">
        <v>0</v>
      </c>
      <c r="E5788">
        <v>1</v>
      </c>
      <c r="F5788" s="7">
        <v>239959.98</v>
      </c>
      <c r="G5788">
        <v>0</v>
      </c>
      <c r="H5788" s="7">
        <v>0</v>
      </c>
    </row>
    <row r="5789" spans="1:8">
      <c r="A5789">
        <v>6</v>
      </c>
      <c r="B5789" t="s">
        <v>46</v>
      </c>
      <c r="C5789" t="s">
        <v>35</v>
      </c>
      <c r="D5789">
        <v>0</v>
      </c>
      <c r="E5789">
        <v>1</v>
      </c>
      <c r="F5789" s="7">
        <v>224632.6</v>
      </c>
      <c r="G5789">
        <v>0</v>
      </c>
      <c r="H5789" s="7">
        <v>0</v>
      </c>
    </row>
    <row r="5790" spans="1:8">
      <c r="A5790">
        <v>6</v>
      </c>
      <c r="B5790" t="s">
        <v>46</v>
      </c>
      <c r="C5790" t="s">
        <v>35</v>
      </c>
      <c r="D5790">
        <v>0</v>
      </c>
      <c r="E5790">
        <v>1</v>
      </c>
      <c r="F5790" s="7">
        <v>100859.29</v>
      </c>
      <c r="G5790">
        <v>0</v>
      </c>
      <c r="H5790" s="7">
        <v>0</v>
      </c>
    </row>
    <row r="5791" spans="1:8">
      <c r="A5791">
        <v>6</v>
      </c>
      <c r="B5791" t="s">
        <v>46</v>
      </c>
      <c r="C5791" t="s">
        <v>35</v>
      </c>
      <c r="D5791">
        <v>0</v>
      </c>
      <c r="E5791">
        <v>1</v>
      </c>
      <c r="F5791" s="7">
        <v>153949.46</v>
      </c>
      <c r="G5791">
        <v>0</v>
      </c>
      <c r="H5791" s="7">
        <v>0</v>
      </c>
    </row>
    <row r="5792" spans="1:8">
      <c r="A5792">
        <v>6</v>
      </c>
      <c r="B5792" t="s">
        <v>46</v>
      </c>
      <c r="C5792" t="s">
        <v>35</v>
      </c>
      <c r="D5792">
        <v>0</v>
      </c>
      <c r="E5792">
        <v>1</v>
      </c>
      <c r="F5792" s="7">
        <v>239954.21</v>
      </c>
      <c r="G5792">
        <v>0</v>
      </c>
      <c r="H5792" s="7">
        <v>0</v>
      </c>
    </row>
    <row r="5793" spans="1:8">
      <c r="A5793">
        <v>6</v>
      </c>
      <c r="B5793" t="s">
        <v>46</v>
      </c>
      <c r="C5793" t="s">
        <v>35</v>
      </c>
      <c r="D5793">
        <v>0</v>
      </c>
      <c r="E5793">
        <v>1</v>
      </c>
      <c r="F5793" s="7">
        <v>214224.63</v>
      </c>
      <c r="G5793">
        <v>0</v>
      </c>
      <c r="H5793" s="7">
        <v>0</v>
      </c>
    </row>
    <row r="5794" spans="1:8">
      <c r="A5794">
        <v>6</v>
      </c>
      <c r="B5794" t="s">
        <v>46</v>
      </c>
      <c r="C5794" t="s">
        <v>35</v>
      </c>
      <c r="D5794">
        <v>0</v>
      </c>
      <c r="E5794">
        <v>1</v>
      </c>
      <c r="F5794" s="7">
        <v>176828.46</v>
      </c>
      <c r="G5794">
        <v>0</v>
      </c>
      <c r="H5794" s="7">
        <v>0</v>
      </c>
    </row>
    <row r="5795" spans="1:8">
      <c r="A5795">
        <v>6</v>
      </c>
      <c r="B5795" t="s">
        <v>46</v>
      </c>
      <c r="C5795" t="s">
        <v>35</v>
      </c>
      <c r="D5795">
        <v>0</v>
      </c>
      <c r="E5795">
        <v>1</v>
      </c>
      <c r="F5795" s="7">
        <v>163042.17</v>
      </c>
      <c r="G5795">
        <v>0</v>
      </c>
      <c r="H5795" s="7">
        <v>0</v>
      </c>
    </row>
    <row r="5796" spans="1:8">
      <c r="A5796">
        <v>6</v>
      </c>
      <c r="B5796" t="s">
        <v>46</v>
      </c>
      <c r="C5796" t="s">
        <v>34</v>
      </c>
      <c r="D5796">
        <v>0</v>
      </c>
      <c r="E5796">
        <v>1</v>
      </c>
      <c r="F5796" s="7">
        <v>68902</v>
      </c>
      <c r="G5796">
        <v>0</v>
      </c>
      <c r="H5796" s="7">
        <v>0</v>
      </c>
    </row>
    <row r="5797" spans="1:8">
      <c r="A5797">
        <v>6</v>
      </c>
      <c r="B5797" t="s">
        <v>46</v>
      </c>
      <c r="C5797" t="s">
        <v>35</v>
      </c>
      <c r="D5797">
        <v>0</v>
      </c>
      <c r="E5797">
        <v>1</v>
      </c>
      <c r="F5797" s="7">
        <v>174123.67</v>
      </c>
      <c r="G5797">
        <v>0</v>
      </c>
      <c r="H5797" s="7">
        <v>0</v>
      </c>
    </row>
    <row r="5798" spans="1:8">
      <c r="A5798">
        <v>6</v>
      </c>
      <c r="B5798" t="s">
        <v>46</v>
      </c>
      <c r="C5798" t="s">
        <v>35</v>
      </c>
      <c r="D5798">
        <v>0</v>
      </c>
      <c r="E5798">
        <v>1</v>
      </c>
      <c r="F5798" s="7">
        <v>158435.92</v>
      </c>
      <c r="G5798">
        <v>0</v>
      </c>
      <c r="H5798" s="7">
        <v>0</v>
      </c>
    </row>
    <row r="5799" spans="1:8">
      <c r="A5799">
        <v>6</v>
      </c>
      <c r="B5799" t="s">
        <v>46</v>
      </c>
      <c r="C5799" t="s">
        <v>34</v>
      </c>
      <c r="D5799">
        <v>0</v>
      </c>
      <c r="E5799">
        <v>1</v>
      </c>
      <c r="F5799" s="7">
        <v>98239.33</v>
      </c>
      <c r="G5799">
        <v>0</v>
      </c>
      <c r="H5799" s="7">
        <v>0</v>
      </c>
    </row>
    <row r="5800" spans="1:8">
      <c r="A5800">
        <v>6</v>
      </c>
      <c r="B5800" t="s">
        <v>46</v>
      </c>
      <c r="C5800" t="s">
        <v>35</v>
      </c>
      <c r="D5800">
        <v>0</v>
      </c>
      <c r="E5800">
        <v>1</v>
      </c>
      <c r="F5800" s="7">
        <v>167835.47</v>
      </c>
      <c r="G5800">
        <v>0</v>
      </c>
      <c r="H5800" s="7">
        <v>0</v>
      </c>
    </row>
    <row r="5801" spans="1:8">
      <c r="A5801">
        <v>6</v>
      </c>
      <c r="B5801" t="s">
        <v>46</v>
      </c>
      <c r="C5801" t="s">
        <v>34</v>
      </c>
      <c r="D5801">
        <v>0</v>
      </c>
      <c r="E5801">
        <v>1</v>
      </c>
      <c r="F5801" s="7">
        <v>65214.03</v>
      </c>
      <c r="G5801">
        <v>0</v>
      </c>
      <c r="H5801" s="7">
        <v>0</v>
      </c>
    </row>
    <row r="5802" spans="1:8">
      <c r="A5802">
        <v>6</v>
      </c>
      <c r="B5802" t="s">
        <v>46</v>
      </c>
      <c r="C5802" t="s">
        <v>34</v>
      </c>
      <c r="D5802">
        <v>0</v>
      </c>
      <c r="E5802">
        <v>1</v>
      </c>
      <c r="F5802" s="7">
        <v>75225.41</v>
      </c>
      <c r="G5802">
        <v>0</v>
      </c>
      <c r="H5802" s="7">
        <v>0</v>
      </c>
    </row>
    <row r="5803" spans="1:8">
      <c r="A5803">
        <v>6</v>
      </c>
      <c r="B5803" t="s">
        <v>46</v>
      </c>
      <c r="C5803" t="s">
        <v>35</v>
      </c>
      <c r="D5803">
        <v>0</v>
      </c>
      <c r="E5803">
        <v>1</v>
      </c>
      <c r="F5803" s="7">
        <v>164319.6</v>
      </c>
      <c r="G5803">
        <v>0</v>
      </c>
      <c r="H5803" s="7">
        <v>0</v>
      </c>
    </row>
    <row r="5804" spans="1:8">
      <c r="A5804">
        <v>6</v>
      </c>
      <c r="B5804" t="s">
        <v>46</v>
      </c>
      <c r="C5804" t="s">
        <v>35</v>
      </c>
      <c r="D5804">
        <v>0</v>
      </c>
      <c r="E5804">
        <v>1</v>
      </c>
      <c r="F5804" s="7">
        <v>321219.34</v>
      </c>
      <c r="G5804">
        <v>0</v>
      </c>
      <c r="H5804" s="7">
        <v>0</v>
      </c>
    </row>
    <row r="5805" spans="1:8">
      <c r="A5805">
        <v>6</v>
      </c>
      <c r="B5805" t="s">
        <v>46</v>
      </c>
      <c r="C5805" t="s">
        <v>34</v>
      </c>
      <c r="D5805">
        <v>0</v>
      </c>
      <c r="E5805">
        <v>1</v>
      </c>
      <c r="F5805" s="7">
        <v>94628.7</v>
      </c>
      <c r="G5805">
        <v>0</v>
      </c>
      <c r="H5805" s="7">
        <v>0</v>
      </c>
    </row>
    <row r="5806" spans="1:8">
      <c r="A5806">
        <v>6</v>
      </c>
      <c r="B5806" t="s">
        <v>46</v>
      </c>
      <c r="C5806" t="s">
        <v>35</v>
      </c>
      <c r="D5806">
        <v>0</v>
      </c>
      <c r="E5806">
        <v>1</v>
      </c>
      <c r="F5806" s="7">
        <v>164495.4</v>
      </c>
      <c r="G5806">
        <v>0</v>
      </c>
      <c r="H5806" s="7">
        <v>0</v>
      </c>
    </row>
    <row r="5807" spans="1:8">
      <c r="A5807">
        <v>6</v>
      </c>
      <c r="B5807" t="s">
        <v>46</v>
      </c>
      <c r="C5807" t="s">
        <v>35</v>
      </c>
      <c r="D5807">
        <v>0</v>
      </c>
      <c r="E5807">
        <v>1</v>
      </c>
      <c r="F5807" s="7">
        <v>162478.57</v>
      </c>
      <c r="G5807">
        <v>0</v>
      </c>
      <c r="H5807" s="7">
        <v>0</v>
      </c>
    </row>
    <row r="5808" spans="1:8">
      <c r="A5808">
        <v>6</v>
      </c>
      <c r="B5808" t="s">
        <v>46</v>
      </c>
      <c r="C5808" t="s">
        <v>34</v>
      </c>
      <c r="D5808">
        <v>0</v>
      </c>
      <c r="E5808">
        <v>1</v>
      </c>
      <c r="F5808" s="7">
        <v>51136.63</v>
      </c>
      <c r="G5808">
        <v>0</v>
      </c>
      <c r="H5808" s="7">
        <v>0</v>
      </c>
    </row>
    <row r="5809" spans="1:8">
      <c r="A5809">
        <v>6</v>
      </c>
      <c r="B5809" t="s">
        <v>46</v>
      </c>
      <c r="C5809" t="s">
        <v>34</v>
      </c>
      <c r="D5809">
        <v>0</v>
      </c>
      <c r="E5809">
        <v>1</v>
      </c>
      <c r="F5809" s="7">
        <v>47687.62</v>
      </c>
      <c r="G5809">
        <v>0</v>
      </c>
      <c r="H5809" s="7">
        <v>0</v>
      </c>
    </row>
    <row r="5810" spans="1:8">
      <c r="A5810">
        <v>6</v>
      </c>
      <c r="B5810" t="s">
        <v>46</v>
      </c>
      <c r="C5810" t="s">
        <v>33</v>
      </c>
      <c r="D5810">
        <v>0</v>
      </c>
      <c r="E5810">
        <v>1</v>
      </c>
      <c r="F5810" s="7">
        <v>5264.04</v>
      </c>
      <c r="G5810">
        <v>0</v>
      </c>
      <c r="H5810" s="7">
        <v>0</v>
      </c>
    </row>
    <row r="5811" spans="1:8">
      <c r="A5811">
        <v>6</v>
      </c>
      <c r="B5811" t="s">
        <v>46</v>
      </c>
      <c r="C5811" t="s">
        <v>34</v>
      </c>
      <c r="D5811">
        <v>0</v>
      </c>
      <c r="E5811">
        <v>1</v>
      </c>
      <c r="F5811" s="7">
        <v>85068.86</v>
      </c>
      <c r="G5811">
        <v>0</v>
      </c>
      <c r="H5811" s="7">
        <v>0</v>
      </c>
    </row>
    <row r="5812" spans="1:8">
      <c r="A5812">
        <v>6</v>
      </c>
      <c r="B5812" t="s">
        <v>46</v>
      </c>
      <c r="C5812" t="s">
        <v>35</v>
      </c>
      <c r="D5812">
        <v>0</v>
      </c>
      <c r="E5812">
        <v>1</v>
      </c>
      <c r="F5812" s="7">
        <v>133785.78</v>
      </c>
      <c r="G5812">
        <v>0</v>
      </c>
      <c r="H5812" s="7">
        <v>0</v>
      </c>
    </row>
    <row r="5813" spans="1:8">
      <c r="A5813">
        <v>6</v>
      </c>
      <c r="B5813" t="s">
        <v>46</v>
      </c>
      <c r="C5813" t="s">
        <v>35</v>
      </c>
      <c r="D5813">
        <v>0</v>
      </c>
      <c r="E5813">
        <v>1</v>
      </c>
      <c r="F5813" s="7">
        <v>192005.11</v>
      </c>
      <c r="G5813">
        <v>0</v>
      </c>
      <c r="H5813" s="7">
        <v>0</v>
      </c>
    </row>
    <row r="5814" spans="1:8">
      <c r="A5814">
        <v>6</v>
      </c>
      <c r="B5814" t="s">
        <v>46</v>
      </c>
      <c r="C5814" t="s">
        <v>34</v>
      </c>
      <c r="D5814">
        <v>0</v>
      </c>
      <c r="E5814">
        <v>1</v>
      </c>
      <c r="F5814" s="7">
        <v>42765.11</v>
      </c>
      <c r="G5814">
        <v>0</v>
      </c>
      <c r="H5814" s="7">
        <v>0</v>
      </c>
    </row>
    <row r="5815" spans="1:8">
      <c r="A5815">
        <v>6</v>
      </c>
      <c r="B5815" t="s">
        <v>46</v>
      </c>
      <c r="C5815" t="s">
        <v>34</v>
      </c>
      <c r="D5815">
        <v>0</v>
      </c>
      <c r="E5815">
        <v>1</v>
      </c>
      <c r="F5815" s="7">
        <v>86835.95</v>
      </c>
      <c r="G5815">
        <v>0</v>
      </c>
      <c r="H5815" s="7">
        <v>0</v>
      </c>
    </row>
    <row r="5816" spans="1:8">
      <c r="A5816">
        <v>6</v>
      </c>
      <c r="B5816" t="s">
        <v>46</v>
      </c>
      <c r="C5816" t="s">
        <v>34</v>
      </c>
      <c r="D5816">
        <v>0</v>
      </c>
      <c r="E5816">
        <v>1</v>
      </c>
      <c r="F5816" s="7">
        <v>55605.71</v>
      </c>
      <c r="G5816">
        <v>0</v>
      </c>
      <c r="H5816" s="7">
        <v>0</v>
      </c>
    </row>
    <row r="5817" spans="1:8">
      <c r="A5817">
        <v>6</v>
      </c>
      <c r="B5817" t="s">
        <v>42</v>
      </c>
      <c r="C5817" t="s">
        <v>34</v>
      </c>
      <c r="D5817">
        <v>0</v>
      </c>
      <c r="E5817">
        <v>1</v>
      </c>
      <c r="F5817" s="7">
        <v>17757.06</v>
      </c>
      <c r="G5817">
        <v>0</v>
      </c>
      <c r="H5817" s="7">
        <v>0</v>
      </c>
    </row>
    <row r="5818" spans="1:8">
      <c r="A5818">
        <v>6</v>
      </c>
      <c r="B5818" t="s">
        <v>42</v>
      </c>
      <c r="C5818" t="s">
        <v>34</v>
      </c>
      <c r="D5818">
        <v>0</v>
      </c>
      <c r="E5818">
        <v>1</v>
      </c>
      <c r="F5818" s="7">
        <v>21695.54</v>
      </c>
      <c r="G5818">
        <v>0</v>
      </c>
      <c r="H5818" s="7">
        <v>0</v>
      </c>
    </row>
    <row r="5819" spans="1:8">
      <c r="A5819">
        <v>6</v>
      </c>
      <c r="B5819" t="s">
        <v>42</v>
      </c>
      <c r="C5819" t="s">
        <v>34</v>
      </c>
      <c r="D5819">
        <v>0</v>
      </c>
      <c r="E5819">
        <v>1</v>
      </c>
      <c r="F5819" s="7">
        <v>28306.8</v>
      </c>
      <c r="G5819">
        <v>0</v>
      </c>
      <c r="H5819" s="7">
        <v>0</v>
      </c>
    </row>
    <row r="5820" spans="1:8">
      <c r="A5820">
        <v>6</v>
      </c>
      <c r="B5820" t="s">
        <v>46</v>
      </c>
      <c r="C5820" t="s">
        <v>35</v>
      </c>
      <c r="D5820">
        <v>0</v>
      </c>
      <c r="E5820">
        <v>1</v>
      </c>
      <c r="F5820" s="7">
        <v>221325.69</v>
      </c>
      <c r="G5820">
        <v>0</v>
      </c>
      <c r="H5820" s="7">
        <v>0</v>
      </c>
    </row>
    <row r="5821" spans="1:8">
      <c r="A5821">
        <v>6</v>
      </c>
      <c r="B5821" t="s">
        <v>42</v>
      </c>
      <c r="C5821" t="s">
        <v>33</v>
      </c>
      <c r="D5821">
        <v>0</v>
      </c>
      <c r="E5821">
        <v>1</v>
      </c>
      <c r="F5821" s="7">
        <v>9690.1</v>
      </c>
      <c r="G5821">
        <v>0</v>
      </c>
      <c r="H5821" s="7">
        <v>0</v>
      </c>
    </row>
    <row r="5822" spans="1:8">
      <c r="A5822">
        <v>6</v>
      </c>
      <c r="B5822" t="s">
        <v>43</v>
      </c>
      <c r="C5822" t="s">
        <v>35</v>
      </c>
      <c r="D5822">
        <v>0</v>
      </c>
      <c r="E5822">
        <v>1</v>
      </c>
      <c r="F5822" s="7">
        <v>436099.98</v>
      </c>
      <c r="G5822">
        <v>0</v>
      </c>
      <c r="H5822" s="7">
        <v>0</v>
      </c>
    </row>
    <row r="5823" spans="1:8">
      <c r="A5823">
        <v>6</v>
      </c>
      <c r="B5823" t="s">
        <v>42</v>
      </c>
      <c r="C5823" t="s">
        <v>33</v>
      </c>
      <c r="D5823">
        <v>0</v>
      </c>
      <c r="E5823">
        <v>1</v>
      </c>
      <c r="F5823" s="7">
        <v>1485.32</v>
      </c>
      <c r="G5823">
        <v>0</v>
      </c>
      <c r="H5823" s="7">
        <v>0</v>
      </c>
    </row>
    <row r="5824" spans="1:8">
      <c r="A5824">
        <v>6</v>
      </c>
      <c r="B5824" t="s">
        <v>42</v>
      </c>
      <c r="C5824" t="s">
        <v>34</v>
      </c>
      <c r="D5824">
        <v>0</v>
      </c>
      <c r="E5824">
        <v>1</v>
      </c>
      <c r="F5824" s="7">
        <v>13193.64</v>
      </c>
      <c r="G5824">
        <v>0</v>
      </c>
      <c r="H5824" s="7">
        <v>0</v>
      </c>
    </row>
    <row r="5825" spans="1:8">
      <c r="A5825">
        <v>6</v>
      </c>
      <c r="B5825" t="s">
        <v>42</v>
      </c>
      <c r="C5825" t="s">
        <v>33</v>
      </c>
      <c r="D5825">
        <v>0</v>
      </c>
      <c r="E5825">
        <v>1</v>
      </c>
      <c r="F5825" s="7">
        <v>8945.23</v>
      </c>
      <c r="G5825">
        <v>0</v>
      </c>
      <c r="H5825" s="7">
        <v>0</v>
      </c>
    </row>
    <row r="5826" spans="1:8">
      <c r="A5826">
        <v>6</v>
      </c>
      <c r="B5826" t="s">
        <v>42</v>
      </c>
      <c r="C5826" t="s">
        <v>33</v>
      </c>
      <c r="D5826">
        <v>0</v>
      </c>
      <c r="E5826">
        <v>1</v>
      </c>
      <c r="F5826" s="7">
        <v>6846.62</v>
      </c>
      <c r="G5826">
        <v>0</v>
      </c>
      <c r="H5826" s="7">
        <v>0</v>
      </c>
    </row>
    <row r="5827" spans="1:8">
      <c r="A5827">
        <v>6</v>
      </c>
      <c r="B5827" t="s">
        <v>42</v>
      </c>
      <c r="C5827" t="s">
        <v>33</v>
      </c>
      <c r="D5827">
        <v>0</v>
      </c>
      <c r="E5827">
        <v>1</v>
      </c>
      <c r="F5827" s="7">
        <v>4315.05</v>
      </c>
      <c r="G5827">
        <v>0</v>
      </c>
      <c r="H5827" s="7">
        <v>0</v>
      </c>
    </row>
    <row r="5828" spans="1:8">
      <c r="A5828">
        <v>6</v>
      </c>
      <c r="B5828" t="s">
        <v>42</v>
      </c>
      <c r="C5828" t="s">
        <v>33</v>
      </c>
      <c r="D5828">
        <v>0</v>
      </c>
      <c r="E5828">
        <v>1</v>
      </c>
      <c r="F5828" s="7">
        <v>5023.42</v>
      </c>
      <c r="G5828">
        <v>0</v>
      </c>
      <c r="H5828" s="7">
        <v>0</v>
      </c>
    </row>
    <row r="5829" spans="1:8">
      <c r="A5829">
        <v>6</v>
      </c>
      <c r="B5829" t="s">
        <v>42</v>
      </c>
      <c r="C5829" t="s">
        <v>34</v>
      </c>
      <c r="D5829">
        <v>0</v>
      </c>
      <c r="E5829">
        <v>1</v>
      </c>
      <c r="F5829" s="7">
        <v>11985.99</v>
      </c>
      <c r="G5829">
        <v>0</v>
      </c>
      <c r="H5829" s="7">
        <v>0</v>
      </c>
    </row>
    <row r="5830" spans="1:8">
      <c r="A5830">
        <v>6</v>
      </c>
      <c r="B5830" t="s">
        <v>42</v>
      </c>
      <c r="C5830" t="s">
        <v>32</v>
      </c>
      <c r="D5830">
        <v>0</v>
      </c>
      <c r="E5830">
        <v>1</v>
      </c>
      <c r="F5830" s="7">
        <v>233.28</v>
      </c>
      <c r="G5830">
        <v>0</v>
      </c>
      <c r="H5830" s="7">
        <v>0</v>
      </c>
    </row>
    <row r="5831" spans="1:8">
      <c r="A5831">
        <v>6</v>
      </c>
      <c r="B5831" t="s">
        <v>42</v>
      </c>
      <c r="C5831" t="s">
        <v>34</v>
      </c>
      <c r="D5831">
        <v>0</v>
      </c>
      <c r="E5831">
        <v>1</v>
      </c>
      <c r="F5831" s="7">
        <v>13737.03</v>
      </c>
      <c r="G5831">
        <v>0</v>
      </c>
      <c r="H5831" s="7">
        <v>0</v>
      </c>
    </row>
    <row r="5832" spans="1:8">
      <c r="A5832">
        <v>6</v>
      </c>
      <c r="B5832" t="s">
        <v>42</v>
      </c>
      <c r="C5832" t="s">
        <v>34</v>
      </c>
      <c r="D5832">
        <v>0</v>
      </c>
      <c r="E5832">
        <v>1</v>
      </c>
      <c r="F5832" s="7">
        <v>30269.19</v>
      </c>
      <c r="G5832">
        <v>0</v>
      </c>
      <c r="H5832" s="7">
        <v>0</v>
      </c>
    </row>
    <row r="5833" spans="1:8">
      <c r="A5833">
        <v>6</v>
      </c>
      <c r="B5833" t="s">
        <v>42</v>
      </c>
      <c r="C5833" t="s">
        <v>33</v>
      </c>
      <c r="D5833">
        <v>0</v>
      </c>
      <c r="E5833">
        <v>1</v>
      </c>
      <c r="F5833" s="7">
        <v>4419.68</v>
      </c>
      <c r="G5833">
        <v>0</v>
      </c>
      <c r="H5833" s="7">
        <v>0</v>
      </c>
    </row>
    <row r="5834" spans="1:8">
      <c r="A5834">
        <v>6</v>
      </c>
      <c r="B5834" t="s">
        <v>42</v>
      </c>
      <c r="C5834" t="s">
        <v>34</v>
      </c>
      <c r="D5834">
        <v>0</v>
      </c>
      <c r="E5834">
        <v>1</v>
      </c>
      <c r="F5834" s="7">
        <v>12757</v>
      </c>
      <c r="G5834">
        <v>0</v>
      </c>
      <c r="H5834" s="7">
        <v>0</v>
      </c>
    </row>
    <row r="5835" spans="1:8">
      <c r="A5835">
        <v>6</v>
      </c>
      <c r="B5835" t="s">
        <v>42</v>
      </c>
      <c r="C5835" t="s">
        <v>34</v>
      </c>
      <c r="D5835">
        <v>0</v>
      </c>
      <c r="E5835">
        <v>1</v>
      </c>
      <c r="F5835" s="7">
        <v>32087.48</v>
      </c>
      <c r="G5835">
        <v>0</v>
      </c>
      <c r="H5835" s="7">
        <v>0</v>
      </c>
    </row>
    <row r="5836" spans="1:8">
      <c r="A5836">
        <v>6</v>
      </c>
      <c r="B5836" t="s">
        <v>42</v>
      </c>
      <c r="C5836" t="s">
        <v>33</v>
      </c>
      <c r="D5836">
        <v>0</v>
      </c>
      <c r="E5836">
        <v>1</v>
      </c>
      <c r="F5836" s="7">
        <v>5885.13</v>
      </c>
      <c r="G5836">
        <v>0</v>
      </c>
      <c r="H5836" s="7">
        <v>0</v>
      </c>
    </row>
    <row r="5837" spans="1:8">
      <c r="A5837">
        <v>6</v>
      </c>
      <c r="B5837" t="s">
        <v>42</v>
      </c>
      <c r="C5837" t="s">
        <v>33</v>
      </c>
      <c r="D5837">
        <v>0</v>
      </c>
      <c r="E5837">
        <v>1</v>
      </c>
      <c r="F5837" s="7">
        <v>6742.04</v>
      </c>
      <c r="G5837">
        <v>0</v>
      </c>
      <c r="H5837" s="7">
        <v>0</v>
      </c>
    </row>
    <row r="5838" spans="1:8">
      <c r="A5838">
        <v>6</v>
      </c>
      <c r="B5838" t="s">
        <v>42</v>
      </c>
      <c r="C5838" t="s">
        <v>34</v>
      </c>
      <c r="D5838">
        <v>0</v>
      </c>
      <c r="E5838">
        <v>1</v>
      </c>
      <c r="F5838" s="7">
        <v>23869.55</v>
      </c>
      <c r="G5838">
        <v>0</v>
      </c>
      <c r="H5838" s="7">
        <v>0</v>
      </c>
    </row>
    <row r="5839" spans="1:8">
      <c r="A5839">
        <v>6</v>
      </c>
      <c r="B5839" t="s">
        <v>43</v>
      </c>
      <c r="C5839" t="s">
        <v>34</v>
      </c>
      <c r="D5839">
        <v>0</v>
      </c>
      <c r="E5839">
        <v>1</v>
      </c>
      <c r="F5839" s="7">
        <v>19496.78</v>
      </c>
      <c r="G5839">
        <v>0</v>
      </c>
      <c r="H5839" s="7">
        <v>0</v>
      </c>
    </row>
    <row r="5840" spans="1:8">
      <c r="A5840">
        <v>6</v>
      </c>
      <c r="B5840" t="s">
        <v>43</v>
      </c>
      <c r="C5840" t="s">
        <v>35</v>
      </c>
      <c r="D5840">
        <v>0</v>
      </c>
      <c r="E5840">
        <v>1</v>
      </c>
      <c r="F5840" s="7">
        <v>165344.97</v>
      </c>
      <c r="G5840">
        <v>0</v>
      </c>
      <c r="H5840" s="7">
        <v>0</v>
      </c>
    </row>
    <row r="5841" spans="1:8">
      <c r="A5841">
        <v>6</v>
      </c>
      <c r="B5841" t="s">
        <v>42</v>
      </c>
      <c r="C5841" t="s">
        <v>33</v>
      </c>
      <c r="D5841">
        <v>0</v>
      </c>
      <c r="E5841">
        <v>1</v>
      </c>
      <c r="F5841" s="7">
        <v>7193.03</v>
      </c>
      <c r="G5841">
        <v>0</v>
      </c>
      <c r="H5841" s="7">
        <v>0</v>
      </c>
    </row>
    <row r="5842" spans="1:8">
      <c r="A5842">
        <v>6</v>
      </c>
      <c r="B5842" t="s">
        <v>42</v>
      </c>
      <c r="C5842" t="s">
        <v>34</v>
      </c>
      <c r="D5842">
        <v>0</v>
      </c>
      <c r="E5842">
        <v>1</v>
      </c>
      <c r="F5842" s="7">
        <v>18266.81</v>
      </c>
      <c r="G5842">
        <v>0</v>
      </c>
      <c r="H5842" s="7">
        <v>0</v>
      </c>
    </row>
    <row r="5843" spans="1:8">
      <c r="A5843">
        <v>6</v>
      </c>
      <c r="B5843" t="s">
        <v>42</v>
      </c>
      <c r="C5843" t="s">
        <v>34</v>
      </c>
      <c r="D5843">
        <v>0</v>
      </c>
      <c r="E5843">
        <v>1</v>
      </c>
      <c r="F5843" s="7">
        <v>16396.14</v>
      </c>
      <c r="G5843">
        <v>0</v>
      </c>
      <c r="H5843" s="7">
        <v>0</v>
      </c>
    </row>
    <row r="5844" spans="1:8">
      <c r="A5844">
        <v>6</v>
      </c>
      <c r="B5844" t="s">
        <v>42</v>
      </c>
      <c r="C5844" t="s">
        <v>33</v>
      </c>
      <c r="D5844">
        <v>0</v>
      </c>
      <c r="E5844">
        <v>1</v>
      </c>
      <c r="F5844" s="7">
        <v>4218.37</v>
      </c>
      <c r="G5844">
        <v>0</v>
      </c>
      <c r="H5844" s="7">
        <v>0</v>
      </c>
    </row>
    <row r="5845" spans="1:8">
      <c r="A5845">
        <v>6</v>
      </c>
      <c r="B5845" t="s">
        <v>42</v>
      </c>
      <c r="C5845" t="s">
        <v>34</v>
      </c>
      <c r="D5845">
        <v>0</v>
      </c>
      <c r="E5845">
        <v>1</v>
      </c>
      <c r="F5845" s="7">
        <v>23704.62</v>
      </c>
      <c r="G5845">
        <v>0</v>
      </c>
      <c r="H5845" s="7">
        <v>0</v>
      </c>
    </row>
    <row r="5846" spans="1:8">
      <c r="A5846">
        <v>6</v>
      </c>
      <c r="B5846" t="s">
        <v>42</v>
      </c>
      <c r="C5846" t="s">
        <v>33</v>
      </c>
      <c r="D5846">
        <v>0</v>
      </c>
      <c r="E5846">
        <v>1</v>
      </c>
      <c r="F5846" s="7">
        <v>8527.96</v>
      </c>
      <c r="G5846">
        <v>0</v>
      </c>
      <c r="H5846" s="7">
        <v>0</v>
      </c>
    </row>
    <row r="5847" spans="1:8">
      <c r="A5847">
        <v>6</v>
      </c>
      <c r="B5847" t="s">
        <v>42</v>
      </c>
      <c r="C5847" t="s">
        <v>33</v>
      </c>
      <c r="D5847">
        <v>0</v>
      </c>
      <c r="E5847">
        <v>1</v>
      </c>
      <c r="F5847" s="7">
        <v>3704.47</v>
      </c>
      <c r="G5847">
        <v>0</v>
      </c>
      <c r="H5847" s="7">
        <v>0</v>
      </c>
    </row>
    <row r="5848" spans="1:8">
      <c r="A5848">
        <v>6</v>
      </c>
      <c r="B5848" t="s">
        <v>44</v>
      </c>
      <c r="C5848" t="s">
        <v>35</v>
      </c>
      <c r="D5848">
        <v>0</v>
      </c>
      <c r="E5848">
        <v>1</v>
      </c>
      <c r="F5848" s="7">
        <v>148971.75</v>
      </c>
      <c r="G5848">
        <v>0</v>
      </c>
      <c r="H5848" s="7">
        <v>0</v>
      </c>
    </row>
    <row r="5849" spans="1:8">
      <c r="A5849">
        <v>6</v>
      </c>
      <c r="B5849" t="s">
        <v>46</v>
      </c>
      <c r="C5849" t="s">
        <v>35</v>
      </c>
      <c r="D5849">
        <v>0</v>
      </c>
      <c r="E5849">
        <v>1</v>
      </c>
      <c r="F5849" s="7">
        <v>385890.6</v>
      </c>
      <c r="G5849">
        <v>0</v>
      </c>
      <c r="H5849" s="7">
        <v>0</v>
      </c>
    </row>
    <row r="5850" spans="1:8">
      <c r="A5850">
        <v>6</v>
      </c>
      <c r="B5850" t="s">
        <v>42</v>
      </c>
      <c r="C5850" t="s">
        <v>34</v>
      </c>
      <c r="D5850">
        <v>0</v>
      </c>
      <c r="E5850">
        <v>1</v>
      </c>
      <c r="F5850" s="7">
        <v>32168.72</v>
      </c>
      <c r="G5850">
        <v>0</v>
      </c>
      <c r="H5850" s="7">
        <v>0</v>
      </c>
    </row>
    <row r="5851" spans="1:8">
      <c r="A5851">
        <v>6</v>
      </c>
      <c r="B5851" t="s">
        <v>42</v>
      </c>
      <c r="C5851" t="s">
        <v>34</v>
      </c>
      <c r="D5851">
        <v>0</v>
      </c>
      <c r="E5851">
        <v>1</v>
      </c>
      <c r="F5851" s="7">
        <v>28369.96</v>
      </c>
      <c r="G5851">
        <v>0</v>
      </c>
      <c r="H5851" s="7">
        <v>0</v>
      </c>
    </row>
    <row r="5852" spans="1:8">
      <c r="A5852">
        <v>6</v>
      </c>
      <c r="B5852" t="s">
        <v>44</v>
      </c>
      <c r="C5852" t="s">
        <v>33</v>
      </c>
      <c r="D5852">
        <v>0</v>
      </c>
      <c r="E5852">
        <v>1</v>
      </c>
      <c r="F5852" s="7">
        <v>8013.4</v>
      </c>
      <c r="G5852">
        <v>0</v>
      </c>
      <c r="H5852" s="7">
        <v>0</v>
      </c>
    </row>
    <row r="5853" spans="1:8">
      <c r="A5853">
        <v>6</v>
      </c>
      <c r="B5853" t="s">
        <v>42</v>
      </c>
      <c r="C5853" t="s">
        <v>34</v>
      </c>
      <c r="D5853">
        <v>0</v>
      </c>
      <c r="E5853">
        <v>1</v>
      </c>
      <c r="F5853" s="7">
        <v>28410.56</v>
      </c>
      <c r="G5853">
        <v>0</v>
      </c>
      <c r="H5853" s="7">
        <v>0</v>
      </c>
    </row>
    <row r="5854" spans="1:8">
      <c r="A5854">
        <v>6</v>
      </c>
      <c r="B5854" t="s">
        <v>42</v>
      </c>
      <c r="C5854" t="s">
        <v>33</v>
      </c>
      <c r="D5854">
        <v>0</v>
      </c>
      <c r="E5854">
        <v>1</v>
      </c>
      <c r="F5854" s="7">
        <v>6909.4</v>
      </c>
      <c r="G5854">
        <v>0</v>
      </c>
      <c r="H5854" s="7">
        <v>0</v>
      </c>
    </row>
    <row r="5855" spans="1:8">
      <c r="A5855">
        <v>6</v>
      </c>
      <c r="B5855" t="s">
        <v>42</v>
      </c>
      <c r="C5855" t="s">
        <v>34</v>
      </c>
      <c r="D5855">
        <v>0</v>
      </c>
      <c r="E5855">
        <v>1</v>
      </c>
      <c r="F5855" s="7">
        <v>13275.38</v>
      </c>
      <c r="G5855">
        <v>0</v>
      </c>
      <c r="H5855" s="7">
        <v>0</v>
      </c>
    </row>
    <row r="5856" spans="1:8">
      <c r="A5856">
        <v>6</v>
      </c>
      <c r="B5856" t="s">
        <v>43</v>
      </c>
      <c r="C5856" t="s">
        <v>35</v>
      </c>
      <c r="D5856">
        <v>0</v>
      </c>
      <c r="E5856">
        <v>1</v>
      </c>
      <c r="F5856" s="7">
        <v>326538.62</v>
      </c>
      <c r="G5856">
        <v>0</v>
      </c>
      <c r="H5856" s="7">
        <v>0</v>
      </c>
    </row>
    <row r="5857" spans="1:8">
      <c r="A5857">
        <v>6</v>
      </c>
      <c r="B5857" t="s">
        <v>42</v>
      </c>
      <c r="C5857" t="s">
        <v>34</v>
      </c>
      <c r="D5857">
        <v>0</v>
      </c>
      <c r="E5857">
        <v>1</v>
      </c>
      <c r="F5857" s="7">
        <v>11124.47</v>
      </c>
      <c r="G5857">
        <v>0</v>
      </c>
      <c r="H5857" s="7">
        <v>0</v>
      </c>
    </row>
    <row r="5858" spans="1:8">
      <c r="A5858">
        <v>6</v>
      </c>
      <c r="B5858" t="s">
        <v>43</v>
      </c>
      <c r="C5858" t="s">
        <v>34</v>
      </c>
      <c r="D5858">
        <v>1</v>
      </c>
      <c r="E5858">
        <v>1</v>
      </c>
      <c r="F5858" s="7">
        <v>26768.5</v>
      </c>
      <c r="G5858">
        <v>1</v>
      </c>
      <c r="H5858" s="7">
        <v>26768.5</v>
      </c>
    </row>
    <row r="5859" spans="1:8">
      <c r="A5859">
        <v>6</v>
      </c>
      <c r="B5859" t="s">
        <v>44</v>
      </c>
      <c r="C5859" t="s">
        <v>34</v>
      </c>
      <c r="D5859">
        <v>1</v>
      </c>
      <c r="E5859">
        <v>1</v>
      </c>
      <c r="F5859" s="7">
        <v>26768.5</v>
      </c>
      <c r="G5859">
        <v>1</v>
      </c>
      <c r="H5859" s="7">
        <v>26768.5</v>
      </c>
    </row>
    <row r="5860" spans="1:8">
      <c r="A5860">
        <v>6</v>
      </c>
      <c r="B5860" t="s">
        <v>42</v>
      </c>
      <c r="C5860" t="s">
        <v>34</v>
      </c>
      <c r="D5860">
        <v>0</v>
      </c>
      <c r="E5860">
        <v>1</v>
      </c>
      <c r="F5860" s="7">
        <v>19481.86</v>
      </c>
      <c r="G5860">
        <v>0</v>
      </c>
      <c r="H5860" s="7">
        <v>0</v>
      </c>
    </row>
    <row r="5861" spans="1:8">
      <c r="A5861">
        <v>6</v>
      </c>
      <c r="B5861" t="s">
        <v>42</v>
      </c>
      <c r="C5861" t="s">
        <v>33</v>
      </c>
      <c r="D5861">
        <v>0</v>
      </c>
      <c r="E5861">
        <v>1</v>
      </c>
      <c r="F5861" s="7">
        <v>7771.86</v>
      </c>
      <c r="G5861">
        <v>0</v>
      </c>
      <c r="H5861" s="7">
        <v>0</v>
      </c>
    </row>
    <row r="5862" spans="1:8">
      <c r="A5862">
        <v>6</v>
      </c>
      <c r="B5862" t="s">
        <v>42</v>
      </c>
      <c r="C5862" t="s">
        <v>33</v>
      </c>
      <c r="D5862">
        <v>0</v>
      </c>
      <c r="E5862">
        <v>1</v>
      </c>
      <c r="F5862" s="7">
        <v>3249.87</v>
      </c>
      <c r="G5862">
        <v>0</v>
      </c>
      <c r="H5862" s="7">
        <v>0</v>
      </c>
    </row>
    <row r="5863" spans="1:8">
      <c r="A5863">
        <v>6</v>
      </c>
      <c r="B5863" t="s">
        <v>42</v>
      </c>
      <c r="C5863" t="s">
        <v>34</v>
      </c>
      <c r="D5863">
        <v>0</v>
      </c>
      <c r="E5863">
        <v>1</v>
      </c>
      <c r="F5863" s="7">
        <v>24487.72</v>
      </c>
      <c r="G5863">
        <v>0</v>
      </c>
      <c r="H5863" s="7">
        <v>0</v>
      </c>
    </row>
    <row r="5864" spans="1:8">
      <c r="A5864">
        <v>6</v>
      </c>
      <c r="B5864" t="s">
        <v>42</v>
      </c>
      <c r="C5864" t="s">
        <v>33</v>
      </c>
      <c r="D5864">
        <v>0</v>
      </c>
      <c r="E5864">
        <v>1</v>
      </c>
      <c r="F5864" s="7">
        <v>9976.7</v>
      </c>
      <c r="G5864">
        <v>0</v>
      </c>
      <c r="H5864" s="7">
        <v>0</v>
      </c>
    </row>
    <row r="5865" spans="1:8">
      <c r="A5865">
        <v>6</v>
      </c>
      <c r="B5865" t="s">
        <v>42</v>
      </c>
      <c r="C5865" t="s">
        <v>34</v>
      </c>
      <c r="D5865">
        <v>0</v>
      </c>
      <c r="E5865">
        <v>1</v>
      </c>
      <c r="F5865" s="7">
        <v>14427.16</v>
      </c>
      <c r="G5865">
        <v>0</v>
      </c>
      <c r="H5865" s="7">
        <v>0</v>
      </c>
    </row>
    <row r="5866" spans="1:8">
      <c r="A5866">
        <v>6</v>
      </c>
      <c r="B5866" t="s">
        <v>42</v>
      </c>
      <c r="C5866" t="s">
        <v>34</v>
      </c>
      <c r="D5866">
        <v>0</v>
      </c>
      <c r="E5866">
        <v>1</v>
      </c>
      <c r="F5866" s="7">
        <v>25203.75</v>
      </c>
      <c r="G5866">
        <v>0</v>
      </c>
      <c r="H5866" s="7">
        <v>0</v>
      </c>
    </row>
    <row r="5867" spans="1:8">
      <c r="A5867">
        <v>6</v>
      </c>
      <c r="B5867" t="s">
        <v>42</v>
      </c>
      <c r="C5867" t="s">
        <v>34</v>
      </c>
      <c r="D5867">
        <v>0</v>
      </c>
      <c r="E5867">
        <v>1</v>
      </c>
      <c r="F5867" s="7">
        <v>11637.06</v>
      </c>
      <c r="G5867">
        <v>0</v>
      </c>
      <c r="H5867" s="7">
        <v>0</v>
      </c>
    </row>
    <row r="5868" spans="1:8">
      <c r="A5868">
        <v>6</v>
      </c>
      <c r="B5868" t="s">
        <v>42</v>
      </c>
      <c r="C5868" t="s">
        <v>34</v>
      </c>
      <c r="D5868">
        <v>0</v>
      </c>
      <c r="E5868">
        <v>1</v>
      </c>
      <c r="F5868" s="7">
        <v>10656.7</v>
      </c>
      <c r="G5868">
        <v>0</v>
      </c>
      <c r="H5868" s="7">
        <v>0</v>
      </c>
    </row>
    <row r="5869" spans="1:8">
      <c r="A5869">
        <v>6</v>
      </c>
      <c r="B5869" t="s">
        <v>42</v>
      </c>
      <c r="C5869" t="s">
        <v>34</v>
      </c>
      <c r="D5869">
        <v>0</v>
      </c>
      <c r="E5869">
        <v>1</v>
      </c>
      <c r="F5869" s="7">
        <v>23224.89</v>
      </c>
      <c r="G5869">
        <v>0</v>
      </c>
      <c r="H5869" s="7">
        <v>0</v>
      </c>
    </row>
    <row r="5870" spans="1:8">
      <c r="A5870">
        <v>6</v>
      </c>
      <c r="B5870" t="s">
        <v>43</v>
      </c>
      <c r="C5870" t="s">
        <v>34</v>
      </c>
      <c r="D5870">
        <v>0</v>
      </c>
      <c r="E5870">
        <v>1</v>
      </c>
      <c r="F5870" s="7">
        <v>61464.3</v>
      </c>
      <c r="G5870">
        <v>0</v>
      </c>
      <c r="H5870" s="7">
        <v>0</v>
      </c>
    </row>
    <row r="5871" spans="1:8">
      <c r="A5871">
        <v>6</v>
      </c>
      <c r="B5871" t="s">
        <v>42</v>
      </c>
      <c r="C5871" t="s">
        <v>32</v>
      </c>
      <c r="D5871">
        <v>0</v>
      </c>
      <c r="E5871">
        <v>1</v>
      </c>
      <c r="F5871" s="7">
        <v>741.93</v>
      </c>
      <c r="G5871">
        <v>0</v>
      </c>
      <c r="H5871" s="7">
        <v>0</v>
      </c>
    </row>
    <row r="5872" spans="1:8">
      <c r="A5872">
        <v>6</v>
      </c>
      <c r="B5872" t="s">
        <v>42</v>
      </c>
      <c r="C5872" t="s">
        <v>34</v>
      </c>
      <c r="D5872">
        <v>0</v>
      </c>
      <c r="E5872">
        <v>1</v>
      </c>
      <c r="F5872" s="7">
        <v>14002.93</v>
      </c>
      <c r="G5872">
        <v>0</v>
      </c>
      <c r="H5872" s="7">
        <v>0</v>
      </c>
    </row>
    <row r="5873" spans="1:8">
      <c r="A5873">
        <v>6</v>
      </c>
      <c r="B5873" t="s">
        <v>42</v>
      </c>
      <c r="C5873" t="s">
        <v>33</v>
      </c>
      <c r="D5873">
        <v>0</v>
      </c>
      <c r="E5873">
        <v>1</v>
      </c>
      <c r="F5873" s="7">
        <v>6284.58</v>
      </c>
      <c r="G5873">
        <v>0</v>
      </c>
      <c r="H5873" s="7">
        <v>0</v>
      </c>
    </row>
    <row r="5874" spans="1:8">
      <c r="A5874">
        <v>6</v>
      </c>
      <c r="B5874" t="s">
        <v>42</v>
      </c>
      <c r="C5874" t="s">
        <v>33</v>
      </c>
      <c r="D5874">
        <v>0</v>
      </c>
      <c r="E5874">
        <v>1</v>
      </c>
      <c r="F5874" s="7">
        <v>4349.35</v>
      </c>
      <c r="G5874">
        <v>0</v>
      </c>
      <c r="H5874" s="7">
        <v>0</v>
      </c>
    </row>
    <row r="5875" spans="1:8">
      <c r="A5875">
        <v>6</v>
      </c>
      <c r="B5875" t="s">
        <v>42</v>
      </c>
      <c r="C5875" t="s">
        <v>33</v>
      </c>
      <c r="D5875">
        <v>0</v>
      </c>
      <c r="E5875">
        <v>1</v>
      </c>
      <c r="F5875" s="7">
        <v>9598.37</v>
      </c>
      <c r="G5875">
        <v>0</v>
      </c>
      <c r="H5875" s="7">
        <v>0</v>
      </c>
    </row>
    <row r="5876" spans="1:8">
      <c r="A5876">
        <v>6</v>
      </c>
      <c r="B5876" t="s">
        <v>42</v>
      </c>
      <c r="C5876" t="s">
        <v>33</v>
      </c>
      <c r="D5876">
        <v>0</v>
      </c>
      <c r="E5876">
        <v>1</v>
      </c>
      <c r="F5876" s="7">
        <v>5948.05</v>
      </c>
      <c r="G5876">
        <v>0</v>
      </c>
      <c r="H5876" s="7">
        <v>0</v>
      </c>
    </row>
    <row r="5877" spans="1:8">
      <c r="A5877">
        <v>6</v>
      </c>
      <c r="B5877" t="s">
        <v>42</v>
      </c>
      <c r="C5877" t="s">
        <v>34</v>
      </c>
      <c r="D5877">
        <v>0</v>
      </c>
      <c r="E5877">
        <v>1</v>
      </c>
      <c r="F5877" s="7">
        <v>13098.63</v>
      </c>
      <c r="G5877">
        <v>0</v>
      </c>
      <c r="H5877" s="7">
        <v>0</v>
      </c>
    </row>
    <row r="5878" spans="1:8">
      <c r="A5878">
        <v>6</v>
      </c>
      <c r="B5878" t="s">
        <v>42</v>
      </c>
      <c r="C5878" t="s">
        <v>34</v>
      </c>
      <c r="D5878">
        <v>0</v>
      </c>
      <c r="E5878">
        <v>1</v>
      </c>
      <c r="F5878" s="7">
        <v>12518.6</v>
      </c>
      <c r="G5878">
        <v>0</v>
      </c>
      <c r="H5878" s="7">
        <v>0</v>
      </c>
    </row>
    <row r="5879" spans="1:8">
      <c r="A5879">
        <v>6</v>
      </c>
      <c r="B5879" t="s">
        <v>42</v>
      </c>
      <c r="C5879" t="s">
        <v>33</v>
      </c>
      <c r="D5879">
        <v>0</v>
      </c>
      <c r="E5879">
        <v>1</v>
      </c>
      <c r="F5879" s="7">
        <v>6430.69</v>
      </c>
      <c r="G5879">
        <v>0</v>
      </c>
      <c r="H5879" s="7">
        <v>0</v>
      </c>
    </row>
    <row r="5880" spans="1:8">
      <c r="A5880">
        <v>6</v>
      </c>
      <c r="B5880" t="s">
        <v>42</v>
      </c>
      <c r="C5880" t="s">
        <v>34</v>
      </c>
      <c r="D5880">
        <v>0</v>
      </c>
      <c r="E5880">
        <v>1</v>
      </c>
      <c r="F5880" s="7">
        <v>11701.16</v>
      </c>
      <c r="G5880">
        <v>0</v>
      </c>
      <c r="H5880" s="7">
        <v>0</v>
      </c>
    </row>
    <row r="5881" spans="1:8">
      <c r="A5881">
        <v>6</v>
      </c>
      <c r="B5881" t="s">
        <v>42</v>
      </c>
      <c r="C5881" t="s">
        <v>34</v>
      </c>
      <c r="D5881">
        <v>0</v>
      </c>
      <c r="E5881">
        <v>1</v>
      </c>
      <c r="F5881" s="7">
        <v>15960.23</v>
      </c>
      <c r="G5881">
        <v>0</v>
      </c>
      <c r="H5881" s="7">
        <v>0</v>
      </c>
    </row>
    <row r="5882" spans="1:8">
      <c r="A5882">
        <v>6</v>
      </c>
      <c r="B5882" t="s">
        <v>42</v>
      </c>
      <c r="C5882" t="s">
        <v>33</v>
      </c>
      <c r="D5882">
        <v>0</v>
      </c>
      <c r="E5882">
        <v>1</v>
      </c>
      <c r="F5882" s="7">
        <v>1814.72</v>
      </c>
      <c r="G5882">
        <v>0</v>
      </c>
      <c r="H5882" s="7">
        <v>0</v>
      </c>
    </row>
    <row r="5883" spans="1:8">
      <c r="A5883">
        <v>6</v>
      </c>
      <c r="B5883" t="s">
        <v>43</v>
      </c>
      <c r="C5883" t="s">
        <v>35</v>
      </c>
      <c r="D5883">
        <v>0</v>
      </c>
      <c r="E5883">
        <v>1</v>
      </c>
      <c r="F5883" s="7">
        <v>296250.01</v>
      </c>
      <c r="G5883">
        <v>0</v>
      </c>
      <c r="H5883" s="7">
        <v>0</v>
      </c>
    </row>
    <row r="5884" spans="1:8">
      <c r="A5884">
        <v>6</v>
      </c>
      <c r="B5884" t="s">
        <v>43</v>
      </c>
      <c r="C5884" t="s">
        <v>36</v>
      </c>
      <c r="D5884">
        <v>0</v>
      </c>
      <c r="E5884">
        <v>1</v>
      </c>
      <c r="F5884" s="7">
        <v>1394793.88</v>
      </c>
      <c r="G5884">
        <v>0</v>
      </c>
      <c r="H5884" s="7">
        <v>0</v>
      </c>
    </row>
    <row r="5885" spans="1:8">
      <c r="A5885">
        <v>6</v>
      </c>
      <c r="B5885" t="s">
        <v>43</v>
      </c>
      <c r="C5885" t="s">
        <v>35</v>
      </c>
      <c r="D5885">
        <v>0</v>
      </c>
      <c r="E5885">
        <v>1</v>
      </c>
      <c r="F5885" s="7">
        <v>495294.14</v>
      </c>
      <c r="G5885">
        <v>0</v>
      </c>
      <c r="H5885" s="7">
        <v>0</v>
      </c>
    </row>
    <row r="5886" spans="1:8">
      <c r="A5886">
        <v>6</v>
      </c>
      <c r="B5886" t="s">
        <v>43</v>
      </c>
      <c r="C5886" t="s">
        <v>36</v>
      </c>
      <c r="D5886">
        <v>0</v>
      </c>
      <c r="E5886">
        <v>1</v>
      </c>
      <c r="F5886" s="7">
        <v>1095802.84</v>
      </c>
      <c r="G5886">
        <v>0</v>
      </c>
      <c r="H5886" s="7">
        <v>0</v>
      </c>
    </row>
    <row r="5887" spans="1:8">
      <c r="A5887">
        <v>6</v>
      </c>
      <c r="B5887" t="s">
        <v>43</v>
      </c>
      <c r="C5887" t="s">
        <v>36</v>
      </c>
      <c r="D5887">
        <v>0</v>
      </c>
      <c r="E5887">
        <v>1</v>
      </c>
      <c r="F5887" s="7">
        <v>1408829.48</v>
      </c>
      <c r="G5887">
        <v>0</v>
      </c>
      <c r="H5887" s="7">
        <v>0</v>
      </c>
    </row>
    <row r="5888" spans="1:8">
      <c r="A5888">
        <v>6</v>
      </c>
      <c r="B5888" t="s">
        <v>43</v>
      </c>
      <c r="C5888" t="s">
        <v>35</v>
      </c>
      <c r="D5888">
        <v>0</v>
      </c>
      <c r="E5888">
        <v>1</v>
      </c>
      <c r="F5888" s="7">
        <v>704242.78</v>
      </c>
      <c r="G5888">
        <v>0</v>
      </c>
      <c r="H5888" s="7">
        <v>0</v>
      </c>
    </row>
    <row r="5889" spans="1:8">
      <c r="A5889">
        <v>6</v>
      </c>
      <c r="B5889" t="s">
        <v>43</v>
      </c>
      <c r="C5889" t="s">
        <v>36</v>
      </c>
      <c r="D5889">
        <v>0</v>
      </c>
      <c r="E5889">
        <v>1</v>
      </c>
      <c r="F5889" s="7">
        <v>2025330.83</v>
      </c>
      <c r="G5889">
        <v>0</v>
      </c>
      <c r="H5889" s="7">
        <v>0</v>
      </c>
    </row>
    <row r="5890" spans="1:8">
      <c r="A5890">
        <v>6</v>
      </c>
      <c r="B5890" t="s">
        <v>43</v>
      </c>
      <c r="C5890" t="s">
        <v>36</v>
      </c>
      <c r="D5890">
        <v>0</v>
      </c>
      <c r="E5890">
        <v>1</v>
      </c>
      <c r="F5890" s="7">
        <v>1488547.68</v>
      </c>
      <c r="G5890">
        <v>0</v>
      </c>
      <c r="H5890" s="7">
        <v>0</v>
      </c>
    </row>
    <row r="5891" spans="1:8">
      <c r="A5891">
        <v>6</v>
      </c>
      <c r="B5891" t="s">
        <v>43</v>
      </c>
      <c r="C5891" t="s">
        <v>35</v>
      </c>
      <c r="D5891">
        <v>0</v>
      </c>
      <c r="E5891">
        <v>1</v>
      </c>
      <c r="F5891" s="7">
        <v>604786.9</v>
      </c>
      <c r="G5891">
        <v>0</v>
      </c>
      <c r="H5891" s="7">
        <v>0</v>
      </c>
    </row>
    <row r="5892" spans="1:8">
      <c r="A5892">
        <v>6</v>
      </c>
      <c r="B5892" t="s">
        <v>43</v>
      </c>
      <c r="C5892" t="s">
        <v>35</v>
      </c>
      <c r="D5892">
        <v>0</v>
      </c>
      <c r="E5892">
        <v>1</v>
      </c>
      <c r="F5892" s="7">
        <v>723954.54</v>
      </c>
      <c r="G5892">
        <v>0</v>
      </c>
      <c r="H5892" s="7">
        <v>0</v>
      </c>
    </row>
    <row r="5893" spans="1:8">
      <c r="A5893">
        <v>6</v>
      </c>
      <c r="B5893" t="s">
        <v>43</v>
      </c>
      <c r="C5893" t="s">
        <v>35</v>
      </c>
      <c r="D5893">
        <v>0</v>
      </c>
      <c r="E5893">
        <v>1</v>
      </c>
      <c r="F5893" s="7">
        <v>442131.61</v>
      </c>
      <c r="G5893">
        <v>0</v>
      </c>
      <c r="H5893" s="7">
        <v>0</v>
      </c>
    </row>
    <row r="5894" spans="1:8">
      <c r="A5894">
        <v>6</v>
      </c>
      <c r="B5894" t="s">
        <v>43</v>
      </c>
      <c r="C5894" t="s">
        <v>36</v>
      </c>
      <c r="D5894">
        <v>0</v>
      </c>
      <c r="E5894">
        <v>1</v>
      </c>
      <c r="F5894" s="7">
        <v>1627438.13</v>
      </c>
      <c r="G5894">
        <v>0</v>
      </c>
      <c r="H5894" s="7">
        <v>0</v>
      </c>
    </row>
    <row r="5895" spans="1:8">
      <c r="A5895">
        <v>6</v>
      </c>
      <c r="B5895" t="s">
        <v>43</v>
      </c>
      <c r="C5895" t="s">
        <v>35</v>
      </c>
      <c r="D5895">
        <v>0</v>
      </c>
      <c r="E5895">
        <v>1</v>
      </c>
      <c r="F5895" s="7">
        <v>921268.93</v>
      </c>
      <c r="G5895">
        <v>0</v>
      </c>
      <c r="H5895" s="7">
        <v>0</v>
      </c>
    </row>
    <row r="5896" spans="1:8">
      <c r="A5896">
        <v>6</v>
      </c>
      <c r="B5896" t="s">
        <v>43</v>
      </c>
      <c r="C5896" t="s">
        <v>35</v>
      </c>
      <c r="D5896">
        <v>0</v>
      </c>
      <c r="E5896">
        <v>1</v>
      </c>
      <c r="F5896" s="7">
        <v>184917.64</v>
      </c>
      <c r="G5896">
        <v>0</v>
      </c>
      <c r="H5896" s="7">
        <v>0</v>
      </c>
    </row>
    <row r="5897" spans="1:8">
      <c r="A5897">
        <v>6</v>
      </c>
      <c r="B5897" t="s">
        <v>43</v>
      </c>
      <c r="C5897" t="s">
        <v>35</v>
      </c>
      <c r="D5897">
        <v>0</v>
      </c>
      <c r="E5897">
        <v>1</v>
      </c>
      <c r="F5897" s="7">
        <v>110132.46</v>
      </c>
      <c r="G5897">
        <v>0</v>
      </c>
      <c r="H5897" s="7">
        <v>0</v>
      </c>
    </row>
    <row r="5898" spans="1:8">
      <c r="A5898">
        <v>6</v>
      </c>
      <c r="B5898" t="s">
        <v>43</v>
      </c>
      <c r="C5898" t="s">
        <v>34</v>
      </c>
      <c r="D5898">
        <v>0</v>
      </c>
      <c r="E5898">
        <v>1</v>
      </c>
      <c r="F5898" s="7">
        <v>30965.98</v>
      </c>
      <c r="G5898">
        <v>0</v>
      </c>
      <c r="H5898" s="7">
        <v>0</v>
      </c>
    </row>
    <row r="5899" spans="1:8">
      <c r="A5899">
        <v>6</v>
      </c>
      <c r="B5899" t="s">
        <v>43</v>
      </c>
      <c r="C5899" t="s">
        <v>35</v>
      </c>
      <c r="D5899">
        <v>0</v>
      </c>
      <c r="E5899">
        <v>1</v>
      </c>
      <c r="F5899" s="7">
        <v>171092.94</v>
      </c>
      <c r="G5899">
        <v>0</v>
      </c>
      <c r="H5899" s="7">
        <v>0</v>
      </c>
    </row>
    <row r="5900" spans="1:8">
      <c r="A5900">
        <v>6</v>
      </c>
      <c r="B5900" t="s">
        <v>42</v>
      </c>
      <c r="C5900" t="s">
        <v>33</v>
      </c>
      <c r="D5900">
        <v>0</v>
      </c>
      <c r="E5900">
        <v>1</v>
      </c>
      <c r="F5900" s="7">
        <v>5760.17</v>
      </c>
      <c r="G5900">
        <v>0</v>
      </c>
      <c r="H5900" s="7">
        <v>0</v>
      </c>
    </row>
    <row r="5901" spans="1:8">
      <c r="A5901">
        <v>6</v>
      </c>
      <c r="B5901" t="s">
        <v>42</v>
      </c>
      <c r="C5901" t="s">
        <v>33</v>
      </c>
      <c r="D5901">
        <v>0</v>
      </c>
      <c r="E5901">
        <v>1</v>
      </c>
      <c r="F5901" s="7">
        <v>5335.39</v>
      </c>
      <c r="G5901">
        <v>0</v>
      </c>
      <c r="H5901" s="7">
        <v>0</v>
      </c>
    </row>
    <row r="5902" spans="1:8">
      <c r="A5902">
        <v>6</v>
      </c>
      <c r="B5902" t="s">
        <v>42</v>
      </c>
      <c r="C5902" t="s">
        <v>34</v>
      </c>
      <c r="D5902">
        <v>0</v>
      </c>
      <c r="E5902">
        <v>1</v>
      </c>
      <c r="F5902" s="7">
        <v>14392.6</v>
      </c>
      <c r="G5902">
        <v>0</v>
      </c>
      <c r="H5902" s="7">
        <v>0</v>
      </c>
    </row>
    <row r="5903" spans="1:8">
      <c r="A5903">
        <v>6</v>
      </c>
      <c r="B5903" t="s">
        <v>42</v>
      </c>
      <c r="C5903" t="s">
        <v>33</v>
      </c>
      <c r="D5903">
        <v>0</v>
      </c>
      <c r="E5903">
        <v>1</v>
      </c>
      <c r="F5903" s="7">
        <v>6926.11</v>
      </c>
      <c r="G5903">
        <v>0</v>
      </c>
      <c r="H5903" s="7">
        <v>0</v>
      </c>
    </row>
    <row r="5904" spans="1:8">
      <c r="A5904">
        <v>6</v>
      </c>
      <c r="B5904" t="s">
        <v>42</v>
      </c>
      <c r="C5904" t="s">
        <v>33</v>
      </c>
      <c r="D5904">
        <v>0</v>
      </c>
      <c r="E5904">
        <v>1</v>
      </c>
      <c r="F5904" s="7">
        <v>7141.83</v>
      </c>
      <c r="G5904">
        <v>0</v>
      </c>
      <c r="H5904" s="7">
        <v>0</v>
      </c>
    </row>
    <row r="5905" spans="1:8">
      <c r="A5905">
        <v>6</v>
      </c>
      <c r="B5905" t="s">
        <v>45</v>
      </c>
      <c r="C5905" t="s">
        <v>33</v>
      </c>
      <c r="D5905">
        <v>0</v>
      </c>
      <c r="E5905">
        <v>1</v>
      </c>
      <c r="F5905" s="7">
        <v>2762.82</v>
      </c>
      <c r="G5905">
        <v>0</v>
      </c>
      <c r="H5905" s="7">
        <v>0</v>
      </c>
    </row>
    <row r="5906" spans="1:8">
      <c r="A5906">
        <v>6</v>
      </c>
      <c r="B5906" t="s">
        <v>42</v>
      </c>
      <c r="C5906" t="s">
        <v>33</v>
      </c>
      <c r="D5906">
        <v>0</v>
      </c>
      <c r="E5906">
        <v>1</v>
      </c>
      <c r="F5906" s="7">
        <v>8147.82</v>
      </c>
      <c r="G5906">
        <v>0</v>
      </c>
      <c r="H5906" s="7">
        <v>0</v>
      </c>
    </row>
    <row r="5907" spans="1:8">
      <c r="A5907">
        <v>6</v>
      </c>
      <c r="B5907" t="s">
        <v>42</v>
      </c>
      <c r="C5907" t="s">
        <v>33</v>
      </c>
      <c r="D5907">
        <v>0</v>
      </c>
      <c r="E5907">
        <v>1</v>
      </c>
      <c r="F5907" s="7">
        <v>6869.52</v>
      </c>
      <c r="G5907">
        <v>0</v>
      </c>
      <c r="H5907" s="7">
        <v>0</v>
      </c>
    </row>
    <row r="5908" spans="1:8">
      <c r="A5908">
        <v>6</v>
      </c>
      <c r="B5908" t="s">
        <v>43</v>
      </c>
      <c r="C5908" t="s">
        <v>35</v>
      </c>
      <c r="D5908">
        <v>0</v>
      </c>
      <c r="E5908">
        <v>1</v>
      </c>
      <c r="F5908" s="7">
        <v>296908.68</v>
      </c>
      <c r="G5908">
        <v>0</v>
      </c>
      <c r="H5908" s="7">
        <v>0</v>
      </c>
    </row>
    <row r="5909" spans="1:8">
      <c r="A5909">
        <v>6</v>
      </c>
      <c r="B5909" t="s">
        <v>42</v>
      </c>
      <c r="C5909" t="s">
        <v>33</v>
      </c>
      <c r="D5909">
        <v>0</v>
      </c>
      <c r="E5909">
        <v>1</v>
      </c>
      <c r="F5909" s="7">
        <v>6342.6</v>
      </c>
      <c r="G5909">
        <v>0</v>
      </c>
      <c r="H5909" s="7">
        <v>0</v>
      </c>
    </row>
    <row r="5910" spans="1:8">
      <c r="A5910">
        <v>6</v>
      </c>
      <c r="B5910" t="s">
        <v>42</v>
      </c>
      <c r="C5910" t="s">
        <v>33</v>
      </c>
      <c r="D5910">
        <v>0</v>
      </c>
      <c r="E5910">
        <v>1</v>
      </c>
      <c r="F5910" s="7">
        <v>2896.73</v>
      </c>
      <c r="G5910">
        <v>0</v>
      </c>
      <c r="H5910" s="7">
        <v>0</v>
      </c>
    </row>
    <row r="5911" spans="1:8">
      <c r="A5911">
        <v>6</v>
      </c>
      <c r="B5911" t="s">
        <v>42</v>
      </c>
      <c r="C5911" t="s">
        <v>34</v>
      </c>
      <c r="D5911">
        <v>0</v>
      </c>
      <c r="E5911">
        <v>1</v>
      </c>
      <c r="F5911" s="7">
        <v>33416.51</v>
      </c>
      <c r="G5911">
        <v>0</v>
      </c>
      <c r="H5911" s="7">
        <v>0</v>
      </c>
    </row>
    <row r="5912" spans="1:8">
      <c r="A5912">
        <v>6</v>
      </c>
      <c r="B5912" t="s">
        <v>43</v>
      </c>
      <c r="C5912" t="s">
        <v>35</v>
      </c>
      <c r="D5912">
        <v>0</v>
      </c>
      <c r="E5912">
        <v>1</v>
      </c>
      <c r="F5912" s="7">
        <v>225055.89</v>
      </c>
      <c r="G5912">
        <v>0</v>
      </c>
      <c r="H5912" s="7">
        <v>0</v>
      </c>
    </row>
    <row r="5913" spans="1:8">
      <c r="A5913">
        <v>6</v>
      </c>
      <c r="B5913" t="s">
        <v>42</v>
      </c>
      <c r="C5913" t="s">
        <v>34</v>
      </c>
      <c r="D5913">
        <v>0</v>
      </c>
      <c r="E5913">
        <v>1</v>
      </c>
      <c r="F5913" s="7">
        <v>14639.45</v>
      </c>
      <c r="G5913">
        <v>0</v>
      </c>
      <c r="H5913" s="7">
        <v>0</v>
      </c>
    </row>
    <row r="5914" spans="1:8">
      <c r="A5914">
        <v>6</v>
      </c>
      <c r="B5914" t="s">
        <v>42</v>
      </c>
      <c r="C5914" t="s">
        <v>34</v>
      </c>
      <c r="D5914">
        <v>0</v>
      </c>
      <c r="E5914">
        <v>1</v>
      </c>
      <c r="F5914" s="7">
        <v>23041.84</v>
      </c>
      <c r="G5914">
        <v>0</v>
      </c>
      <c r="H5914" s="7">
        <v>0</v>
      </c>
    </row>
    <row r="5915" spans="1:8">
      <c r="A5915">
        <v>6</v>
      </c>
      <c r="B5915" t="s">
        <v>42</v>
      </c>
      <c r="C5915" t="s">
        <v>33</v>
      </c>
      <c r="D5915">
        <v>0</v>
      </c>
      <c r="E5915">
        <v>1</v>
      </c>
      <c r="F5915" s="7">
        <v>6104.22</v>
      </c>
      <c r="G5915">
        <v>0</v>
      </c>
      <c r="H5915" s="7">
        <v>0</v>
      </c>
    </row>
    <row r="5916" spans="1:8">
      <c r="A5916">
        <v>6</v>
      </c>
      <c r="B5916" t="s">
        <v>42</v>
      </c>
      <c r="C5916" t="s">
        <v>34</v>
      </c>
      <c r="D5916">
        <v>0</v>
      </c>
      <c r="E5916">
        <v>1</v>
      </c>
      <c r="F5916" s="7">
        <v>11149.55</v>
      </c>
      <c r="G5916">
        <v>0</v>
      </c>
      <c r="H5916" s="7">
        <v>0</v>
      </c>
    </row>
    <row r="5917" spans="1:8">
      <c r="A5917">
        <v>6</v>
      </c>
      <c r="B5917" t="s">
        <v>42</v>
      </c>
      <c r="C5917" t="s">
        <v>34</v>
      </c>
      <c r="D5917">
        <v>0</v>
      </c>
      <c r="E5917">
        <v>1</v>
      </c>
      <c r="F5917" s="7">
        <v>10302.69</v>
      </c>
      <c r="G5917">
        <v>0</v>
      </c>
      <c r="H5917" s="7">
        <v>0</v>
      </c>
    </row>
    <row r="5918" spans="1:8">
      <c r="A5918">
        <v>6</v>
      </c>
      <c r="B5918" t="s">
        <v>42</v>
      </c>
      <c r="C5918" t="s">
        <v>34</v>
      </c>
      <c r="D5918">
        <v>0</v>
      </c>
      <c r="E5918">
        <v>1</v>
      </c>
      <c r="F5918" s="7">
        <v>21985.63</v>
      </c>
      <c r="G5918">
        <v>0</v>
      </c>
      <c r="H5918" s="7">
        <v>0</v>
      </c>
    </row>
    <row r="5919" spans="1:8">
      <c r="A5919">
        <v>6</v>
      </c>
      <c r="B5919" t="s">
        <v>42</v>
      </c>
      <c r="C5919" t="s">
        <v>33</v>
      </c>
      <c r="D5919">
        <v>0</v>
      </c>
      <c r="E5919">
        <v>1</v>
      </c>
      <c r="F5919" s="7">
        <v>2964.71</v>
      </c>
      <c r="G5919">
        <v>0</v>
      </c>
      <c r="H5919" s="7">
        <v>0</v>
      </c>
    </row>
    <row r="5920" spans="1:8">
      <c r="A5920">
        <v>6</v>
      </c>
      <c r="B5920" t="s">
        <v>42</v>
      </c>
      <c r="C5920" t="s">
        <v>33</v>
      </c>
      <c r="D5920">
        <v>0</v>
      </c>
      <c r="E5920">
        <v>1</v>
      </c>
      <c r="F5920" s="7">
        <v>8659.19</v>
      </c>
      <c r="G5920">
        <v>0</v>
      </c>
      <c r="H5920" s="7">
        <v>0</v>
      </c>
    </row>
    <row r="5921" spans="1:8">
      <c r="A5921">
        <v>6</v>
      </c>
      <c r="B5921" t="s">
        <v>42</v>
      </c>
      <c r="C5921" t="s">
        <v>34</v>
      </c>
      <c r="D5921">
        <v>0</v>
      </c>
      <c r="E5921">
        <v>1</v>
      </c>
      <c r="F5921" s="7">
        <v>46856.97</v>
      </c>
      <c r="G5921">
        <v>0</v>
      </c>
      <c r="H5921" s="7">
        <v>0</v>
      </c>
    </row>
    <row r="5922" spans="1:8">
      <c r="A5922">
        <v>6</v>
      </c>
      <c r="B5922" t="s">
        <v>42</v>
      </c>
      <c r="C5922" t="s">
        <v>33</v>
      </c>
      <c r="D5922">
        <v>0</v>
      </c>
      <c r="E5922">
        <v>1</v>
      </c>
      <c r="F5922" s="7">
        <v>7509.75</v>
      </c>
      <c r="G5922">
        <v>0</v>
      </c>
      <c r="H5922" s="7">
        <v>0</v>
      </c>
    </row>
    <row r="5923" spans="1:8">
      <c r="A5923">
        <v>6</v>
      </c>
      <c r="B5923" t="s">
        <v>42</v>
      </c>
      <c r="C5923" t="s">
        <v>33</v>
      </c>
      <c r="D5923">
        <v>0</v>
      </c>
      <c r="E5923">
        <v>1</v>
      </c>
      <c r="F5923" s="7">
        <v>6068.6</v>
      </c>
      <c r="G5923">
        <v>0</v>
      </c>
      <c r="H5923" s="7">
        <v>0</v>
      </c>
    </row>
    <row r="5924" spans="1:8">
      <c r="A5924">
        <v>6</v>
      </c>
      <c r="B5924" t="s">
        <v>42</v>
      </c>
      <c r="C5924" t="s">
        <v>34</v>
      </c>
      <c r="D5924">
        <v>0</v>
      </c>
      <c r="E5924">
        <v>1</v>
      </c>
      <c r="F5924" s="7">
        <v>13614.06</v>
      </c>
      <c r="G5924">
        <v>0</v>
      </c>
      <c r="H5924" s="7">
        <v>0</v>
      </c>
    </row>
    <row r="5925" spans="1:8">
      <c r="A5925">
        <v>6</v>
      </c>
      <c r="B5925" t="s">
        <v>42</v>
      </c>
      <c r="C5925" t="s">
        <v>32</v>
      </c>
      <c r="D5925">
        <v>0</v>
      </c>
      <c r="E5925">
        <v>1</v>
      </c>
      <c r="F5925" s="7">
        <v>235.2</v>
      </c>
      <c r="G5925">
        <v>0</v>
      </c>
      <c r="H5925" s="7">
        <v>0</v>
      </c>
    </row>
    <row r="5926" spans="1:8">
      <c r="A5926">
        <v>6</v>
      </c>
      <c r="B5926" t="s">
        <v>42</v>
      </c>
      <c r="C5926" t="s">
        <v>33</v>
      </c>
      <c r="D5926">
        <v>0</v>
      </c>
      <c r="E5926">
        <v>1</v>
      </c>
      <c r="F5926" s="7">
        <v>9455.53</v>
      </c>
      <c r="G5926">
        <v>0</v>
      </c>
      <c r="H5926" s="7">
        <v>0</v>
      </c>
    </row>
    <row r="5927" spans="1:8">
      <c r="A5927">
        <v>6</v>
      </c>
      <c r="B5927" t="s">
        <v>44</v>
      </c>
      <c r="C5927" t="s">
        <v>35</v>
      </c>
      <c r="D5927">
        <v>0</v>
      </c>
      <c r="E5927">
        <v>1</v>
      </c>
      <c r="F5927" s="7">
        <v>184931.14</v>
      </c>
      <c r="G5927">
        <v>0</v>
      </c>
      <c r="H5927" s="7">
        <v>0</v>
      </c>
    </row>
    <row r="5928" spans="1:8">
      <c r="A5928">
        <v>6</v>
      </c>
      <c r="B5928" t="s">
        <v>42</v>
      </c>
      <c r="C5928" t="s">
        <v>34</v>
      </c>
      <c r="D5928">
        <v>0</v>
      </c>
      <c r="E5928">
        <v>1</v>
      </c>
      <c r="F5928" s="7">
        <v>28115.43</v>
      </c>
      <c r="G5928">
        <v>0</v>
      </c>
      <c r="H5928" s="7">
        <v>0</v>
      </c>
    </row>
    <row r="5929" spans="1:8">
      <c r="A5929">
        <v>6</v>
      </c>
      <c r="B5929" t="s">
        <v>42</v>
      </c>
      <c r="C5929" t="s">
        <v>34</v>
      </c>
      <c r="D5929">
        <v>0</v>
      </c>
      <c r="E5929">
        <v>1</v>
      </c>
      <c r="F5929" s="7">
        <v>12249.43</v>
      </c>
      <c r="G5929">
        <v>0</v>
      </c>
      <c r="H5929" s="7">
        <v>0</v>
      </c>
    </row>
    <row r="5930" spans="1:8">
      <c r="A5930">
        <v>6</v>
      </c>
      <c r="B5930" t="s">
        <v>42</v>
      </c>
      <c r="C5930" t="s">
        <v>34</v>
      </c>
      <c r="D5930">
        <v>0</v>
      </c>
      <c r="E5930">
        <v>1</v>
      </c>
      <c r="F5930" s="7">
        <v>13309.49</v>
      </c>
      <c r="G5930">
        <v>0</v>
      </c>
      <c r="H5930" s="7">
        <v>0</v>
      </c>
    </row>
    <row r="5931" spans="1:8">
      <c r="A5931">
        <v>6</v>
      </c>
      <c r="B5931" t="s">
        <v>42</v>
      </c>
      <c r="C5931" t="s">
        <v>34</v>
      </c>
      <c r="D5931">
        <v>0</v>
      </c>
      <c r="E5931">
        <v>1</v>
      </c>
      <c r="F5931" s="7">
        <v>14335.52</v>
      </c>
      <c r="G5931">
        <v>0</v>
      </c>
      <c r="H5931" s="7">
        <v>0</v>
      </c>
    </row>
    <row r="5932" spans="1:8">
      <c r="A5932">
        <v>6</v>
      </c>
      <c r="B5932" t="s">
        <v>42</v>
      </c>
      <c r="C5932" t="s">
        <v>33</v>
      </c>
      <c r="D5932">
        <v>0</v>
      </c>
      <c r="E5932">
        <v>1</v>
      </c>
      <c r="F5932" s="7">
        <v>5487.19</v>
      </c>
      <c r="G5932">
        <v>0</v>
      </c>
      <c r="H5932" s="7">
        <v>0</v>
      </c>
    </row>
    <row r="5933" spans="1:8">
      <c r="A5933">
        <v>6</v>
      </c>
      <c r="B5933" t="s">
        <v>42</v>
      </c>
      <c r="C5933" t="s">
        <v>32</v>
      </c>
      <c r="D5933">
        <v>0</v>
      </c>
      <c r="E5933">
        <v>1</v>
      </c>
      <c r="F5933" s="7">
        <v>920.85</v>
      </c>
      <c r="G5933">
        <v>0</v>
      </c>
      <c r="H5933" s="7">
        <v>0</v>
      </c>
    </row>
    <row r="5934" spans="1:8">
      <c r="A5934">
        <v>6</v>
      </c>
      <c r="B5934" t="s">
        <v>42</v>
      </c>
      <c r="C5934" t="s">
        <v>33</v>
      </c>
      <c r="D5934">
        <v>0</v>
      </c>
      <c r="E5934">
        <v>1</v>
      </c>
      <c r="F5934" s="7">
        <v>1596.18</v>
      </c>
      <c r="G5934">
        <v>0</v>
      </c>
      <c r="H5934" s="7">
        <v>0</v>
      </c>
    </row>
    <row r="5935" spans="1:8">
      <c r="A5935">
        <v>6</v>
      </c>
      <c r="B5935" t="s">
        <v>42</v>
      </c>
      <c r="C5935" t="s">
        <v>34</v>
      </c>
      <c r="D5935">
        <v>0</v>
      </c>
      <c r="E5935">
        <v>1</v>
      </c>
      <c r="F5935" s="7">
        <v>12773.5</v>
      </c>
      <c r="G5935">
        <v>0</v>
      </c>
      <c r="H5935" s="7">
        <v>0</v>
      </c>
    </row>
    <row r="5936" spans="1:8">
      <c r="A5936">
        <v>6</v>
      </c>
      <c r="B5936" t="s">
        <v>42</v>
      </c>
      <c r="C5936" t="s">
        <v>34</v>
      </c>
      <c r="D5936">
        <v>0</v>
      </c>
      <c r="E5936">
        <v>1</v>
      </c>
      <c r="F5936" s="7">
        <v>16926.08</v>
      </c>
      <c r="G5936">
        <v>0</v>
      </c>
      <c r="H5936" s="7">
        <v>0</v>
      </c>
    </row>
    <row r="5937" spans="1:8">
      <c r="A5937">
        <v>6</v>
      </c>
      <c r="B5937" t="s">
        <v>42</v>
      </c>
      <c r="C5937" t="s">
        <v>34</v>
      </c>
      <c r="D5937">
        <v>0</v>
      </c>
      <c r="E5937">
        <v>1</v>
      </c>
      <c r="F5937" s="7">
        <v>18432.04</v>
      </c>
      <c r="G5937">
        <v>0</v>
      </c>
      <c r="H5937" s="7">
        <v>0</v>
      </c>
    </row>
    <row r="5938" spans="1:8">
      <c r="A5938">
        <v>6</v>
      </c>
      <c r="B5938" t="s">
        <v>42</v>
      </c>
      <c r="C5938" t="s">
        <v>34</v>
      </c>
      <c r="D5938">
        <v>0</v>
      </c>
      <c r="E5938">
        <v>1</v>
      </c>
      <c r="F5938" s="7">
        <v>10563.42</v>
      </c>
      <c r="G5938">
        <v>0</v>
      </c>
      <c r="H5938" s="7">
        <v>0</v>
      </c>
    </row>
    <row r="5939" spans="1:8">
      <c r="A5939">
        <v>6</v>
      </c>
      <c r="B5939" t="s">
        <v>44</v>
      </c>
      <c r="C5939" t="s">
        <v>34</v>
      </c>
      <c r="D5939">
        <v>0</v>
      </c>
      <c r="E5939">
        <v>1</v>
      </c>
      <c r="F5939" s="7">
        <v>89698.27</v>
      </c>
      <c r="G5939">
        <v>0</v>
      </c>
      <c r="H5939" s="7">
        <v>0</v>
      </c>
    </row>
    <row r="5940" spans="1:8">
      <c r="A5940">
        <v>6</v>
      </c>
      <c r="B5940" t="s">
        <v>42</v>
      </c>
      <c r="C5940" t="s">
        <v>34</v>
      </c>
      <c r="D5940">
        <v>0</v>
      </c>
      <c r="E5940">
        <v>1</v>
      </c>
      <c r="F5940" s="7">
        <v>28409.89</v>
      </c>
      <c r="G5940">
        <v>0</v>
      </c>
      <c r="H5940" s="7">
        <v>0</v>
      </c>
    </row>
    <row r="5941" spans="1:8">
      <c r="A5941">
        <v>6</v>
      </c>
      <c r="B5941" t="s">
        <v>42</v>
      </c>
      <c r="C5941" t="s">
        <v>34</v>
      </c>
      <c r="D5941">
        <v>0</v>
      </c>
      <c r="E5941">
        <v>1</v>
      </c>
      <c r="F5941" s="7">
        <v>32001.6</v>
      </c>
      <c r="G5941">
        <v>0</v>
      </c>
      <c r="H5941" s="7">
        <v>0</v>
      </c>
    </row>
    <row r="5942" spans="1:8">
      <c r="A5942">
        <v>6</v>
      </c>
      <c r="B5942" t="s">
        <v>42</v>
      </c>
      <c r="C5942" t="s">
        <v>34</v>
      </c>
      <c r="D5942">
        <v>0</v>
      </c>
      <c r="E5942">
        <v>1</v>
      </c>
      <c r="F5942" s="7">
        <v>26345.29</v>
      </c>
      <c r="G5942">
        <v>0</v>
      </c>
      <c r="H5942" s="7">
        <v>0</v>
      </c>
    </row>
    <row r="5943" spans="1:8">
      <c r="A5943">
        <v>6</v>
      </c>
      <c r="B5943" t="s">
        <v>42</v>
      </c>
      <c r="C5943" t="s">
        <v>32</v>
      </c>
      <c r="D5943">
        <v>0</v>
      </c>
      <c r="E5943">
        <v>1</v>
      </c>
      <c r="F5943" s="7">
        <v>994.95</v>
      </c>
      <c r="G5943">
        <v>0</v>
      </c>
      <c r="H5943" s="7">
        <v>0</v>
      </c>
    </row>
    <row r="5944" spans="1:8">
      <c r="A5944">
        <v>6</v>
      </c>
      <c r="B5944" t="s">
        <v>42</v>
      </c>
      <c r="C5944" t="s">
        <v>33</v>
      </c>
      <c r="D5944">
        <v>0</v>
      </c>
      <c r="E5944">
        <v>1</v>
      </c>
      <c r="F5944" s="7">
        <v>9587.91</v>
      </c>
      <c r="G5944">
        <v>0</v>
      </c>
      <c r="H5944" s="7">
        <v>0</v>
      </c>
    </row>
    <row r="5945" spans="1:8">
      <c r="A5945">
        <v>6</v>
      </c>
      <c r="B5945" t="s">
        <v>42</v>
      </c>
      <c r="C5945" t="s">
        <v>34</v>
      </c>
      <c r="D5945">
        <v>0</v>
      </c>
      <c r="E5945">
        <v>1</v>
      </c>
      <c r="F5945" s="7">
        <v>14643.37</v>
      </c>
      <c r="G5945">
        <v>0</v>
      </c>
      <c r="H5945" s="7">
        <v>0</v>
      </c>
    </row>
    <row r="5946" spans="1:8">
      <c r="A5946">
        <v>6</v>
      </c>
      <c r="B5946" t="s">
        <v>42</v>
      </c>
      <c r="C5946" t="s">
        <v>33</v>
      </c>
      <c r="D5946">
        <v>0</v>
      </c>
      <c r="E5946">
        <v>1</v>
      </c>
      <c r="F5946" s="7">
        <v>3354.28</v>
      </c>
      <c r="G5946">
        <v>0</v>
      </c>
      <c r="H5946" s="7">
        <v>0</v>
      </c>
    </row>
    <row r="5947" spans="1:8">
      <c r="A5947">
        <v>6</v>
      </c>
      <c r="B5947" t="s">
        <v>42</v>
      </c>
      <c r="C5947" t="s">
        <v>33</v>
      </c>
      <c r="D5947">
        <v>0</v>
      </c>
      <c r="E5947">
        <v>1</v>
      </c>
      <c r="F5947" s="7">
        <v>7459.42</v>
      </c>
      <c r="G5947">
        <v>0</v>
      </c>
      <c r="H5947" s="7">
        <v>0</v>
      </c>
    </row>
    <row r="5948" spans="1:8">
      <c r="A5948">
        <v>6</v>
      </c>
      <c r="B5948" t="s">
        <v>42</v>
      </c>
      <c r="C5948" t="s">
        <v>32</v>
      </c>
      <c r="D5948">
        <v>0</v>
      </c>
      <c r="E5948">
        <v>1</v>
      </c>
      <c r="F5948" s="7">
        <v>236.17</v>
      </c>
      <c r="G5948">
        <v>0</v>
      </c>
      <c r="H5948" s="7">
        <v>0</v>
      </c>
    </row>
    <row r="5949" spans="1:8">
      <c r="A5949">
        <v>6</v>
      </c>
      <c r="B5949" t="s">
        <v>42</v>
      </c>
      <c r="C5949" t="s">
        <v>32</v>
      </c>
      <c r="D5949">
        <v>0</v>
      </c>
      <c r="E5949">
        <v>1</v>
      </c>
      <c r="F5949" s="7">
        <v>435.66</v>
      </c>
      <c r="G5949">
        <v>0</v>
      </c>
      <c r="H5949" s="7">
        <v>0</v>
      </c>
    </row>
    <row r="5950" spans="1:8">
      <c r="A5950">
        <v>6</v>
      </c>
      <c r="B5950" t="s">
        <v>42</v>
      </c>
      <c r="C5950" t="s">
        <v>34</v>
      </c>
      <c r="D5950">
        <v>0</v>
      </c>
      <c r="E5950">
        <v>1</v>
      </c>
      <c r="F5950" s="7">
        <v>12937.75</v>
      </c>
      <c r="G5950">
        <v>0</v>
      </c>
      <c r="H5950" s="7">
        <v>0</v>
      </c>
    </row>
    <row r="5951" spans="1:8">
      <c r="A5951">
        <v>6</v>
      </c>
      <c r="B5951" t="s">
        <v>42</v>
      </c>
      <c r="C5951" t="s">
        <v>32</v>
      </c>
      <c r="D5951">
        <v>0</v>
      </c>
      <c r="E5951">
        <v>1</v>
      </c>
      <c r="F5951" s="7">
        <v>831.53</v>
      </c>
      <c r="G5951">
        <v>0</v>
      </c>
      <c r="H5951" s="7">
        <v>0</v>
      </c>
    </row>
    <row r="5952" spans="1:8">
      <c r="A5952">
        <v>6</v>
      </c>
      <c r="B5952" t="s">
        <v>42</v>
      </c>
      <c r="C5952" t="s">
        <v>34</v>
      </c>
      <c r="D5952">
        <v>0</v>
      </c>
      <c r="E5952">
        <v>1</v>
      </c>
      <c r="F5952" s="7">
        <v>10734.12</v>
      </c>
      <c r="G5952">
        <v>0</v>
      </c>
      <c r="H5952" s="7">
        <v>0</v>
      </c>
    </row>
    <row r="5953" spans="1:8">
      <c r="A5953">
        <v>6</v>
      </c>
      <c r="B5953" t="s">
        <v>42</v>
      </c>
      <c r="C5953" t="s">
        <v>33</v>
      </c>
      <c r="D5953">
        <v>0</v>
      </c>
      <c r="E5953">
        <v>1</v>
      </c>
      <c r="F5953" s="7">
        <v>6133.67</v>
      </c>
      <c r="G5953">
        <v>0</v>
      </c>
      <c r="H5953" s="7">
        <v>0</v>
      </c>
    </row>
    <row r="5954" spans="1:8">
      <c r="A5954">
        <v>6</v>
      </c>
      <c r="B5954" t="s">
        <v>42</v>
      </c>
      <c r="C5954" t="s">
        <v>33</v>
      </c>
      <c r="D5954">
        <v>0</v>
      </c>
      <c r="E5954">
        <v>1</v>
      </c>
      <c r="F5954" s="7">
        <v>3628.1</v>
      </c>
      <c r="G5954">
        <v>0</v>
      </c>
      <c r="H5954" s="7">
        <v>0</v>
      </c>
    </row>
    <row r="5955" spans="1:8">
      <c r="A5955">
        <v>6</v>
      </c>
      <c r="B5955" t="s">
        <v>42</v>
      </c>
      <c r="C5955" t="s">
        <v>34</v>
      </c>
      <c r="D5955">
        <v>0</v>
      </c>
      <c r="E5955">
        <v>1</v>
      </c>
      <c r="F5955" s="7">
        <v>17993.08</v>
      </c>
      <c r="G5955">
        <v>0</v>
      </c>
      <c r="H5955" s="7">
        <v>0</v>
      </c>
    </row>
    <row r="5956" spans="1:8">
      <c r="A5956">
        <v>6</v>
      </c>
      <c r="B5956" t="s">
        <v>42</v>
      </c>
      <c r="C5956" t="s">
        <v>34</v>
      </c>
      <c r="D5956">
        <v>0</v>
      </c>
      <c r="E5956">
        <v>1</v>
      </c>
      <c r="F5956" s="7">
        <v>21335.25</v>
      </c>
      <c r="G5956">
        <v>0</v>
      </c>
      <c r="H5956" s="7">
        <v>0</v>
      </c>
    </row>
    <row r="5957" spans="1:8">
      <c r="A5957">
        <v>6</v>
      </c>
      <c r="B5957" t="s">
        <v>42</v>
      </c>
      <c r="C5957" t="s">
        <v>34</v>
      </c>
      <c r="D5957">
        <v>0</v>
      </c>
      <c r="E5957">
        <v>1</v>
      </c>
      <c r="F5957" s="7">
        <v>16812.61</v>
      </c>
      <c r="G5957">
        <v>0</v>
      </c>
      <c r="H5957" s="7">
        <v>0</v>
      </c>
    </row>
    <row r="5958" spans="1:8">
      <c r="A5958">
        <v>6</v>
      </c>
      <c r="B5958" t="s">
        <v>42</v>
      </c>
      <c r="C5958" t="s">
        <v>33</v>
      </c>
      <c r="D5958">
        <v>0</v>
      </c>
      <c r="E5958">
        <v>1</v>
      </c>
      <c r="F5958" s="7">
        <v>3259.72</v>
      </c>
      <c r="G5958">
        <v>0</v>
      </c>
      <c r="H5958" s="7">
        <v>0</v>
      </c>
    </row>
    <row r="5959" spans="1:8">
      <c r="A5959">
        <v>6</v>
      </c>
      <c r="B5959" t="s">
        <v>42</v>
      </c>
      <c r="C5959" t="s">
        <v>33</v>
      </c>
      <c r="D5959">
        <v>0</v>
      </c>
      <c r="E5959">
        <v>1</v>
      </c>
      <c r="F5959" s="7">
        <v>4749.74</v>
      </c>
      <c r="G5959">
        <v>0</v>
      </c>
      <c r="H5959" s="7">
        <v>0</v>
      </c>
    </row>
    <row r="5960" spans="1:8">
      <c r="A5960">
        <v>6</v>
      </c>
      <c r="B5960" t="s">
        <v>42</v>
      </c>
      <c r="C5960" t="s">
        <v>33</v>
      </c>
      <c r="D5960">
        <v>0</v>
      </c>
      <c r="E5960">
        <v>1</v>
      </c>
      <c r="F5960" s="7">
        <v>9696.11</v>
      </c>
      <c r="G5960">
        <v>0</v>
      </c>
      <c r="H5960" s="7">
        <v>0</v>
      </c>
    </row>
    <row r="5961" spans="1:8">
      <c r="A5961">
        <v>6</v>
      </c>
      <c r="B5961" t="s">
        <v>42</v>
      </c>
      <c r="C5961" t="s">
        <v>34</v>
      </c>
      <c r="D5961">
        <v>0</v>
      </c>
      <c r="E5961">
        <v>1</v>
      </c>
      <c r="F5961" s="7">
        <v>18007.93</v>
      </c>
      <c r="G5961">
        <v>0</v>
      </c>
      <c r="H5961" s="7">
        <v>0</v>
      </c>
    </row>
    <row r="5962" spans="1:8">
      <c r="A5962">
        <v>6</v>
      </c>
      <c r="B5962" t="s">
        <v>45</v>
      </c>
      <c r="C5962" t="s">
        <v>33</v>
      </c>
      <c r="D5962">
        <v>0</v>
      </c>
      <c r="E5962">
        <v>1</v>
      </c>
      <c r="F5962" s="7">
        <v>3649.45</v>
      </c>
      <c r="G5962">
        <v>0</v>
      </c>
      <c r="H5962" s="7">
        <v>0</v>
      </c>
    </row>
    <row r="5963" spans="1:8">
      <c r="A5963">
        <v>6</v>
      </c>
      <c r="B5963" t="s">
        <v>42</v>
      </c>
      <c r="C5963" t="s">
        <v>33</v>
      </c>
      <c r="D5963">
        <v>0</v>
      </c>
      <c r="E5963">
        <v>1</v>
      </c>
      <c r="F5963" s="7">
        <v>7257.38</v>
      </c>
      <c r="G5963">
        <v>0</v>
      </c>
      <c r="H5963" s="7">
        <v>0</v>
      </c>
    </row>
    <row r="5964" spans="1:8">
      <c r="A5964">
        <v>6</v>
      </c>
      <c r="B5964" t="s">
        <v>42</v>
      </c>
      <c r="C5964" t="s">
        <v>33</v>
      </c>
      <c r="D5964">
        <v>0</v>
      </c>
      <c r="E5964">
        <v>1</v>
      </c>
      <c r="F5964" s="7">
        <v>5348.94</v>
      </c>
      <c r="G5964">
        <v>0</v>
      </c>
      <c r="H5964" s="7">
        <v>0</v>
      </c>
    </row>
    <row r="5965" spans="1:8">
      <c r="A5965">
        <v>6</v>
      </c>
      <c r="B5965" t="s">
        <v>44</v>
      </c>
      <c r="C5965" t="s">
        <v>33</v>
      </c>
      <c r="D5965">
        <v>0</v>
      </c>
      <c r="E5965">
        <v>1</v>
      </c>
      <c r="F5965" s="7">
        <v>6683.95</v>
      </c>
      <c r="G5965">
        <v>0</v>
      </c>
      <c r="H5965" s="7">
        <v>0</v>
      </c>
    </row>
    <row r="5966" spans="1:8">
      <c r="A5966">
        <v>6</v>
      </c>
      <c r="B5966" t="s">
        <v>42</v>
      </c>
      <c r="C5966" t="s">
        <v>33</v>
      </c>
      <c r="D5966">
        <v>0</v>
      </c>
      <c r="E5966">
        <v>1</v>
      </c>
      <c r="F5966" s="7">
        <v>1700.47</v>
      </c>
      <c r="G5966">
        <v>0</v>
      </c>
      <c r="H5966" s="7">
        <v>0</v>
      </c>
    </row>
    <row r="5967" spans="1:8">
      <c r="A5967">
        <v>6</v>
      </c>
      <c r="B5967" t="s">
        <v>42</v>
      </c>
      <c r="C5967" t="s">
        <v>34</v>
      </c>
      <c r="D5967">
        <v>0</v>
      </c>
      <c r="E5967">
        <v>1</v>
      </c>
      <c r="F5967" s="7">
        <v>12293.9</v>
      </c>
      <c r="G5967">
        <v>0</v>
      </c>
      <c r="H5967" s="7">
        <v>0</v>
      </c>
    </row>
    <row r="5968" spans="1:8">
      <c r="A5968">
        <v>6</v>
      </c>
      <c r="B5968" t="s">
        <v>42</v>
      </c>
      <c r="C5968" t="s">
        <v>33</v>
      </c>
      <c r="D5968">
        <v>0</v>
      </c>
      <c r="E5968">
        <v>1</v>
      </c>
      <c r="F5968" s="7">
        <v>2621.13</v>
      </c>
      <c r="G5968">
        <v>0</v>
      </c>
      <c r="H5968" s="7">
        <v>0</v>
      </c>
    </row>
    <row r="5969" spans="1:8">
      <c r="A5969">
        <v>6</v>
      </c>
      <c r="B5969" t="s">
        <v>42</v>
      </c>
      <c r="C5969" t="s">
        <v>34</v>
      </c>
      <c r="D5969">
        <v>0</v>
      </c>
      <c r="E5969">
        <v>1</v>
      </c>
      <c r="F5969" s="7">
        <v>11342.04</v>
      </c>
      <c r="G5969">
        <v>0</v>
      </c>
      <c r="H5969" s="7">
        <v>0</v>
      </c>
    </row>
    <row r="5970" spans="1:8">
      <c r="A5970">
        <v>6</v>
      </c>
      <c r="B5970" t="s">
        <v>43</v>
      </c>
      <c r="C5970" t="s">
        <v>35</v>
      </c>
      <c r="D5970">
        <v>0</v>
      </c>
      <c r="E5970">
        <v>1</v>
      </c>
      <c r="F5970" s="7">
        <v>102506.97</v>
      </c>
      <c r="G5970">
        <v>0</v>
      </c>
      <c r="H5970" s="7">
        <v>0</v>
      </c>
    </row>
    <row r="5971" spans="1:8">
      <c r="A5971">
        <v>6</v>
      </c>
      <c r="B5971" t="s">
        <v>42</v>
      </c>
      <c r="C5971" t="s">
        <v>34</v>
      </c>
      <c r="D5971">
        <v>0</v>
      </c>
      <c r="E5971">
        <v>1</v>
      </c>
      <c r="F5971" s="7">
        <v>41853.65</v>
      </c>
      <c r="G5971">
        <v>0</v>
      </c>
      <c r="H5971" s="7">
        <v>0</v>
      </c>
    </row>
    <row r="5972" spans="1:8">
      <c r="A5972">
        <v>6</v>
      </c>
      <c r="B5972" t="s">
        <v>42</v>
      </c>
      <c r="C5972" t="s">
        <v>34</v>
      </c>
      <c r="D5972">
        <v>0</v>
      </c>
      <c r="E5972">
        <v>1</v>
      </c>
      <c r="F5972" s="7">
        <v>15584.63</v>
      </c>
      <c r="G5972">
        <v>0</v>
      </c>
      <c r="H5972" s="7">
        <v>0</v>
      </c>
    </row>
    <row r="5973" spans="1:8">
      <c r="A5973">
        <v>6</v>
      </c>
      <c r="B5973" t="s">
        <v>42</v>
      </c>
      <c r="C5973" t="s">
        <v>34</v>
      </c>
      <c r="D5973">
        <v>0</v>
      </c>
      <c r="E5973">
        <v>1</v>
      </c>
      <c r="F5973" s="7">
        <v>25224.88</v>
      </c>
      <c r="G5973">
        <v>0</v>
      </c>
      <c r="H5973" s="7">
        <v>0</v>
      </c>
    </row>
    <row r="5974" spans="1:8">
      <c r="A5974">
        <v>6</v>
      </c>
      <c r="B5974" t="s">
        <v>42</v>
      </c>
      <c r="C5974" t="s">
        <v>33</v>
      </c>
      <c r="D5974">
        <v>0</v>
      </c>
      <c r="E5974">
        <v>1</v>
      </c>
      <c r="F5974" s="7">
        <v>3875.51</v>
      </c>
      <c r="G5974">
        <v>0</v>
      </c>
      <c r="H5974" s="7">
        <v>0</v>
      </c>
    </row>
    <row r="5975" spans="1:8">
      <c r="A5975">
        <v>6</v>
      </c>
      <c r="B5975" t="s">
        <v>42</v>
      </c>
      <c r="C5975" t="s">
        <v>34</v>
      </c>
      <c r="D5975">
        <v>0</v>
      </c>
      <c r="E5975">
        <v>1</v>
      </c>
      <c r="F5975" s="7">
        <v>11420.91</v>
      </c>
      <c r="G5975">
        <v>0</v>
      </c>
      <c r="H5975" s="7">
        <v>0</v>
      </c>
    </row>
    <row r="5976" spans="1:8">
      <c r="A5976">
        <v>6</v>
      </c>
      <c r="B5976" t="s">
        <v>42</v>
      </c>
      <c r="C5976" t="s">
        <v>34</v>
      </c>
      <c r="D5976">
        <v>0</v>
      </c>
      <c r="E5976">
        <v>1</v>
      </c>
      <c r="F5976" s="7">
        <v>16418.78</v>
      </c>
      <c r="G5976">
        <v>0</v>
      </c>
      <c r="H5976" s="7">
        <v>0</v>
      </c>
    </row>
    <row r="5977" spans="1:8">
      <c r="A5977">
        <v>6</v>
      </c>
      <c r="B5977" t="s">
        <v>42</v>
      </c>
      <c r="C5977" t="s">
        <v>34</v>
      </c>
      <c r="D5977">
        <v>0</v>
      </c>
      <c r="E5977">
        <v>1</v>
      </c>
      <c r="F5977" s="7">
        <v>37311.65</v>
      </c>
      <c r="G5977">
        <v>0</v>
      </c>
      <c r="H5977" s="7">
        <v>0</v>
      </c>
    </row>
    <row r="5978" spans="1:8">
      <c r="A5978">
        <v>6</v>
      </c>
      <c r="B5978" t="s">
        <v>44</v>
      </c>
      <c r="C5978" t="s">
        <v>34</v>
      </c>
      <c r="D5978">
        <v>0</v>
      </c>
      <c r="E5978">
        <v>1</v>
      </c>
      <c r="F5978" s="7">
        <v>49350.98</v>
      </c>
      <c r="G5978">
        <v>0</v>
      </c>
      <c r="H5978" s="7">
        <v>0</v>
      </c>
    </row>
    <row r="5979" spans="1:8">
      <c r="A5979">
        <v>6</v>
      </c>
      <c r="B5979" t="s">
        <v>42</v>
      </c>
      <c r="C5979" t="s">
        <v>34</v>
      </c>
      <c r="D5979">
        <v>0</v>
      </c>
      <c r="E5979">
        <v>1</v>
      </c>
      <c r="F5979" s="7">
        <v>10529.72</v>
      </c>
      <c r="G5979">
        <v>0</v>
      </c>
      <c r="H5979" s="7">
        <v>0</v>
      </c>
    </row>
    <row r="5980" spans="1:8">
      <c r="A5980">
        <v>6</v>
      </c>
      <c r="B5980" t="s">
        <v>42</v>
      </c>
      <c r="C5980" t="s">
        <v>33</v>
      </c>
      <c r="D5980">
        <v>0</v>
      </c>
      <c r="E5980">
        <v>1</v>
      </c>
      <c r="F5980" s="7">
        <v>9292.35</v>
      </c>
      <c r="G5980">
        <v>0</v>
      </c>
      <c r="H5980" s="7">
        <v>0</v>
      </c>
    </row>
    <row r="5981" spans="1:8">
      <c r="A5981">
        <v>6</v>
      </c>
      <c r="B5981" t="s">
        <v>42</v>
      </c>
      <c r="C5981" t="s">
        <v>33</v>
      </c>
      <c r="D5981">
        <v>0</v>
      </c>
      <c r="E5981">
        <v>1</v>
      </c>
      <c r="F5981" s="7">
        <v>3392.46</v>
      </c>
      <c r="G5981">
        <v>0</v>
      </c>
      <c r="H5981" s="7">
        <v>0</v>
      </c>
    </row>
    <row r="5982" spans="1:8">
      <c r="A5982">
        <v>6</v>
      </c>
      <c r="B5982" t="s">
        <v>43</v>
      </c>
      <c r="C5982" t="s">
        <v>34</v>
      </c>
      <c r="D5982">
        <v>0</v>
      </c>
      <c r="E5982">
        <v>1</v>
      </c>
      <c r="F5982" s="7">
        <v>18554.73</v>
      </c>
      <c r="G5982">
        <v>0</v>
      </c>
      <c r="H5982" s="7">
        <v>0</v>
      </c>
    </row>
    <row r="5983" spans="1:8">
      <c r="A5983">
        <v>6</v>
      </c>
      <c r="B5983" t="s">
        <v>42</v>
      </c>
      <c r="C5983" t="s">
        <v>33</v>
      </c>
      <c r="D5983">
        <v>0</v>
      </c>
      <c r="E5983">
        <v>1</v>
      </c>
      <c r="F5983" s="7">
        <v>8453.39</v>
      </c>
      <c r="G5983">
        <v>0</v>
      </c>
      <c r="H5983" s="7">
        <v>0</v>
      </c>
    </row>
    <row r="5984" spans="1:8">
      <c r="A5984">
        <v>6</v>
      </c>
      <c r="B5984" t="s">
        <v>42</v>
      </c>
      <c r="C5984" t="s">
        <v>33</v>
      </c>
      <c r="D5984">
        <v>0</v>
      </c>
      <c r="E5984">
        <v>1</v>
      </c>
      <c r="F5984" s="7">
        <v>8363.92</v>
      </c>
      <c r="G5984">
        <v>0</v>
      </c>
      <c r="H5984" s="7">
        <v>0</v>
      </c>
    </row>
    <row r="5985" spans="1:8">
      <c r="A5985">
        <v>6</v>
      </c>
      <c r="B5985" t="s">
        <v>42</v>
      </c>
      <c r="C5985" t="s">
        <v>33</v>
      </c>
      <c r="D5985">
        <v>0</v>
      </c>
      <c r="E5985">
        <v>1</v>
      </c>
      <c r="F5985" s="7">
        <v>6931.4</v>
      </c>
      <c r="G5985">
        <v>0</v>
      </c>
      <c r="H5985" s="7">
        <v>0</v>
      </c>
    </row>
    <row r="5986" spans="1:8">
      <c r="A5986">
        <v>6</v>
      </c>
      <c r="B5986" t="s">
        <v>42</v>
      </c>
      <c r="C5986" t="s">
        <v>34</v>
      </c>
      <c r="D5986">
        <v>0</v>
      </c>
      <c r="E5986">
        <v>1</v>
      </c>
      <c r="F5986" s="7">
        <v>13992.76</v>
      </c>
      <c r="G5986">
        <v>0</v>
      </c>
      <c r="H5986" s="7">
        <v>0</v>
      </c>
    </row>
    <row r="5987" spans="1:8">
      <c r="A5987">
        <v>6</v>
      </c>
      <c r="B5987" t="s">
        <v>42</v>
      </c>
      <c r="C5987" t="s">
        <v>34</v>
      </c>
      <c r="D5987">
        <v>0</v>
      </c>
      <c r="E5987">
        <v>1</v>
      </c>
      <c r="F5987" s="7">
        <v>11829.72</v>
      </c>
      <c r="G5987">
        <v>0</v>
      </c>
      <c r="H5987" s="7">
        <v>0</v>
      </c>
    </row>
    <row r="5988" spans="1:8">
      <c r="A5988">
        <v>6</v>
      </c>
      <c r="B5988" t="s">
        <v>42</v>
      </c>
      <c r="C5988" t="s">
        <v>33</v>
      </c>
      <c r="D5988">
        <v>0</v>
      </c>
      <c r="E5988">
        <v>1</v>
      </c>
      <c r="F5988" s="7">
        <v>3334.03</v>
      </c>
      <c r="G5988">
        <v>0</v>
      </c>
      <c r="H5988" s="7">
        <v>0</v>
      </c>
    </row>
    <row r="5989" spans="1:8">
      <c r="A5989">
        <v>6</v>
      </c>
      <c r="B5989" t="s">
        <v>42</v>
      </c>
      <c r="C5989" t="s">
        <v>34</v>
      </c>
      <c r="D5989">
        <v>0</v>
      </c>
      <c r="E5989">
        <v>1</v>
      </c>
      <c r="F5989" s="7">
        <v>11621.62</v>
      </c>
      <c r="G5989">
        <v>0</v>
      </c>
      <c r="H5989" s="7">
        <v>0</v>
      </c>
    </row>
    <row r="5990" spans="1:8">
      <c r="A5990">
        <v>6</v>
      </c>
      <c r="B5990" t="s">
        <v>42</v>
      </c>
      <c r="C5990" t="s">
        <v>33</v>
      </c>
      <c r="D5990">
        <v>0</v>
      </c>
      <c r="E5990">
        <v>1</v>
      </c>
      <c r="F5990" s="7">
        <v>3101.99</v>
      </c>
      <c r="G5990">
        <v>0</v>
      </c>
      <c r="H5990" s="7">
        <v>0</v>
      </c>
    </row>
    <row r="5991" spans="1:8">
      <c r="A5991">
        <v>6</v>
      </c>
      <c r="B5991" t="s">
        <v>42</v>
      </c>
      <c r="C5991" t="s">
        <v>34</v>
      </c>
      <c r="D5991">
        <v>0</v>
      </c>
      <c r="E5991">
        <v>1</v>
      </c>
      <c r="F5991" s="7">
        <v>22976.16</v>
      </c>
      <c r="G5991">
        <v>0</v>
      </c>
      <c r="H5991" s="7">
        <v>0</v>
      </c>
    </row>
    <row r="5992" spans="1:8">
      <c r="A5992">
        <v>6</v>
      </c>
      <c r="B5992" t="s">
        <v>43</v>
      </c>
      <c r="C5992" t="s">
        <v>35</v>
      </c>
      <c r="D5992">
        <v>0</v>
      </c>
      <c r="E5992">
        <v>1</v>
      </c>
      <c r="F5992" s="7">
        <v>157635.81</v>
      </c>
      <c r="G5992">
        <v>0</v>
      </c>
      <c r="H5992" s="7">
        <v>0</v>
      </c>
    </row>
    <row r="5993" spans="1:8">
      <c r="A5993">
        <v>6</v>
      </c>
      <c r="B5993" t="s">
        <v>42</v>
      </c>
      <c r="C5993" t="s">
        <v>34</v>
      </c>
      <c r="D5993">
        <v>0</v>
      </c>
      <c r="E5993">
        <v>1</v>
      </c>
      <c r="F5993" s="7">
        <v>10827.05</v>
      </c>
      <c r="G5993">
        <v>0</v>
      </c>
      <c r="H5993" s="7">
        <v>0</v>
      </c>
    </row>
    <row r="5994" spans="1:8">
      <c r="A5994">
        <v>6</v>
      </c>
      <c r="B5994" t="s">
        <v>43</v>
      </c>
      <c r="C5994" t="s">
        <v>35</v>
      </c>
      <c r="D5994">
        <v>0</v>
      </c>
      <c r="E5994">
        <v>1</v>
      </c>
      <c r="F5994" s="7">
        <v>368444.96</v>
      </c>
      <c r="G5994">
        <v>0</v>
      </c>
      <c r="H5994" s="7">
        <v>0</v>
      </c>
    </row>
    <row r="5995" spans="1:8">
      <c r="A5995">
        <v>6</v>
      </c>
      <c r="B5995" t="s">
        <v>42</v>
      </c>
      <c r="C5995" t="s">
        <v>34</v>
      </c>
      <c r="D5995">
        <v>0</v>
      </c>
      <c r="E5995">
        <v>1</v>
      </c>
      <c r="F5995" s="7">
        <v>32339.19</v>
      </c>
      <c r="G5995">
        <v>0</v>
      </c>
      <c r="H5995" s="7">
        <v>0</v>
      </c>
    </row>
    <row r="5996" spans="1:8">
      <c r="A5996">
        <v>6</v>
      </c>
      <c r="B5996" t="s">
        <v>42</v>
      </c>
      <c r="C5996" t="s">
        <v>34</v>
      </c>
      <c r="D5996">
        <v>0</v>
      </c>
      <c r="E5996">
        <v>1</v>
      </c>
      <c r="F5996" s="7">
        <v>18046.34</v>
      </c>
      <c r="G5996">
        <v>0</v>
      </c>
      <c r="H5996" s="7">
        <v>0</v>
      </c>
    </row>
    <row r="5997" spans="1:8">
      <c r="A5997">
        <v>6</v>
      </c>
      <c r="B5997" t="s">
        <v>43</v>
      </c>
      <c r="C5997" t="s">
        <v>35</v>
      </c>
      <c r="D5997">
        <v>0</v>
      </c>
      <c r="E5997">
        <v>1</v>
      </c>
      <c r="F5997" s="7">
        <v>218698.72</v>
      </c>
      <c r="G5997">
        <v>0</v>
      </c>
      <c r="H5997" s="7">
        <v>0</v>
      </c>
    </row>
    <row r="5998" spans="1:8">
      <c r="A5998">
        <v>6</v>
      </c>
      <c r="B5998" t="s">
        <v>42</v>
      </c>
      <c r="C5998" t="s">
        <v>34</v>
      </c>
      <c r="D5998">
        <v>0</v>
      </c>
      <c r="E5998">
        <v>1</v>
      </c>
      <c r="F5998" s="7">
        <v>13742.28</v>
      </c>
      <c r="G5998">
        <v>0</v>
      </c>
      <c r="H5998" s="7">
        <v>0</v>
      </c>
    </row>
    <row r="5999" spans="1:8">
      <c r="A5999">
        <v>6</v>
      </c>
      <c r="B5999" t="s">
        <v>42</v>
      </c>
      <c r="C5999" t="s">
        <v>34</v>
      </c>
      <c r="D5999">
        <v>0</v>
      </c>
      <c r="E5999">
        <v>1</v>
      </c>
      <c r="F5999" s="7">
        <v>11506.17</v>
      </c>
      <c r="G5999">
        <v>0</v>
      </c>
      <c r="H5999" s="7">
        <v>0</v>
      </c>
    </row>
    <row r="6000" spans="1:8">
      <c r="A6000">
        <v>6</v>
      </c>
      <c r="B6000" t="s">
        <v>43</v>
      </c>
      <c r="C6000" t="s">
        <v>34</v>
      </c>
      <c r="D6000">
        <v>1</v>
      </c>
      <c r="E6000">
        <v>1</v>
      </c>
      <c r="F6000" s="7">
        <v>30521.02</v>
      </c>
      <c r="G6000">
        <v>1</v>
      </c>
      <c r="H6000" s="7">
        <v>30521.02</v>
      </c>
    </row>
    <row r="6001" spans="1:8">
      <c r="A6001">
        <v>6</v>
      </c>
      <c r="B6001" t="s">
        <v>44</v>
      </c>
      <c r="C6001" t="s">
        <v>34</v>
      </c>
      <c r="D6001">
        <v>1</v>
      </c>
      <c r="E6001">
        <v>1</v>
      </c>
      <c r="F6001" s="7">
        <v>30521.02</v>
      </c>
      <c r="G6001">
        <v>1</v>
      </c>
      <c r="H6001" s="7">
        <v>30521.02</v>
      </c>
    </row>
    <row r="6002" spans="1:8">
      <c r="A6002">
        <v>6</v>
      </c>
      <c r="B6002" t="s">
        <v>42</v>
      </c>
      <c r="C6002" t="s">
        <v>33</v>
      </c>
      <c r="D6002">
        <v>0</v>
      </c>
      <c r="E6002">
        <v>1</v>
      </c>
      <c r="F6002" s="7">
        <v>5976.69</v>
      </c>
      <c r="G6002">
        <v>0</v>
      </c>
      <c r="H6002" s="7">
        <v>0</v>
      </c>
    </row>
    <row r="6003" spans="1:8">
      <c r="A6003">
        <v>6</v>
      </c>
      <c r="B6003" t="s">
        <v>42</v>
      </c>
      <c r="C6003" t="s">
        <v>34</v>
      </c>
      <c r="D6003">
        <v>0</v>
      </c>
      <c r="E6003">
        <v>1</v>
      </c>
      <c r="F6003" s="7">
        <v>16056.03</v>
      </c>
      <c r="G6003">
        <v>0</v>
      </c>
      <c r="H6003" s="7">
        <v>0</v>
      </c>
    </row>
    <row r="6004" spans="1:8">
      <c r="A6004">
        <v>6</v>
      </c>
      <c r="B6004" t="s">
        <v>42</v>
      </c>
      <c r="C6004" t="s">
        <v>34</v>
      </c>
      <c r="D6004">
        <v>0</v>
      </c>
      <c r="E6004">
        <v>1</v>
      </c>
      <c r="F6004" s="7">
        <v>12743.43</v>
      </c>
      <c r="G6004">
        <v>0</v>
      </c>
      <c r="H6004" s="7">
        <v>0</v>
      </c>
    </row>
    <row r="6005" spans="1:8">
      <c r="A6005">
        <v>6</v>
      </c>
      <c r="B6005" t="s">
        <v>42</v>
      </c>
      <c r="C6005" t="s">
        <v>34</v>
      </c>
      <c r="D6005">
        <v>0</v>
      </c>
      <c r="E6005">
        <v>1</v>
      </c>
      <c r="F6005" s="7">
        <v>35236.35</v>
      </c>
      <c r="G6005">
        <v>0</v>
      </c>
      <c r="H6005" s="7">
        <v>0</v>
      </c>
    </row>
    <row r="6006" spans="1:8">
      <c r="A6006">
        <v>6</v>
      </c>
      <c r="B6006" t="s">
        <v>42</v>
      </c>
      <c r="C6006" t="s">
        <v>34</v>
      </c>
      <c r="D6006">
        <v>0</v>
      </c>
      <c r="E6006">
        <v>1</v>
      </c>
      <c r="F6006" s="7">
        <v>27595.56</v>
      </c>
      <c r="G6006">
        <v>0</v>
      </c>
      <c r="H6006" s="7">
        <v>0</v>
      </c>
    </row>
    <row r="6007" spans="1:8">
      <c r="A6007">
        <v>6</v>
      </c>
      <c r="B6007" t="s">
        <v>43</v>
      </c>
      <c r="C6007" t="s">
        <v>35</v>
      </c>
      <c r="D6007">
        <v>0</v>
      </c>
      <c r="E6007">
        <v>1</v>
      </c>
      <c r="F6007" s="7">
        <v>412579.72</v>
      </c>
      <c r="G6007">
        <v>0</v>
      </c>
      <c r="H6007" s="7">
        <v>0</v>
      </c>
    </row>
    <row r="6008" spans="1:8">
      <c r="A6008">
        <v>6</v>
      </c>
      <c r="B6008" t="s">
        <v>43</v>
      </c>
      <c r="C6008" t="s">
        <v>35</v>
      </c>
      <c r="D6008">
        <v>0</v>
      </c>
      <c r="E6008">
        <v>1</v>
      </c>
      <c r="F6008" s="7">
        <v>113782.9</v>
      </c>
      <c r="G6008">
        <v>0</v>
      </c>
      <c r="H6008" s="7">
        <v>0</v>
      </c>
    </row>
    <row r="6009" spans="1:8">
      <c r="A6009">
        <v>6</v>
      </c>
      <c r="B6009" t="s">
        <v>43</v>
      </c>
      <c r="C6009" t="s">
        <v>35</v>
      </c>
      <c r="D6009">
        <v>0</v>
      </c>
      <c r="E6009">
        <v>1</v>
      </c>
      <c r="F6009" s="7">
        <v>805550.98</v>
      </c>
      <c r="G6009">
        <v>0</v>
      </c>
      <c r="H6009" s="7">
        <v>0</v>
      </c>
    </row>
    <row r="6010" spans="1:8">
      <c r="A6010">
        <v>6</v>
      </c>
      <c r="B6010" t="s">
        <v>43</v>
      </c>
      <c r="C6010" t="s">
        <v>35</v>
      </c>
      <c r="D6010">
        <v>0</v>
      </c>
      <c r="E6010">
        <v>1</v>
      </c>
      <c r="F6010" s="7">
        <v>168867.61</v>
      </c>
      <c r="G6010">
        <v>0</v>
      </c>
      <c r="H6010" s="7">
        <v>0</v>
      </c>
    </row>
    <row r="6011" spans="1:8">
      <c r="A6011">
        <v>6</v>
      </c>
      <c r="B6011" t="s">
        <v>43</v>
      </c>
      <c r="C6011" t="s">
        <v>36</v>
      </c>
      <c r="D6011">
        <v>0</v>
      </c>
      <c r="E6011">
        <v>1</v>
      </c>
      <c r="F6011" s="7">
        <v>1781452.87</v>
      </c>
      <c r="G6011">
        <v>0</v>
      </c>
      <c r="H6011" s="7">
        <v>0</v>
      </c>
    </row>
    <row r="6012" spans="1:8">
      <c r="A6012">
        <v>6</v>
      </c>
      <c r="B6012" t="s">
        <v>43</v>
      </c>
      <c r="C6012" t="s">
        <v>36</v>
      </c>
      <c r="D6012">
        <v>0</v>
      </c>
      <c r="E6012">
        <v>1</v>
      </c>
      <c r="F6012" s="7">
        <v>1490781.74</v>
      </c>
      <c r="G6012">
        <v>0</v>
      </c>
      <c r="H6012" s="7">
        <v>0</v>
      </c>
    </row>
    <row r="6013" spans="1:8">
      <c r="A6013">
        <v>6</v>
      </c>
      <c r="B6013" t="s">
        <v>43</v>
      </c>
      <c r="C6013" t="s">
        <v>36</v>
      </c>
      <c r="D6013">
        <v>0</v>
      </c>
      <c r="E6013">
        <v>1</v>
      </c>
      <c r="F6013" s="7">
        <v>1595612.93</v>
      </c>
      <c r="G6013">
        <v>0</v>
      </c>
      <c r="H6013" s="7">
        <v>0</v>
      </c>
    </row>
    <row r="6014" spans="1:8">
      <c r="A6014">
        <v>6</v>
      </c>
      <c r="B6014" t="s">
        <v>43</v>
      </c>
      <c r="C6014" t="s">
        <v>35</v>
      </c>
      <c r="D6014">
        <v>0</v>
      </c>
      <c r="E6014">
        <v>1</v>
      </c>
      <c r="F6014" s="7">
        <v>358736.5</v>
      </c>
      <c r="G6014">
        <v>0</v>
      </c>
      <c r="H6014" s="7">
        <v>0</v>
      </c>
    </row>
    <row r="6015" spans="1:8">
      <c r="A6015">
        <v>6</v>
      </c>
      <c r="B6015" t="s">
        <v>43</v>
      </c>
      <c r="C6015" t="s">
        <v>35</v>
      </c>
      <c r="D6015">
        <v>0</v>
      </c>
      <c r="E6015">
        <v>1</v>
      </c>
      <c r="F6015" s="7">
        <v>626070.45</v>
      </c>
      <c r="G6015">
        <v>0</v>
      </c>
      <c r="H6015" s="7">
        <v>0</v>
      </c>
    </row>
    <row r="6016" spans="1:8">
      <c r="A6016">
        <v>6</v>
      </c>
      <c r="B6016" t="s">
        <v>43</v>
      </c>
      <c r="C6016" t="s">
        <v>35</v>
      </c>
      <c r="D6016">
        <v>0</v>
      </c>
      <c r="E6016">
        <v>1</v>
      </c>
      <c r="F6016" s="7">
        <v>820399.29</v>
      </c>
      <c r="G6016">
        <v>0</v>
      </c>
      <c r="H6016" s="7">
        <v>0</v>
      </c>
    </row>
    <row r="6017" spans="1:8">
      <c r="A6017">
        <v>6</v>
      </c>
      <c r="B6017" t="s">
        <v>43</v>
      </c>
      <c r="C6017" t="s">
        <v>35</v>
      </c>
      <c r="D6017">
        <v>0</v>
      </c>
      <c r="E6017">
        <v>1</v>
      </c>
      <c r="F6017" s="7">
        <v>488338.66</v>
      </c>
      <c r="G6017">
        <v>0</v>
      </c>
      <c r="H6017" s="7">
        <v>0</v>
      </c>
    </row>
    <row r="6018" spans="1:8">
      <c r="A6018">
        <v>6</v>
      </c>
      <c r="B6018" t="s">
        <v>43</v>
      </c>
      <c r="C6018" t="s">
        <v>36</v>
      </c>
      <c r="D6018">
        <v>0</v>
      </c>
      <c r="E6018">
        <v>1</v>
      </c>
      <c r="F6018" s="7">
        <v>1168674.62</v>
      </c>
      <c r="G6018">
        <v>0</v>
      </c>
      <c r="H6018" s="7">
        <v>0</v>
      </c>
    </row>
    <row r="6019" spans="1:8">
      <c r="A6019">
        <v>6</v>
      </c>
      <c r="B6019" t="s">
        <v>43</v>
      </c>
      <c r="C6019" t="s">
        <v>35</v>
      </c>
      <c r="D6019">
        <v>0</v>
      </c>
      <c r="E6019">
        <v>1</v>
      </c>
      <c r="F6019" s="7">
        <v>934479.64</v>
      </c>
      <c r="G6019">
        <v>0</v>
      </c>
      <c r="H6019" s="7">
        <v>0</v>
      </c>
    </row>
    <row r="6020" spans="1:8">
      <c r="A6020">
        <v>6</v>
      </c>
      <c r="B6020" t="s">
        <v>43</v>
      </c>
      <c r="C6020" t="s">
        <v>35</v>
      </c>
      <c r="D6020">
        <v>0</v>
      </c>
      <c r="E6020">
        <v>1</v>
      </c>
      <c r="F6020" s="7">
        <v>258126.09</v>
      </c>
      <c r="G6020">
        <v>0</v>
      </c>
      <c r="H6020" s="7">
        <v>0</v>
      </c>
    </row>
    <row r="6021" spans="1:8">
      <c r="A6021">
        <v>6</v>
      </c>
      <c r="B6021" t="s">
        <v>43</v>
      </c>
      <c r="C6021" t="s">
        <v>34</v>
      </c>
      <c r="D6021">
        <v>0</v>
      </c>
      <c r="E6021">
        <v>1</v>
      </c>
      <c r="F6021" s="7">
        <v>98781.87</v>
      </c>
      <c r="G6021">
        <v>0</v>
      </c>
      <c r="H6021" s="7">
        <v>0</v>
      </c>
    </row>
    <row r="6022" spans="1:8">
      <c r="A6022">
        <v>6</v>
      </c>
      <c r="B6022" t="s">
        <v>43</v>
      </c>
      <c r="C6022" t="s">
        <v>35</v>
      </c>
      <c r="D6022">
        <v>0</v>
      </c>
      <c r="E6022">
        <v>1</v>
      </c>
      <c r="F6022" s="7">
        <v>204302.85</v>
      </c>
      <c r="G6022">
        <v>0</v>
      </c>
      <c r="H6022" s="7">
        <v>0</v>
      </c>
    </row>
    <row r="6023" spans="1:8">
      <c r="A6023">
        <v>6</v>
      </c>
      <c r="B6023" t="s">
        <v>43</v>
      </c>
      <c r="C6023" t="s">
        <v>35</v>
      </c>
      <c r="D6023">
        <v>0</v>
      </c>
      <c r="E6023">
        <v>1</v>
      </c>
      <c r="F6023" s="7">
        <v>205253.3</v>
      </c>
      <c r="G6023">
        <v>0</v>
      </c>
      <c r="H6023" s="7">
        <v>0</v>
      </c>
    </row>
    <row r="6024" spans="1:8">
      <c r="A6024">
        <v>6</v>
      </c>
      <c r="B6024" t="s">
        <v>43</v>
      </c>
      <c r="C6024" t="s">
        <v>35</v>
      </c>
      <c r="D6024">
        <v>0</v>
      </c>
      <c r="E6024">
        <v>1</v>
      </c>
      <c r="F6024" s="7">
        <v>833142.33</v>
      </c>
      <c r="G6024">
        <v>0</v>
      </c>
      <c r="H6024" s="7">
        <v>0</v>
      </c>
    </row>
    <row r="6025" spans="1:8">
      <c r="A6025">
        <v>6</v>
      </c>
      <c r="B6025" t="s">
        <v>43</v>
      </c>
      <c r="C6025" t="s">
        <v>35</v>
      </c>
      <c r="D6025">
        <v>0</v>
      </c>
      <c r="E6025">
        <v>1</v>
      </c>
      <c r="F6025" s="7">
        <v>126085.63</v>
      </c>
      <c r="G6025">
        <v>0</v>
      </c>
      <c r="H6025" s="7">
        <v>0</v>
      </c>
    </row>
    <row r="6026" spans="1:8">
      <c r="A6026">
        <v>6</v>
      </c>
      <c r="B6026" t="s">
        <v>42</v>
      </c>
      <c r="C6026" t="s">
        <v>33</v>
      </c>
      <c r="D6026">
        <v>0</v>
      </c>
      <c r="E6026">
        <v>1</v>
      </c>
      <c r="F6026" s="7">
        <v>5799.88</v>
      </c>
      <c r="G6026">
        <v>0</v>
      </c>
      <c r="H6026" s="7">
        <v>0</v>
      </c>
    </row>
    <row r="6027" spans="1:8">
      <c r="A6027">
        <v>6</v>
      </c>
      <c r="B6027" t="s">
        <v>44</v>
      </c>
      <c r="C6027" t="s">
        <v>35</v>
      </c>
      <c r="D6027">
        <v>0</v>
      </c>
      <c r="E6027">
        <v>1</v>
      </c>
      <c r="F6027" s="7">
        <v>248203.85</v>
      </c>
      <c r="G6027">
        <v>0</v>
      </c>
      <c r="H6027" s="7">
        <v>0</v>
      </c>
    </row>
    <row r="6028" spans="1:8">
      <c r="A6028">
        <v>6</v>
      </c>
      <c r="B6028" t="s">
        <v>44</v>
      </c>
      <c r="C6028" t="s">
        <v>35</v>
      </c>
      <c r="D6028">
        <v>0</v>
      </c>
      <c r="E6028">
        <v>1</v>
      </c>
      <c r="F6028" s="7">
        <v>295176.67</v>
      </c>
      <c r="G6028">
        <v>0</v>
      </c>
      <c r="H6028" s="7">
        <v>0</v>
      </c>
    </row>
    <row r="6029" spans="1:8">
      <c r="A6029">
        <v>6</v>
      </c>
      <c r="B6029" t="s">
        <v>42</v>
      </c>
      <c r="C6029" t="s">
        <v>34</v>
      </c>
      <c r="D6029">
        <v>0</v>
      </c>
      <c r="E6029">
        <v>1</v>
      </c>
      <c r="F6029" s="7">
        <v>19027.76</v>
      </c>
      <c r="G6029">
        <v>0</v>
      </c>
      <c r="H6029" s="7">
        <v>0</v>
      </c>
    </row>
    <row r="6030" spans="1:8">
      <c r="A6030">
        <v>6</v>
      </c>
      <c r="B6030" t="s">
        <v>45</v>
      </c>
      <c r="C6030" t="s">
        <v>33</v>
      </c>
      <c r="D6030">
        <v>0</v>
      </c>
      <c r="E6030">
        <v>1</v>
      </c>
      <c r="F6030" s="7">
        <v>3452.87</v>
      </c>
      <c r="G6030">
        <v>0</v>
      </c>
      <c r="H6030" s="7">
        <v>0</v>
      </c>
    </row>
    <row r="6031" spans="1:8">
      <c r="A6031">
        <v>6</v>
      </c>
      <c r="B6031" t="s">
        <v>46</v>
      </c>
      <c r="C6031" t="s">
        <v>34</v>
      </c>
      <c r="D6031">
        <v>0</v>
      </c>
      <c r="E6031">
        <v>1</v>
      </c>
      <c r="F6031" s="7">
        <v>99040.28</v>
      </c>
      <c r="G6031">
        <v>0</v>
      </c>
      <c r="H6031" s="7">
        <v>0</v>
      </c>
    </row>
    <row r="6032" spans="1:8">
      <c r="A6032">
        <v>6</v>
      </c>
      <c r="B6032" t="s">
        <v>46</v>
      </c>
      <c r="C6032" t="s">
        <v>35</v>
      </c>
      <c r="D6032">
        <v>0</v>
      </c>
      <c r="E6032">
        <v>1</v>
      </c>
      <c r="F6032" s="7">
        <v>114981.84</v>
      </c>
      <c r="G6032">
        <v>0</v>
      </c>
      <c r="H6032" s="7">
        <v>0</v>
      </c>
    </row>
    <row r="6033" spans="1:8">
      <c r="A6033">
        <v>6</v>
      </c>
      <c r="B6033" t="s">
        <v>46</v>
      </c>
      <c r="C6033" t="s">
        <v>35</v>
      </c>
      <c r="D6033">
        <v>0</v>
      </c>
      <c r="E6033">
        <v>1</v>
      </c>
      <c r="F6033" s="7">
        <v>300516.87</v>
      </c>
      <c r="G6033">
        <v>0</v>
      </c>
      <c r="H6033" s="7">
        <v>0</v>
      </c>
    </row>
    <row r="6034" spans="1:8">
      <c r="A6034">
        <v>6</v>
      </c>
      <c r="B6034" t="s">
        <v>46</v>
      </c>
      <c r="C6034" t="s">
        <v>33</v>
      </c>
      <c r="D6034">
        <v>0</v>
      </c>
      <c r="E6034">
        <v>1</v>
      </c>
      <c r="F6034" s="7">
        <v>9005.13</v>
      </c>
      <c r="G6034">
        <v>0</v>
      </c>
      <c r="H6034" s="7">
        <v>0</v>
      </c>
    </row>
    <row r="6035" spans="1:8">
      <c r="A6035">
        <v>6</v>
      </c>
      <c r="B6035" t="s">
        <v>46</v>
      </c>
      <c r="C6035" t="s">
        <v>34</v>
      </c>
      <c r="D6035">
        <v>0</v>
      </c>
      <c r="E6035">
        <v>1</v>
      </c>
      <c r="F6035" s="7">
        <v>71416.65</v>
      </c>
      <c r="G6035">
        <v>0</v>
      </c>
      <c r="H6035" s="7">
        <v>0</v>
      </c>
    </row>
    <row r="6036" spans="1:8">
      <c r="A6036">
        <v>6</v>
      </c>
      <c r="B6036" t="s">
        <v>46</v>
      </c>
      <c r="C6036" t="s">
        <v>35</v>
      </c>
      <c r="D6036">
        <v>0</v>
      </c>
      <c r="E6036">
        <v>1</v>
      </c>
      <c r="F6036" s="7">
        <v>144858.21</v>
      </c>
      <c r="G6036">
        <v>0</v>
      </c>
      <c r="H6036" s="7">
        <v>0</v>
      </c>
    </row>
    <row r="6037" spans="1:8">
      <c r="A6037">
        <v>6</v>
      </c>
      <c r="B6037" t="s">
        <v>42</v>
      </c>
      <c r="C6037" t="s">
        <v>34</v>
      </c>
      <c r="D6037">
        <v>0</v>
      </c>
      <c r="E6037">
        <v>1</v>
      </c>
      <c r="F6037" s="7">
        <v>31337.01</v>
      </c>
      <c r="G6037">
        <v>0</v>
      </c>
      <c r="H6037" s="7">
        <v>0</v>
      </c>
    </row>
    <row r="6038" spans="1:8">
      <c r="A6038">
        <v>6</v>
      </c>
      <c r="B6038" t="s">
        <v>42</v>
      </c>
      <c r="C6038" t="s">
        <v>34</v>
      </c>
      <c r="D6038">
        <v>0</v>
      </c>
      <c r="E6038">
        <v>1</v>
      </c>
      <c r="F6038" s="7">
        <v>43920.58</v>
      </c>
      <c r="G6038">
        <v>0</v>
      </c>
      <c r="H6038" s="7">
        <v>0</v>
      </c>
    </row>
    <row r="6039" spans="1:8">
      <c r="A6039">
        <v>6</v>
      </c>
      <c r="B6039" t="s">
        <v>42</v>
      </c>
      <c r="C6039" t="s">
        <v>34</v>
      </c>
      <c r="D6039">
        <v>0</v>
      </c>
      <c r="E6039">
        <v>1</v>
      </c>
      <c r="F6039" s="7">
        <v>35758.01</v>
      </c>
      <c r="G6039">
        <v>0</v>
      </c>
      <c r="H6039" s="7">
        <v>0</v>
      </c>
    </row>
    <row r="6040" spans="1:8">
      <c r="A6040">
        <v>6</v>
      </c>
      <c r="B6040" t="s">
        <v>42</v>
      </c>
      <c r="C6040" t="s">
        <v>34</v>
      </c>
      <c r="D6040">
        <v>0</v>
      </c>
      <c r="E6040">
        <v>1</v>
      </c>
      <c r="F6040" s="7">
        <v>17896.02</v>
      </c>
      <c r="G6040">
        <v>0</v>
      </c>
      <c r="H6040" s="7">
        <v>0</v>
      </c>
    </row>
    <row r="6041" spans="1:8">
      <c r="A6041">
        <v>6</v>
      </c>
      <c r="B6041" t="s">
        <v>42</v>
      </c>
      <c r="C6041" t="s">
        <v>33</v>
      </c>
      <c r="D6041">
        <v>0</v>
      </c>
      <c r="E6041">
        <v>1</v>
      </c>
      <c r="F6041" s="7">
        <v>8800.31</v>
      </c>
      <c r="G6041">
        <v>0</v>
      </c>
      <c r="H6041" s="7">
        <v>0</v>
      </c>
    </row>
    <row r="6042" spans="1:8">
      <c r="A6042">
        <v>6</v>
      </c>
      <c r="B6042" t="s">
        <v>42</v>
      </c>
      <c r="C6042" t="s">
        <v>32</v>
      </c>
      <c r="D6042">
        <v>0</v>
      </c>
      <c r="E6042">
        <v>1</v>
      </c>
      <c r="F6042" s="7">
        <v>552.85</v>
      </c>
      <c r="G6042">
        <v>0</v>
      </c>
      <c r="H6042" s="7">
        <v>0</v>
      </c>
    </row>
    <row r="6043" spans="1:8">
      <c r="A6043">
        <v>6</v>
      </c>
      <c r="B6043" t="s">
        <v>42</v>
      </c>
      <c r="C6043" t="s">
        <v>33</v>
      </c>
      <c r="D6043">
        <v>0</v>
      </c>
      <c r="E6043">
        <v>1</v>
      </c>
      <c r="F6043" s="7">
        <v>3952.88</v>
      </c>
      <c r="G6043">
        <v>0</v>
      </c>
      <c r="H6043" s="7">
        <v>0</v>
      </c>
    </row>
    <row r="6044" spans="1:8">
      <c r="A6044">
        <v>6</v>
      </c>
      <c r="B6044" t="s">
        <v>42</v>
      </c>
      <c r="C6044" t="s">
        <v>33</v>
      </c>
      <c r="D6044">
        <v>0</v>
      </c>
      <c r="E6044">
        <v>1</v>
      </c>
      <c r="F6044" s="7">
        <v>2855.16</v>
      </c>
      <c r="G6044">
        <v>0</v>
      </c>
      <c r="H6044" s="7">
        <v>0</v>
      </c>
    </row>
    <row r="6045" spans="1:8">
      <c r="A6045">
        <v>6</v>
      </c>
      <c r="B6045" t="s">
        <v>42</v>
      </c>
      <c r="C6045" t="s">
        <v>33</v>
      </c>
      <c r="D6045">
        <v>0</v>
      </c>
      <c r="E6045">
        <v>1</v>
      </c>
      <c r="F6045" s="7">
        <v>7371.23</v>
      </c>
      <c r="G6045">
        <v>0</v>
      </c>
      <c r="H6045" s="7">
        <v>0</v>
      </c>
    </row>
    <row r="6046" spans="1:8">
      <c r="A6046">
        <v>6</v>
      </c>
      <c r="B6046" t="s">
        <v>42</v>
      </c>
      <c r="C6046" t="s">
        <v>34</v>
      </c>
      <c r="D6046">
        <v>0</v>
      </c>
      <c r="E6046">
        <v>1</v>
      </c>
      <c r="F6046" s="7">
        <v>13080.98</v>
      </c>
      <c r="G6046">
        <v>0</v>
      </c>
      <c r="H6046" s="7">
        <v>0</v>
      </c>
    </row>
    <row r="6047" spans="1:8">
      <c r="A6047">
        <v>6</v>
      </c>
      <c r="B6047" t="s">
        <v>42</v>
      </c>
      <c r="C6047" t="s">
        <v>33</v>
      </c>
      <c r="D6047">
        <v>0</v>
      </c>
      <c r="E6047">
        <v>1</v>
      </c>
      <c r="F6047" s="7">
        <v>3799.78</v>
      </c>
      <c r="G6047">
        <v>0</v>
      </c>
      <c r="H6047" s="7">
        <v>0</v>
      </c>
    </row>
    <row r="6048" spans="1:8">
      <c r="A6048">
        <v>6</v>
      </c>
      <c r="B6048" t="s">
        <v>42</v>
      </c>
      <c r="C6048" t="s">
        <v>33</v>
      </c>
      <c r="D6048">
        <v>0</v>
      </c>
      <c r="E6048">
        <v>1</v>
      </c>
      <c r="F6048" s="7">
        <v>2563.99</v>
      </c>
      <c r="G6048">
        <v>0</v>
      </c>
      <c r="H6048" s="7">
        <v>0</v>
      </c>
    </row>
    <row r="6049" spans="1:8">
      <c r="A6049">
        <v>6</v>
      </c>
      <c r="B6049" t="s">
        <v>44</v>
      </c>
      <c r="C6049" t="s">
        <v>34</v>
      </c>
      <c r="D6049">
        <v>0</v>
      </c>
      <c r="E6049">
        <v>1</v>
      </c>
      <c r="F6049" s="7">
        <v>98177.84</v>
      </c>
      <c r="G6049">
        <v>0</v>
      </c>
      <c r="H6049" s="7">
        <v>0</v>
      </c>
    </row>
    <row r="6050" spans="1:8">
      <c r="A6050">
        <v>6</v>
      </c>
      <c r="B6050" t="s">
        <v>44</v>
      </c>
      <c r="C6050" t="s">
        <v>34</v>
      </c>
      <c r="D6050">
        <v>0</v>
      </c>
      <c r="E6050">
        <v>1</v>
      </c>
      <c r="F6050" s="7">
        <v>18923.09</v>
      </c>
      <c r="G6050">
        <v>0</v>
      </c>
      <c r="H6050" s="7">
        <v>0</v>
      </c>
    </row>
    <row r="6051" spans="1:8">
      <c r="A6051">
        <v>6</v>
      </c>
      <c r="B6051" t="s">
        <v>42</v>
      </c>
      <c r="C6051" t="s">
        <v>34</v>
      </c>
      <c r="D6051">
        <v>0</v>
      </c>
      <c r="E6051">
        <v>1</v>
      </c>
      <c r="F6051" s="7">
        <v>25484.25</v>
      </c>
      <c r="G6051">
        <v>0</v>
      </c>
      <c r="H6051" s="7">
        <v>0</v>
      </c>
    </row>
    <row r="6052" spans="1:8">
      <c r="A6052">
        <v>6</v>
      </c>
      <c r="B6052" t="s">
        <v>42</v>
      </c>
      <c r="C6052" t="s">
        <v>33</v>
      </c>
      <c r="D6052">
        <v>0</v>
      </c>
      <c r="E6052">
        <v>1</v>
      </c>
      <c r="F6052" s="7">
        <v>5998.69</v>
      </c>
      <c r="G6052">
        <v>0</v>
      </c>
      <c r="H6052" s="7">
        <v>0</v>
      </c>
    </row>
    <row r="6053" spans="1:8">
      <c r="A6053">
        <v>6</v>
      </c>
      <c r="B6053" t="s">
        <v>42</v>
      </c>
      <c r="C6053" t="s">
        <v>34</v>
      </c>
      <c r="D6053">
        <v>0</v>
      </c>
      <c r="E6053">
        <v>1</v>
      </c>
      <c r="F6053" s="7">
        <v>26255.27</v>
      </c>
      <c r="G6053">
        <v>0</v>
      </c>
      <c r="H6053" s="7">
        <v>0</v>
      </c>
    </row>
    <row r="6054" spans="1:8">
      <c r="A6054">
        <v>6</v>
      </c>
      <c r="B6054" t="s">
        <v>44</v>
      </c>
      <c r="C6054" t="s">
        <v>35</v>
      </c>
      <c r="D6054">
        <v>0</v>
      </c>
      <c r="E6054">
        <v>1</v>
      </c>
      <c r="F6054" s="7">
        <v>142268.91</v>
      </c>
      <c r="G6054">
        <v>0</v>
      </c>
      <c r="H6054" s="7">
        <v>0</v>
      </c>
    </row>
    <row r="6055" spans="1:8">
      <c r="A6055">
        <v>6</v>
      </c>
      <c r="B6055" t="s">
        <v>42</v>
      </c>
      <c r="C6055" t="s">
        <v>33</v>
      </c>
      <c r="D6055">
        <v>0</v>
      </c>
      <c r="E6055">
        <v>1</v>
      </c>
      <c r="F6055" s="7">
        <v>9087.23</v>
      </c>
      <c r="G6055">
        <v>0</v>
      </c>
      <c r="H6055" s="7">
        <v>0</v>
      </c>
    </row>
    <row r="6056" spans="1:8">
      <c r="A6056">
        <v>6</v>
      </c>
      <c r="B6056" t="s">
        <v>43</v>
      </c>
      <c r="C6056" t="s">
        <v>35</v>
      </c>
      <c r="D6056">
        <v>0</v>
      </c>
      <c r="E6056">
        <v>1</v>
      </c>
      <c r="F6056" s="7">
        <v>165969.93</v>
      </c>
      <c r="G6056">
        <v>0</v>
      </c>
      <c r="H6056" s="7">
        <v>0</v>
      </c>
    </row>
    <row r="6057" spans="1:8">
      <c r="A6057">
        <v>6</v>
      </c>
      <c r="B6057" t="s">
        <v>42</v>
      </c>
      <c r="C6057" t="s">
        <v>33</v>
      </c>
      <c r="D6057">
        <v>0</v>
      </c>
      <c r="E6057">
        <v>1</v>
      </c>
      <c r="F6057" s="7">
        <v>2769.89</v>
      </c>
      <c r="G6057">
        <v>0</v>
      </c>
      <c r="H6057" s="7">
        <v>0</v>
      </c>
    </row>
    <row r="6058" spans="1:8">
      <c r="A6058">
        <v>6</v>
      </c>
      <c r="B6058" t="s">
        <v>42</v>
      </c>
      <c r="C6058" t="s">
        <v>33</v>
      </c>
      <c r="D6058">
        <v>0</v>
      </c>
      <c r="E6058">
        <v>1</v>
      </c>
      <c r="F6058" s="7">
        <v>6202.41</v>
      </c>
      <c r="G6058">
        <v>0</v>
      </c>
      <c r="H6058" s="7">
        <v>0</v>
      </c>
    </row>
    <row r="6059" spans="1:8">
      <c r="A6059">
        <v>6</v>
      </c>
      <c r="B6059" t="s">
        <v>42</v>
      </c>
      <c r="C6059" t="s">
        <v>34</v>
      </c>
      <c r="D6059">
        <v>0</v>
      </c>
      <c r="E6059">
        <v>1</v>
      </c>
      <c r="F6059" s="7">
        <v>13276.84</v>
      </c>
      <c r="G6059">
        <v>0</v>
      </c>
      <c r="H6059" s="7">
        <v>0</v>
      </c>
    </row>
    <row r="6060" spans="1:8">
      <c r="A6060">
        <v>6</v>
      </c>
      <c r="B6060" t="s">
        <v>42</v>
      </c>
      <c r="C6060" t="s">
        <v>34</v>
      </c>
      <c r="D6060">
        <v>0</v>
      </c>
      <c r="E6060">
        <v>1</v>
      </c>
      <c r="F6060" s="7">
        <v>15770.62</v>
      </c>
      <c r="G6060">
        <v>0</v>
      </c>
      <c r="H6060" s="7">
        <v>0</v>
      </c>
    </row>
    <row r="6061" spans="1:8">
      <c r="A6061">
        <v>6</v>
      </c>
      <c r="B6061" t="s">
        <v>42</v>
      </c>
      <c r="C6061" t="s">
        <v>33</v>
      </c>
      <c r="D6061">
        <v>0</v>
      </c>
      <c r="E6061">
        <v>1</v>
      </c>
      <c r="F6061" s="7">
        <v>1653.29</v>
      </c>
      <c r="G6061">
        <v>0</v>
      </c>
      <c r="H6061" s="7">
        <v>0</v>
      </c>
    </row>
    <row r="6062" spans="1:8">
      <c r="A6062">
        <v>6</v>
      </c>
      <c r="B6062" t="s">
        <v>42</v>
      </c>
      <c r="C6062" t="s">
        <v>34</v>
      </c>
      <c r="D6062">
        <v>0</v>
      </c>
      <c r="E6062">
        <v>1</v>
      </c>
      <c r="F6062" s="7">
        <v>18661.6</v>
      </c>
      <c r="G6062">
        <v>0</v>
      </c>
      <c r="H6062" s="7">
        <v>0</v>
      </c>
    </row>
    <row r="6063" spans="1:8">
      <c r="A6063">
        <v>6</v>
      </c>
      <c r="B6063" t="s">
        <v>42</v>
      </c>
      <c r="C6063" t="s">
        <v>34</v>
      </c>
      <c r="D6063">
        <v>0</v>
      </c>
      <c r="E6063">
        <v>1</v>
      </c>
      <c r="F6063" s="7">
        <v>15353.55</v>
      </c>
      <c r="G6063">
        <v>0</v>
      </c>
      <c r="H6063" s="7">
        <v>0</v>
      </c>
    </row>
    <row r="6064" spans="1:8">
      <c r="A6064">
        <v>6</v>
      </c>
      <c r="B6064" t="s">
        <v>42</v>
      </c>
      <c r="C6064" t="s">
        <v>33</v>
      </c>
      <c r="D6064">
        <v>0</v>
      </c>
      <c r="E6064">
        <v>1</v>
      </c>
      <c r="F6064" s="7">
        <v>6205.29</v>
      </c>
      <c r="G6064">
        <v>0</v>
      </c>
      <c r="H6064" s="7">
        <v>0</v>
      </c>
    </row>
    <row r="6065" spans="1:8">
      <c r="A6065">
        <v>6</v>
      </c>
      <c r="B6065" t="s">
        <v>42</v>
      </c>
      <c r="C6065" t="s">
        <v>34</v>
      </c>
      <c r="D6065">
        <v>0</v>
      </c>
      <c r="E6065">
        <v>1</v>
      </c>
      <c r="F6065" s="7">
        <v>14845.9</v>
      </c>
      <c r="G6065">
        <v>0</v>
      </c>
      <c r="H6065" s="7">
        <v>0</v>
      </c>
    </row>
    <row r="6066" spans="1:8">
      <c r="A6066">
        <v>6</v>
      </c>
      <c r="B6066" t="s">
        <v>42</v>
      </c>
      <c r="C6066" t="s">
        <v>33</v>
      </c>
      <c r="D6066">
        <v>0</v>
      </c>
      <c r="E6066">
        <v>1</v>
      </c>
      <c r="F6066" s="7">
        <v>7569.28</v>
      </c>
      <c r="G6066">
        <v>0</v>
      </c>
      <c r="H6066" s="7">
        <v>0</v>
      </c>
    </row>
    <row r="6067" spans="1:8">
      <c r="A6067">
        <v>6</v>
      </c>
      <c r="B6067" t="s">
        <v>42</v>
      </c>
      <c r="C6067" t="s">
        <v>34</v>
      </c>
      <c r="D6067">
        <v>0</v>
      </c>
      <c r="E6067">
        <v>1</v>
      </c>
      <c r="F6067" s="7">
        <v>24755.75</v>
      </c>
      <c r="G6067">
        <v>0</v>
      </c>
      <c r="H6067" s="7">
        <v>0</v>
      </c>
    </row>
    <row r="6068" spans="1:8">
      <c r="A6068">
        <v>6</v>
      </c>
      <c r="B6068" t="s">
        <v>42</v>
      </c>
      <c r="C6068" t="s">
        <v>33</v>
      </c>
      <c r="D6068">
        <v>0</v>
      </c>
      <c r="E6068">
        <v>1</v>
      </c>
      <c r="F6068" s="7">
        <v>6574.18</v>
      </c>
      <c r="G6068">
        <v>0</v>
      </c>
      <c r="H6068" s="7">
        <v>0</v>
      </c>
    </row>
    <row r="6069" spans="1:8">
      <c r="A6069">
        <v>6</v>
      </c>
      <c r="B6069" t="s">
        <v>44</v>
      </c>
      <c r="C6069" t="s">
        <v>35</v>
      </c>
      <c r="D6069">
        <v>0</v>
      </c>
      <c r="E6069">
        <v>1</v>
      </c>
      <c r="F6069" s="7">
        <v>244750.95</v>
      </c>
      <c r="G6069">
        <v>0</v>
      </c>
      <c r="H6069" s="7">
        <v>0</v>
      </c>
    </row>
    <row r="6070" spans="1:8">
      <c r="A6070">
        <v>6</v>
      </c>
      <c r="B6070" t="s">
        <v>42</v>
      </c>
      <c r="C6070" t="s">
        <v>34</v>
      </c>
      <c r="D6070">
        <v>0</v>
      </c>
      <c r="E6070">
        <v>1</v>
      </c>
      <c r="F6070" s="7">
        <v>14956.56</v>
      </c>
      <c r="G6070">
        <v>0</v>
      </c>
      <c r="H6070" s="7">
        <v>0</v>
      </c>
    </row>
    <row r="6071" spans="1:8">
      <c r="A6071">
        <v>6</v>
      </c>
      <c r="B6071" t="s">
        <v>44</v>
      </c>
      <c r="C6071" t="s">
        <v>35</v>
      </c>
      <c r="D6071">
        <v>0</v>
      </c>
      <c r="E6071">
        <v>1</v>
      </c>
      <c r="F6071" s="7">
        <v>185379.97</v>
      </c>
      <c r="G6071">
        <v>0</v>
      </c>
      <c r="H6071" s="7">
        <v>0</v>
      </c>
    </row>
    <row r="6072" spans="1:8">
      <c r="A6072">
        <v>6</v>
      </c>
      <c r="B6072" t="s">
        <v>44</v>
      </c>
      <c r="C6072" t="s">
        <v>34</v>
      </c>
      <c r="D6072">
        <v>0</v>
      </c>
      <c r="E6072">
        <v>1</v>
      </c>
      <c r="F6072" s="7">
        <v>68264.98</v>
      </c>
      <c r="G6072">
        <v>0</v>
      </c>
      <c r="H6072" s="7">
        <v>0</v>
      </c>
    </row>
    <row r="6073" spans="1:8">
      <c r="A6073">
        <v>6</v>
      </c>
      <c r="B6073" t="s">
        <v>44</v>
      </c>
      <c r="C6073" t="s">
        <v>33</v>
      </c>
      <c r="D6073">
        <v>0</v>
      </c>
      <c r="E6073">
        <v>1</v>
      </c>
      <c r="F6073" s="7">
        <v>9536.43</v>
      </c>
      <c r="G6073">
        <v>0</v>
      </c>
      <c r="H6073" s="7">
        <v>0</v>
      </c>
    </row>
    <row r="6074" spans="1:8">
      <c r="A6074">
        <v>6</v>
      </c>
      <c r="B6074" t="s">
        <v>44</v>
      </c>
      <c r="C6074" t="s">
        <v>35</v>
      </c>
      <c r="D6074">
        <v>0</v>
      </c>
      <c r="E6074">
        <v>1</v>
      </c>
      <c r="F6074" s="7">
        <v>643767.43</v>
      </c>
      <c r="G6074">
        <v>0</v>
      </c>
      <c r="H6074" s="7">
        <v>0</v>
      </c>
    </row>
    <row r="6075" spans="1:8">
      <c r="A6075">
        <v>6</v>
      </c>
      <c r="B6075" t="s">
        <v>44</v>
      </c>
      <c r="C6075" t="s">
        <v>35</v>
      </c>
      <c r="D6075">
        <v>0</v>
      </c>
      <c r="E6075">
        <v>1</v>
      </c>
      <c r="F6075" s="7">
        <v>482542.82</v>
      </c>
      <c r="G6075">
        <v>0</v>
      </c>
      <c r="H6075" s="7">
        <v>0</v>
      </c>
    </row>
    <row r="6076" spans="1:8">
      <c r="A6076">
        <v>6</v>
      </c>
      <c r="B6076" t="s">
        <v>44</v>
      </c>
      <c r="C6076" t="s">
        <v>34</v>
      </c>
      <c r="D6076">
        <v>0</v>
      </c>
      <c r="E6076">
        <v>1</v>
      </c>
      <c r="F6076" s="7">
        <v>54095.79</v>
      </c>
      <c r="G6076">
        <v>0</v>
      </c>
      <c r="H6076" s="7">
        <v>0</v>
      </c>
    </row>
    <row r="6077" spans="1:8">
      <c r="A6077">
        <v>6</v>
      </c>
      <c r="B6077" t="s">
        <v>44</v>
      </c>
      <c r="C6077" t="s">
        <v>35</v>
      </c>
      <c r="D6077">
        <v>0</v>
      </c>
      <c r="E6077">
        <v>1</v>
      </c>
      <c r="F6077" s="7">
        <v>248408.34</v>
      </c>
      <c r="G6077">
        <v>0</v>
      </c>
      <c r="H6077" s="7">
        <v>0</v>
      </c>
    </row>
    <row r="6078" spans="1:8">
      <c r="A6078">
        <v>6</v>
      </c>
      <c r="B6078" t="s">
        <v>44</v>
      </c>
      <c r="C6078" t="s">
        <v>34</v>
      </c>
      <c r="D6078">
        <v>0</v>
      </c>
      <c r="E6078">
        <v>1</v>
      </c>
      <c r="F6078" s="7">
        <v>18979.27</v>
      </c>
      <c r="G6078">
        <v>0</v>
      </c>
      <c r="H6078" s="7">
        <v>0</v>
      </c>
    </row>
    <row r="6079" spans="1:8">
      <c r="A6079">
        <v>6</v>
      </c>
      <c r="B6079" t="s">
        <v>44</v>
      </c>
      <c r="C6079" t="s">
        <v>34</v>
      </c>
      <c r="D6079">
        <v>0</v>
      </c>
      <c r="E6079">
        <v>1</v>
      </c>
      <c r="F6079" s="7">
        <v>49996.07</v>
      </c>
      <c r="G6079">
        <v>0</v>
      </c>
      <c r="H6079" s="7">
        <v>0</v>
      </c>
    </row>
    <row r="6080" spans="1:8">
      <c r="A6080">
        <v>6</v>
      </c>
      <c r="B6080" t="s">
        <v>44</v>
      </c>
      <c r="C6080" t="s">
        <v>33</v>
      </c>
      <c r="D6080">
        <v>0</v>
      </c>
      <c r="E6080">
        <v>1</v>
      </c>
      <c r="F6080" s="7">
        <v>2657.5</v>
      </c>
      <c r="G6080">
        <v>0</v>
      </c>
      <c r="H6080" s="7">
        <v>0</v>
      </c>
    </row>
    <row r="6081" spans="1:8">
      <c r="A6081">
        <v>6</v>
      </c>
      <c r="B6081" t="s">
        <v>44</v>
      </c>
      <c r="C6081" t="s">
        <v>35</v>
      </c>
      <c r="D6081">
        <v>0</v>
      </c>
      <c r="E6081">
        <v>1</v>
      </c>
      <c r="F6081" s="7">
        <v>547597.44</v>
      </c>
      <c r="G6081">
        <v>0</v>
      </c>
      <c r="H6081" s="7">
        <v>0</v>
      </c>
    </row>
    <row r="6082" spans="1:8">
      <c r="A6082">
        <v>6</v>
      </c>
      <c r="B6082" t="s">
        <v>44</v>
      </c>
      <c r="C6082" t="s">
        <v>34</v>
      </c>
      <c r="D6082">
        <v>0</v>
      </c>
      <c r="E6082">
        <v>1</v>
      </c>
      <c r="F6082" s="7">
        <v>86520.54</v>
      </c>
      <c r="G6082">
        <v>0</v>
      </c>
      <c r="H6082" s="7">
        <v>0</v>
      </c>
    </row>
    <row r="6083" spans="1:8">
      <c r="A6083">
        <v>6</v>
      </c>
      <c r="B6083" t="s">
        <v>42</v>
      </c>
      <c r="C6083" t="s">
        <v>33</v>
      </c>
      <c r="D6083">
        <v>0</v>
      </c>
      <c r="E6083">
        <v>1</v>
      </c>
      <c r="F6083" s="7">
        <v>2642.23</v>
      </c>
      <c r="G6083">
        <v>0</v>
      </c>
      <c r="H6083" s="7">
        <v>0</v>
      </c>
    </row>
    <row r="6084" spans="1:8">
      <c r="A6084">
        <v>6</v>
      </c>
      <c r="B6084" t="s">
        <v>42</v>
      </c>
      <c r="C6084" t="s">
        <v>34</v>
      </c>
      <c r="D6084">
        <v>0</v>
      </c>
      <c r="E6084">
        <v>1</v>
      </c>
      <c r="F6084" s="7">
        <v>10070.84</v>
      </c>
      <c r="G6084">
        <v>0</v>
      </c>
      <c r="H6084" s="7">
        <v>0</v>
      </c>
    </row>
    <row r="6085" spans="1:8">
      <c r="A6085">
        <v>6</v>
      </c>
      <c r="B6085" t="s">
        <v>43</v>
      </c>
      <c r="C6085" t="s">
        <v>35</v>
      </c>
      <c r="D6085">
        <v>0</v>
      </c>
      <c r="E6085">
        <v>1</v>
      </c>
      <c r="F6085" s="7">
        <v>248826.61</v>
      </c>
      <c r="G6085">
        <v>0</v>
      </c>
      <c r="H6085" s="7">
        <v>0</v>
      </c>
    </row>
    <row r="6086" spans="1:8">
      <c r="A6086">
        <v>6</v>
      </c>
      <c r="B6086" t="s">
        <v>43</v>
      </c>
      <c r="C6086" t="s">
        <v>35</v>
      </c>
      <c r="D6086">
        <v>0</v>
      </c>
      <c r="E6086">
        <v>1</v>
      </c>
      <c r="F6086" s="7">
        <v>182524.92</v>
      </c>
      <c r="G6086">
        <v>0</v>
      </c>
      <c r="H6086" s="7">
        <v>0</v>
      </c>
    </row>
    <row r="6087" spans="1:8">
      <c r="A6087">
        <v>6</v>
      </c>
      <c r="B6087" t="s">
        <v>42</v>
      </c>
      <c r="C6087" t="s">
        <v>34</v>
      </c>
      <c r="D6087">
        <v>0</v>
      </c>
      <c r="E6087">
        <v>1</v>
      </c>
      <c r="F6087" s="7">
        <v>16791.74</v>
      </c>
      <c r="G6087">
        <v>0</v>
      </c>
      <c r="H6087" s="7">
        <v>0</v>
      </c>
    </row>
    <row r="6088" spans="1:8">
      <c r="A6088">
        <v>6</v>
      </c>
      <c r="B6088" t="s">
        <v>42</v>
      </c>
      <c r="C6088" t="s">
        <v>33</v>
      </c>
      <c r="D6088">
        <v>0</v>
      </c>
      <c r="E6088">
        <v>1</v>
      </c>
      <c r="F6088" s="7">
        <v>5105.25</v>
      </c>
      <c r="G6088">
        <v>0</v>
      </c>
      <c r="H6088" s="7">
        <v>0</v>
      </c>
    </row>
    <row r="6089" spans="1:8">
      <c r="A6089">
        <v>6</v>
      </c>
      <c r="B6089" t="s">
        <v>42</v>
      </c>
      <c r="C6089" t="s">
        <v>34</v>
      </c>
      <c r="D6089">
        <v>0</v>
      </c>
      <c r="E6089">
        <v>1</v>
      </c>
      <c r="F6089" s="7">
        <v>13688.99</v>
      </c>
      <c r="G6089">
        <v>0</v>
      </c>
      <c r="H6089" s="7">
        <v>0</v>
      </c>
    </row>
    <row r="6090" spans="1:8">
      <c r="A6090">
        <v>6</v>
      </c>
      <c r="B6090" t="s">
        <v>42</v>
      </c>
      <c r="C6090" t="s">
        <v>33</v>
      </c>
      <c r="D6090">
        <v>0</v>
      </c>
      <c r="E6090">
        <v>1</v>
      </c>
      <c r="F6090" s="7">
        <v>5972.35</v>
      </c>
      <c r="G6090">
        <v>0</v>
      </c>
      <c r="H6090" s="7">
        <v>0</v>
      </c>
    </row>
    <row r="6091" spans="1:8">
      <c r="A6091">
        <v>6</v>
      </c>
      <c r="B6091" t="s">
        <v>42</v>
      </c>
      <c r="C6091" t="s">
        <v>33</v>
      </c>
      <c r="D6091">
        <v>0</v>
      </c>
      <c r="E6091">
        <v>1</v>
      </c>
      <c r="F6091" s="7">
        <v>7669.22</v>
      </c>
      <c r="G6091">
        <v>0</v>
      </c>
      <c r="H6091" s="7">
        <v>0</v>
      </c>
    </row>
    <row r="6092" spans="1:8">
      <c r="A6092">
        <v>6</v>
      </c>
      <c r="B6092" t="s">
        <v>42</v>
      </c>
      <c r="C6092" t="s">
        <v>33</v>
      </c>
      <c r="D6092">
        <v>0</v>
      </c>
      <c r="E6092">
        <v>1</v>
      </c>
      <c r="F6092" s="7">
        <v>5791.67</v>
      </c>
      <c r="G6092">
        <v>0</v>
      </c>
      <c r="H6092" s="7">
        <v>0</v>
      </c>
    </row>
    <row r="6093" spans="1:8">
      <c r="A6093">
        <v>6</v>
      </c>
      <c r="B6093" t="s">
        <v>42</v>
      </c>
      <c r="C6093" t="s">
        <v>34</v>
      </c>
      <c r="D6093">
        <v>0</v>
      </c>
      <c r="E6093">
        <v>1</v>
      </c>
      <c r="F6093" s="7">
        <v>16600.63</v>
      </c>
      <c r="G6093">
        <v>0</v>
      </c>
      <c r="H6093" s="7">
        <v>0</v>
      </c>
    </row>
    <row r="6094" spans="1:8">
      <c r="A6094">
        <v>6</v>
      </c>
      <c r="B6094" t="s">
        <v>42</v>
      </c>
      <c r="C6094" t="s">
        <v>33</v>
      </c>
      <c r="D6094">
        <v>0</v>
      </c>
      <c r="E6094">
        <v>1</v>
      </c>
      <c r="F6094" s="7">
        <v>2792.6</v>
      </c>
      <c r="G6094">
        <v>0</v>
      </c>
      <c r="H6094" s="7">
        <v>0</v>
      </c>
    </row>
    <row r="6095" spans="1:8">
      <c r="A6095">
        <v>6</v>
      </c>
      <c r="B6095" t="s">
        <v>42</v>
      </c>
      <c r="C6095" t="s">
        <v>34</v>
      </c>
      <c r="D6095">
        <v>0</v>
      </c>
      <c r="E6095">
        <v>1</v>
      </c>
      <c r="F6095" s="7">
        <v>17555.4</v>
      </c>
      <c r="G6095">
        <v>0</v>
      </c>
      <c r="H6095" s="7">
        <v>0</v>
      </c>
    </row>
    <row r="6096" spans="1:8">
      <c r="A6096">
        <v>6</v>
      </c>
      <c r="B6096" t="s">
        <v>42</v>
      </c>
      <c r="C6096" t="s">
        <v>33</v>
      </c>
      <c r="D6096">
        <v>0</v>
      </c>
      <c r="E6096">
        <v>1</v>
      </c>
      <c r="F6096" s="7">
        <v>4560.11</v>
      </c>
      <c r="G6096">
        <v>0</v>
      </c>
      <c r="H6096" s="7">
        <v>0</v>
      </c>
    </row>
    <row r="6097" spans="1:8">
      <c r="A6097">
        <v>6</v>
      </c>
      <c r="B6097" t="s">
        <v>42</v>
      </c>
      <c r="C6097" t="s">
        <v>33</v>
      </c>
      <c r="D6097">
        <v>0</v>
      </c>
      <c r="E6097">
        <v>1</v>
      </c>
      <c r="F6097" s="7">
        <v>8016.07</v>
      </c>
      <c r="G6097">
        <v>0</v>
      </c>
      <c r="H6097" s="7">
        <v>0</v>
      </c>
    </row>
    <row r="6098" spans="1:8">
      <c r="A6098">
        <v>6</v>
      </c>
      <c r="B6098" t="s">
        <v>42</v>
      </c>
      <c r="C6098" t="s">
        <v>33</v>
      </c>
      <c r="D6098">
        <v>0</v>
      </c>
      <c r="E6098">
        <v>1</v>
      </c>
      <c r="F6098" s="7">
        <v>2273.94</v>
      </c>
      <c r="G6098">
        <v>0</v>
      </c>
      <c r="H6098" s="7">
        <v>0</v>
      </c>
    </row>
    <row r="6099" spans="1:8">
      <c r="A6099">
        <v>6</v>
      </c>
      <c r="B6099" t="s">
        <v>42</v>
      </c>
      <c r="C6099" t="s">
        <v>33</v>
      </c>
      <c r="D6099">
        <v>0</v>
      </c>
      <c r="E6099">
        <v>1</v>
      </c>
      <c r="F6099" s="7">
        <v>7588.58</v>
      </c>
      <c r="G6099">
        <v>0</v>
      </c>
      <c r="H6099" s="7">
        <v>0</v>
      </c>
    </row>
    <row r="6100" spans="1:8">
      <c r="A6100">
        <v>6</v>
      </c>
      <c r="B6100" t="s">
        <v>42</v>
      </c>
      <c r="C6100" t="s">
        <v>34</v>
      </c>
      <c r="D6100">
        <v>0</v>
      </c>
      <c r="E6100">
        <v>1</v>
      </c>
      <c r="F6100" s="7">
        <v>11758.27</v>
      </c>
      <c r="G6100">
        <v>0</v>
      </c>
      <c r="H6100" s="7">
        <v>0</v>
      </c>
    </row>
    <row r="6101" spans="1:8">
      <c r="A6101">
        <v>6</v>
      </c>
      <c r="B6101" t="s">
        <v>42</v>
      </c>
      <c r="C6101" t="s">
        <v>34</v>
      </c>
      <c r="D6101">
        <v>0</v>
      </c>
      <c r="E6101">
        <v>1</v>
      </c>
      <c r="F6101" s="7">
        <v>22688.2</v>
      </c>
      <c r="G6101">
        <v>0</v>
      </c>
      <c r="H6101" s="7">
        <v>0</v>
      </c>
    </row>
    <row r="6102" spans="1:8">
      <c r="A6102">
        <v>6</v>
      </c>
      <c r="B6102" t="s">
        <v>42</v>
      </c>
      <c r="C6102" t="s">
        <v>33</v>
      </c>
      <c r="D6102">
        <v>0</v>
      </c>
      <c r="E6102">
        <v>1</v>
      </c>
      <c r="F6102" s="7">
        <v>2908.53</v>
      </c>
      <c r="G6102">
        <v>0</v>
      </c>
      <c r="H6102" s="7">
        <v>0</v>
      </c>
    </row>
    <row r="6103" spans="1:8">
      <c r="A6103">
        <v>6</v>
      </c>
      <c r="B6103" t="s">
        <v>42</v>
      </c>
      <c r="C6103" t="s">
        <v>33</v>
      </c>
      <c r="D6103">
        <v>0</v>
      </c>
      <c r="E6103">
        <v>1</v>
      </c>
      <c r="F6103" s="7">
        <v>7897.18</v>
      </c>
      <c r="G6103">
        <v>0</v>
      </c>
      <c r="H6103" s="7">
        <v>0</v>
      </c>
    </row>
    <row r="6104" spans="1:8">
      <c r="A6104">
        <v>6</v>
      </c>
      <c r="B6104" t="s">
        <v>42</v>
      </c>
      <c r="C6104" t="s">
        <v>34</v>
      </c>
      <c r="D6104">
        <v>0</v>
      </c>
      <c r="E6104">
        <v>1</v>
      </c>
      <c r="F6104" s="7">
        <v>22344.15</v>
      </c>
      <c r="G6104">
        <v>0</v>
      </c>
      <c r="H6104" s="7">
        <v>0</v>
      </c>
    </row>
    <row r="6105" spans="1:8">
      <c r="A6105">
        <v>6</v>
      </c>
      <c r="B6105" t="s">
        <v>46</v>
      </c>
      <c r="C6105" t="s">
        <v>35</v>
      </c>
      <c r="D6105">
        <v>0</v>
      </c>
      <c r="E6105">
        <v>1</v>
      </c>
      <c r="F6105" s="7">
        <v>318009.92</v>
      </c>
      <c r="G6105">
        <v>0</v>
      </c>
      <c r="H6105" s="7">
        <v>0</v>
      </c>
    </row>
    <row r="6106" spans="1:8">
      <c r="A6106">
        <v>6</v>
      </c>
      <c r="B6106" t="s">
        <v>42</v>
      </c>
      <c r="C6106" t="s">
        <v>33</v>
      </c>
      <c r="D6106">
        <v>0</v>
      </c>
      <c r="E6106">
        <v>1</v>
      </c>
      <c r="F6106" s="7">
        <v>5045.02</v>
      </c>
      <c r="G6106">
        <v>0</v>
      </c>
      <c r="H6106" s="7">
        <v>0</v>
      </c>
    </row>
    <row r="6107" spans="1:8">
      <c r="A6107">
        <v>6</v>
      </c>
      <c r="B6107" t="s">
        <v>42</v>
      </c>
      <c r="C6107" t="s">
        <v>34</v>
      </c>
      <c r="D6107">
        <v>0</v>
      </c>
      <c r="E6107">
        <v>1</v>
      </c>
      <c r="F6107" s="7">
        <v>27249.21</v>
      </c>
      <c r="G6107">
        <v>0</v>
      </c>
      <c r="H6107" s="7">
        <v>0</v>
      </c>
    </row>
    <row r="6108" spans="1:8">
      <c r="A6108">
        <v>6</v>
      </c>
      <c r="B6108" t="s">
        <v>42</v>
      </c>
      <c r="C6108" t="s">
        <v>34</v>
      </c>
      <c r="D6108">
        <v>0</v>
      </c>
      <c r="E6108">
        <v>1</v>
      </c>
      <c r="F6108" s="7">
        <v>10421.18</v>
      </c>
      <c r="G6108">
        <v>0</v>
      </c>
      <c r="H6108" s="7">
        <v>0</v>
      </c>
    </row>
    <row r="6109" spans="1:8">
      <c r="A6109">
        <v>6</v>
      </c>
      <c r="B6109" t="s">
        <v>43</v>
      </c>
      <c r="C6109" t="s">
        <v>34</v>
      </c>
      <c r="D6109">
        <v>0</v>
      </c>
      <c r="E6109">
        <v>1</v>
      </c>
      <c r="F6109" s="7">
        <v>50738.94</v>
      </c>
      <c r="G6109">
        <v>0</v>
      </c>
      <c r="H6109" s="7">
        <v>0</v>
      </c>
    </row>
    <row r="6110" spans="1:8">
      <c r="A6110">
        <v>6</v>
      </c>
      <c r="B6110" t="s">
        <v>42</v>
      </c>
      <c r="C6110" t="s">
        <v>33</v>
      </c>
      <c r="D6110">
        <v>0</v>
      </c>
      <c r="E6110">
        <v>1</v>
      </c>
      <c r="F6110" s="7">
        <v>8886.57</v>
      </c>
      <c r="G6110">
        <v>0</v>
      </c>
      <c r="H6110" s="7">
        <v>0</v>
      </c>
    </row>
    <row r="6111" spans="1:8">
      <c r="A6111">
        <v>6</v>
      </c>
      <c r="B6111" t="s">
        <v>44</v>
      </c>
      <c r="C6111" t="s">
        <v>35</v>
      </c>
      <c r="D6111">
        <v>0</v>
      </c>
      <c r="E6111">
        <v>1</v>
      </c>
      <c r="F6111" s="7">
        <v>148274.34</v>
      </c>
      <c r="G6111">
        <v>0</v>
      </c>
      <c r="H6111" s="7">
        <v>0</v>
      </c>
    </row>
    <row r="6112" spans="1:8">
      <c r="A6112">
        <v>6</v>
      </c>
      <c r="B6112" t="s">
        <v>42</v>
      </c>
      <c r="C6112" t="s">
        <v>32</v>
      </c>
      <c r="D6112">
        <v>0</v>
      </c>
      <c r="E6112">
        <v>1</v>
      </c>
      <c r="F6112" s="7">
        <v>641.12</v>
      </c>
      <c r="G6112">
        <v>0</v>
      </c>
      <c r="H6112" s="7">
        <v>0</v>
      </c>
    </row>
    <row r="6113" spans="1:8">
      <c r="A6113">
        <v>6</v>
      </c>
      <c r="B6113" t="s">
        <v>43</v>
      </c>
      <c r="C6113" t="s">
        <v>35</v>
      </c>
      <c r="D6113">
        <v>0</v>
      </c>
      <c r="E6113">
        <v>1</v>
      </c>
      <c r="F6113" s="7">
        <v>252567.83</v>
      </c>
      <c r="G6113">
        <v>0</v>
      </c>
      <c r="H6113" s="7">
        <v>0</v>
      </c>
    </row>
    <row r="6114" spans="1:8">
      <c r="A6114">
        <v>6</v>
      </c>
      <c r="B6114" t="s">
        <v>42</v>
      </c>
      <c r="C6114" t="s">
        <v>34</v>
      </c>
      <c r="D6114">
        <v>0</v>
      </c>
      <c r="E6114">
        <v>1</v>
      </c>
      <c r="F6114" s="7">
        <v>15964.7</v>
      </c>
      <c r="G6114">
        <v>0</v>
      </c>
      <c r="H6114" s="7">
        <v>0</v>
      </c>
    </row>
    <row r="6115" spans="1:8">
      <c r="A6115">
        <v>6</v>
      </c>
      <c r="B6115" t="s">
        <v>42</v>
      </c>
      <c r="C6115" t="s">
        <v>33</v>
      </c>
      <c r="D6115">
        <v>0</v>
      </c>
      <c r="E6115">
        <v>1</v>
      </c>
      <c r="F6115" s="7">
        <v>9948.64</v>
      </c>
      <c r="G6115">
        <v>0</v>
      </c>
      <c r="H6115" s="7">
        <v>0</v>
      </c>
    </row>
    <row r="6116" spans="1:8">
      <c r="A6116">
        <v>6</v>
      </c>
      <c r="B6116" t="s">
        <v>42</v>
      </c>
      <c r="C6116" t="s">
        <v>34</v>
      </c>
      <c r="D6116">
        <v>0</v>
      </c>
      <c r="E6116">
        <v>1</v>
      </c>
      <c r="F6116" s="7">
        <v>13679.73</v>
      </c>
      <c r="G6116">
        <v>0</v>
      </c>
      <c r="H6116" s="7">
        <v>0</v>
      </c>
    </row>
    <row r="6117" spans="1:8">
      <c r="A6117">
        <v>6</v>
      </c>
      <c r="B6117" t="s">
        <v>42</v>
      </c>
      <c r="C6117" t="s">
        <v>32</v>
      </c>
      <c r="D6117">
        <v>0</v>
      </c>
      <c r="E6117">
        <v>1</v>
      </c>
      <c r="F6117" s="7">
        <v>295.78</v>
      </c>
      <c r="G6117">
        <v>0</v>
      </c>
      <c r="H6117" s="7">
        <v>0</v>
      </c>
    </row>
    <row r="6118" spans="1:8">
      <c r="A6118">
        <v>6</v>
      </c>
      <c r="B6118" t="s">
        <v>42</v>
      </c>
      <c r="C6118" t="s">
        <v>33</v>
      </c>
      <c r="D6118">
        <v>0</v>
      </c>
      <c r="E6118">
        <v>1</v>
      </c>
      <c r="F6118" s="7">
        <v>8090.16</v>
      </c>
      <c r="G6118">
        <v>0</v>
      </c>
      <c r="H6118" s="7">
        <v>0</v>
      </c>
    </row>
    <row r="6119" spans="1:8">
      <c r="A6119">
        <v>6</v>
      </c>
      <c r="B6119" t="s">
        <v>42</v>
      </c>
      <c r="C6119" t="s">
        <v>34</v>
      </c>
      <c r="D6119">
        <v>0</v>
      </c>
      <c r="E6119">
        <v>1</v>
      </c>
      <c r="F6119" s="7">
        <v>14996.91</v>
      </c>
      <c r="G6119">
        <v>0</v>
      </c>
      <c r="H6119" s="7">
        <v>0</v>
      </c>
    </row>
    <row r="6120" spans="1:8">
      <c r="A6120">
        <v>6</v>
      </c>
      <c r="B6120" t="s">
        <v>44</v>
      </c>
      <c r="C6120" t="s">
        <v>34</v>
      </c>
      <c r="D6120">
        <v>0</v>
      </c>
      <c r="E6120">
        <v>1</v>
      </c>
      <c r="F6120" s="7">
        <v>44874.82</v>
      </c>
      <c r="G6120">
        <v>0</v>
      </c>
      <c r="H6120" s="7">
        <v>0</v>
      </c>
    </row>
    <row r="6121" spans="1:8">
      <c r="A6121">
        <v>6</v>
      </c>
      <c r="B6121" t="s">
        <v>42</v>
      </c>
      <c r="C6121" t="s">
        <v>33</v>
      </c>
      <c r="D6121">
        <v>0</v>
      </c>
      <c r="E6121">
        <v>1</v>
      </c>
      <c r="F6121" s="7">
        <v>1193.31</v>
      </c>
      <c r="G6121">
        <v>0</v>
      </c>
      <c r="H6121" s="7">
        <v>0</v>
      </c>
    </row>
    <row r="6122" spans="1:8">
      <c r="A6122">
        <v>6</v>
      </c>
      <c r="B6122" t="s">
        <v>43</v>
      </c>
      <c r="C6122" t="s">
        <v>36</v>
      </c>
      <c r="D6122">
        <v>0</v>
      </c>
      <c r="E6122">
        <v>1</v>
      </c>
      <c r="F6122" s="7">
        <v>1390432.94</v>
      </c>
      <c r="G6122">
        <v>0</v>
      </c>
      <c r="H6122" s="7">
        <v>0</v>
      </c>
    </row>
    <row r="6123" spans="1:8">
      <c r="A6123">
        <v>6</v>
      </c>
      <c r="B6123" t="s">
        <v>43</v>
      </c>
      <c r="C6123" t="s">
        <v>36</v>
      </c>
      <c r="D6123">
        <v>0</v>
      </c>
      <c r="E6123">
        <v>1</v>
      </c>
      <c r="F6123" s="7">
        <v>1280020.98</v>
      </c>
      <c r="G6123">
        <v>0</v>
      </c>
      <c r="H6123" s="7">
        <v>0</v>
      </c>
    </row>
    <row r="6124" spans="1:8">
      <c r="A6124">
        <v>6</v>
      </c>
      <c r="B6124" t="s">
        <v>42</v>
      </c>
      <c r="C6124" t="s">
        <v>34</v>
      </c>
      <c r="D6124">
        <v>0</v>
      </c>
      <c r="E6124">
        <v>1</v>
      </c>
      <c r="F6124" s="7">
        <v>15088.92</v>
      </c>
      <c r="G6124">
        <v>0</v>
      </c>
      <c r="H6124" s="7">
        <v>0</v>
      </c>
    </row>
    <row r="6125" spans="1:8">
      <c r="A6125">
        <v>6</v>
      </c>
      <c r="B6125" t="s">
        <v>42</v>
      </c>
      <c r="C6125" t="s">
        <v>34</v>
      </c>
      <c r="D6125">
        <v>0</v>
      </c>
      <c r="E6125">
        <v>1</v>
      </c>
      <c r="F6125" s="7">
        <v>31984.61</v>
      </c>
      <c r="G6125">
        <v>0</v>
      </c>
      <c r="H6125" s="7">
        <v>0</v>
      </c>
    </row>
    <row r="6126" spans="1:8">
      <c r="A6126">
        <v>6</v>
      </c>
      <c r="B6126" t="s">
        <v>42</v>
      </c>
      <c r="C6126" t="s">
        <v>34</v>
      </c>
      <c r="D6126">
        <v>0</v>
      </c>
      <c r="E6126">
        <v>1</v>
      </c>
      <c r="F6126" s="7">
        <v>27241.79</v>
      </c>
      <c r="G6126">
        <v>0</v>
      </c>
      <c r="H6126" s="7">
        <v>0</v>
      </c>
    </row>
    <row r="6127" spans="1:8">
      <c r="A6127">
        <v>6</v>
      </c>
      <c r="B6127" t="s">
        <v>42</v>
      </c>
      <c r="C6127" t="s">
        <v>33</v>
      </c>
      <c r="D6127">
        <v>0</v>
      </c>
      <c r="E6127">
        <v>1</v>
      </c>
      <c r="F6127" s="7">
        <v>7941.27</v>
      </c>
      <c r="G6127">
        <v>0</v>
      </c>
      <c r="H6127" s="7">
        <v>0</v>
      </c>
    </row>
    <row r="6128" spans="1:8">
      <c r="A6128">
        <v>6</v>
      </c>
      <c r="B6128" t="s">
        <v>42</v>
      </c>
      <c r="C6128" t="s">
        <v>34</v>
      </c>
      <c r="D6128">
        <v>0</v>
      </c>
      <c r="E6128">
        <v>1</v>
      </c>
      <c r="F6128" s="7">
        <v>11097.96</v>
      </c>
      <c r="G6128">
        <v>0</v>
      </c>
      <c r="H6128" s="7">
        <v>0</v>
      </c>
    </row>
    <row r="6129" spans="1:8">
      <c r="A6129">
        <v>6</v>
      </c>
      <c r="B6129" t="s">
        <v>42</v>
      </c>
      <c r="C6129" t="s">
        <v>33</v>
      </c>
      <c r="D6129">
        <v>0</v>
      </c>
      <c r="E6129">
        <v>1</v>
      </c>
      <c r="F6129" s="7">
        <v>9231.25</v>
      </c>
      <c r="G6129">
        <v>0</v>
      </c>
      <c r="H6129" s="7">
        <v>0</v>
      </c>
    </row>
    <row r="6130" spans="1:8">
      <c r="A6130">
        <v>6</v>
      </c>
      <c r="B6130" t="s">
        <v>42</v>
      </c>
      <c r="C6130" t="s">
        <v>34</v>
      </c>
      <c r="D6130">
        <v>0</v>
      </c>
      <c r="E6130">
        <v>1</v>
      </c>
      <c r="F6130" s="7">
        <v>26539.83</v>
      </c>
      <c r="G6130">
        <v>0</v>
      </c>
      <c r="H6130" s="7">
        <v>0</v>
      </c>
    </row>
    <row r="6131" spans="1:8">
      <c r="A6131">
        <v>6</v>
      </c>
      <c r="B6131" t="s">
        <v>42</v>
      </c>
      <c r="C6131" t="s">
        <v>33</v>
      </c>
      <c r="D6131">
        <v>0</v>
      </c>
      <c r="E6131">
        <v>1</v>
      </c>
      <c r="F6131" s="7">
        <v>1796.01</v>
      </c>
      <c r="G6131">
        <v>0</v>
      </c>
      <c r="H6131" s="7">
        <v>0</v>
      </c>
    </row>
    <row r="6132" spans="1:8">
      <c r="A6132">
        <v>6</v>
      </c>
      <c r="B6132" t="s">
        <v>42</v>
      </c>
      <c r="C6132" t="s">
        <v>32</v>
      </c>
      <c r="D6132">
        <v>0</v>
      </c>
      <c r="E6132">
        <v>1</v>
      </c>
      <c r="F6132" s="7">
        <v>902.63</v>
      </c>
      <c r="G6132">
        <v>0</v>
      </c>
      <c r="H6132" s="7">
        <v>0</v>
      </c>
    </row>
    <row r="6133" spans="1:8">
      <c r="A6133">
        <v>6</v>
      </c>
      <c r="B6133" t="s">
        <v>44</v>
      </c>
      <c r="C6133" t="s">
        <v>35</v>
      </c>
      <c r="D6133">
        <v>0</v>
      </c>
      <c r="E6133">
        <v>1</v>
      </c>
      <c r="F6133" s="7">
        <v>260604.69</v>
      </c>
      <c r="G6133">
        <v>0</v>
      </c>
      <c r="H6133" s="7">
        <v>0</v>
      </c>
    </row>
    <row r="6134" spans="1:8">
      <c r="A6134">
        <v>6</v>
      </c>
      <c r="B6134" t="s">
        <v>42</v>
      </c>
      <c r="C6134" t="s">
        <v>34</v>
      </c>
      <c r="D6134">
        <v>0</v>
      </c>
      <c r="E6134">
        <v>1</v>
      </c>
      <c r="F6134" s="7">
        <v>27613.05</v>
      </c>
      <c r="G6134">
        <v>0</v>
      </c>
      <c r="H6134" s="7">
        <v>0</v>
      </c>
    </row>
    <row r="6135" spans="1:8">
      <c r="A6135">
        <v>6</v>
      </c>
      <c r="B6135" t="s">
        <v>42</v>
      </c>
      <c r="C6135" t="s">
        <v>33</v>
      </c>
      <c r="D6135">
        <v>0</v>
      </c>
      <c r="E6135">
        <v>1</v>
      </c>
      <c r="F6135" s="7">
        <v>8486.59</v>
      </c>
      <c r="G6135">
        <v>0</v>
      </c>
      <c r="H6135" s="7">
        <v>0</v>
      </c>
    </row>
    <row r="6136" spans="1:8">
      <c r="A6136">
        <v>6</v>
      </c>
      <c r="B6136" t="s">
        <v>42</v>
      </c>
      <c r="C6136" t="s">
        <v>34</v>
      </c>
      <c r="D6136">
        <v>0</v>
      </c>
      <c r="E6136">
        <v>1</v>
      </c>
      <c r="F6136" s="7">
        <v>20950.16</v>
      </c>
      <c r="G6136">
        <v>0</v>
      </c>
      <c r="H6136" s="7">
        <v>0</v>
      </c>
    </row>
    <row r="6137" spans="1:8">
      <c r="A6137">
        <v>6</v>
      </c>
      <c r="B6137" t="s">
        <v>42</v>
      </c>
      <c r="C6137" t="s">
        <v>33</v>
      </c>
      <c r="D6137">
        <v>0</v>
      </c>
      <c r="E6137">
        <v>1</v>
      </c>
      <c r="F6137" s="7">
        <v>8737.34</v>
      </c>
      <c r="G6137">
        <v>0</v>
      </c>
      <c r="H6137" s="7">
        <v>0</v>
      </c>
    </row>
    <row r="6138" spans="1:8">
      <c r="A6138">
        <v>6</v>
      </c>
      <c r="B6138" t="s">
        <v>42</v>
      </c>
      <c r="C6138" t="s">
        <v>34</v>
      </c>
      <c r="D6138">
        <v>0</v>
      </c>
      <c r="E6138">
        <v>1</v>
      </c>
      <c r="F6138" s="7">
        <v>10158.08</v>
      </c>
      <c r="G6138">
        <v>0</v>
      </c>
      <c r="H6138" s="7">
        <v>0</v>
      </c>
    </row>
    <row r="6139" spans="1:8">
      <c r="A6139">
        <v>6</v>
      </c>
      <c r="B6139" t="s">
        <v>42</v>
      </c>
      <c r="C6139" t="s">
        <v>33</v>
      </c>
      <c r="D6139">
        <v>0</v>
      </c>
      <c r="E6139">
        <v>1</v>
      </c>
      <c r="F6139" s="7">
        <v>1942.26</v>
      </c>
      <c r="G6139">
        <v>0</v>
      </c>
      <c r="H6139" s="7">
        <v>0</v>
      </c>
    </row>
    <row r="6140" spans="1:8">
      <c r="A6140">
        <v>6</v>
      </c>
      <c r="B6140" t="s">
        <v>42</v>
      </c>
      <c r="C6140" t="s">
        <v>34</v>
      </c>
      <c r="D6140">
        <v>0</v>
      </c>
      <c r="E6140">
        <v>1</v>
      </c>
      <c r="F6140" s="7">
        <v>19852.81</v>
      </c>
      <c r="G6140">
        <v>0</v>
      </c>
      <c r="H6140" s="7">
        <v>0</v>
      </c>
    </row>
    <row r="6141" spans="1:8">
      <c r="A6141">
        <v>6</v>
      </c>
      <c r="B6141" t="s">
        <v>42</v>
      </c>
      <c r="C6141" t="s">
        <v>32</v>
      </c>
      <c r="D6141">
        <v>0</v>
      </c>
      <c r="E6141">
        <v>1</v>
      </c>
      <c r="F6141" s="7">
        <v>934.87</v>
      </c>
      <c r="G6141">
        <v>0</v>
      </c>
      <c r="H6141" s="7">
        <v>0</v>
      </c>
    </row>
    <row r="6142" spans="1:8">
      <c r="A6142">
        <v>6</v>
      </c>
      <c r="B6142" t="s">
        <v>42</v>
      </c>
      <c r="C6142" t="s">
        <v>33</v>
      </c>
      <c r="D6142">
        <v>0</v>
      </c>
      <c r="E6142">
        <v>1</v>
      </c>
      <c r="F6142" s="7">
        <v>3043.29</v>
      </c>
      <c r="G6142">
        <v>0</v>
      </c>
      <c r="H6142" s="7">
        <v>0</v>
      </c>
    </row>
    <row r="6143" spans="1:8">
      <c r="A6143">
        <v>6</v>
      </c>
      <c r="B6143" t="s">
        <v>43</v>
      </c>
      <c r="C6143" t="s">
        <v>34</v>
      </c>
      <c r="D6143">
        <v>0</v>
      </c>
      <c r="E6143">
        <v>1</v>
      </c>
      <c r="F6143" s="7">
        <v>66165.76</v>
      </c>
      <c r="G6143">
        <v>0</v>
      </c>
      <c r="H6143" s="7">
        <v>0</v>
      </c>
    </row>
    <row r="6144" spans="1:8">
      <c r="A6144">
        <v>6</v>
      </c>
      <c r="B6144" t="s">
        <v>42</v>
      </c>
      <c r="C6144" t="s">
        <v>34</v>
      </c>
      <c r="D6144">
        <v>0</v>
      </c>
      <c r="E6144">
        <v>1</v>
      </c>
      <c r="F6144" s="7">
        <v>11730.13</v>
      </c>
      <c r="G6144">
        <v>0</v>
      </c>
      <c r="H6144" s="7">
        <v>0</v>
      </c>
    </row>
    <row r="6145" spans="1:8">
      <c r="A6145">
        <v>6</v>
      </c>
      <c r="B6145" t="s">
        <v>42</v>
      </c>
      <c r="C6145" t="s">
        <v>33</v>
      </c>
      <c r="D6145">
        <v>0</v>
      </c>
      <c r="E6145">
        <v>1</v>
      </c>
      <c r="F6145" s="7">
        <v>1988.49</v>
      </c>
      <c r="G6145">
        <v>0</v>
      </c>
      <c r="H6145" s="7">
        <v>0</v>
      </c>
    </row>
    <row r="6146" spans="1:8">
      <c r="A6146">
        <v>6</v>
      </c>
      <c r="B6146" t="s">
        <v>42</v>
      </c>
      <c r="C6146" t="s">
        <v>33</v>
      </c>
      <c r="D6146">
        <v>0</v>
      </c>
      <c r="E6146">
        <v>1</v>
      </c>
      <c r="F6146" s="7">
        <v>8375.58</v>
      </c>
      <c r="G6146">
        <v>0</v>
      </c>
      <c r="H6146" s="7">
        <v>0</v>
      </c>
    </row>
    <row r="6147" spans="1:8">
      <c r="A6147">
        <v>6</v>
      </c>
      <c r="B6147" t="s">
        <v>42</v>
      </c>
      <c r="C6147" t="s">
        <v>34</v>
      </c>
      <c r="D6147">
        <v>0</v>
      </c>
      <c r="E6147">
        <v>1</v>
      </c>
      <c r="F6147" s="7">
        <v>32420.54</v>
      </c>
      <c r="G6147">
        <v>0</v>
      </c>
      <c r="H6147" s="7">
        <v>0</v>
      </c>
    </row>
    <row r="6148" spans="1:8">
      <c r="A6148">
        <v>6</v>
      </c>
      <c r="B6148" t="s">
        <v>42</v>
      </c>
      <c r="C6148" t="s">
        <v>34</v>
      </c>
      <c r="D6148">
        <v>0</v>
      </c>
      <c r="E6148">
        <v>1</v>
      </c>
      <c r="F6148" s="7">
        <v>17277.16</v>
      </c>
      <c r="G6148">
        <v>0</v>
      </c>
      <c r="H6148" s="7">
        <v>0</v>
      </c>
    </row>
    <row r="6149" spans="1:8">
      <c r="A6149">
        <v>6</v>
      </c>
      <c r="B6149" t="s">
        <v>42</v>
      </c>
      <c r="C6149" t="s">
        <v>34</v>
      </c>
      <c r="D6149">
        <v>0</v>
      </c>
      <c r="E6149">
        <v>1</v>
      </c>
      <c r="F6149" s="7">
        <v>21208.42</v>
      </c>
      <c r="G6149">
        <v>0</v>
      </c>
      <c r="H6149" s="7">
        <v>0</v>
      </c>
    </row>
    <row r="6150" spans="1:8">
      <c r="A6150">
        <v>6</v>
      </c>
      <c r="B6150" t="s">
        <v>42</v>
      </c>
      <c r="C6150" t="s">
        <v>34</v>
      </c>
      <c r="D6150">
        <v>0</v>
      </c>
      <c r="E6150">
        <v>1</v>
      </c>
      <c r="F6150" s="7">
        <v>16592.88</v>
      </c>
      <c r="G6150">
        <v>0</v>
      </c>
      <c r="H6150" s="7">
        <v>0</v>
      </c>
    </row>
    <row r="6151" spans="1:8">
      <c r="A6151">
        <v>6</v>
      </c>
      <c r="B6151" t="s">
        <v>43</v>
      </c>
      <c r="C6151" t="s">
        <v>35</v>
      </c>
      <c r="D6151">
        <v>0</v>
      </c>
      <c r="E6151">
        <v>1</v>
      </c>
      <c r="F6151" s="7">
        <v>370171.43</v>
      </c>
      <c r="G6151">
        <v>0</v>
      </c>
      <c r="H6151" s="7">
        <v>0</v>
      </c>
    </row>
    <row r="6152" spans="1:8">
      <c r="A6152">
        <v>6</v>
      </c>
      <c r="B6152" t="s">
        <v>42</v>
      </c>
      <c r="C6152" t="s">
        <v>33</v>
      </c>
      <c r="D6152">
        <v>0</v>
      </c>
      <c r="E6152">
        <v>1</v>
      </c>
      <c r="F6152" s="7">
        <v>8527.67</v>
      </c>
      <c r="G6152">
        <v>0</v>
      </c>
      <c r="H6152" s="7">
        <v>0</v>
      </c>
    </row>
    <row r="6153" spans="1:8">
      <c r="A6153">
        <v>6</v>
      </c>
      <c r="B6153" t="s">
        <v>42</v>
      </c>
      <c r="C6153" t="s">
        <v>34</v>
      </c>
      <c r="D6153">
        <v>0</v>
      </c>
      <c r="E6153">
        <v>1</v>
      </c>
      <c r="F6153" s="7">
        <v>17104.6</v>
      </c>
      <c r="G6153">
        <v>0</v>
      </c>
      <c r="H6153" s="7">
        <v>0</v>
      </c>
    </row>
    <row r="6154" spans="1:8">
      <c r="A6154">
        <v>6</v>
      </c>
      <c r="B6154" t="s">
        <v>44</v>
      </c>
      <c r="C6154" t="s">
        <v>35</v>
      </c>
      <c r="D6154">
        <v>0</v>
      </c>
      <c r="E6154">
        <v>1</v>
      </c>
      <c r="F6154" s="7">
        <v>280481.6</v>
      </c>
      <c r="G6154">
        <v>0</v>
      </c>
      <c r="H6154" s="7">
        <v>0</v>
      </c>
    </row>
    <row r="6155" spans="1:8">
      <c r="A6155">
        <v>6</v>
      </c>
      <c r="B6155" t="s">
        <v>44</v>
      </c>
      <c r="C6155" t="s">
        <v>35</v>
      </c>
      <c r="D6155">
        <v>0</v>
      </c>
      <c r="E6155">
        <v>1</v>
      </c>
      <c r="F6155" s="7">
        <v>122817.49</v>
      </c>
      <c r="G6155">
        <v>0</v>
      </c>
      <c r="H6155" s="7">
        <v>0</v>
      </c>
    </row>
    <row r="6156" spans="1:8">
      <c r="A6156">
        <v>6</v>
      </c>
      <c r="B6156" t="s">
        <v>42</v>
      </c>
      <c r="C6156" t="s">
        <v>34</v>
      </c>
      <c r="D6156">
        <v>0</v>
      </c>
      <c r="E6156">
        <v>1</v>
      </c>
      <c r="F6156" s="7">
        <v>16549.58</v>
      </c>
      <c r="G6156">
        <v>0</v>
      </c>
      <c r="H6156" s="7">
        <v>0</v>
      </c>
    </row>
    <row r="6157" spans="1:8">
      <c r="A6157">
        <v>6</v>
      </c>
      <c r="B6157" t="s">
        <v>42</v>
      </c>
      <c r="C6157" t="s">
        <v>34</v>
      </c>
      <c r="D6157">
        <v>0</v>
      </c>
      <c r="E6157">
        <v>1</v>
      </c>
      <c r="F6157" s="7">
        <v>19304.22</v>
      </c>
      <c r="G6157">
        <v>0</v>
      </c>
      <c r="H6157" s="7">
        <v>0</v>
      </c>
    </row>
    <row r="6158" spans="1:8">
      <c r="A6158">
        <v>6</v>
      </c>
      <c r="B6158" t="s">
        <v>43</v>
      </c>
      <c r="C6158" t="s">
        <v>35</v>
      </c>
      <c r="D6158">
        <v>0</v>
      </c>
      <c r="E6158">
        <v>1</v>
      </c>
      <c r="F6158" s="7">
        <v>209374.09</v>
      </c>
      <c r="G6158">
        <v>0</v>
      </c>
      <c r="H6158" s="7">
        <v>0</v>
      </c>
    </row>
    <row r="6159" spans="1:8">
      <c r="A6159">
        <v>6</v>
      </c>
      <c r="B6159" t="s">
        <v>42</v>
      </c>
      <c r="C6159" t="s">
        <v>33</v>
      </c>
      <c r="D6159">
        <v>0</v>
      </c>
      <c r="E6159">
        <v>1</v>
      </c>
      <c r="F6159" s="7">
        <v>2187.35</v>
      </c>
      <c r="G6159">
        <v>0</v>
      </c>
      <c r="H6159" s="7">
        <v>0</v>
      </c>
    </row>
    <row r="6160" spans="1:8">
      <c r="A6160">
        <v>6</v>
      </c>
      <c r="B6160" t="s">
        <v>43</v>
      </c>
      <c r="C6160" t="s">
        <v>35</v>
      </c>
      <c r="D6160">
        <v>0</v>
      </c>
      <c r="E6160">
        <v>1</v>
      </c>
      <c r="F6160" s="7">
        <v>611049.17</v>
      </c>
      <c r="G6160">
        <v>0</v>
      </c>
      <c r="H6160" s="7">
        <v>0</v>
      </c>
    </row>
    <row r="6161" spans="1:8">
      <c r="A6161">
        <v>6</v>
      </c>
      <c r="B6161" t="s">
        <v>42</v>
      </c>
      <c r="C6161" t="s">
        <v>32</v>
      </c>
      <c r="D6161">
        <v>0</v>
      </c>
      <c r="E6161">
        <v>1</v>
      </c>
      <c r="F6161" s="7">
        <v>646.63</v>
      </c>
      <c r="G6161">
        <v>0</v>
      </c>
      <c r="H6161" s="7">
        <v>0</v>
      </c>
    </row>
    <row r="6162" spans="1:8">
      <c r="A6162">
        <v>6</v>
      </c>
      <c r="B6162" t="s">
        <v>42</v>
      </c>
      <c r="C6162" t="s">
        <v>33</v>
      </c>
      <c r="D6162">
        <v>0</v>
      </c>
      <c r="E6162">
        <v>1</v>
      </c>
      <c r="F6162" s="7">
        <v>4062.42</v>
      </c>
      <c r="G6162">
        <v>0</v>
      </c>
      <c r="H6162" s="7">
        <v>0</v>
      </c>
    </row>
    <row r="6163" spans="1:8">
      <c r="A6163">
        <v>6</v>
      </c>
      <c r="B6163" t="s">
        <v>42</v>
      </c>
      <c r="C6163" t="s">
        <v>33</v>
      </c>
      <c r="D6163">
        <v>0</v>
      </c>
      <c r="E6163">
        <v>1</v>
      </c>
      <c r="F6163" s="7">
        <v>3997.02</v>
      </c>
      <c r="G6163">
        <v>0</v>
      </c>
      <c r="H6163" s="7">
        <v>0</v>
      </c>
    </row>
    <row r="6164" spans="1:8">
      <c r="A6164">
        <v>6</v>
      </c>
      <c r="B6164" t="s">
        <v>42</v>
      </c>
      <c r="C6164" t="s">
        <v>33</v>
      </c>
      <c r="D6164">
        <v>0</v>
      </c>
      <c r="E6164">
        <v>1</v>
      </c>
      <c r="F6164" s="7">
        <v>6092.79</v>
      </c>
      <c r="G6164">
        <v>0</v>
      </c>
      <c r="H6164" s="7">
        <v>0</v>
      </c>
    </row>
    <row r="6165" spans="1:8">
      <c r="A6165">
        <v>6</v>
      </c>
      <c r="B6165" t="s">
        <v>42</v>
      </c>
      <c r="C6165" t="s">
        <v>33</v>
      </c>
      <c r="D6165">
        <v>0</v>
      </c>
      <c r="E6165">
        <v>1</v>
      </c>
      <c r="F6165" s="7">
        <v>4126.67</v>
      </c>
      <c r="G6165">
        <v>0</v>
      </c>
      <c r="H6165" s="7">
        <v>0</v>
      </c>
    </row>
    <row r="6166" spans="1:8">
      <c r="A6166">
        <v>6</v>
      </c>
      <c r="B6166" t="s">
        <v>42</v>
      </c>
      <c r="C6166" t="s">
        <v>34</v>
      </c>
      <c r="D6166">
        <v>0</v>
      </c>
      <c r="E6166">
        <v>1</v>
      </c>
      <c r="F6166" s="7">
        <v>16103.22</v>
      </c>
      <c r="G6166">
        <v>0</v>
      </c>
      <c r="H6166" s="7">
        <v>0</v>
      </c>
    </row>
    <row r="6167" spans="1:8">
      <c r="A6167">
        <v>6</v>
      </c>
      <c r="B6167" t="s">
        <v>42</v>
      </c>
      <c r="C6167" t="s">
        <v>32</v>
      </c>
      <c r="D6167">
        <v>0</v>
      </c>
      <c r="E6167">
        <v>1</v>
      </c>
      <c r="F6167" s="7">
        <v>686.96</v>
      </c>
      <c r="G6167">
        <v>0</v>
      </c>
      <c r="H6167" s="7">
        <v>0</v>
      </c>
    </row>
    <row r="6168" spans="1:8">
      <c r="A6168">
        <v>6</v>
      </c>
      <c r="B6168" t="s">
        <v>44</v>
      </c>
      <c r="C6168" t="s">
        <v>35</v>
      </c>
      <c r="D6168">
        <v>0</v>
      </c>
      <c r="E6168">
        <v>1</v>
      </c>
      <c r="F6168" s="7">
        <v>122377.68</v>
      </c>
      <c r="G6168">
        <v>0</v>
      </c>
      <c r="H6168" s="7">
        <v>0</v>
      </c>
    </row>
    <row r="6169" spans="1:8">
      <c r="A6169">
        <v>6</v>
      </c>
      <c r="B6169" t="s">
        <v>42</v>
      </c>
      <c r="C6169" t="s">
        <v>34</v>
      </c>
      <c r="D6169">
        <v>0</v>
      </c>
      <c r="E6169">
        <v>1</v>
      </c>
      <c r="F6169" s="7">
        <v>12809.53</v>
      </c>
      <c r="G6169">
        <v>0</v>
      </c>
      <c r="H6169" s="7">
        <v>0</v>
      </c>
    </row>
    <row r="6170" spans="1:8">
      <c r="A6170">
        <v>6</v>
      </c>
      <c r="B6170" t="s">
        <v>42</v>
      </c>
      <c r="C6170" t="s">
        <v>32</v>
      </c>
      <c r="D6170">
        <v>0</v>
      </c>
      <c r="E6170">
        <v>1</v>
      </c>
      <c r="F6170" s="7">
        <v>30.06</v>
      </c>
      <c r="G6170">
        <v>0</v>
      </c>
      <c r="H6170" s="7">
        <v>0</v>
      </c>
    </row>
    <row r="6171" spans="1:8">
      <c r="A6171">
        <v>6</v>
      </c>
      <c r="B6171" t="s">
        <v>43</v>
      </c>
      <c r="C6171" t="s">
        <v>35</v>
      </c>
      <c r="D6171">
        <v>0</v>
      </c>
      <c r="E6171">
        <v>1</v>
      </c>
      <c r="F6171" s="7">
        <v>391057.91</v>
      </c>
      <c r="G6171">
        <v>0</v>
      </c>
      <c r="H6171" s="7">
        <v>0</v>
      </c>
    </row>
    <row r="6172" spans="1:8">
      <c r="A6172">
        <v>6</v>
      </c>
      <c r="B6172" t="s">
        <v>42</v>
      </c>
      <c r="C6172" t="s">
        <v>32</v>
      </c>
      <c r="D6172">
        <v>0</v>
      </c>
      <c r="E6172">
        <v>1</v>
      </c>
      <c r="F6172" s="7">
        <v>327.97</v>
      </c>
      <c r="G6172">
        <v>0</v>
      </c>
      <c r="H6172" s="7">
        <v>0</v>
      </c>
    </row>
    <row r="6173" spans="1:8">
      <c r="A6173">
        <v>6</v>
      </c>
      <c r="B6173" t="s">
        <v>43</v>
      </c>
      <c r="C6173" t="s">
        <v>35</v>
      </c>
      <c r="D6173">
        <v>0</v>
      </c>
      <c r="E6173">
        <v>1</v>
      </c>
      <c r="F6173" s="7">
        <v>109985.65</v>
      </c>
      <c r="G6173">
        <v>0</v>
      </c>
      <c r="H6173" s="7">
        <v>0</v>
      </c>
    </row>
    <row r="6174" spans="1:8">
      <c r="A6174">
        <v>6</v>
      </c>
      <c r="B6174" t="s">
        <v>42</v>
      </c>
      <c r="C6174" t="s">
        <v>34</v>
      </c>
      <c r="D6174">
        <v>0</v>
      </c>
      <c r="E6174">
        <v>1</v>
      </c>
      <c r="F6174" s="7">
        <v>29478.3</v>
      </c>
      <c r="G6174">
        <v>0</v>
      </c>
      <c r="H6174" s="7">
        <v>0</v>
      </c>
    </row>
    <row r="6175" spans="1:8">
      <c r="A6175">
        <v>6</v>
      </c>
      <c r="B6175" t="s">
        <v>42</v>
      </c>
      <c r="C6175" t="s">
        <v>33</v>
      </c>
      <c r="D6175">
        <v>0</v>
      </c>
      <c r="E6175">
        <v>1</v>
      </c>
      <c r="F6175" s="7">
        <v>7428.41</v>
      </c>
      <c r="G6175">
        <v>0</v>
      </c>
      <c r="H6175" s="7">
        <v>0</v>
      </c>
    </row>
    <row r="6176" spans="1:8">
      <c r="A6176">
        <v>6</v>
      </c>
      <c r="B6176" t="s">
        <v>43</v>
      </c>
      <c r="C6176" t="s">
        <v>34</v>
      </c>
      <c r="D6176">
        <v>0</v>
      </c>
      <c r="E6176">
        <v>1</v>
      </c>
      <c r="F6176" s="7">
        <v>32925.72</v>
      </c>
      <c r="G6176">
        <v>0</v>
      </c>
      <c r="H6176" s="7">
        <v>0</v>
      </c>
    </row>
    <row r="6177" spans="1:8">
      <c r="A6177">
        <v>6</v>
      </c>
      <c r="B6177" t="s">
        <v>42</v>
      </c>
      <c r="C6177" t="s">
        <v>33</v>
      </c>
      <c r="D6177">
        <v>0</v>
      </c>
      <c r="E6177">
        <v>1</v>
      </c>
      <c r="F6177" s="7">
        <v>6147.58</v>
      </c>
      <c r="G6177">
        <v>0</v>
      </c>
      <c r="H6177" s="7">
        <v>0</v>
      </c>
    </row>
    <row r="6178" spans="1:8">
      <c r="A6178">
        <v>6</v>
      </c>
      <c r="B6178" t="s">
        <v>42</v>
      </c>
      <c r="C6178" t="s">
        <v>33</v>
      </c>
      <c r="D6178">
        <v>0</v>
      </c>
      <c r="E6178">
        <v>1</v>
      </c>
      <c r="F6178" s="7">
        <v>4347.43</v>
      </c>
      <c r="G6178">
        <v>0</v>
      </c>
      <c r="H6178" s="7">
        <v>0</v>
      </c>
    </row>
    <row r="6179" spans="1:8">
      <c r="A6179">
        <v>6</v>
      </c>
      <c r="B6179" t="s">
        <v>42</v>
      </c>
      <c r="C6179" t="s">
        <v>33</v>
      </c>
      <c r="D6179">
        <v>0</v>
      </c>
      <c r="E6179">
        <v>1</v>
      </c>
      <c r="F6179" s="7">
        <v>8575.5</v>
      </c>
      <c r="G6179">
        <v>0</v>
      </c>
      <c r="H6179" s="7">
        <v>0</v>
      </c>
    </row>
    <row r="6180" spans="1:8">
      <c r="A6180">
        <v>6</v>
      </c>
      <c r="B6180" t="s">
        <v>42</v>
      </c>
      <c r="C6180" t="s">
        <v>34</v>
      </c>
      <c r="D6180">
        <v>0</v>
      </c>
      <c r="E6180">
        <v>1</v>
      </c>
      <c r="F6180" s="7">
        <v>15185.01</v>
      </c>
      <c r="G6180">
        <v>0</v>
      </c>
      <c r="H6180" s="7">
        <v>0</v>
      </c>
    </row>
    <row r="6181" spans="1:8">
      <c r="A6181">
        <v>6</v>
      </c>
      <c r="B6181" t="s">
        <v>42</v>
      </c>
      <c r="C6181" t="s">
        <v>33</v>
      </c>
      <c r="D6181">
        <v>0</v>
      </c>
      <c r="E6181">
        <v>1</v>
      </c>
      <c r="F6181" s="7">
        <v>5798.35</v>
      </c>
      <c r="G6181">
        <v>0</v>
      </c>
      <c r="H6181" s="7">
        <v>0</v>
      </c>
    </row>
    <row r="6182" spans="1:8">
      <c r="A6182">
        <v>6</v>
      </c>
      <c r="B6182" t="s">
        <v>42</v>
      </c>
      <c r="C6182" t="s">
        <v>34</v>
      </c>
      <c r="D6182">
        <v>0</v>
      </c>
      <c r="E6182">
        <v>1</v>
      </c>
      <c r="F6182" s="7">
        <v>23855.7</v>
      </c>
      <c r="G6182">
        <v>0</v>
      </c>
      <c r="H6182" s="7">
        <v>0</v>
      </c>
    </row>
    <row r="6183" spans="1:8">
      <c r="A6183">
        <v>6</v>
      </c>
      <c r="B6183" t="s">
        <v>44</v>
      </c>
      <c r="C6183" t="s">
        <v>34</v>
      </c>
      <c r="D6183">
        <v>0</v>
      </c>
      <c r="E6183">
        <v>1</v>
      </c>
      <c r="F6183" s="7">
        <v>66999.61</v>
      </c>
      <c r="G6183">
        <v>0</v>
      </c>
      <c r="H6183" s="7">
        <v>0</v>
      </c>
    </row>
    <row r="6184" spans="1:8">
      <c r="A6184">
        <v>6</v>
      </c>
      <c r="B6184" t="s">
        <v>45</v>
      </c>
      <c r="C6184" t="s">
        <v>33</v>
      </c>
      <c r="D6184">
        <v>0</v>
      </c>
      <c r="E6184">
        <v>1</v>
      </c>
      <c r="F6184" s="7">
        <v>3525.54</v>
      </c>
      <c r="G6184">
        <v>0</v>
      </c>
      <c r="H6184" s="7">
        <v>0</v>
      </c>
    </row>
    <row r="6185" spans="1:8">
      <c r="A6185">
        <v>6</v>
      </c>
      <c r="B6185" t="s">
        <v>42</v>
      </c>
      <c r="C6185" t="s">
        <v>34</v>
      </c>
      <c r="D6185">
        <v>0</v>
      </c>
      <c r="E6185">
        <v>1</v>
      </c>
      <c r="F6185" s="7">
        <v>12869.36</v>
      </c>
      <c r="G6185">
        <v>0</v>
      </c>
      <c r="H6185" s="7">
        <v>0</v>
      </c>
    </row>
    <row r="6186" spans="1:8">
      <c r="A6186">
        <v>6</v>
      </c>
      <c r="B6186" t="s">
        <v>42</v>
      </c>
      <c r="C6186" t="s">
        <v>34</v>
      </c>
      <c r="D6186">
        <v>0</v>
      </c>
      <c r="E6186">
        <v>1</v>
      </c>
      <c r="F6186" s="7">
        <v>21864.82</v>
      </c>
      <c r="G6186">
        <v>0</v>
      </c>
      <c r="H6186" s="7">
        <v>0</v>
      </c>
    </row>
    <row r="6187" spans="1:8">
      <c r="A6187">
        <v>6</v>
      </c>
      <c r="B6187" t="s">
        <v>42</v>
      </c>
      <c r="C6187" t="s">
        <v>33</v>
      </c>
      <c r="D6187">
        <v>0</v>
      </c>
      <c r="E6187">
        <v>1</v>
      </c>
      <c r="F6187" s="7">
        <v>8227.9</v>
      </c>
      <c r="G6187">
        <v>0</v>
      </c>
      <c r="H6187" s="7">
        <v>0</v>
      </c>
    </row>
    <row r="6188" spans="1:8">
      <c r="A6188">
        <v>6</v>
      </c>
      <c r="B6188" t="s">
        <v>42</v>
      </c>
      <c r="C6188" t="s">
        <v>33</v>
      </c>
      <c r="D6188">
        <v>0</v>
      </c>
      <c r="E6188">
        <v>1</v>
      </c>
      <c r="F6188" s="7">
        <v>9614.11</v>
      </c>
      <c r="G6188">
        <v>0</v>
      </c>
      <c r="H6188" s="7">
        <v>0</v>
      </c>
    </row>
    <row r="6189" spans="1:8">
      <c r="A6189">
        <v>6</v>
      </c>
      <c r="B6189" t="s">
        <v>42</v>
      </c>
      <c r="C6189" t="s">
        <v>34</v>
      </c>
      <c r="D6189">
        <v>0</v>
      </c>
      <c r="E6189">
        <v>1</v>
      </c>
      <c r="F6189" s="7">
        <v>18897.18</v>
      </c>
      <c r="G6189">
        <v>0</v>
      </c>
      <c r="H6189" s="7">
        <v>0</v>
      </c>
    </row>
    <row r="6190" spans="1:8">
      <c r="A6190">
        <v>6</v>
      </c>
      <c r="B6190" t="s">
        <v>42</v>
      </c>
      <c r="C6190" t="s">
        <v>34</v>
      </c>
      <c r="D6190">
        <v>0</v>
      </c>
      <c r="E6190">
        <v>1</v>
      </c>
      <c r="F6190" s="7">
        <v>13297</v>
      </c>
      <c r="G6190">
        <v>0</v>
      </c>
      <c r="H6190" s="7">
        <v>0</v>
      </c>
    </row>
    <row r="6191" spans="1:8">
      <c r="A6191">
        <v>6</v>
      </c>
      <c r="B6191" t="s">
        <v>43</v>
      </c>
      <c r="C6191" t="s">
        <v>34</v>
      </c>
      <c r="D6191">
        <v>0</v>
      </c>
      <c r="E6191">
        <v>1</v>
      </c>
      <c r="F6191" s="7">
        <v>53627.09</v>
      </c>
      <c r="G6191">
        <v>0</v>
      </c>
      <c r="H6191" s="7">
        <v>0</v>
      </c>
    </row>
    <row r="6192" spans="1:8">
      <c r="A6192">
        <v>6</v>
      </c>
      <c r="B6192" t="s">
        <v>42</v>
      </c>
      <c r="C6192" t="s">
        <v>34</v>
      </c>
      <c r="D6192">
        <v>0</v>
      </c>
      <c r="E6192">
        <v>1</v>
      </c>
      <c r="F6192" s="7">
        <v>16123.97</v>
      </c>
      <c r="G6192">
        <v>0</v>
      </c>
      <c r="H6192" s="7">
        <v>0</v>
      </c>
    </row>
    <row r="6193" spans="1:8">
      <c r="A6193">
        <v>6</v>
      </c>
      <c r="B6193" t="s">
        <v>42</v>
      </c>
      <c r="C6193" t="s">
        <v>33</v>
      </c>
      <c r="D6193">
        <v>0</v>
      </c>
      <c r="E6193">
        <v>1</v>
      </c>
      <c r="F6193" s="7">
        <v>1916.28</v>
      </c>
      <c r="G6193">
        <v>0</v>
      </c>
      <c r="H6193" s="7">
        <v>0</v>
      </c>
    </row>
    <row r="6194" spans="1:8">
      <c r="A6194">
        <v>6</v>
      </c>
      <c r="B6194" t="s">
        <v>42</v>
      </c>
      <c r="C6194" t="s">
        <v>34</v>
      </c>
      <c r="D6194">
        <v>0</v>
      </c>
      <c r="E6194">
        <v>1</v>
      </c>
      <c r="F6194" s="7">
        <v>11393.18</v>
      </c>
      <c r="G6194">
        <v>0</v>
      </c>
      <c r="H6194" s="7">
        <v>0</v>
      </c>
    </row>
    <row r="6195" spans="1:8">
      <c r="A6195">
        <v>6</v>
      </c>
      <c r="B6195" t="s">
        <v>42</v>
      </c>
      <c r="C6195" t="s">
        <v>34</v>
      </c>
      <c r="D6195">
        <v>0</v>
      </c>
      <c r="E6195">
        <v>1</v>
      </c>
      <c r="F6195" s="7">
        <v>13051.13</v>
      </c>
      <c r="G6195">
        <v>0</v>
      </c>
      <c r="H6195" s="7">
        <v>0</v>
      </c>
    </row>
    <row r="6196" spans="1:8">
      <c r="A6196">
        <v>6</v>
      </c>
      <c r="B6196" t="s">
        <v>42</v>
      </c>
      <c r="C6196" t="s">
        <v>34</v>
      </c>
      <c r="D6196">
        <v>0</v>
      </c>
      <c r="E6196">
        <v>1</v>
      </c>
      <c r="F6196" s="7">
        <v>27497.16</v>
      </c>
      <c r="G6196">
        <v>0</v>
      </c>
      <c r="H6196" s="7">
        <v>0</v>
      </c>
    </row>
    <row r="6197" spans="1:8">
      <c r="A6197">
        <v>6</v>
      </c>
      <c r="B6197" t="s">
        <v>42</v>
      </c>
      <c r="C6197" t="s">
        <v>32</v>
      </c>
      <c r="D6197">
        <v>0</v>
      </c>
      <c r="E6197">
        <v>1</v>
      </c>
      <c r="F6197" s="7">
        <v>938.1</v>
      </c>
      <c r="G6197">
        <v>0</v>
      </c>
      <c r="H6197" s="7">
        <v>0</v>
      </c>
    </row>
    <row r="6198" spans="1:8">
      <c r="A6198">
        <v>6</v>
      </c>
      <c r="B6198" t="s">
        <v>42</v>
      </c>
      <c r="C6198" t="s">
        <v>33</v>
      </c>
      <c r="D6198">
        <v>0</v>
      </c>
      <c r="E6198">
        <v>1</v>
      </c>
      <c r="F6198" s="7">
        <v>7918.8</v>
      </c>
      <c r="G6198">
        <v>0</v>
      </c>
      <c r="H6198" s="7">
        <v>0</v>
      </c>
    </row>
    <row r="6199" spans="1:8">
      <c r="A6199">
        <v>6</v>
      </c>
      <c r="B6199" t="s">
        <v>42</v>
      </c>
      <c r="C6199" t="s">
        <v>33</v>
      </c>
      <c r="D6199">
        <v>0</v>
      </c>
      <c r="E6199">
        <v>1</v>
      </c>
      <c r="F6199" s="7">
        <v>6921.69</v>
      </c>
      <c r="G6199">
        <v>0</v>
      </c>
      <c r="H6199" s="7">
        <v>0</v>
      </c>
    </row>
    <row r="6200" spans="1:8">
      <c r="A6200">
        <v>6</v>
      </c>
      <c r="B6200" t="s">
        <v>42</v>
      </c>
      <c r="C6200" t="s">
        <v>33</v>
      </c>
      <c r="D6200">
        <v>0</v>
      </c>
      <c r="E6200">
        <v>1</v>
      </c>
      <c r="F6200" s="7">
        <v>8466.11</v>
      </c>
      <c r="G6200">
        <v>0</v>
      </c>
      <c r="H6200" s="7">
        <v>0</v>
      </c>
    </row>
    <row r="6201" spans="1:8">
      <c r="A6201">
        <v>6</v>
      </c>
      <c r="B6201" t="s">
        <v>44</v>
      </c>
      <c r="C6201" t="s">
        <v>35</v>
      </c>
      <c r="D6201">
        <v>0</v>
      </c>
      <c r="E6201">
        <v>1</v>
      </c>
      <c r="F6201" s="7">
        <v>129835.8</v>
      </c>
      <c r="G6201">
        <v>0</v>
      </c>
      <c r="H6201" s="7">
        <v>0</v>
      </c>
    </row>
    <row r="6202" spans="1:8">
      <c r="A6202">
        <v>6</v>
      </c>
      <c r="B6202" t="s">
        <v>44</v>
      </c>
      <c r="C6202" t="s">
        <v>34</v>
      </c>
      <c r="D6202">
        <v>0</v>
      </c>
      <c r="E6202">
        <v>1</v>
      </c>
      <c r="F6202" s="7">
        <v>37547.1</v>
      </c>
      <c r="G6202">
        <v>0</v>
      </c>
      <c r="H6202" s="7">
        <v>0</v>
      </c>
    </row>
    <row r="6203" spans="1:8">
      <c r="A6203">
        <v>6</v>
      </c>
      <c r="B6203" t="s">
        <v>42</v>
      </c>
      <c r="C6203" t="s">
        <v>34</v>
      </c>
      <c r="D6203">
        <v>0</v>
      </c>
      <c r="E6203">
        <v>1</v>
      </c>
      <c r="F6203" s="7">
        <v>28925.25</v>
      </c>
      <c r="G6203">
        <v>0</v>
      </c>
      <c r="H6203" s="7">
        <v>0</v>
      </c>
    </row>
    <row r="6204" spans="1:8">
      <c r="A6204">
        <v>6</v>
      </c>
      <c r="B6204" t="s">
        <v>42</v>
      </c>
      <c r="C6204" t="s">
        <v>34</v>
      </c>
      <c r="D6204">
        <v>0</v>
      </c>
      <c r="E6204">
        <v>1</v>
      </c>
      <c r="F6204" s="7">
        <v>12889.32</v>
      </c>
      <c r="G6204">
        <v>0</v>
      </c>
      <c r="H6204" s="7">
        <v>0</v>
      </c>
    </row>
    <row r="6205" spans="1:8">
      <c r="A6205">
        <v>6</v>
      </c>
      <c r="B6205" t="s">
        <v>42</v>
      </c>
      <c r="C6205" t="s">
        <v>33</v>
      </c>
      <c r="D6205">
        <v>0</v>
      </c>
      <c r="E6205">
        <v>1</v>
      </c>
      <c r="F6205" s="7">
        <v>4192.58</v>
      </c>
      <c r="G6205">
        <v>0</v>
      </c>
      <c r="H6205" s="7">
        <v>0</v>
      </c>
    </row>
    <row r="6206" spans="1:8">
      <c r="A6206">
        <v>6</v>
      </c>
      <c r="B6206" t="s">
        <v>43</v>
      </c>
      <c r="C6206" t="s">
        <v>33</v>
      </c>
      <c r="D6206">
        <v>0</v>
      </c>
      <c r="E6206">
        <v>1</v>
      </c>
      <c r="F6206" s="7">
        <v>4792.35</v>
      </c>
      <c r="G6206">
        <v>0</v>
      </c>
      <c r="H6206" s="7">
        <v>0</v>
      </c>
    </row>
    <row r="6207" spans="1:8">
      <c r="A6207">
        <v>6</v>
      </c>
      <c r="B6207" t="s">
        <v>42</v>
      </c>
      <c r="C6207" t="s">
        <v>34</v>
      </c>
      <c r="D6207">
        <v>0</v>
      </c>
      <c r="E6207">
        <v>1</v>
      </c>
      <c r="F6207" s="7">
        <v>20036.57</v>
      </c>
      <c r="G6207">
        <v>0</v>
      </c>
      <c r="H6207" s="7">
        <v>0</v>
      </c>
    </row>
    <row r="6208" spans="1:8">
      <c r="A6208">
        <v>6</v>
      </c>
      <c r="B6208" t="s">
        <v>43</v>
      </c>
      <c r="C6208" t="s">
        <v>33</v>
      </c>
      <c r="D6208">
        <v>0</v>
      </c>
      <c r="E6208">
        <v>1</v>
      </c>
      <c r="F6208" s="7">
        <v>3849.48</v>
      </c>
      <c r="G6208">
        <v>0</v>
      </c>
      <c r="H6208" s="7">
        <v>0</v>
      </c>
    </row>
    <row r="6209" spans="1:8">
      <c r="A6209">
        <v>6</v>
      </c>
      <c r="B6209" t="s">
        <v>42</v>
      </c>
      <c r="C6209" t="s">
        <v>33</v>
      </c>
      <c r="D6209">
        <v>0</v>
      </c>
      <c r="E6209">
        <v>1</v>
      </c>
      <c r="F6209" s="7">
        <v>6964.22</v>
      </c>
      <c r="G6209">
        <v>0</v>
      </c>
      <c r="H6209" s="7">
        <v>0</v>
      </c>
    </row>
    <row r="6210" spans="1:8">
      <c r="A6210">
        <v>6</v>
      </c>
      <c r="B6210" t="s">
        <v>42</v>
      </c>
      <c r="C6210" t="s">
        <v>34</v>
      </c>
      <c r="D6210">
        <v>0</v>
      </c>
      <c r="E6210">
        <v>1</v>
      </c>
      <c r="F6210" s="7">
        <v>20530.57</v>
      </c>
      <c r="G6210">
        <v>0</v>
      </c>
      <c r="H6210" s="7">
        <v>0</v>
      </c>
    </row>
    <row r="6211" spans="1:8">
      <c r="A6211">
        <v>6</v>
      </c>
      <c r="B6211" t="s">
        <v>43</v>
      </c>
      <c r="C6211" t="s">
        <v>34</v>
      </c>
      <c r="D6211">
        <v>0</v>
      </c>
      <c r="E6211">
        <v>1</v>
      </c>
      <c r="F6211" s="7">
        <v>65843.72</v>
      </c>
      <c r="G6211">
        <v>0</v>
      </c>
      <c r="H6211" s="7">
        <v>0</v>
      </c>
    </row>
    <row r="6212" spans="1:8">
      <c r="A6212">
        <v>6</v>
      </c>
      <c r="B6212" t="s">
        <v>43</v>
      </c>
      <c r="C6212" t="s">
        <v>36</v>
      </c>
      <c r="D6212">
        <v>0</v>
      </c>
      <c r="E6212">
        <v>1</v>
      </c>
      <c r="F6212" s="7">
        <v>1657667.44</v>
      </c>
      <c r="G6212">
        <v>0</v>
      </c>
      <c r="H6212" s="7">
        <v>0</v>
      </c>
    </row>
    <row r="6213" spans="1:8">
      <c r="A6213">
        <v>6</v>
      </c>
      <c r="B6213" t="s">
        <v>42</v>
      </c>
      <c r="C6213" t="s">
        <v>34</v>
      </c>
      <c r="D6213">
        <v>0</v>
      </c>
      <c r="E6213">
        <v>1</v>
      </c>
      <c r="F6213" s="7">
        <v>21693.79</v>
      </c>
      <c r="G6213">
        <v>0</v>
      </c>
      <c r="H6213" s="7">
        <v>0</v>
      </c>
    </row>
    <row r="6214" spans="1:8">
      <c r="A6214">
        <v>6</v>
      </c>
      <c r="B6214" t="s">
        <v>46</v>
      </c>
      <c r="C6214" t="s">
        <v>35</v>
      </c>
      <c r="D6214">
        <v>0</v>
      </c>
      <c r="E6214">
        <v>1</v>
      </c>
      <c r="F6214" s="7">
        <v>284459.99</v>
      </c>
      <c r="G6214">
        <v>0</v>
      </c>
      <c r="H6214" s="7">
        <v>0</v>
      </c>
    </row>
    <row r="6215" spans="1:8">
      <c r="A6215">
        <v>6</v>
      </c>
      <c r="B6215" t="s">
        <v>46</v>
      </c>
      <c r="C6215" t="s">
        <v>35</v>
      </c>
      <c r="D6215">
        <v>0</v>
      </c>
      <c r="E6215">
        <v>1</v>
      </c>
      <c r="F6215" s="7">
        <v>305475.51</v>
      </c>
      <c r="G6215">
        <v>0</v>
      </c>
      <c r="H6215" s="7">
        <v>0</v>
      </c>
    </row>
    <row r="6216" spans="1:8">
      <c r="A6216">
        <v>6</v>
      </c>
      <c r="B6216" t="s">
        <v>42</v>
      </c>
      <c r="C6216" t="s">
        <v>34</v>
      </c>
      <c r="D6216">
        <v>0</v>
      </c>
      <c r="E6216">
        <v>1</v>
      </c>
      <c r="F6216" s="7">
        <v>18256.2</v>
      </c>
      <c r="G6216">
        <v>0</v>
      </c>
      <c r="H6216" s="7">
        <v>0</v>
      </c>
    </row>
    <row r="6217" spans="1:8">
      <c r="A6217">
        <v>6</v>
      </c>
      <c r="B6217" t="s">
        <v>46</v>
      </c>
      <c r="C6217" t="s">
        <v>35</v>
      </c>
      <c r="D6217">
        <v>0</v>
      </c>
      <c r="E6217">
        <v>1</v>
      </c>
      <c r="F6217" s="7">
        <v>219369.77</v>
      </c>
      <c r="G6217">
        <v>0</v>
      </c>
      <c r="H6217" s="7">
        <v>0</v>
      </c>
    </row>
    <row r="6218" spans="1:8">
      <c r="A6218">
        <v>6</v>
      </c>
      <c r="B6218" t="s">
        <v>46</v>
      </c>
      <c r="C6218" t="s">
        <v>35</v>
      </c>
      <c r="D6218">
        <v>0</v>
      </c>
      <c r="E6218">
        <v>1</v>
      </c>
      <c r="F6218" s="7">
        <v>257380.58</v>
      </c>
      <c r="G6218">
        <v>0</v>
      </c>
      <c r="H6218" s="7">
        <v>0</v>
      </c>
    </row>
    <row r="6219" spans="1:8">
      <c r="A6219">
        <v>6</v>
      </c>
      <c r="B6219" t="s">
        <v>45</v>
      </c>
      <c r="C6219" t="s">
        <v>33</v>
      </c>
      <c r="D6219">
        <v>0</v>
      </c>
      <c r="E6219">
        <v>1</v>
      </c>
      <c r="F6219" s="7">
        <v>1135.09</v>
      </c>
      <c r="G6219">
        <v>0</v>
      </c>
      <c r="H6219" s="7">
        <v>0</v>
      </c>
    </row>
    <row r="6220" spans="1:8">
      <c r="A6220">
        <v>6</v>
      </c>
      <c r="B6220" t="s">
        <v>42</v>
      </c>
      <c r="C6220" t="s">
        <v>33</v>
      </c>
      <c r="D6220">
        <v>0</v>
      </c>
      <c r="E6220">
        <v>1</v>
      </c>
      <c r="F6220" s="7">
        <v>8603.1</v>
      </c>
      <c r="G6220">
        <v>0</v>
      </c>
      <c r="H6220" s="7">
        <v>0</v>
      </c>
    </row>
    <row r="6221" spans="1:8">
      <c r="A6221">
        <v>6</v>
      </c>
      <c r="B6221" t="s">
        <v>42</v>
      </c>
      <c r="C6221" t="s">
        <v>32</v>
      </c>
      <c r="D6221">
        <v>0</v>
      </c>
      <c r="E6221">
        <v>1</v>
      </c>
      <c r="F6221" s="7">
        <v>501.27</v>
      </c>
      <c r="G6221">
        <v>0</v>
      </c>
      <c r="H6221" s="7">
        <v>0</v>
      </c>
    </row>
    <row r="6222" spans="1:8">
      <c r="A6222">
        <v>6</v>
      </c>
      <c r="B6222" t="s">
        <v>42</v>
      </c>
      <c r="C6222" t="s">
        <v>33</v>
      </c>
      <c r="D6222">
        <v>0</v>
      </c>
      <c r="E6222">
        <v>1</v>
      </c>
      <c r="F6222" s="7">
        <v>6804.77</v>
      </c>
      <c r="G6222">
        <v>0</v>
      </c>
      <c r="H6222" s="7">
        <v>0</v>
      </c>
    </row>
    <row r="6223" spans="1:8">
      <c r="A6223">
        <v>6</v>
      </c>
      <c r="B6223" t="s">
        <v>42</v>
      </c>
      <c r="C6223" t="s">
        <v>33</v>
      </c>
      <c r="D6223">
        <v>0</v>
      </c>
      <c r="E6223">
        <v>1</v>
      </c>
      <c r="F6223" s="7">
        <v>1059.81</v>
      </c>
      <c r="G6223">
        <v>0</v>
      </c>
      <c r="H6223" s="7">
        <v>0</v>
      </c>
    </row>
    <row r="6224" spans="1:8">
      <c r="A6224">
        <v>6</v>
      </c>
      <c r="B6224" t="s">
        <v>42</v>
      </c>
      <c r="C6224" t="s">
        <v>33</v>
      </c>
      <c r="D6224">
        <v>0</v>
      </c>
      <c r="E6224">
        <v>1</v>
      </c>
      <c r="F6224" s="7">
        <v>4283.98</v>
      </c>
      <c r="G6224">
        <v>0</v>
      </c>
      <c r="H6224" s="7">
        <v>0</v>
      </c>
    </row>
    <row r="6225" spans="1:8">
      <c r="A6225">
        <v>6</v>
      </c>
      <c r="B6225" t="s">
        <v>42</v>
      </c>
      <c r="C6225" t="s">
        <v>32</v>
      </c>
      <c r="D6225">
        <v>0</v>
      </c>
      <c r="E6225">
        <v>1</v>
      </c>
      <c r="F6225" s="7">
        <v>230.13</v>
      </c>
      <c r="G6225">
        <v>0</v>
      </c>
      <c r="H6225" s="7">
        <v>0</v>
      </c>
    </row>
    <row r="6226" spans="1:8">
      <c r="A6226">
        <v>6</v>
      </c>
      <c r="B6226" t="s">
        <v>42</v>
      </c>
      <c r="C6226" t="s">
        <v>34</v>
      </c>
      <c r="D6226">
        <v>0</v>
      </c>
      <c r="E6226">
        <v>1</v>
      </c>
      <c r="F6226" s="7">
        <v>17482.76</v>
      </c>
      <c r="G6226">
        <v>0</v>
      </c>
      <c r="H6226" s="7">
        <v>0</v>
      </c>
    </row>
    <row r="6227" spans="1:8">
      <c r="A6227">
        <v>6</v>
      </c>
      <c r="B6227" t="s">
        <v>42</v>
      </c>
      <c r="C6227" t="s">
        <v>34</v>
      </c>
      <c r="D6227">
        <v>0</v>
      </c>
      <c r="E6227">
        <v>1</v>
      </c>
      <c r="F6227" s="7">
        <v>10665.1</v>
      </c>
      <c r="G6227">
        <v>0</v>
      </c>
      <c r="H6227" s="7">
        <v>0</v>
      </c>
    </row>
    <row r="6228" spans="1:8">
      <c r="A6228">
        <v>6</v>
      </c>
      <c r="B6228" t="s">
        <v>42</v>
      </c>
      <c r="C6228" t="s">
        <v>34</v>
      </c>
      <c r="D6228">
        <v>0</v>
      </c>
      <c r="E6228">
        <v>1</v>
      </c>
      <c r="F6228" s="7">
        <v>25627.15</v>
      </c>
      <c r="G6228">
        <v>0</v>
      </c>
      <c r="H6228" s="7">
        <v>0</v>
      </c>
    </row>
    <row r="6229" spans="1:8">
      <c r="A6229">
        <v>6</v>
      </c>
      <c r="B6229" t="s">
        <v>42</v>
      </c>
      <c r="C6229" t="s">
        <v>33</v>
      </c>
      <c r="D6229">
        <v>0</v>
      </c>
      <c r="E6229">
        <v>1</v>
      </c>
      <c r="F6229" s="7">
        <v>9957.91</v>
      </c>
      <c r="G6229">
        <v>0</v>
      </c>
      <c r="H6229" s="7">
        <v>0</v>
      </c>
    </row>
    <row r="6230" spans="1:8">
      <c r="A6230">
        <v>6</v>
      </c>
      <c r="B6230" t="s">
        <v>42</v>
      </c>
      <c r="C6230" t="s">
        <v>34</v>
      </c>
      <c r="D6230">
        <v>0</v>
      </c>
      <c r="E6230">
        <v>1</v>
      </c>
      <c r="F6230" s="7">
        <v>13527.67</v>
      </c>
      <c r="G6230">
        <v>0</v>
      </c>
      <c r="H6230" s="7">
        <v>0</v>
      </c>
    </row>
    <row r="6231" spans="1:8">
      <c r="A6231">
        <v>6</v>
      </c>
      <c r="B6231" t="s">
        <v>42</v>
      </c>
      <c r="C6231" t="s">
        <v>34</v>
      </c>
      <c r="D6231">
        <v>0</v>
      </c>
      <c r="E6231">
        <v>1</v>
      </c>
      <c r="F6231" s="7">
        <v>15734</v>
      </c>
      <c r="G6231">
        <v>0</v>
      </c>
      <c r="H6231" s="7">
        <v>0</v>
      </c>
    </row>
    <row r="6232" spans="1:8">
      <c r="A6232">
        <v>6</v>
      </c>
      <c r="B6232" t="s">
        <v>42</v>
      </c>
      <c r="C6232" t="s">
        <v>34</v>
      </c>
      <c r="D6232">
        <v>0</v>
      </c>
      <c r="E6232">
        <v>1</v>
      </c>
      <c r="F6232" s="7">
        <v>20910.03</v>
      </c>
      <c r="G6232">
        <v>0</v>
      </c>
      <c r="H6232" s="7">
        <v>0</v>
      </c>
    </row>
    <row r="6233" spans="1:8">
      <c r="A6233">
        <v>6</v>
      </c>
      <c r="B6233" t="s">
        <v>42</v>
      </c>
      <c r="C6233" t="s">
        <v>33</v>
      </c>
      <c r="D6233">
        <v>0</v>
      </c>
      <c r="E6233">
        <v>1</v>
      </c>
      <c r="F6233" s="7">
        <v>8794.79</v>
      </c>
      <c r="G6233">
        <v>0</v>
      </c>
      <c r="H6233" s="7">
        <v>0</v>
      </c>
    </row>
    <row r="6234" spans="1:8">
      <c r="A6234">
        <v>6</v>
      </c>
      <c r="B6234" t="s">
        <v>42</v>
      </c>
      <c r="C6234" t="s">
        <v>34</v>
      </c>
      <c r="D6234">
        <v>0</v>
      </c>
      <c r="E6234">
        <v>1</v>
      </c>
      <c r="F6234" s="7">
        <v>13472.81</v>
      </c>
      <c r="G6234">
        <v>0</v>
      </c>
      <c r="H6234" s="7">
        <v>0</v>
      </c>
    </row>
    <row r="6235" spans="1:8">
      <c r="A6235">
        <v>6</v>
      </c>
      <c r="B6235" t="s">
        <v>42</v>
      </c>
      <c r="C6235" t="s">
        <v>33</v>
      </c>
      <c r="D6235">
        <v>0</v>
      </c>
      <c r="E6235">
        <v>1</v>
      </c>
      <c r="F6235" s="7">
        <v>9381.55</v>
      </c>
      <c r="G6235">
        <v>0</v>
      </c>
      <c r="H6235" s="7">
        <v>0</v>
      </c>
    </row>
    <row r="6236" spans="1:8">
      <c r="A6236">
        <v>6</v>
      </c>
      <c r="B6236" t="s">
        <v>42</v>
      </c>
      <c r="C6236" t="s">
        <v>33</v>
      </c>
      <c r="D6236">
        <v>0</v>
      </c>
      <c r="E6236">
        <v>1</v>
      </c>
      <c r="F6236" s="7">
        <v>8793.16</v>
      </c>
      <c r="G6236">
        <v>0</v>
      </c>
      <c r="H6236" s="7">
        <v>0</v>
      </c>
    </row>
    <row r="6237" spans="1:8">
      <c r="A6237">
        <v>6</v>
      </c>
      <c r="B6237" t="s">
        <v>42</v>
      </c>
      <c r="C6237" t="s">
        <v>33</v>
      </c>
      <c r="D6237">
        <v>0</v>
      </c>
      <c r="E6237">
        <v>1</v>
      </c>
      <c r="F6237" s="7">
        <v>1217.22</v>
      </c>
      <c r="G6237">
        <v>0</v>
      </c>
      <c r="H6237" s="7">
        <v>0</v>
      </c>
    </row>
    <row r="6238" spans="1:8">
      <c r="A6238">
        <v>6</v>
      </c>
      <c r="B6238" t="s">
        <v>42</v>
      </c>
      <c r="C6238" t="s">
        <v>32</v>
      </c>
      <c r="D6238">
        <v>0</v>
      </c>
      <c r="E6238">
        <v>1</v>
      </c>
      <c r="F6238" s="7">
        <v>125.6</v>
      </c>
      <c r="G6238">
        <v>0</v>
      </c>
      <c r="H6238" s="7">
        <v>0</v>
      </c>
    </row>
    <row r="6239" spans="1:8">
      <c r="A6239">
        <v>6</v>
      </c>
      <c r="B6239" t="s">
        <v>42</v>
      </c>
      <c r="C6239" t="s">
        <v>34</v>
      </c>
      <c r="D6239">
        <v>0</v>
      </c>
      <c r="E6239">
        <v>1</v>
      </c>
      <c r="F6239" s="7">
        <v>13604</v>
      </c>
      <c r="G6239">
        <v>0</v>
      </c>
      <c r="H6239" s="7">
        <v>0</v>
      </c>
    </row>
    <row r="6240" spans="1:8">
      <c r="A6240">
        <v>6</v>
      </c>
      <c r="B6240" t="s">
        <v>42</v>
      </c>
      <c r="C6240" t="s">
        <v>33</v>
      </c>
      <c r="D6240">
        <v>0</v>
      </c>
      <c r="E6240">
        <v>1</v>
      </c>
      <c r="F6240" s="7">
        <v>9899.27</v>
      </c>
      <c r="G6240">
        <v>0</v>
      </c>
      <c r="H6240" s="7">
        <v>0</v>
      </c>
    </row>
    <row r="6241" spans="1:8">
      <c r="A6241">
        <v>6</v>
      </c>
      <c r="B6241" t="s">
        <v>42</v>
      </c>
      <c r="C6241" t="s">
        <v>34</v>
      </c>
      <c r="D6241">
        <v>0</v>
      </c>
      <c r="E6241">
        <v>1</v>
      </c>
      <c r="F6241" s="7">
        <v>22206.33</v>
      </c>
      <c r="G6241">
        <v>0</v>
      </c>
      <c r="H6241" s="7">
        <v>0</v>
      </c>
    </row>
    <row r="6242" spans="1:8">
      <c r="A6242">
        <v>6</v>
      </c>
      <c r="B6242" t="s">
        <v>42</v>
      </c>
      <c r="C6242" t="s">
        <v>34</v>
      </c>
      <c r="D6242">
        <v>0</v>
      </c>
      <c r="E6242">
        <v>1</v>
      </c>
      <c r="F6242" s="7">
        <v>30807.35</v>
      </c>
      <c r="G6242">
        <v>0</v>
      </c>
      <c r="H6242" s="7">
        <v>0</v>
      </c>
    </row>
    <row r="6243" spans="1:8">
      <c r="A6243">
        <v>6</v>
      </c>
      <c r="B6243" t="s">
        <v>42</v>
      </c>
      <c r="C6243" t="s">
        <v>34</v>
      </c>
      <c r="D6243">
        <v>0</v>
      </c>
      <c r="E6243">
        <v>1</v>
      </c>
      <c r="F6243" s="7">
        <v>12738.66</v>
      </c>
      <c r="G6243">
        <v>0</v>
      </c>
      <c r="H6243" s="7">
        <v>0</v>
      </c>
    </row>
    <row r="6244" spans="1:8">
      <c r="A6244">
        <v>6</v>
      </c>
      <c r="B6244" t="s">
        <v>42</v>
      </c>
      <c r="C6244" t="s">
        <v>33</v>
      </c>
      <c r="D6244">
        <v>0</v>
      </c>
      <c r="E6244">
        <v>1</v>
      </c>
      <c r="F6244" s="7">
        <v>8349.68</v>
      </c>
      <c r="G6244">
        <v>0</v>
      </c>
      <c r="H6244" s="7">
        <v>0</v>
      </c>
    </row>
    <row r="6245" spans="1:8">
      <c r="A6245">
        <v>6</v>
      </c>
      <c r="B6245" t="s">
        <v>42</v>
      </c>
      <c r="C6245" t="s">
        <v>33</v>
      </c>
      <c r="D6245">
        <v>0</v>
      </c>
      <c r="E6245">
        <v>1</v>
      </c>
      <c r="F6245" s="7">
        <v>2156.86</v>
      </c>
      <c r="G6245">
        <v>0</v>
      </c>
      <c r="H6245" s="7">
        <v>0</v>
      </c>
    </row>
    <row r="6246" spans="1:8">
      <c r="A6246">
        <v>6</v>
      </c>
      <c r="B6246" t="s">
        <v>45</v>
      </c>
      <c r="C6246" t="s">
        <v>33</v>
      </c>
      <c r="D6246">
        <v>0</v>
      </c>
      <c r="E6246">
        <v>1</v>
      </c>
      <c r="F6246" s="7">
        <v>1322.22</v>
      </c>
      <c r="G6246">
        <v>0</v>
      </c>
      <c r="H6246" s="7">
        <v>0</v>
      </c>
    </row>
    <row r="6247" spans="1:8">
      <c r="A6247">
        <v>6</v>
      </c>
      <c r="B6247" t="s">
        <v>43</v>
      </c>
      <c r="C6247" t="s">
        <v>35</v>
      </c>
      <c r="D6247">
        <v>0</v>
      </c>
      <c r="E6247">
        <v>1</v>
      </c>
      <c r="F6247" s="7">
        <v>587264.44</v>
      </c>
      <c r="G6247">
        <v>0</v>
      </c>
      <c r="H6247" s="7">
        <v>0</v>
      </c>
    </row>
    <row r="6248" spans="1:8">
      <c r="A6248">
        <v>6</v>
      </c>
      <c r="B6248" t="s">
        <v>42</v>
      </c>
      <c r="C6248" t="s">
        <v>32</v>
      </c>
      <c r="D6248">
        <v>0</v>
      </c>
      <c r="E6248">
        <v>1</v>
      </c>
      <c r="F6248" s="7">
        <v>624.02</v>
      </c>
      <c r="G6248">
        <v>0</v>
      </c>
      <c r="H6248" s="7">
        <v>0</v>
      </c>
    </row>
    <row r="6249" spans="1:8">
      <c r="A6249">
        <v>6</v>
      </c>
      <c r="B6249" t="s">
        <v>42</v>
      </c>
      <c r="C6249" t="s">
        <v>33</v>
      </c>
      <c r="D6249">
        <v>0</v>
      </c>
      <c r="E6249">
        <v>1</v>
      </c>
      <c r="F6249" s="7">
        <v>1747.13</v>
      </c>
      <c r="G6249">
        <v>0</v>
      </c>
      <c r="H6249" s="7">
        <v>0</v>
      </c>
    </row>
    <row r="6250" spans="1:8">
      <c r="A6250">
        <v>6</v>
      </c>
      <c r="B6250" t="s">
        <v>42</v>
      </c>
      <c r="C6250" t="s">
        <v>34</v>
      </c>
      <c r="D6250">
        <v>0</v>
      </c>
      <c r="E6250">
        <v>1</v>
      </c>
      <c r="F6250" s="7">
        <v>21795.98</v>
      </c>
      <c r="G6250">
        <v>0</v>
      </c>
      <c r="H6250" s="7">
        <v>0</v>
      </c>
    </row>
    <row r="6251" spans="1:8">
      <c r="A6251">
        <v>6</v>
      </c>
      <c r="B6251" t="s">
        <v>42</v>
      </c>
      <c r="C6251" t="s">
        <v>34</v>
      </c>
      <c r="D6251">
        <v>0</v>
      </c>
      <c r="E6251">
        <v>1</v>
      </c>
      <c r="F6251" s="7">
        <v>11329.53</v>
      </c>
      <c r="G6251">
        <v>0</v>
      </c>
      <c r="H6251" s="7">
        <v>0</v>
      </c>
    </row>
    <row r="6252" spans="1:8">
      <c r="A6252">
        <v>6</v>
      </c>
      <c r="B6252" t="s">
        <v>43</v>
      </c>
      <c r="C6252" t="s">
        <v>34</v>
      </c>
      <c r="D6252">
        <v>0</v>
      </c>
      <c r="E6252">
        <v>1</v>
      </c>
      <c r="F6252" s="7">
        <v>21437.62</v>
      </c>
      <c r="G6252">
        <v>0</v>
      </c>
      <c r="H6252" s="7">
        <v>0</v>
      </c>
    </row>
    <row r="6253" spans="1:8">
      <c r="A6253">
        <v>6</v>
      </c>
      <c r="B6253" t="s">
        <v>43</v>
      </c>
      <c r="C6253" t="s">
        <v>35</v>
      </c>
      <c r="D6253">
        <v>0</v>
      </c>
      <c r="E6253">
        <v>1</v>
      </c>
      <c r="F6253" s="7">
        <v>128294.6</v>
      </c>
      <c r="G6253">
        <v>0</v>
      </c>
      <c r="H6253" s="7">
        <v>0</v>
      </c>
    </row>
    <row r="6254" spans="1:8">
      <c r="A6254">
        <v>6</v>
      </c>
      <c r="B6254" t="s">
        <v>42</v>
      </c>
      <c r="C6254" t="s">
        <v>33</v>
      </c>
      <c r="D6254">
        <v>0</v>
      </c>
      <c r="E6254">
        <v>1</v>
      </c>
      <c r="F6254" s="7">
        <v>2916.14</v>
      </c>
      <c r="G6254">
        <v>0</v>
      </c>
      <c r="H6254" s="7">
        <v>0</v>
      </c>
    </row>
    <row r="6255" spans="1:8">
      <c r="A6255">
        <v>6</v>
      </c>
      <c r="B6255" t="s">
        <v>42</v>
      </c>
      <c r="C6255" t="s">
        <v>34</v>
      </c>
      <c r="D6255">
        <v>0</v>
      </c>
      <c r="E6255">
        <v>1</v>
      </c>
      <c r="F6255" s="7">
        <v>16461.41</v>
      </c>
      <c r="G6255">
        <v>0</v>
      </c>
      <c r="H6255" s="7">
        <v>0</v>
      </c>
    </row>
    <row r="6256" spans="1:8">
      <c r="A6256">
        <v>6</v>
      </c>
      <c r="B6256" t="s">
        <v>42</v>
      </c>
      <c r="C6256" t="s">
        <v>33</v>
      </c>
      <c r="D6256">
        <v>0</v>
      </c>
      <c r="E6256">
        <v>1</v>
      </c>
      <c r="F6256" s="7">
        <v>6682.06</v>
      </c>
      <c r="G6256">
        <v>0</v>
      </c>
      <c r="H6256" s="7">
        <v>0</v>
      </c>
    </row>
    <row r="6257" spans="1:8">
      <c r="A6257">
        <v>6</v>
      </c>
      <c r="B6257" t="s">
        <v>42</v>
      </c>
      <c r="C6257" t="s">
        <v>34</v>
      </c>
      <c r="D6257">
        <v>0</v>
      </c>
      <c r="E6257">
        <v>1</v>
      </c>
      <c r="F6257" s="7">
        <v>13898.22</v>
      </c>
      <c r="G6257">
        <v>0</v>
      </c>
      <c r="H6257" s="7">
        <v>0</v>
      </c>
    </row>
    <row r="6258" spans="1:8">
      <c r="A6258">
        <v>6</v>
      </c>
      <c r="B6258" t="s">
        <v>42</v>
      </c>
      <c r="C6258" t="s">
        <v>33</v>
      </c>
      <c r="D6258">
        <v>0</v>
      </c>
      <c r="E6258">
        <v>1</v>
      </c>
      <c r="F6258" s="7">
        <v>2002.96</v>
      </c>
      <c r="G6258">
        <v>0</v>
      </c>
      <c r="H6258" s="7">
        <v>0</v>
      </c>
    </row>
    <row r="6259" spans="1:8">
      <c r="A6259">
        <v>6</v>
      </c>
      <c r="B6259" t="s">
        <v>42</v>
      </c>
      <c r="C6259" t="s">
        <v>33</v>
      </c>
      <c r="D6259">
        <v>0</v>
      </c>
      <c r="E6259">
        <v>1</v>
      </c>
      <c r="F6259" s="7">
        <v>3707.39</v>
      </c>
      <c r="G6259">
        <v>0</v>
      </c>
      <c r="H6259" s="7">
        <v>0</v>
      </c>
    </row>
    <row r="6260" spans="1:8">
      <c r="A6260">
        <v>6</v>
      </c>
      <c r="B6260" t="s">
        <v>43</v>
      </c>
      <c r="C6260" t="s">
        <v>35</v>
      </c>
      <c r="D6260">
        <v>0</v>
      </c>
      <c r="E6260">
        <v>1</v>
      </c>
      <c r="F6260" s="7">
        <v>106174.75</v>
      </c>
      <c r="G6260">
        <v>0</v>
      </c>
      <c r="H6260" s="7">
        <v>0</v>
      </c>
    </row>
    <row r="6261" spans="1:8">
      <c r="A6261">
        <v>6</v>
      </c>
      <c r="B6261" t="s">
        <v>42</v>
      </c>
      <c r="C6261" t="s">
        <v>33</v>
      </c>
      <c r="D6261">
        <v>0</v>
      </c>
      <c r="E6261">
        <v>1</v>
      </c>
      <c r="F6261" s="7">
        <v>5735.28</v>
      </c>
      <c r="G6261">
        <v>0</v>
      </c>
      <c r="H6261" s="7">
        <v>0</v>
      </c>
    </row>
    <row r="6262" spans="1:8">
      <c r="A6262">
        <v>6</v>
      </c>
      <c r="B6262" t="s">
        <v>43</v>
      </c>
      <c r="C6262" t="s">
        <v>35</v>
      </c>
      <c r="D6262">
        <v>0</v>
      </c>
      <c r="E6262">
        <v>1</v>
      </c>
      <c r="F6262" s="7">
        <v>259992.93</v>
      </c>
      <c r="G6262">
        <v>0</v>
      </c>
      <c r="H6262" s="7">
        <v>0</v>
      </c>
    </row>
    <row r="6263" spans="1:8">
      <c r="A6263">
        <v>6</v>
      </c>
      <c r="B6263" t="s">
        <v>42</v>
      </c>
      <c r="C6263" t="s">
        <v>33</v>
      </c>
      <c r="D6263">
        <v>0</v>
      </c>
      <c r="E6263">
        <v>1</v>
      </c>
      <c r="F6263" s="7">
        <v>1399.52</v>
      </c>
      <c r="G6263">
        <v>0</v>
      </c>
      <c r="H6263" s="7">
        <v>0</v>
      </c>
    </row>
    <row r="6264" spans="1:8">
      <c r="A6264">
        <v>6</v>
      </c>
      <c r="B6264" t="s">
        <v>43</v>
      </c>
      <c r="C6264" t="s">
        <v>35</v>
      </c>
      <c r="D6264">
        <v>0</v>
      </c>
      <c r="E6264">
        <v>1</v>
      </c>
      <c r="F6264" s="7">
        <v>694967.26</v>
      </c>
      <c r="G6264">
        <v>0</v>
      </c>
      <c r="H6264" s="7">
        <v>0</v>
      </c>
    </row>
    <row r="6265" spans="1:8">
      <c r="A6265">
        <v>6</v>
      </c>
      <c r="B6265" t="s">
        <v>42</v>
      </c>
      <c r="C6265" t="s">
        <v>33</v>
      </c>
      <c r="D6265">
        <v>0</v>
      </c>
      <c r="E6265">
        <v>1</v>
      </c>
      <c r="F6265" s="7">
        <v>7682.09</v>
      </c>
      <c r="G6265">
        <v>0</v>
      </c>
      <c r="H6265" s="7">
        <v>0</v>
      </c>
    </row>
    <row r="6266" spans="1:8">
      <c r="A6266">
        <v>6</v>
      </c>
      <c r="B6266" t="s">
        <v>42</v>
      </c>
      <c r="C6266" t="s">
        <v>33</v>
      </c>
      <c r="D6266">
        <v>0</v>
      </c>
      <c r="E6266">
        <v>1</v>
      </c>
      <c r="F6266" s="7">
        <v>2188</v>
      </c>
      <c r="G6266">
        <v>0</v>
      </c>
      <c r="H6266" s="7">
        <v>0</v>
      </c>
    </row>
    <row r="6267" spans="1:8">
      <c r="A6267">
        <v>6</v>
      </c>
      <c r="B6267" t="s">
        <v>42</v>
      </c>
      <c r="C6267" t="s">
        <v>34</v>
      </c>
      <c r="D6267">
        <v>0</v>
      </c>
      <c r="E6267">
        <v>1</v>
      </c>
      <c r="F6267" s="7">
        <v>20192.75</v>
      </c>
      <c r="G6267">
        <v>0</v>
      </c>
      <c r="H6267" s="7">
        <v>0</v>
      </c>
    </row>
    <row r="6268" spans="1:8">
      <c r="A6268">
        <v>6</v>
      </c>
      <c r="B6268" t="s">
        <v>42</v>
      </c>
      <c r="C6268" t="s">
        <v>33</v>
      </c>
      <c r="D6268">
        <v>0</v>
      </c>
      <c r="E6268">
        <v>1</v>
      </c>
      <c r="F6268" s="7">
        <v>2654.07</v>
      </c>
      <c r="G6268">
        <v>0</v>
      </c>
      <c r="H6268" s="7">
        <v>0</v>
      </c>
    </row>
    <row r="6269" spans="1:8">
      <c r="A6269">
        <v>6</v>
      </c>
      <c r="B6269" t="s">
        <v>42</v>
      </c>
      <c r="C6269" t="s">
        <v>34</v>
      </c>
      <c r="D6269">
        <v>0</v>
      </c>
      <c r="E6269">
        <v>1</v>
      </c>
      <c r="F6269" s="7">
        <v>25708.21</v>
      </c>
      <c r="G6269">
        <v>0</v>
      </c>
      <c r="H6269" s="7">
        <v>0</v>
      </c>
    </row>
    <row r="6270" spans="1:8">
      <c r="A6270">
        <v>6</v>
      </c>
      <c r="B6270" t="s">
        <v>42</v>
      </c>
      <c r="C6270" t="s">
        <v>33</v>
      </c>
      <c r="D6270">
        <v>0</v>
      </c>
      <c r="E6270">
        <v>1</v>
      </c>
      <c r="F6270" s="7">
        <v>3175.28</v>
      </c>
      <c r="G6270">
        <v>0</v>
      </c>
      <c r="H6270" s="7">
        <v>0</v>
      </c>
    </row>
    <row r="6271" spans="1:8">
      <c r="A6271">
        <v>6</v>
      </c>
      <c r="B6271" t="s">
        <v>42</v>
      </c>
      <c r="C6271" t="s">
        <v>34</v>
      </c>
      <c r="D6271">
        <v>0</v>
      </c>
      <c r="E6271">
        <v>1</v>
      </c>
      <c r="F6271" s="7">
        <v>11136.27</v>
      </c>
      <c r="G6271">
        <v>0</v>
      </c>
      <c r="H6271" s="7">
        <v>0</v>
      </c>
    </row>
    <row r="6272" spans="1:8">
      <c r="A6272">
        <v>6</v>
      </c>
      <c r="B6272" t="s">
        <v>45</v>
      </c>
      <c r="C6272" t="s">
        <v>33</v>
      </c>
      <c r="D6272">
        <v>0</v>
      </c>
      <c r="E6272">
        <v>1</v>
      </c>
      <c r="F6272" s="7">
        <v>1162.19</v>
      </c>
      <c r="G6272">
        <v>0</v>
      </c>
      <c r="H6272" s="7">
        <v>0</v>
      </c>
    </row>
    <row r="6273" spans="1:8">
      <c r="A6273">
        <v>6</v>
      </c>
      <c r="B6273" t="s">
        <v>42</v>
      </c>
      <c r="C6273" t="s">
        <v>34</v>
      </c>
      <c r="D6273">
        <v>0</v>
      </c>
      <c r="E6273">
        <v>1</v>
      </c>
      <c r="F6273" s="7">
        <v>24105.64</v>
      </c>
      <c r="G6273">
        <v>0</v>
      </c>
      <c r="H6273" s="7">
        <v>0</v>
      </c>
    </row>
    <row r="6274" spans="1:8">
      <c r="A6274">
        <v>6</v>
      </c>
      <c r="B6274" t="s">
        <v>42</v>
      </c>
      <c r="C6274" t="s">
        <v>33</v>
      </c>
      <c r="D6274">
        <v>0</v>
      </c>
      <c r="E6274">
        <v>1</v>
      </c>
      <c r="F6274" s="7">
        <v>8618.23</v>
      </c>
      <c r="G6274">
        <v>0</v>
      </c>
      <c r="H6274" s="7">
        <v>0</v>
      </c>
    </row>
    <row r="6275" spans="1:8">
      <c r="A6275">
        <v>6</v>
      </c>
      <c r="B6275" t="s">
        <v>42</v>
      </c>
      <c r="C6275" t="s">
        <v>34</v>
      </c>
      <c r="D6275">
        <v>0</v>
      </c>
      <c r="E6275">
        <v>1</v>
      </c>
      <c r="F6275" s="7">
        <v>22571.41</v>
      </c>
      <c r="G6275">
        <v>0</v>
      </c>
      <c r="H6275" s="7">
        <v>0</v>
      </c>
    </row>
    <row r="6276" spans="1:8">
      <c r="A6276">
        <v>6</v>
      </c>
      <c r="B6276" t="s">
        <v>42</v>
      </c>
      <c r="C6276" t="s">
        <v>33</v>
      </c>
      <c r="D6276">
        <v>0</v>
      </c>
      <c r="E6276">
        <v>1</v>
      </c>
      <c r="F6276" s="7">
        <v>9644.43</v>
      </c>
      <c r="G6276">
        <v>0</v>
      </c>
      <c r="H6276" s="7">
        <v>0</v>
      </c>
    </row>
    <row r="6277" spans="1:8">
      <c r="A6277">
        <v>6</v>
      </c>
      <c r="B6277" t="s">
        <v>42</v>
      </c>
      <c r="C6277" t="s">
        <v>33</v>
      </c>
      <c r="D6277">
        <v>0</v>
      </c>
      <c r="E6277">
        <v>1</v>
      </c>
      <c r="F6277" s="7">
        <v>3130.97</v>
      </c>
      <c r="G6277">
        <v>0</v>
      </c>
      <c r="H6277" s="7">
        <v>0</v>
      </c>
    </row>
    <row r="6278" spans="1:8">
      <c r="A6278">
        <v>6</v>
      </c>
      <c r="B6278" t="s">
        <v>42</v>
      </c>
      <c r="C6278" t="s">
        <v>34</v>
      </c>
      <c r="D6278">
        <v>0</v>
      </c>
      <c r="E6278">
        <v>1</v>
      </c>
      <c r="F6278" s="7">
        <v>19471.74</v>
      </c>
      <c r="G6278">
        <v>0</v>
      </c>
      <c r="H6278" s="7">
        <v>0</v>
      </c>
    </row>
    <row r="6279" spans="1:8">
      <c r="A6279">
        <v>6</v>
      </c>
      <c r="B6279" t="s">
        <v>42</v>
      </c>
      <c r="C6279" t="s">
        <v>34</v>
      </c>
      <c r="D6279">
        <v>0</v>
      </c>
      <c r="E6279">
        <v>1</v>
      </c>
      <c r="F6279" s="7">
        <v>12249.78</v>
      </c>
      <c r="G6279">
        <v>0</v>
      </c>
      <c r="H6279" s="7">
        <v>0</v>
      </c>
    </row>
    <row r="6280" spans="1:8">
      <c r="A6280">
        <v>6</v>
      </c>
      <c r="B6280" t="s">
        <v>42</v>
      </c>
      <c r="C6280" t="s">
        <v>33</v>
      </c>
      <c r="D6280">
        <v>0</v>
      </c>
      <c r="E6280">
        <v>1</v>
      </c>
      <c r="F6280" s="7">
        <v>7390.28</v>
      </c>
      <c r="G6280">
        <v>0</v>
      </c>
      <c r="H6280" s="7">
        <v>0</v>
      </c>
    </row>
    <row r="6281" spans="1:8">
      <c r="A6281">
        <v>6</v>
      </c>
      <c r="B6281" t="s">
        <v>43</v>
      </c>
      <c r="C6281" t="s">
        <v>34</v>
      </c>
      <c r="D6281">
        <v>0</v>
      </c>
      <c r="E6281">
        <v>1</v>
      </c>
      <c r="F6281" s="7">
        <v>45447.1</v>
      </c>
      <c r="G6281">
        <v>0</v>
      </c>
      <c r="H6281" s="7">
        <v>0</v>
      </c>
    </row>
    <row r="6282" spans="1:8">
      <c r="A6282">
        <v>6</v>
      </c>
      <c r="B6282" t="s">
        <v>46</v>
      </c>
      <c r="C6282" t="s">
        <v>35</v>
      </c>
      <c r="D6282">
        <v>0</v>
      </c>
      <c r="E6282">
        <v>1</v>
      </c>
      <c r="F6282" s="7">
        <v>153670.12</v>
      </c>
      <c r="G6282">
        <v>0</v>
      </c>
      <c r="H6282" s="7">
        <v>0</v>
      </c>
    </row>
    <row r="6283" spans="1:8">
      <c r="A6283">
        <v>6</v>
      </c>
      <c r="B6283" t="s">
        <v>42</v>
      </c>
      <c r="C6283" t="s">
        <v>33</v>
      </c>
      <c r="D6283">
        <v>0</v>
      </c>
      <c r="E6283">
        <v>1</v>
      </c>
      <c r="F6283" s="7">
        <v>9927.74</v>
      </c>
      <c r="G6283">
        <v>0</v>
      </c>
      <c r="H6283" s="7">
        <v>0</v>
      </c>
    </row>
    <row r="6284" spans="1:8">
      <c r="A6284">
        <v>6</v>
      </c>
      <c r="B6284" t="s">
        <v>42</v>
      </c>
      <c r="C6284" t="s">
        <v>32</v>
      </c>
      <c r="D6284">
        <v>0</v>
      </c>
      <c r="E6284">
        <v>1</v>
      </c>
      <c r="F6284" s="7">
        <v>951</v>
      </c>
      <c r="G6284">
        <v>0</v>
      </c>
      <c r="H6284" s="7">
        <v>0</v>
      </c>
    </row>
    <row r="6285" spans="1:8">
      <c r="A6285">
        <v>6</v>
      </c>
      <c r="B6285" t="s">
        <v>42</v>
      </c>
      <c r="C6285" t="s">
        <v>33</v>
      </c>
      <c r="D6285">
        <v>0</v>
      </c>
      <c r="E6285">
        <v>1</v>
      </c>
      <c r="F6285" s="7">
        <v>9083.33</v>
      </c>
      <c r="G6285">
        <v>0</v>
      </c>
      <c r="H6285" s="7">
        <v>0</v>
      </c>
    </row>
    <row r="6286" spans="1:8">
      <c r="A6286">
        <v>6</v>
      </c>
      <c r="B6286" t="s">
        <v>44</v>
      </c>
      <c r="C6286" t="s">
        <v>35</v>
      </c>
      <c r="D6286">
        <v>0</v>
      </c>
      <c r="E6286">
        <v>1</v>
      </c>
      <c r="F6286" s="7">
        <v>376292.35</v>
      </c>
      <c r="G6286">
        <v>0</v>
      </c>
      <c r="H6286" s="7">
        <v>0</v>
      </c>
    </row>
    <row r="6287" spans="1:8">
      <c r="A6287">
        <v>6</v>
      </c>
      <c r="B6287" t="s">
        <v>43</v>
      </c>
      <c r="C6287" t="s">
        <v>34</v>
      </c>
      <c r="D6287">
        <v>0</v>
      </c>
      <c r="E6287">
        <v>1</v>
      </c>
      <c r="F6287" s="7">
        <v>30538.26</v>
      </c>
      <c r="G6287">
        <v>0</v>
      </c>
      <c r="H6287" s="7">
        <v>0</v>
      </c>
    </row>
    <row r="6288" spans="1:8">
      <c r="A6288">
        <v>6</v>
      </c>
      <c r="B6288" t="s">
        <v>44</v>
      </c>
      <c r="C6288" t="s">
        <v>35</v>
      </c>
      <c r="D6288">
        <v>0</v>
      </c>
      <c r="E6288">
        <v>1</v>
      </c>
      <c r="F6288" s="7">
        <v>169614.88</v>
      </c>
      <c r="G6288">
        <v>0</v>
      </c>
      <c r="H6288" s="7">
        <v>0</v>
      </c>
    </row>
    <row r="6289" spans="1:8">
      <c r="A6289">
        <v>6</v>
      </c>
      <c r="B6289" t="s">
        <v>42</v>
      </c>
      <c r="C6289" t="s">
        <v>34</v>
      </c>
      <c r="D6289">
        <v>0</v>
      </c>
      <c r="E6289">
        <v>1</v>
      </c>
      <c r="F6289" s="7">
        <v>11218.96</v>
      </c>
      <c r="G6289">
        <v>0</v>
      </c>
      <c r="H6289" s="7">
        <v>0</v>
      </c>
    </row>
    <row r="6290" spans="1:8">
      <c r="A6290">
        <v>6</v>
      </c>
      <c r="B6290" t="s">
        <v>45</v>
      </c>
      <c r="C6290" t="s">
        <v>32</v>
      </c>
      <c r="D6290">
        <v>0</v>
      </c>
      <c r="E6290">
        <v>1</v>
      </c>
      <c r="F6290" s="7">
        <v>905.2</v>
      </c>
      <c r="G6290">
        <v>0</v>
      </c>
      <c r="H6290" s="7">
        <v>0</v>
      </c>
    </row>
    <row r="6291" spans="1:8">
      <c r="A6291">
        <v>6</v>
      </c>
      <c r="B6291" t="s">
        <v>42</v>
      </c>
      <c r="C6291" t="s">
        <v>33</v>
      </c>
      <c r="D6291">
        <v>0</v>
      </c>
      <c r="E6291">
        <v>1</v>
      </c>
      <c r="F6291" s="7">
        <v>4457.68</v>
      </c>
      <c r="G6291">
        <v>0</v>
      </c>
      <c r="H6291" s="7">
        <v>0</v>
      </c>
    </row>
    <row r="6292" spans="1:8">
      <c r="A6292">
        <v>6</v>
      </c>
      <c r="B6292" t="s">
        <v>42</v>
      </c>
      <c r="C6292" t="s">
        <v>33</v>
      </c>
      <c r="D6292">
        <v>0</v>
      </c>
      <c r="E6292">
        <v>1</v>
      </c>
      <c r="F6292" s="7">
        <v>2508.64</v>
      </c>
      <c r="G6292">
        <v>0</v>
      </c>
      <c r="H6292" s="7">
        <v>0</v>
      </c>
    </row>
    <row r="6293" spans="1:8">
      <c r="A6293">
        <v>6</v>
      </c>
      <c r="B6293" t="s">
        <v>42</v>
      </c>
      <c r="C6293" t="s">
        <v>33</v>
      </c>
      <c r="D6293">
        <v>0</v>
      </c>
      <c r="E6293">
        <v>1</v>
      </c>
      <c r="F6293" s="7">
        <v>2571.94</v>
      </c>
      <c r="G6293">
        <v>0</v>
      </c>
      <c r="H6293" s="7">
        <v>0</v>
      </c>
    </row>
    <row r="6294" spans="1:8">
      <c r="A6294">
        <v>6</v>
      </c>
      <c r="B6294" t="s">
        <v>42</v>
      </c>
      <c r="C6294" t="s">
        <v>34</v>
      </c>
      <c r="D6294">
        <v>0</v>
      </c>
      <c r="E6294">
        <v>1</v>
      </c>
      <c r="F6294" s="7">
        <v>16998.22</v>
      </c>
      <c r="G6294">
        <v>0</v>
      </c>
      <c r="H6294" s="7">
        <v>0</v>
      </c>
    </row>
    <row r="6295" spans="1:8">
      <c r="A6295">
        <v>6</v>
      </c>
      <c r="B6295" t="s">
        <v>42</v>
      </c>
      <c r="C6295" t="s">
        <v>32</v>
      </c>
      <c r="D6295">
        <v>0</v>
      </c>
      <c r="E6295">
        <v>1</v>
      </c>
      <c r="F6295" s="7">
        <v>170.22</v>
      </c>
      <c r="G6295">
        <v>0</v>
      </c>
      <c r="H6295" s="7">
        <v>0</v>
      </c>
    </row>
    <row r="6296" spans="1:8">
      <c r="A6296">
        <v>6</v>
      </c>
      <c r="B6296" t="s">
        <v>42</v>
      </c>
      <c r="C6296" t="s">
        <v>34</v>
      </c>
      <c r="D6296">
        <v>0</v>
      </c>
      <c r="E6296">
        <v>1</v>
      </c>
      <c r="F6296" s="7">
        <v>10460.53</v>
      </c>
      <c r="G6296">
        <v>0</v>
      </c>
      <c r="H6296" s="7">
        <v>0</v>
      </c>
    </row>
    <row r="6297" spans="1:8">
      <c r="A6297">
        <v>6</v>
      </c>
      <c r="B6297" t="s">
        <v>42</v>
      </c>
      <c r="C6297" t="s">
        <v>33</v>
      </c>
      <c r="D6297">
        <v>0</v>
      </c>
      <c r="E6297">
        <v>1</v>
      </c>
      <c r="F6297" s="7">
        <v>9909.88</v>
      </c>
      <c r="G6297">
        <v>0</v>
      </c>
      <c r="H6297" s="7">
        <v>0</v>
      </c>
    </row>
    <row r="6298" spans="1:8">
      <c r="A6298">
        <v>6</v>
      </c>
      <c r="B6298" t="s">
        <v>42</v>
      </c>
      <c r="C6298" t="s">
        <v>34</v>
      </c>
      <c r="D6298">
        <v>0</v>
      </c>
      <c r="E6298">
        <v>1</v>
      </c>
      <c r="F6298" s="7">
        <v>32064.62</v>
      </c>
      <c r="G6298">
        <v>0</v>
      </c>
      <c r="H6298" s="7">
        <v>0</v>
      </c>
    </row>
    <row r="6299" spans="1:8">
      <c r="A6299">
        <v>6</v>
      </c>
      <c r="B6299" t="s">
        <v>44</v>
      </c>
      <c r="C6299" t="s">
        <v>34</v>
      </c>
      <c r="D6299">
        <v>0</v>
      </c>
      <c r="E6299">
        <v>1</v>
      </c>
      <c r="F6299" s="7">
        <v>37393.74</v>
      </c>
      <c r="G6299">
        <v>0</v>
      </c>
      <c r="H6299" s="7">
        <v>0</v>
      </c>
    </row>
    <row r="6300" spans="1:8">
      <c r="A6300">
        <v>6</v>
      </c>
      <c r="B6300" t="s">
        <v>42</v>
      </c>
      <c r="C6300" t="s">
        <v>33</v>
      </c>
      <c r="D6300">
        <v>0</v>
      </c>
      <c r="E6300">
        <v>1</v>
      </c>
      <c r="F6300" s="7">
        <v>5570.02</v>
      </c>
      <c r="G6300">
        <v>0</v>
      </c>
      <c r="H6300" s="7">
        <v>0</v>
      </c>
    </row>
    <row r="6301" spans="1:8">
      <c r="A6301">
        <v>6</v>
      </c>
      <c r="B6301" t="s">
        <v>42</v>
      </c>
      <c r="C6301" t="s">
        <v>34</v>
      </c>
      <c r="D6301">
        <v>0</v>
      </c>
      <c r="E6301">
        <v>1</v>
      </c>
      <c r="F6301" s="7">
        <v>10541.14</v>
      </c>
      <c r="G6301">
        <v>0</v>
      </c>
      <c r="H6301" s="7">
        <v>0</v>
      </c>
    </row>
    <row r="6302" spans="1:8">
      <c r="A6302">
        <v>6</v>
      </c>
      <c r="B6302" t="s">
        <v>42</v>
      </c>
      <c r="C6302" t="s">
        <v>33</v>
      </c>
      <c r="D6302">
        <v>0</v>
      </c>
      <c r="E6302">
        <v>1</v>
      </c>
      <c r="F6302" s="7">
        <v>6559.64</v>
      </c>
      <c r="G6302">
        <v>0</v>
      </c>
      <c r="H6302" s="7">
        <v>0</v>
      </c>
    </row>
    <row r="6303" spans="1:8">
      <c r="A6303">
        <v>6</v>
      </c>
      <c r="B6303" t="s">
        <v>42</v>
      </c>
      <c r="C6303" t="s">
        <v>33</v>
      </c>
      <c r="D6303">
        <v>0</v>
      </c>
      <c r="E6303">
        <v>1</v>
      </c>
      <c r="F6303" s="7">
        <v>4570.77</v>
      </c>
      <c r="G6303">
        <v>0</v>
      </c>
      <c r="H6303" s="7">
        <v>0</v>
      </c>
    </row>
    <row r="6304" spans="1:8">
      <c r="A6304">
        <v>6</v>
      </c>
      <c r="B6304" t="s">
        <v>44</v>
      </c>
      <c r="C6304" t="s">
        <v>35</v>
      </c>
      <c r="D6304">
        <v>0</v>
      </c>
      <c r="E6304">
        <v>1</v>
      </c>
      <c r="F6304" s="7">
        <v>228693.31</v>
      </c>
      <c r="G6304">
        <v>0</v>
      </c>
      <c r="H6304" s="7">
        <v>0</v>
      </c>
    </row>
    <row r="6305" spans="1:8">
      <c r="A6305">
        <v>6</v>
      </c>
      <c r="B6305" t="s">
        <v>45</v>
      </c>
      <c r="C6305" t="s">
        <v>33</v>
      </c>
      <c r="D6305">
        <v>0</v>
      </c>
      <c r="E6305">
        <v>1</v>
      </c>
      <c r="F6305" s="7">
        <v>3466.15</v>
      </c>
      <c r="G6305">
        <v>0</v>
      </c>
      <c r="H6305" s="7">
        <v>0</v>
      </c>
    </row>
    <row r="6306" spans="1:8">
      <c r="A6306">
        <v>6</v>
      </c>
      <c r="B6306" t="s">
        <v>42</v>
      </c>
      <c r="C6306" t="s">
        <v>32</v>
      </c>
      <c r="D6306">
        <v>0</v>
      </c>
      <c r="E6306">
        <v>1</v>
      </c>
      <c r="F6306" s="7">
        <v>795.78</v>
      </c>
      <c r="G6306">
        <v>0</v>
      </c>
      <c r="H6306" s="7">
        <v>0</v>
      </c>
    </row>
    <row r="6307" spans="1:8">
      <c r="A6307">
        <v>6</v>
      </c>
      <c r="B6307" t="s">
        <v>43</v>
      </c>
      <c r="C6307" t="s">
        <v>34</v>
      </c>
      <c r="D6307">
        <v>0</v>
      </c>
      <c r="E6307">
        <v>1</v>
      </c>
      <c r="F6307" s="7">
        <v>98830.07</v>
      </c>
      <c r="G6307">
        <v>0</v>
      </c>
      <c r="H6307" s="7">
        <v>0</v>
      </c>
    </row>
    <row r="6308" spans="1:8">
      <c r="A6308">
        <v>6</v>
      </c>
      <c r="B6308" t="s">
        <v>42</v>
      </c>
      <c r="C6308" t="s">
        <v>33</v>
      </c>
      <c r="D6308">
        <v>0</v>
      </c>
      <c r="E6308">
        <v>1</v>
      </c>
      <c r="F6308" s="7">
        <v>7930.71</v>
      </c>
      <c r="G6308">
        <v>0</v>
      </c>
      <c r="H6308" s="7">
        <v>0</v>
      </c>
    </row>
    <row r="6309" spans="1:8">
      <c r="A6309">
        <v>6</v>
      </c>
      <c r="B6309" t="s">
        <v>42</v>
      </c>
      <c r="C6309" t="s">
        <v>34</v>
      </c>
      <c r="D6309">
        <v>0</v>
      </c>
      <c r="E6309">
        <v>1</v>
      </c>
      <c r="F6309" s="7">
        <v>12692.77</v>
      </c>
      <c r="G6309">
        <v>0</v>
      </c>
      <c r="H6309" s="7">
        <v>0</v>
      </c>
    </row>
    <row r="6310" spans="1:8">
      <c r="A6310">
        <v>6</v>
      </c>
      <c r="B6310" t="s">
        <v>42</v>
      </c>
      <c r="C6310" t="s">
        <v>34</v>
      </c>
      <c r="D6310">
        <v>0</v>
      </c>
      <c r="E6310">
        <v>1</v>
      </c>
      <c r="F6310" s="7">
        <v>33410.82</v>
      </c>
      <c r="G6310">
        <v>0</v>
      </c>
      <c r="H6310" s="7">
        <v>0</v>
      </c>
    </row>
    <row r="6311" spans="1:8">
      <c r="A6311">
        <v>6</v>
      </c>
      <c r="B6311" t="s">
        <v>42</v>
      </c>
      <c r="C6311" t="s">
        <v>34</v>
      </c>
      <c r="D6311">
        <v>0</v>
      </c>
      <c r="E6311">
        <v>1</v>
      </c>
      <c r="F6311" s="7">
        <v>12077.53</v>
      </c>
      <c r="G6311">
        <v>0</v>
      </c>
      <c r="H6311" s="7">
        <v>0</v>
      </c>
    </row>
    <row r="6312" spans="1:8">
      <c r="A6312">
        <v>6</v>
      </c>
      <c r="B6312" t="s">
        <v>42</v>
      </c>
      <c r="C6312" t="s">
        <v>33</v>
      </c>
      <c r="D6312">
        <v>0</v>
      </c>
      <c r="E6312">
        <v>1</v>
      </c>
      <c r="F6312" s="7">
        <v>7377.42</v>
      </c>
      <c r="G6312">
        <v>0</v>
      </c>
      <c r="H6312" s="7">
        <v>0</v>
      </c>
    </row>
    <row r="6313" spans="1:8">
      <c r="A6313">
        <v>6</v>
      </c>
      <c r="B6313" t="s">
        <v>42</v>
      </c>
      <c r="C6313" t="s">
        <v>34</v>
      </c>
      <c r="D6313">
        <v>0</v>
      </c>
      <c r="E6313">
        <v>1</v>
      </c>
      <c r="F6313" s="7">
        <v>44542.15</v>
      </c>
      <c r="G6313">
        <v>0</v>
      </c>
      <c r="H6313" s="7">
        <v>0</v>
      </c>
    </row>
    <row r="6314" spans="1:8">
      <c r="A6314">
        <v>6</v>
      </c>
      <c r="B6314" t="s">
        <v>42</v>
      </c>
      <c r="C6314" t="s">
        <v>33</v>
      </c>
      <c r="D6314">
        <v>0</v>
      </c>
      <c r="E6314">
        <v>1</v>
      </c>
      <c r="F6314" s="7">
        <v>8802.64</v>
      </c>
      <c r="G6314">
        <v>0</v>
      </c>
      <c r="H6314" s="7">
        <v>0</v>
      </c>
    </row>
    <row r="6315" spans="1:8">
      <c r="A6315">
        <v>6</v>
      </c>
      <c r="B6315" t="s">
        <v>42</v>
      </c>
      <c r="C6315" t="s">
        <v>34</v>
      </c>
      <c r="D6315">
        <v>0</v>
      </c>
      <c r="E6315">
        <v>1</v>
      </c>
      <c r="F6315" s="7">
        <v>10335.09</v>
      </c>
      <c r="G6315">
        <v>0</v>
      </c>
      <c r="H6315" s="7">
        <v>0</v>
      </c>
    </row>
    <row r="6316" spans="1:8">
      <c r="A6316">
        <v>6</v>
      </c>
      <c r="B6316" t="s">
        <v>42</v>
      </c>
      <c r="C6316" t="s">
        <v>34</v>
      </c>
      <c r="D6316">
        <v>0</v>
      </c>
      <c r="E6316">
        <v>1</v>
      </c>
      <c r="F6316" s="7">
        <v>10288.63</v>
      </c>
      <c r="G6316">
        <v>0</v>
      </c>
      <c r="H6316" s="7">
        <v>0</v>
      </c>
    </row>
    <row r="6317" spans="1:8">
      <c r="A6317">
        <v>6</v>
      </c>
      <c r="B6317" t="s">
        <v>42</v>
      </c>
      <c r="C6317" t="s">
        <v>34</v>
      </c>
      <c r="D6317">
        <v>0</v>
      </c>
      <c r="E6317">
        <v>1</v>
      </c>
      <c r="F6317" s="7">
        <v>17202.8</v>
      </c>
      <c r="G6317">
        <v>0</v>
      </c>
      <c r="H6317" s="7">
        <v>0</v>
      </c>
    </row>
    <row r="6318" spans="1:8">
      <c r="A6318">
        <v>6</v>
      </c>
      <c r="B6318" t="s">
        <v>42</v>
      </c>
      <c r="C6318" t="s">
        <v>34</v>
      </c>
      <c r="D6318">
        <v>0</v>
      </c>
      <c r="E6318">
        <v>1</v>
      </c>
      <c r="F6318" s="7">
        <v>25828.32</v>
      </c>
      <c r="G6318">
        <v>0</v>
      </c>
      <c r="H6318" s="7">
        <v>0</v>
      </c>
    </row>
    <row r="6319" spans="1:8">
      <c r="A6319">
        <v>6</v>
      </c>
      <c r="B6319" t="s">
        <v>42</v>
      </c>
      <c r="C6319" t="s">
        <v>33</v>
      </c>
      <c r="D6319">
        <v>0</v>
      </c>
      <c r="E6319">
        <v>1</v>
      </c>
      <c r="F6319" s="7">
        <v>4669.49</v>
      </c>
      <c r="G6319">
        <v>0</v>
      </c>
      <c r="H6319" s="7">
        <v>0</v>
      </c>
    </row>
    <row r="6320" spans="1:8">
      <c r="A6320">
        <v>6</v>
      </c>
      <c r="B6320" t="s">
        <v>42</v>
      </c>
      <c r="C6320" t="s">
        <v>34</v>
      </c>
      <c r="D6320">
        <v>0</v>
      </c>
      <c r="E6320">
        <v>1</v>
      </c>
      <c r="F6320" s="7">
        <v>24213.27</v>
      </c>
      <c r="G6320">
        <v>0</v>
      </c>
      <c r="H6320" s="7">
        <v>0</v>
      </c>
    </row>
    <row r="6321" spans="1:8">
      <c r="A6321">
        <v>6</v>
      </c>
      <c r="B6321" t="s">
        <v>42</v>
      </c>
      <c r="C6321" t="s">
        <v>32</v>
      </c>
      <c r="D6321">
        <v>0</v>
      </c>
      <c r="E6321">
        <v>1</v>
      </c>
      <c r="F6321" s="7">
        <v>529.53</v>
      </c>
      <c r="G6321">
        <v>0</v>
      </c>
      <c r="H6321" s="7">
        <v>0</v>
      </c>
    </row>
    <row r="6322" spans="1:8">
      <c r="A6322">
        <v>6</v>
      </c>
      <c r="B6322" t="s">
        <v>42</v>
      </c>
      <c r="C6322" t="s">
        <v>33</v>
      </c>
      <c r="D6322">
        <v>0</v>
      </c>
      <c r="E6322">
        <v>1</v>
      </c>
      <c r="F6322" s="7">
        <v>8715.69</v>
      </c>
      <c r="G6322">
        <v>0</v>
      </c>
      <c r="H6322" s="7">
        <v>0</v>
      </c>
    </row>
    <row r="6323" spans="1:8">
      <c r="A6323">
        <v>6</v>
      </c>
      <c r="B6323" t="s">
        <v>42</v>
      </c>
      <c r="C6323" t="s">
        <v>34</v>
      </c>
      <c r="D6323">
        <v>0</v>
      </c>
      <c r="E6323">
        <v>1</v>
      </c>
      <c r="F6323" s="7">
        <v>24978.31</v>
      </c>
      <c r="G6323">
        <v>0</v>
      </c>
      <c r="H6323" s="7">
        <v>0</v>
      </c>
    </row>
    <row r="6324" spans="1:8">
      <c r="A6324">
        <v>6</v>
      </c>
      <c r="B6324" t="s">
        <v>42</v>
      </c>
      <c r="C6324" t="s">
        <v>34</v>
      </c>
      <c r="D6324">
        <v>0</v>
      </c>
      <c r="E6324">
        <v>1</v>
      </c>
      <c r="F6324" s="7">
        <v>11510.71</v>
      </c>
      <c r="G6324">
        <v>0</v>
      </c>
      <c r="H6324" s="7">
        <v>0</v>
      </c>
    </row>
    <row r="6325" spans="1:8">
      <c r="A6325">
        <v>6</v>
      </c>
      <c r="B6325" t="s">
        <v>42</v>
      </c>
      <c r="C6325" t="s">
        <v>34</v>
      </c>
      <c r="D6325">
        <v>0</v>
      </c>
      <c r="E6325">
        <v>1</v>
      </c>
      <c r="F6325" s="7">
        <v>13999.1</v>
      </c>
      <c r="G6325">
        <v>0</v>
      </c>
      <c r="H6325" s="7">
        <v>0</v>
      </c>
    </row>
    <row r="6326" spans="1:8">
      <c r="A6326">
        <v>6</v>
      </c>
      <c r="B6326" t="s">
        <v>42</v>
      </c>
      <c r="C6326" t="s">
        <v>32</v>
      </c>
      <c r="D6326">
        <v>0</v>
      </c>
      <c r="E6326">
        <v>1</v>
      </c>
      <c r="F6326" s="7">
        <v>87.34</v>
      </c>
      <c r="G6326">
        <v>0</v>
      </c>
      <c r="H6326" s="7">
        <v>0</v>
      </c>
    </row>
    <row r="6327" spans="1:8">
      <c r="A6327">
        <v>6</v>
      </c>
      <c r="B6327" t="s">
        <v>42</v>
      </c>
      <c r="C6327" t="s">
        <v>34</v>
      </c>
      <c r="D6327">
        <v>0</v>
      </c>
      <c r="E6327">
        <v>1</v>
      </c>
      <c r="F6327" s="7">
        <v>19030.46</v>
      </c>
      <c r="G6327">
        <v>0</v>
      </c>
      <c r="H6327" s="7">
        <v>0</v>
      </c>
    </row>
    <row r="6328" spans="1:8">
      <c r="A6328">
        <v>6</v>
      </c>
      <c r="B6328" t="s">
        <v>43</v>
      </c>
      <c r="C6328" t="s">
        <v>35</v>
      </c>
      <c r="D6328">
        <v>0</v>
      </c>
      <c r="E6328">
        <v>1</v>
      </c>
      <c r="F6328" s="7">
        <v>274324.05</v>
      </c>
      <c r="G6328">
        <v>0</v>
      </c>
      <c r="H6328" s="7">
        <v>0</v>
      </c>
    </row>
    <row r="6329" spans="1:8">
      <c r="A6329">
        <v>6</v>
      </c>
      <c r="B6329" t="s">
        <v>44</v>
      </c>
      <c r="C6329" t="s">
        <v>34</v>
      </c>
      <c r="D6329">
        <v>0</v>
      </c>
      <c r="E6329">
        <v>1</v>
      </c>
      <c r="F6329" s="7">
        <v>43410.17</v>
      </c>
      <c r="G6329">
        <v>0</v>
      </c>
      <c r="H6329" s="7">
        <v>0</v>
      </c>
    </row>
    <row r="6330" spans="1:8">
      <c r="A6330">
        <v>6</v>
      </c>
      <c r="B6330" t="s">
        <v>44</v>
      </c>
      <c r="C6330" t="s">
        <v>35</v>
      </c>
      <c r="D6330">
        <v>0</v>
      </c>
      <c r="E6330">
        <v>1</v>
      </c>
      <c r="F6330" s="7">
        <v>275905.67</v>
      </c>
      <c r="G6330">
        <v>0</v>
      </c>
      <c r="H6330" s="7">
        <v>0</v>
      </c>
    </row>
    <row r="6331" spans="1:8">
      <c r="A6331">
        <v>6</v>
      </c>
      <c r="B6331" t="s">
        <v>44</v>
      </c>
      <c r="C6331" t="s">
        <v>35</v>
      </c>
      <c r="D6331">
        <v>0</v>
      </c>
      <c r="E6331">
        <v>1</v>
      </c>
      <c r="F6331" s="7">
        <v>246039.31</v>
      </c>
      <c r="G6331">
        <v>0</v>
      </c>
      <c r="H6331" s="7">
        <v>0</v>
      </c>
    </row>
    <row r="6332" spans="1:8">
      <c r="A6332">
        <v>6</v>
      </c>
      <c r="B6332" t="s">
        <v>44</v>
      </c>
      <c r="C6332" t="s">
        <v>35</v>
      </c>
      <c r="D6332">
        <v>0</v>
      </c>
      <c r="E6332">
        <v>1</v>
      </c>
      <c r="F6332" s="7">
        <v>222863.57</v>
      </c>
      <c r="G6332">
        <v>0</v>
      </c>
      <c r="H6332" s="7">
        <v>0</v>
      </c>
    </row>
    <row r="6333" spans="1:8">
      <c r="A6333">
        <v>6</v>
      </c>
      <c r="B6333" t="s">
        <v>44</v>
      </c>
      <c r="C6333" t="s">
        <v>35</v>
      </c>
      <c r="D6333">
        <v>0</v>
      </c>
      <c r="E6333">
        <v>1</v>
      </c>
      <c r="F6333" s="7">
        <v>147459.35</v>
      </c>
      <c r="G6333">
        <v>0</v>
      </c>
      <c r="H6333" s="7">
        <v>0</v>
      </c>
    </row>
    <row r="6334" spans="1:8">
      <c r="A6334">
        <v>6</v>
      </c>
      <c r="B6334" t="s">
        <v>44</v>
      </c>
      <c r="C6334" t="s">
        <v>35</v>
      </c>
      <c r="D6334">
        <v>0</v>
      </c>
      <c r="E6334">
        <v>1</v>
      </c>
      <c r="F6334" s="7">
        <v>529296.76</v>
      </c>
      <c r="G6334">
        <v>0</v>
      </c>
      <c r="H6334" s="7">
        <v>0</v>
      </c>
    </row>
    <row r="6335" spans="1:8">
      <c r="A6335">
        <v>6</v>
      </c>
      <c r="B6335" t="s">
        <v>44</v>
      </c>
      <c r="C6335" t="s">
        <v>35</v>
      </c>
      <c r="D6335">
        <v>0</v>
      </c>
      <c r="E6335">
        <v>1</v>
      </c>
      <c r="F6335" s="7">
        <v>132163.7</v>
      </c>
      <c r="G6335">
        <v>0</v>
      </c>
      <c r="H6335" s="7">
        <v>0</v>
      </c>
    </row>
    <row r="6336" spans="1:8">
      <c r="A6336">
        <v>6</v>
      </c>
      <c r="B6336" t="s">
        <v>44</v>
      </c>
      <c r="C6336" t="s">
        <v>35</v>
      </c>
      <c r="D6336">
        <v>0</v>
      </c>
      <c r="E6336">
        <v>1</v>
      </c>
      <c r="F6336" s="7">
        <v>517419.65</v>
      </c>
      <c r="G6336">
        <v>0</v>
      </c>
      <c r="H6336" s="7">
        <v>0</v>
      </c>
    </row>
    <row r="6337" spans="1:8">
      <c r="A6337">
        <v>6</v>
      </c>
      <c r="B6337" t="s">
        <v>44</v>
      </c>
      <c r="C6337" t="s">
        <v>35</v>
      </c>
      <c r="D6337">
        <v>0</v>
      </c>
      <c r="E6337">
        <v>1</v>
      </c>
      <c r="F6337" s="7">
        <v>430990.31</v>
      </c>
      <c r="G6337">
        <v>0</v>
      </c>
      <c r="H6337" s="7">
        <v>0</v>
      </c>
    </row>
    <row r="6338" spans="1:8">
      <c r="A6338">
        <v>6</v>
      </c>
      <c r="B6338" t="s">
        <v>44</v>
      </c>
      <c r="C6338" t="s">
        <v>35</v>
      </c>
      <c r="D6338">
        <v>0</v>
      </c>
      <c r="E6338">
        <v>1</v>
      </c>
      <c r="F6338" s="7">
        <v>251617.52</v>
      </c>
      <c r="G6338">
        <v>0</v>
      </c>
      <c r="H6338" s="7">
        <v>0</v>
      </c>
    </row>
    <row r="6339" spans="1:8">
      <c r="A6339">
        <v>6</v>
      </c>
      <c r="B6339" t="s">
        <v>44</v>
      </c>
      <c r="C6339" t="s">
        <v>35</v>
      </c>
      <c r="D6339">
        <v>0</v>
      </c>
      <c r="E6339">
        <v>1</v>
      </c>
      <c r="F6339" s="7">
        <v>206890.25</v>
      </c>
      <c r="G6339">
        <v>0</v>
      </c>
      <c r="H6339" s="7">
        <v>0</v>
      </c>
    </row>
    <row r="6340" spans="1:8">
      <c r="A6340">
        <v>6</v>
      </c>
      <c r="B6340" t="s">
        <v>44</v>
      </c>
      <c r="C6340" t="s">
        <v>35</v>
      </c>
      <c r="D6340">
        <v>0</v>
      </c>
      <c r="E6340">
        <v>1</v>
      </c>
      <c r="F6340" s="7">
        <v>236200.44</v>
      </c>
      <c r="G6340">
        <v>0</v>
      </c>
      <c r="H6340" s="7">
        <v>0</v>
      </c>
    </row>
    <row r="6341" spans="1:8">
      <c r="A6341">
        <v>6</v>
      </c>
      <c r="B6341" t="s">
        <v>42</v>
      </c>
      <c r="C6341" t="s">
        <v>33</v>
      </c>
      <c r="D6341">
        <v>0</v>
      </c>
      <c r="E6341">
        <v>1</v>
      </c>
      <c r="F6341" s="7">
        <v>3219.24</v>
      </c>
      <c r="G6341">
        <v>0</v>
      </c>
      <c r="H6341" s="7">
        <v>0</v>
      </c>
    </row>
    <row r="6342" spans="1:8">
      <c r="A6342">
        <v>6</v>
      </c>
      <c r="B6342" t="s">
        <v>42</v>
      </c>
      <c r="C6342" t="s">
        <v>34</v>
      </c>
      <c r="D6342">
        <v>0</v>
      </c>
      <c r="E6342">
        <v>1</v>
      </c>
      <c r="F6342" s="7">
        <v>19521.96</v>
      </c>
      <c r="G6342">
        <v>0</v>
      </c>
      <c r="H6342" s="7">
        <v>0</v>
      </c>
    </row>
    <row r="6343" spans="1:8">
      <c r="A6343">
        <v>6</v>
      </c>
      <c r="B6343" t="s">
        <v>46</v>
      </c>
      <c r="C6343" t="s">
        <v>34</v>
      </c>
      <c r="D6343">
        <v>0</v>
      </c>
      <c r="E6343">
        <v>1</v>
      </c>
      <c r="F6343" s="7">
        <v>13061.25</v>
      </c>
      <c r="G6343">
        <v>0</v>
      </c>
      <c r="H6343" s="7">
        <v>0</v>
      </c>
    </row>
    <row r="6344" spans="1:8">
      <c r="A6344">
        <v>6</v>
      </c>
      <c r="B6344" t="s">
        <v>46</v>
      </c>
      <c r="C6344" t="s">
        <v>35</v>
      </c>
      <c r="D6344">
        <v>0</v>
      </c>
      <c r="E6344">
        <v>1</v>
      </c>
      <c r="F6344" s="7">
        <v>209467.79</v>
      </c>
      <c r="G6344">
        <v>0</v>
      </c>
      <c r="H6344" s="7">
        <v>0</v>
      </c>
    </row>
    <row r="6345" spans="1:8">
      <c r="A6345">
        <v>6</v>
      </c>
      <c r="B6345" t="s">
        <v>46</v>
      </c>
      <c r="C6345" t="s">
        <v>35</v>
      </c>
      <c r="D6345">
        <v>0</v>
      </c>
      <c r="E6345">
        <v>1</v>
      </c>
      <c r="F6345" s="7">
        <v>214376.36</v>
      </c>
      <c r="G6345">
        <v>0</v>
      </c>
      <c r="H6345" s="7">
        <v>0</v>
      </c>
    </row>
    <row r="6346" spans="1:8">
      <c r="A6346">
        <v>6</v>
      </c>
      <c r="B6346" t="s">
        <v>46</v>
      </c>
      <c r="C6346" t="s">
        <v>34</v>
      </c>
      <c r="D6346">
        <v>0</v>
      </c>
      <c r="E6346">
        <v>1</v>
      </c>
      <c r="F6346" s="7">
        <v>38739.05</v>
      </c>
      <c r="G6346">
        <v>0</v>
      </c>
      <c r="H6346" s="7">
        <v>0</v>
      </c>
    </row>
    <row r="6347" spans="1:8">
      <c r="A6347">
        <v>6</v>
      </c>
      <c r="B6347" t="s">
        <v>46</v>
      </c>
      <c r="C6347" t="s">
        <v>35</v>
      </c>
      <c r="D6347">
        <v>0</v>
      </c>
      <c r="E6347">
        <v>1</v>
      </c>
      <c r="F6347" s="7">
        <v>553080.97</v>
      </c>
      <c r="G6347">
        <v>0</v>
      </c>
      <c r="H6347" s="7">
        <v>0</v>
      </c>
    </row>
    <row r="6348" spans="1:8">
      <c r="A6348">
        <v>6</v>
      </c>
      <c r="B6348" t="s">
        <v>46</v>
      </c>
      <c r="C6348" t="s">
        <v>35</v>
      </c>
      <c r="D6348">
        <v>0</v>
      </c>
      <c r="E6348">
        <v>1</v>
      </c>
      <c r="F6348" s="7">
        <v>273146.4</v>
      </c>
      <c r="G6348">
        <v>0</v>
      </c>
      <c r="H6348" s="7">
        <v>0</v>
      </c>
    </row>
    <row r="6349" spans="1:8">
      <c r="A6349">
        <v>6</v>
      </c>
      <c r="B6349" t="s">
        <v>46</v>
      </c>
      <c r="C6349" t="s">
        <v>35</v>
      </c>
      <c r="D6349">
        <v>0</v>
      </c>
      <c r="E6349">
        <v>1</v>
      </c>
      <c r="F6349" s="7">
        <v>262976.08</v>
      </c>
      <c r="G6349">
        <v>0</v>
      </c>
      <c r="H6349" s="7">
        <v>0</v>
      </c>
    </row>
    <row r="6350" spans="1:8">
      <c r="A6350">
        <v>6</v>
      </c>
      <c r="B6350" t="s">
        <v>46</v>
      </c>
      <c r="C6350" t="s">
        <v>35</v>
      </c>
      <c r="D6350">
        <v>0</v>
      </c>
      <c r="E6350">
        <v>1</v>
      </c>
      <c r="F6350" s="7">
        <v>213304.63</v>
      </c>
      <c r="G6350">
        <v>0</v>
      </c>
      <c r="H6350" s="7">
        <v>0</v>
      </c>
    </row>
    <row r="6351" spans="1:8">
      <c r="A6351">
        <v>6</v>
      </c>
      <c r="B6351" t="s">
        <v>46</v>
      </c>
      <c r="C6351" t="s">
        <v>35</v>
      </c>
      <c r="D6351">
        <v>0</v>
      </c>
      <c r="E6351">
        <v>1</v>
      </c>
      <c r="F6351" s="7">
        <v>421361.07</v>
      </c>
      <c r="G6351">
        <v>0</v>
      </c>
      <c r="H6351" s="7">
        <v>0</v>
      </c>
    </row>
    <row r="6352" spans="1:8">
      <c r="A6352">
        <v>6</v>
      </c>
      <c r="B6352" t="s">
        <v>46</v>
      </c>
      <c r="C6352" t="s">
        <v>35</v>
      </c>
      <c r="D6352">
        <v>0</v>
      </c>
      <c r="E6352">
        <v>1</v>
      </c>
      <c r="F6352" s="7">
        <v>162671.15</v>
      </c>
      <c r="G6352">
        <v>0</v>
      </c>
      <c r="H6352" s="7">
        <v>0</v>
      </c>
    </row>
    <row r="6353" spans="1:8">
      <c r="A6353">
        <v>6</v>
      </c>
      <c r="B6353" t="s">
        <v>46</v>
      </c>
      <c r="C6353" t="s">
        <v>34</v>
      </c>
      <c r="D6353">
        <v>0</v>
      </c>
      <c r="E6353">
        <v>1</v>
      </c>
      <c r="F6353" s="7">
        <v>10325.88</v>
      </c>
      <c r="G6353">
        <v>0</v>
      </c>
      <c r="H6353" s="7">
        <v>0</v>
      </c>
    </row>
    <row r="6354" spans="1:8">
      <c r="A6354">
        <v>6</v>
      </c>
      <c r="B6354" t="s">
        <v>46</v>
      </c>
      <c r="C6354" t="s">
        <v>34</v>
      </c>
      <c r="D6354">
        <v>0</v>
      </c>
      <c r="E6354">
        <v>1</v>
      </c>
      <c r="F6354" s="7">
        <v>69293.41</v>
      </c>
      <c r="G6354">
        <v>0</v>
      </c>
      <c r="H6354" s="7">
        <v>0</v>
      </c>
    </row>
    <row r="6355" spans="1:8">
      <c r="A6355">
        <v>6</v>
      </c>
      <c r="B6355" t="s">
        <v>46</v>
      </c>
      <c r="C6355" t="s">
        <v>34</v>
      </c>
      <c r="D6355">
        <v>0</v>
      </c>
      <c r="E6355">
        <v>1</v>
      </c>
      <c r="F6355" s="7">
        <v>99494.58</v>
      </c>
      <c r="G6355">
        <v>0</v>
      </c>
      <c r="H6355" s="7">
        <v>0</v>
      </c>
    </row>
    <row r="6356" spans="1:8">
      <c r="A6356">
        <v>6</v>
      </c>
      <c r="B6356" t="s">
        <v>46</v>
      </c>
      <c r="C6356" t="s">
        <v>35</v>
      </c>
      <c r="D6356">
        <v>0</v>
      </c>
      <c r="E6356">
        <v>1</v>
      </c>
      <c r="F6356" s="7">
        <v>227478.35</v>
      </c>
      <c r="G6356">
        <v>0</v>
      </c>
      <c r="H6356" s="7">
        <v>0</v>
      </c>
    </row>
    <row r="6357" spans="1:8">
      <c r="A6357">
        <v>6</v>
      </c>
      <c r="B6357" t="s">
        <v>46</v>
      </c>
      <c r="C6357" t="s">
        <v>34</v>
      </c>
      <c r="D6357">
        <v>0</v>
      </c>
      <c r="E6357">
        <v>1</v>
      </c>
      <c r="F6357" s="7">
        <v>94008.7</v>
      </c>
      <c r="G6357">
        <v>0</v>
      </c>
      <c r="H6357" s="7">
        <v>0</v>
      </c>
    </row>
    <row r="6358" spans="1:8">
      <c r="A6358">
        <v>6</v>
      </c>
      <c r="B6358" t="s">
        <v>46</v>
      </c>
      <c r="C6358" t="s">
        <v>34</v>
      </c>
      <c r="D6358">
        <v>0</v>
      </c>
      <c r="E6358">
        <v>1</v>
      </c>
      <c r="F6358" s="7">
        <v>53212.23</v>
      </c>
      <c r="G6358">
        <v>0</v>
      </c>
      <c r="H6358" s="7">
        <v>0</v>
      </c>
    </row>
    <row r="6359" spans="1:8">
      <c r="A6359">
        <v>6</v>
      </c>
      <c r="B6359" t="s">
        <v>46</v>
      </c>
      <c r="C6359" t="s">
        <v>35</v>
      </c>
      <c r="D6359">
        <v>0</v>
      </c>
      <c r="E6359">
        <v>1</v>
      </c>
      <c r="F6359" s="7">
        <v>258203.07</v>
      </c>
      <c r="G6359">
        <v>0</v>
      </c>
      <c r="H6359" s="7">
        <v>0</v>
      </c>
    </row>
    <row r="6360" spans="1:8">
      <c r="A6360">
        <v>6</v>
      </c>
      <c r="B6360" t="s">
        <v>46</v>
      </c>
      <c r="C6360" t="s">
        <v>35</v>
      </c>
      <c r="D6360">
        <v>0</v>
      </c>
      <c r="E6360">
        <v>1</v>
      </c>
      <c r="F6360" s="7">
        <v>608716.97</v>
      </c>
      <c r="G6360">
        <v>0</v>
      </c>
      <c r="H6360" s="7">
        <v>0</v>
      </c>
    </row>
    <row r="6361" spans="1:8">
      <c r="A6361">
        <v>6</v>
      </c>
      <c r="B6361" t="s">
        <v>46</v>
      </c>
      <c r="C6361" t="s">
        <v>35</v>
      </c>
      <c r="D6361">
        <v>0</v>
      </c>
      <c r="E6361">
        <v>1</v>
      </c>
      <c r="F6361" s="7">
        <v>273342.27</v>
      </c>
      <c r="G6361">
        <v>0</v>
      </c>
      <c r="H6361" s="7">
        <v>0</v>
      </c>
    </row>
    <row r="6362" spans="1:8">
      <c r="A6362">
        <v>6</v>
      </c>
      <c r="B6362" t="s">
        <v>46</v>
      </c>
      <c r="C6362" t="s">
        <v>34</v>
      </c>
      <c r="D6362">
        <v>0</v>
      </c>
      <c r="E6362">
        <v>1</v>
      </c>
      <c r="F6362" s="7">
        <v>22413.11</v>
      </c>
      <c r="G6362">
        <v>0</v>
      </c>
      <c r="H6362" s="7">
        <v>0</v>
      </c>
    </row>
    <row r="6363" spans="1:8">
      <c r="A6363">
        <v>6</v>
      </c>
      <c r="B6363" t="s">
        <v>46</v>
      </c>
      <c r="C6363" t="s">
        <v>34</v>
      </c>
      <c r="D6363">
        <v>0</v>
      </c>
      <c r="E6363">
        <v>1</v>
      </c>
      <c r="F6363" s="7">
        <v>28653.61</v>
      </c>
      <c r="G6363">
        <v>0</v>
      </c>
      <c r="H6363" s="7">
        <v>0</v>
      </c>
    </row>
    <row r="6364" spans="1:8">
      <c r="A6364">
        <v>6</v>
      </c>
      <c r="B6364" t="s">
        <v>46</v>
      </c>
      <c r="C6364" t="s">
        <v>35</v>
      </c>
      <c r="D6364">
        <v>0</v>
      </c>
      <c r="E6364">
        <v>1</v>
      </c>
      <c r="F6364" s="7">
        <v>100059.16</v>
      </c>
      <c r="G6364">
        <v>0</v>
      </c>
      <c r="H6364" s="7">
        <v>0</v>
      </c>
    </row>
    <row r="6365" spans="1:8">
      <c r="A6365">
        <v>6</v>
      </c>
      <c r="B6365" t="s">
        <v>46</v>
      </c>
      <c r="C6365" t="s">
        <v>35</v>
      </c>
      <c r="D6365">
        <v>0</v>
      </c>
      <c r="E6365">
        <v>1</v>
      </c>
      <c r="F6365" s="7">
        <v>101000.39</v>
      </c>
      <c r="G6365">
        <v>0</v>
      </c>
      <c r="H6365" s="7">
        <v>0</v>
      </c>
    </row>
    <row r="6366" spans="1:8">
      <c r="A6366">
        <v>6</v>
      </c>
      <c r="B6366" t="s">
        <v>46</v>
      </c>
      <c r="C6366" t="s">
        <v>34</v>
      </c>
      <c r="D6366">
        <v>0</v>
      </c>
      <c r="E6366">
        <v>1</v>
      </c>
      <c r="F6366" s="7">
        <v>48275.89</v>
      </c>
      <c r="G6366">
        <v>0</v>
      </c>
      <c r="H6366" s="7">
        <v>0</v>
      </c>
    </row>
    <row r="6367" spans="1:8">
      <c r="A6367">
        <v>6</v>
      </c>
      <c r="B6367" t="s">
        <v>46</v>
      </c>
      <c r="C6367" t="s">
        <v>34</v>
      </c>
      <c r="D6367">
        <v>0</v>
      </c>
      <c r="E6367">
        <v>1</v>
      </c>
      <c r="F6367" s="7">
        <v>13437.7</v>
      </c>
      <c r="G6367">
        <v>0</v>
      </c>
      <c r="H6367" s="7">
        <v>0</v>
      </c>
    </row>
    <row r="6368" spans="1:8">
      <c r="A6368">
        <v>6</v>
      </c>
      <c r="B6368" t="s">
        <v>46</v>
      </c>
      <c r="C6368" t="s">
        <v>35</v>
      </c>
      <c r="D6368">
        <v>0</v>
      </c>
      <c r="E6368">
        <v>1</v>
      </c>
      <c r="F6368" s="7">
        <v>189057.7</v>
      </c>
      <c r="G6368">
        <v>0</v>
      </c>
      <c r="H6368" s="7">
        <v>0</v>
      </c>
    </row>
    <row r="6369" spans="1:8">
      <c r="A6369">
        <v>6</v>
      </c>
      <c r="B6369" t="s">
        <v>46</v>
      </c>
      <c r="C6369" t="s">
        <v>34</v>
      </c>
      <c r="D6369">
        <v>0</v>
      </c>
      <c r="E6369">
        <v>1</v>
      </c>
      <c r="F6369" s="7">
        <v>46002.88</v>
      </c>
      <c r="G6369">
        <v>0</v>
      </c>
      <c r="H6369" s="7">
        <v>0</v>
      </c>
    </row>
    <row r="6370" spans="1:8">
      <c r="A6370">
        <v>6</v>
      </c>
      <c r="B6370" t="s">
        <v>46</v>
      </c>
      <c r="C6370" t="s">
        <v>35</v>
      </c>
      <c r="D6370">
        <v>0</v>
      </c>
      <c r="E6370">
        <v>1</v>
      </c>
      <c r="F6370" s="7">
        <v>163639.7</v>
      </c>
      <c r="G6370">
        <v>0</v>
      </c>
      <c r="H6370" s="7">
        <v>0</v>
      </c>
    </row>
    <row r="6371" spans="1:8">
      <c r="A6371">
        <v>6</v>
      </c>
      <c r="B6371" t="s">
        <v>46</v>
      </c>
      <c r="C6371" t="s">
        <v>34</v>
      </c>
      <c r="D6371">
        <v>0</v>
      </c>
      <c r="E6371">
        <v>1</v>
      </c>
      <c r="F6371" s="7">
        <v>33244.29</v>
      </c>
      <c r="G6371">
        <v>0</v>
      </c>
      <c r="H6371" s="7">
        <v>0</v>
      </c>
    </row>
    <row r="6372" spans="1:8">
      <c r="A6372">
        <v>6</v>
      </c>
      <c r="B6372" t="s">
        <v>46</v>
      </c>
      <c r="C6372" t="s">
        <v>34</v>
      </c>
      <c r="D6372">
        <v>0</v>
      </c>
      <c r="E6372">
        <v>1</v>
      </c>
      <c r="F6372" s="7">
        <v>56799.45</v>
      </c>
      <c r="G6372">
        <v>0</v>
      </c>
      <c r="H6372" s="7">
        <v>0</v>
      </c>
    </row>
    <row r="6373" spans="1:8">
      <c r="A6373">
        <v>6</v>
      </c>
      <c r="B6373" t="s">
        <v>46</v>
      </c>
      <c r="C6373" t="s">
        <v>35</v>
      </c>
      <c r="D6373">
        <v>0</v>
      </c>
      <c r="E6373">
        <v>1</v>
      </c>
      <c r="F6373" s="7">
        <v>112768.11</v>
      </c>
      <c r="G6373">
        <v>0</v>
      </c>
      <c r="H6373" s="7">
        <v>0</v>
      </c>
    </row>
    <row r="6374" spans="1:8">
      <c r="A6374">
        <v>6</v>
      </c>
      <c r="B6374" t="s">
        <v>46</v>
      </c>
      <c r="C6374" t="s">
        <v>35</v>
      </c>
      <c r="D6374">
        <v>0</v>
      </c>
      <c r="E6374">
        <v>1</v>
      </c>
      <c r="F6374" s="7">
        <v>253967.93</v>
      </c>
      <c r="G6374">
        <v>0</v>
      </c>
      <c r="H6374" s="7">
        <v>0</v>
      </c>
    </row>
    <row r="6375" spans="1:8">
      <c r="A6375">
        <v>6</v>
      </c>
      <c r="B6375" t="s">
        <v>46</v>
      </c>
      <c r="C6375" t="s">
        <v>35</v>
      </c>
      <c r="D6375">
        <v>0</v>
      </c>
      <c r="E6375">
        <v>1</v>
      </c>
      <c r="F6375" s="7">
        <v>218225.2</v>
      </c>
      <c r="G6375">
        <v>0</v>
      </c>
      <c r="H6375" s="7">
        <v>0</v>
      </c>
    </row>
    <row r="6376" spans="1:8">
      <c r="A6376">
        <v>6</v>
      </c>
      <c r="B6376" t="s">
        <v>46</v>
      </c>
      <c r="C6376" t="s">
        <v>35</v>
      </c>
      <c r="D6376">
        <v>0</v>
      </c>
      <c r="E6376">
        <v>1</v>
      </c>
      <c r="F6376" s="7">
        <v>262198.19</v>
      </c>
      <c r="G6376">
        <v>0</v>
      </c>
      <c r="H6376" s="7">
        <v>0</v>
      </c>
    </row>
    <row r="6377" spans="1:8">
      <c r="A6377">
        <v>6</v>
      </c>
      <c r="B6377" t="s">
        <v>46</v>
      </c>
      <c r="C6377" t="s">
        <v>35</v>
      </c>
      <c r="D6377">
        <v>0</v>
      </c>
      <c r="E6377">
        <v>1</v>
      </c>
      <c r="F6377" s="7">
        <v>169408.46</v>
      </c>
      <c r="G6377">
        <v>0</v>
      </c>
      <c r="H6377" s="7">
        <v>0</v>
      </c>
    </row>
    <row r="6378" spans="1:8">
      <c r="A6378">
        <v>6</v>
      </c>
      <c r="B6378" t="s">
        <v>46</v>
      </c>
      <c r="C6378" t="s">
        <v>34</v>
      </c>
      <c r="D6378">
        <v>0</v>
      </c>
      <c r="E6378">
        <v>1</v>
      </c>
      <c r="F6378" s="7">
        <v>74554.42</v>
      </c>
      <c r="G6378">
        <v>0</v>
      </c>
      <c r="H6378" s="7">
        <v>0</v>
      </c>
    </row>
    <row r="6379" spans="1:8">
      <c r="A6379">
        <v>6</v>
      </c>
      <c r="B6379" t="s">
        <v>46</v>
      </c>
      <c r="C6379" t="s">
        <v>35</v>
      </c>
      <c r="D6379">
        <v>0</v>
      </c>
      <c r="E6379">
        <v>1</v>
      </c>
      <c r="F6379" s="7">
        <v>115572.56</v>
      </c>
      <c r="G6379">
        <v>0</v>
      </c>
      <c r="H6379" s="7">
        <v>0</v>
      </c>
    </row>
    <row r="6380" spans="1:8">
      <c r="A6380">
        <v>6</v>
      </c>
      <c r="B6380" t="s">
        <v>46</v>
      </c>
      <c r="C6380" t="s">
        <v>35</v>
      </c>
      <c r="D6380">
        <v>0</v>
      </c>
      <c r="E6380">
        <v>1</v>
      </c>
      <c r="F6380" s="7">
        <v>348217.27</v>
      </c>
      <c r="G6380">
        <v>0</v>
      </c>
      <c r="H6380" s="7">
        <v>0</v>
      </c>
    </row>
    <row r="6381" spans="1:8">
      <c r="A6381">
        <v>6</v>
      </c>
      <c r="B6381" t="s">
        <v>46</v>
      </c>
      <c r="C6381" t="s">
        <v>35</v>
      </c>
      <c r="D6381">
        <v>0</v>
      </c>
      <c r="E6381">
        <v>1</v>
      </c>
      <c r="F6381" s="7">
        <v>226907.99</v>
      </c>
      <c r="G6381">
        <v>0</v>
      </c>
      <c r="H6381" s="7">
        <v>0</v>
      </c>
    </row>
    <row r="6382" spans="1:8">
      <c r="A6382">
        <v>6</v>
      </c>
      <c r="B6382" t="s">
        <v>46</v>
      </c>
      <c r="C6382" t="s">
        <v>35</v>
      </c>
      <c r="D6382">
        <v>0</v>
      </c>
      <c r="E6382">
        <v>1</v>
      </c>
      <c r="F6382" s="7">
        <v>390456.9</v>
      </c>
      <c r="G6382">
        <v>0</v>
      </c>
      <c r="H6382" s="7">
        <v>0</v>
      </c>
    </row>
    <row r="6383" spans="1:8">
      <c r="A6383">
        <v>6</v>
      </c>
      <c r="B6383" t="s">
        <v>46</v>
      </c>
      <c r="C6383" t="s">
        <v>33</v>
      </c>
      <c r="D6383">
        <v>0</v>
      </c>
      <c r="E6383">
        <v>1</v>
      </c>
      <c r="F6383" s="7">
        <v>4946.45</v>
      </c>
      <c r="G6383">
        <v>0</v>
      </c>
      <c r="H6383" s="7">
        <v>0</v>
      </c>
    </row>
    <row r="6384" spans="1:8">
      <c r="A6384">
        <v>6</v>
      </c>
      <c r="B6384" t="s">
        <v>46</v>
      </c>
      <c r="C6384" t="s">
        <v>34</v>
      </c>
      <c r="D6384">
        <v>0</v>
      </c>
      <c r="E6384">
        <v>1</v>
      </c>
      <c r="F6384" s="7">
        <v>59985.7</v>
      </c>
      <c r="G6384">
        <v>0</v>
      </c>
      <c r="H6384" s="7">
        <v>0</v>
      </c>
    </row>
    <row r="6385" spans="1:8">
      <c r="A6385">
        <v>6</v>
      </c>
      <c r="B6385" t="s">
        <v>46</v>
      </c>
      <c r="C6385" t="s">
        <v>34</v>
      </c>
      <c r="D6385">
        <v>0</v>
      </c>
      <c r="E6385">
        <v>1</v>
      </c>
      <c r="F6385" s="7">
        <v>72106.27</v>
      </c>
      <c r="G6385">
        <v>0</v>
      </c>
      <c r="H6385" s="7">
        <v>0</v>
      </c>
    </row>
    <row r="6386" spans="1:8">
      <c r="A6386">
        <v>6</v>
      </c>
      <c r="B6386" t="s">
        <v>46</v>
      </c>
      <c r="C6386" t="s">
        <v>34</v>
      </c>
      <c r="D6386">
        <v>0</v>
      </c>
      <c r="E6386">
        <v>1</v>
      </c>
      <c r="F6386" s="7">
        <v>16798.63</v>
      </c>
      <c r="G6386">
        <v>0</v>
      </c>
      <c r="H6386" s="7">
        <v>0</v>
      </c>
    </row>
    <row r="6387" spans="1:8">
      <c r="A6387">
        <v>6</v>
      </c>
      <c r="B6387" t="s">
        <v>46</v>
      </c>
      <c r="C6387" t="s">
        <v>35</v>
      </c>
      <c r="D6387">
        <v>0</v>
      </c>
      <c r="E6387">
        <v>1</v>
      </c>
      <c r="F6387" s="7">
        <v>107421.12</v>
      </c>
      <c r="G6387">
        <v>0</v>
      </c>
      <c r="H6387" s="7">
        <v>0</v>
      </c>
    </row>
    <row r="6388" spans="1:8">
      <c r="A6388">
        <v>6</v>
      </c>
      <c r="B6388" t="s">
        <v>42</v>
      </c>
      <c r="C6388" t="s">
        <v>33</v>
      </c>
      <c r="D6388">
        <v>0</v>
      </c>
      <c r="E6388">
        <v>1</v>
      </c>
      <c r="F6388" s="7">
        <v>3788.69</v>
      </c>
      <c r="G6388">
        <v>0</v>
      </c>
      <c r="H6388" s="7">
        <v>0</v>
      </c>
    </row>
    <row r="6389" spans="1:8">
      <c r="A6389">
        <v>6</v>
      </c>
      <c r="B6389" t="s">
        <v>44</v>
      </c>
      <c r="C6389" t="s">
        <v>35</v>
      </c>
      <c r="D6389">
        <v>0</v>
      </c>
      <c r="E6389">
        <v>1</v>
      </c>
      <c r="F6389" s="7">
        <v>233776.61</v>
      </c>
      <c r="G6389">
        <v>0</v>
      </c>
      <c r="H6389" s="7">
        <v>0</v>
      </c>
    </row>
    <row r="6390" spans="1:8">
      <c r="A6390">
        <v>6</v>
      </c>
      <c r="B6390" t="s">
        <v>44</v>
      </c>
      <c r="C6390" t="s">
        <v>35</v>
      </c>
      <c r="D6390">
        <v>0</v>
      </c>
      <c r="E6390">
        <v>1</v>
      </c>
      <c r="F6390" s="7">
        <v>359241.43</v>
      </c>
      <c r="G6390">
        <v>0</v>
      </c>
      <c r="H6390" s="7">
        <v>0</v>
      </c>
    </row>
    <row r="6391" spans="1:8">
      <c r="A6391">
        <v>6</v>
      </c>
      <c r="B6391" t="s">
        <v>42</v>
      </c>
      <c r="C6391" t="s">
        <v>34</v>
      </c>
      <c r="D6391">
        <v>0</v>
      </c>
      <c r="E6391">
        <v>1</v>
      </c>
      <c r="F6391" s="7">
        <v>15238.97</v>
      </c>
      <c r="G6391">
        <v>0</v>
      </c>
      <c r="H6391" s="7">
        <v>0</v>
      </c>
    </row>
    <row r="6392" spans="1:8">
      <c r="A6392">
        <v>6</v>
      </c>
      <c r="B6392" t="s">
        <v>44</v>
      </c>
      <c r="C6392" t="s">
        <v>34</v>
      </c>
      <c r="D6392">
        <v>0</v>
      </c>
      <c r="E6392">
        <v>1</v>
      </c>
      <c r="F6392" s="7">
        <v>80710.33</v>
      </c>
      <c r="G6392">
        <v>0</v>
      </c>
      <c r="H6392" s="7">
        <v>0</v>
      </c>
    </row>
    <row r="6393" spans="1:8">
      <c r="A6393">
        <v>6</v>
      </c>
      <c r="B6393" t="s">
        <v>42</v>
      </c>
      <c r="C6393" t="s">
        <v>33</v>
      </c>
      <c r="D6393">
        <v>0</v>
      </c>
      <c r="E6393">
        <v>1</v>
      </c>
      <c r="F6393" s="7">
        <v>3643.09</v>
      </c>
      <c r="G6393">
        <v>0</v>
      </c>
      <c r="H6393" s="7">
        <v>0</v>
      </c>
    </row>
    <row r="6394" spans="1:8">
      <c r="A6394">
        <v>6</v>
      </c>
      <c r="B6394" t="s">
        <v>42</v>
      </c>
      <c r="C6394" t="s">
        <v>34</v>
      </c>
      <c r="D6394">
        <v>0</v>
      </c>
      <c r="E6394">
        <v>1</v>
      </c>
      <c r="F6394" s="7">
        <v>16073.13</v>
      </c>
      <c r="G6394">
        <v>0</v>
      </c>
      <c r="H6394" s="7">
        <v>0</v>
      </c>
    </row>
    <row r="6395" spans="1:8">
      <c r="A6395">
        <v>6</v>
      </c>
      <c r="B6395" t="s">
        <v>42</v>
      </c>
      <c r="C6395" t="s">
        <v>34</v>
      </c>
      <c r="D6395">
        <v>0</v>
      </c>
      <c r="E6395">
        <v>1</v>
      </c>
      <c r="F6395" s="7">
        <v>17849.56</v>
      </c>
      <c r="G6395">
        <v>0</v>
      </c>
      <c r="H6395" s="7">
        <v>0</v>
      </c>
    </row>
    <row r="6396" spans="1:8">
      <c r="A6396">
        <v>6</v>
      </c>
      <c r="B6396" t="s">
        <v>42</v>
      </c>
      <c r="C6396" t="s">
        <v>34</v>
      </c>
      <c r="D6396">
        <v>0</v>
      </c>
      <c r="E6396">
        <v>1</v>
      </c>
      <c r="F6396" s="7">
        <v>26772.7</v>
      </c>
      <c r="G6396">
        <v>0</v>
      </c>
      <c r="H6396" s="7">
        <v>0</v>
      </c>
    </row>
    <row r="6397" spans="1:8">
      <c r="A6397">
        <v>6</v>
      </c>
      <c r="B6397" t="s">
        <v>42</v>
      </c>
      <c r="C6397" t="s">
        <v>34</v>
      </c>
      <c r="D6397">
        <v>0</v>
      </c>
      <c r="E6397">
        <v>1</v>
      </c>
      <c r="F6397" s="7">
        <v>19346.62</v>
      </c>
      <c r="G6397">
        <v>0</v>
      </c>
      <c r="H6397" s="7">
        <v>0</v>
      </c>
    </row>
    <row r="6398" spans="1:8">
      <c r="A6398">
        <v>6</v>
      </c>
      <c r="B6398" t="s">
        <v>42</v>
      </c>
      <c r="C6398" t="s">
        <v>32</v>
      </c>
      <c r="D6398">
        <v>0</v>
      </c>
      <c r="E6398">
        <v>1</v>
      </c>
      <c r="F6398" s="7">
        <v>379.9</v>
      </c>
      <c r="G6398">
        <v>0</v>
      </c>
      <c r="H6398" s="7">
        <v>0</v>
      </c>
    </row>
    <row r="6399" spans="1:8">
      <c r="A6399">
        <v>6</v>
      </c>
      <c r="B6399" t="s">
        <v>42</v>
      </c>
      <c r="C6399" t="s">
        <v>34</v>
      </c>
      <c r="D6399">
        <v>0</v>
      </c>
      <c r="E6399">
        <v>1</v>
      </c>
      <c r="F6399" s="7">
        <v>34795.88</v>
      </c>
      <c r="G6399">
        <v>0</v>
      </c>
      <c r="H6399" s="7">
        <v>0</v>
      </c>
    </row>
    <row r="6400" spans="1:8">
      <c r="A6400">
        <v>6</v>
      </c>
      <c r="B6400" t="s">
        <v>44</v>
      </c>
      <c r="C6400" t="s">
        <v>35</v>
      </c>
      <c r="D6400">
        <v>0</v>
      </c>
      <c r="E6400">
        <v>1</v>
      </c>
      <c r="F6400" s="7">
        <v>114634.43</v>
      </c>
      <c r="G6400">
        <v>0</v>
      </c>
      <c r="H6400" s="7">
        <v>0</v>
      </c>
    </row>
    <row r="6401" spans="1:8">
      <c r="A6401">
        <v>6</v>
      </c>
      <c r="B6401" t="s">
        <v>44</v>
      </c>
      <c r="C6401" t="s">
        <v>35</v>
      </c>
      <c r="D6401">
        <v>0</v>
      </c>
      <c r="E6401">
        <v>1</v>
      </c>
      <c r="F6401" s="7">
        <v>183083.93</v>
      </c>
      <c r="G6401">
        <v>0</v>
      </c>
      <c r="H6401" s="7">
        <v>0</v>
      </c>
    </row>
    <row r="6402" spans="1:8">
      <c r="A6402">
        <v>6</v>
      </c>
      <c r="B6402" t="s">
        <v>44</v>
      </c>
      <c r="C6402" t="s">
        <v>33</v>
      </c>
      <c r="D6402">
        <v>0</v>
      </c>
      <c r="E6402">
        <v>1</v>
      </c>
      <c r="F6402" s="7">
        <v>7106.23</v>
      </c>
      <c r="G6402">
        <v>0</v>
      </c>
      <c r="H6402" s="7">
        <v>0</v>
      </c>
    </row>
    <row r="6403" spans="1:8">
      <c r="A6403">
        <v>6</v>
      </c>
      <c r="B6403" t="s">
        <v>44</v>
      </c>
      <c r="C6403" t="s">
        <v>35</v>
      </c>
      <c r="D6403">
        <v>0</v>
      </c>
      <c r="E6403">
        <v>1</v>
      </c>
      <c r="F6403" s="7">
        <v>400794.34</v>
      </c>
      <c r="G6403">
        <v>0</v>
      </c>
      <c r="H6403" s="7">
        <v>0</v>
      </c>
    </row>
    <row r="6404" spans="1:8">
      <c r="A6404">
        <v>6</v>
      </c>
      <c r="B6404" t="s">
        <v>44</v>
      </c>
      <c r="C6404" t="s">
        <v>34</v>
      </c>
      <c r="D6404">
        <v>0</v>
      </c>
      <c r="E6404">
        <v>1</v>
      </c>
      <c r="F6404" s="7">
        <v>21476.23</v>
      </c>
      <c r="G6404">
        <v>0</v>
      </c>
      <c r="H6404" s="7">
        <v>0</v>
      </c>
    </row>
    <row r="6405" spans="1:8">
      <c r="A6405">
        <v>6</v>
      </c>
      <c r="B6405" t="s">
        <v>44</v>
      </c>
      <c r="C6405" t="s">
        <v>35</v>
      </c>
      <c r="D6405">
        <v>0</v>
      </c>
      <c r="E6405">
        <v>1</v>
      </c>
      <c r="F6405" s="7">
        <v>155270.31</v>
      </c>
      <c r="G6405">
        <v>0</v>
      </c>
      <c r="H6405" s="7">
        <v>0</v>
      </c>
    </row>
    <row r="6406" spans="1:8">
      <c r="A6406">
        <v>6</v>
      </c>
      <c r="B6406" t="s">
        <v>44</v>
      </c>
      <c r="C6406" t="s">
        <v>35</v>
      </c>
      <c r="D6406">
        <v>0</v>
      </c>
      <c r="E6406">
        <v>1</v>
      </c>
      <c r="F6406" s="7">
        <v>245086.32</v>
      </c>
      <c r="G6406">
        <v>0</v>
      </c>
      <c r="H6406" s="7">
        <v>0</v>
      </c>
    </row>
    <row r="6407" spans="1:8">
      <c r="A6407">
        <v>6</v>
      </c>
      <c r="B6407" t="s">
        <v>44</v>
      </c>
      <c r="C6407" t="s">
        <v>35</v>
      </c>
      <c r="D6407">
        <v>0</v>
      </c>
      <c r="E6407">
        <v>1</v>
      </c>
      <c r="F6407" s="7">
        <v>191375.55</v>
      </c>
      <c r="G6407">
        <v>0</v>
      </c>
      <c r="H6407" s="7">
        <v>0</v>
      </c>
    </row>
    <row r="6408" spans="1:8">
      <c r="A6408">
        <v>6</v>
      </c>
      <c r="B6408" t="s">
        <v>44</v>
      </c>
      <c r="C6408" t="s">
        <v>34</v>
      </c>
      <c r="D6408">
        <v>0</v>
      </c>
      <c r="E6408">
        <v>1</v>
      </c>
      <c r="F6408" s="7">
        <v>60311.86</v>
      </c>
      <c r="G6408">
        <v>0</v>
      </c>
      <c r="H6408" s="7">
        <v>0</v>
      </c>
    </row>
    <row r="6409" spans="1:8">
      <c r="A6409">
        <v>6</v>
      </c>
      <c r="B6409" t="s">
        <v>44</v>
      </c>
      <c r="C6409" t="s">
        <v>34</v>
      </c>
      <c r="D6409">
        <v>0</v>
      </c>
      <c r="E6409">
        <v>1</v>
      </c>
      <c r="F6409" s="7">
        <v>39267.55</v>
      </c>
      <c r="G6409">
        <v>0</v>
      </c>
      <c r="H6409" s="7">
        <v>0</v>
      </c>
    </row>
    <row r="6410" spans="1:8">
      <c r="A6410">
        <v>6</v>
      </c>
      <c r="B6410" t="s">
        <v>44</v>
      </c>
      <c r="C6410" t="s">
        <v>33</v>
      </c>
      <c r="D6410">
        <v>0</v>
      </c>
      <c r="E6410">
        <v>1</v>
      </c>
      <c r="F6410" s="7">
        <v>7323.56</v>
      </c>
      <c r="G6410">
        <v>0</v>
      </c>
      <c r="H6410" s="7">
        <v>0</v>
      </c>
    </row>
    <row r="6411" spans="1:8">
      <c r="A6411">
        <v>6</v>
      </c>
      <c r="B6411" t="s">
        <v>44</v>
      </c>
      <c r="C6411" t="s">
        <v>35</v>
      </c>
      <c r="D6411">
        <v>0</v>
      </c>
      <c r="E6411">
        <v>1</v>
      </c>
      <c r="F6411" s="7">
        <v>280736.2</v>
      </c>
      <c r="G6411">
        <v>0</v>
      </c>
      <c r="H6411" s="7">
        <v>0</v>
      </c>
    </row>
    <row r="6412" spans="1:8">
      <c r="A6412">
        <v>6</v>
      </c>
      <c r="B6412" t="s">
        <v>44</v>
      </c>
      <c r="C6412" t="s">
        <v>34</v>
      </c>
      <c r="D6412">
        <v>0</v>
      </c>
      <c r="E6412">
        <v>1</v>
      </c>
      <c r="F6412" s="7">
        <v>77347.46</v>
      </c>
      <c r="G6412">
        <v>0</v>
      </c>
      <c r="H6412" s="7">
        <v>0</v>
      </c>
    </row>
    <row r="6413" spans="1:8">
      <c r="A6413">
        <v>6</v>
      </c>
      <c r="B6413" t="s">
        <v>44</v>
      </c>
      <c r="C6413" t="s">
        <v>35</v>
      </c>
      <c r="D6413">
        <v>0</v>
      </c>
      <c r="E6413">
        <v>1</v>
      </c>
      <c r="F6413" s="7">
        <v>138895.43</v>
      </c>
      <c r="G6413">
        <v>0</v>
      </c>
      <c r="H6413" s="7">
        <v>0</v>
      </c>
    </row>
    <row r="6414" spans="1:8">
      <c r="A6414">
        <v>6</v>
      </c>
      <c r="B6414" t="s">
        <v>44</v>
      </c>
      <c r="C6414" t="s">
        <v>34</v>
      </c>
      <c r="D6414">
        <v>0</v>
      </c>
      <c r="E6414">
        <v>1</v>
      </c>
      <c r="F6414" s="7">
        <v>14162.57</v>
      </c>
      <c r="G6414">
        <v>0</v>
      </c>
      <c r="H6414" s="7">
        <v>0</v>
      </c>
    </row>
    <row r="6415" spans="1:8">
      <c r="A6415">
        <v>6</v>
      </c>
      <c r="B6415" t="s">
        <v>44</v>
      </c>
      <c r="C6415" t="s">
        <v>34</v>
      </c>
      <c r="D6415">
        <v>0</v>
      </c>
      <c r="E6415">
        <v>1</v>
      </c>
      <c r="F6415" s="7">
        <v>10147.22</v>
      </c>
      <c r="G6415">
        <v>0</v>
      </c>
      <c r="H6415" s="7">
        <v>0</v>
      </c>
    </row>
    <row r="6416" spans="1:8">
      <c r="A6416">
        <v>6</v>
      </c>
      <c r="B6416" t="s">
        <v>44</v>
      </c>
      <c r="C6416" t="s">
        <v>34</v>
      </c>
      <c r="D6416">
        <v>0</v>
      </c>
      <c r="E6416">
        <v>1</v>
      </c>
      <c r="F6416" s="7">
        <v>26222.49</v>
      </c>
      <c r="G6416">
        <v>0</v>
      </c>
      <c r="H6416" s="7">
        <v>0</v>
      </c>
    </row>
    <row r="6417" spans="1:8">
      <c r="A6417">
        <v>6</v>
      </c>
      <c r="B6417" t="s">
        <v>44</v>
      </c>
      <c r="C6417" t="s">
        <v>35</v>
      </c>
      <c r="D6417">
        <v>0</v>
      </c>
      <c r="E6417">
        <v>1</v>
      </c>
      <c r="F6417" s="7">
        <v>349474.53</v>
      </c>
      <c r="G6417">
        <v>0</v>
      </c>
      <c r="H6417" s="7">
        <v>0</v>
      </c>
    </row>
    <row r="6418" spans="1:8">
      <c r="A6418">
        <v>6</v>
      </c>
      <c r="B6418" t="s">
        <v>44</v>
      </c>
      <c r="C6418" t="s">
        <v>34</v>
      </c>
      <c r="D6418">
        <v>0</v>
      </c>
      <c r="E6418">
        <v>1</v>
      </c>
      <c r="F6418" s="7">
        <v>27425.99</v>
      </c>
      <c r="G6418">
        <v>0</v>
      </c>
      <c r="H6418" s="7">
        <v>0</v>
      </c>
    </row>
    <row r="6419" spans="1:8">
      <c r="A6419">
        <v>6</v>
      </c>
      <c r="B6419" t="s">
        <v>44</v>
      </c>
      <c r="C6419" t="s">
        <v>32</v>
      </c>
      <c r="D6419">
        <v>0</v>
      </c>
      <c r="E6419">
        <v>1</v>
      </c>
      <c r="F6419" s="7">
        <v>71.29</v>
      </c>
      <c r="G6419">
        <v>0</v>
      </c>
      <c r="H6419" s="7">
        <v>0</v>
      </c>
    </row>
    <row r="6420" spans="1:8">
      <c r="A6420">
        <v>6</v>
      </c>
      <c r="B6420" t="s">
        <v>44</v>
      </c>
      <c r="C6420" t="s">
        <v>34</v>
      </c>
      <c r="D6420">
        <v>0</v>
      </c>
      <c r="E6420">
        <v>1</v>
      </c>
      <c r="F6420" s="7">
        <v>21126.93</v>
      </c>
      <c r="G6420">
        <v>0</v>
      </c>
      <c r="H6420" s="7">
        <v>0</v>
      </c>
    </row>
    <row r="6421" spans="1:8">
      <c r="A6421">
        <v>6</v>
      </c>
      <c r="B6421" t="s">
        <v>44</v>
      </c>
      <c r="C6421" t="s">
        <v>35</v>
      </c>
      <c r="D6421">
        <v>0</v>
      </c>
      <c r="E6421">
        <v>1</v>
      </c>
      <c r="F6421" s="7">
        <v>118961.45</v>
      </c>
      <c r="G6421">
        <v>0</v>
      </c>
      <c r="H6421" s="7">
        <v>0</v>
      </c>
    </row>
    <row r="6422" spans="1:8">
      <c r="A6422">
        <v>6</v>
      </c>
      <c r="B6422" t="s">
        <v>44</v>
      </c>
      <c r="C6422" t="s">
        <v>35</v>
      </c>
      <c r="D6422">
        <v>0</v>
      </c>
      <c r="E6422">
        <v>1</v>
      </c>
      <c r="F6422" s="7">
        <v>117182.34</v>
      </c>
      <c r="G6422">
        <v>0</v>
      </c>
      <c r="H6422" s="7">
        <v>0</v>
      </c>
    </row>
    <row r="6423" spans="1:8">
      <c r="A6423">
        <v>6</v>
      </c>
      <c r="B6423" t="s">
        <v>44</v>
      </c>
      <c r="C6423" t="s">
        <v>35</v>
      </c>
      <c r="D6423">
        <v>0</v>
      </c>
      <c r="E6423">
        <v>1</v>
      </c>
      <c r="F6423" s="7">
        <v>109571.37</v>
      </c>
      <c r="G6423">
        <v>0</v>
      </c>
      <c r="H6423" s="7">
        <v>0</v>
      </c>
    </row>
    <row r="6424" spans="1:8">
      <c r="A6424">
        <v>6</v>
      </c>
      <c r="B6424" t="s">
        <v>44</v>
      </c>
      <c r="C6424" t="s">
        <v>35</v>
      </c>
      <c r="D6424">
        <v>0</v>
      </c>
      <c r="E6424">
        <v>1</v>
      </c>
      <c r="F6424" s="7">
        <v>337588.8</v>
      </c>
      <c r="G6424">
        <v>0</v>
      </c>
      <c r="H6424" s="7">
        <v>0</v>
      </c>
    </row>
    <row r="6425" spans="1:8">
      <c r="A6425">
        <v>6</v>
      </c>
      <c r="B6425" t="s">
        <v>44</v>
      </c>
      <c r="C6425" t="s">
        <v>35</v>
      </c>
      <c r="D6425">
        <v>0</v>
      </c>
      <c r="E6425">
        <v>1</v>
      </c>
      <c r="F6425" s="7">
        <v>306866.06</v>
      </c>
      <c r="G6425">
        <v>0</v>
      </c>
      <c r="H6425" s="7">
        <v>0</v>
      </c>
    </row>
    <row r="6426" spans="1:8">
      <c r="A6426">
        <v>6</v>
      </c>
      <c r="B6426" t="s">
        <v>44</v>
      </c>
      <c r="C6426" t="s">
        <v>35</v>
      </c>
      <c r="D6426">
        <v>0</v>
      </c>
      <c r="E6426">
        <v>1</v>
      </c>
      <c r="F6426" s="7">
        <v>259080.76</v>
      </c>
      <c r="G6426">
        <v>0</v>
      </c>
      <c r="H6426" s="7">
        <v>0</v>
      </c>
    </row>
    <row r="6427" spans="1:8">
      <c r="A6427">
        <v>6</v>
      </c>
      <c r="B6427" t="s">
        <v>44</v>
      </c>
      <c r="C6427" t="s">
        <v>35</v>
      </c>
      <c r="D6427">
        <v>0</v>
      </c>
      <c r="E6427">
        <v>1</v>
      </c>
      <c r="F6427" s="7">
        <v>178391.81</v>
      </c>
      <c r="G6427">
        <v>0</v>
      </c>
      <c r="H6427" s="7">
        <v>0</v>
      </c>
    </row>
    <row r="6428" spans="1:8">
      <c r="A6428">
        <v>6</v>
      </c>
      <c r="B6428" t="s">
        <v>44</v>
      </c>
      <c r="C6428" t="s">
        <v>35</v>
      </c>
      <c r="D6428">
        <v>0</v>
      </c>
      <c r="E6428">
        <v>1</v>
      </c>
      <c r="F6428" s="7">
        <v>121885.87</v>
      </c>
      <c r="G6428">
        <v>0</v>
      </c>
      <c r="H6428" s="7">
        <v>0</v>
      </c>
    </row>
    <row r="6429" spans="1:8">
      <c r="A6429">
        <v>6</v>
      </c>
      <c r="B6429" t="s">
        <v>44</v>
      </c>
      <c r="C6429" t="s">
        <v>35</v>
      </c>
      <c r="D6429">
        <v>0</v>
      </c>
      <c r="E6429">
        <v>1</v>
      </c>
      <c r="F6429" s="7">
        <v>445270.15</v>
      </c>
      <c r="G6429">
        <v>0</v>
      </c>
      <c r="H6429" s="7">
        <v>0</v>
      </c>
    </row>
    <row r="6430" spans="1:8">
      <c r="A6430">
        <v>6</v>
      </c>
      <c r="B6430" t="s">
        <v>42</v>
      </c>
      <c r="C6430" t="s">
        <v>33</v>
      </c>
      <c r="D6430">
        <v>0</v>
      </c>
      <c r="E6430">
        <v>1</v>
      </c>
      <c r="F6430" s="7">
        <v>3328.38</v>
      </c>
      <c r="G6430">
        <v>0</v>
      </c>
      <c r="H6430" s="7">
        <v>0</v>
      </c>
    </row>
    <row r="6431" spans="1:8">
      <c r="A6431">
        <v>6</v>
      </c>
      <c r="B6431" t="s">
        <v>42</v>
      </c>
      <c r="C6431" t="s">
        <v>33</v>
      </c>
      <c r="D6431">
        <v>0</v>
      </c>
      <c r="E6431">
        <v>1</v>
      </c>
      <c r="F6431" s="7">
        <v>4081.19</v>
      </c>
      <c r="G6431">
        <v>0</v>
      </c>
      <c r="H6431" s="7">
        <v>0</v>
      </c>
    </row>
    <row r="6432" spans="1:8">
      <c r="A6432">
        <v>6</v>
      </c>
      <c r="B6432" t="s">
        <v>42</v>
      </c>
      <c r="C6432" t="s">
        <v>32</v>
      </c>
      <c r="D6432">
        <v>0</v>
      </c>
      <c r="E6432">
        <v>1</v>
      </c>
      <c r="F6432" s="7">
        <v>917.06</v>
      </c>
      <c r="G6432">
        <v>0</v>
      </c>
      <c r="H6432" s="7">
        <v>0</v>
      </c>
    </row>
    <row r="6433" spans="1:8">
      <c r="A6433">
        <v>6</v>
      </c>
      <c r="B6433" t="s">
        <v>42</v>
      </c>
      <c r="C6433" t="s">
        <v>32</v>
      </c>
      <c r="D6433">
        <v>0</v>
      </c>
      <c r="E6433">
        <v>1</v>
      </c>
      <c r="F6433" s="7">
        <v>114.16</v>
      </c>
      <c r="G6433">
        <v>0</v>
      </c>
      <c r="H6433" s="7">
        <v>0</v>
      </c>
    </row>
    <row r="6434" spans="1:8">
      <c r="A6434">
        <v>6</v>
      </c>
      <c r="B6434" t="s">
        <v>42</v>
      </c>
      <c r="C6434" t="s">
        <v>34</v>
      </c>
      <c r="D6434">
        <v>0</v>
      </c>
      <c r="E6434">
        <v>1</v>
      </c>
      <c r="F6434" s="7">
        <v>13817.6</v>
      </c>
      <c r="G6434">
        <v>0</v>
      </c>
      <c r="H6434" s="7">
        <v>0</v>
      </c>
    </row>
    <row r="6435" spans="1:8">
      <c r="A6435">
        <v>6</v>
      </c>
      <c r="B6435" t="s">
        <v>42</v>
      </c>
      <c r="C6435" t="s">
        <v>33</v>
      </c>
      <c r="D6435">
        <v>0</v>
      </c>
      <c r="E6435">
        <v>1</v>
      </c>
      <c r="F6435" s="7">
        <v>3919.09</v>
      </c>
      <c r="G6435">
        <v>0</v>
      </c>
      <c r="H6435" s="7">
        <v>0</v>
      </c>
    </row>
    <row r="6436" spans="1:8">
      <c r="A6436">
        <v>6</v>
      </c>
      <c r="B6436" t="s">
        <v>42</v>
      </c>
      <c r="C6436" t="s">
        <v>34</v>
      </c>
      <c r="D6436">
        <v>0</v>
      </c>
      <c r="E6436">
        <v>1</v>
      </c>
      <c r="F6436" s="7">
        <v>10520.87</v>
      </c>
      <c r="G6436">
        <v>0</v>
      </c>
      <c r="H6436" s="7">
        <v>0</v>
      </c>
    </row>
    <row r="6437" spans="1:8">
      <c r="A6437">
        <v>6</v>
      </c>
      <c r="B6437" t="s">
        <v>42</v>
      </c>
      <c r="C6437" t="s">
        <v>34</v>
      </c>
      <c r="D6437">
        <v>0</v>
      </c>
      <c r="E6437">
        <v>1</v>
      </c>
      <c r="F6437" s="7">
        <v>10810.96</v>
      </c>
      <c r="G6437">
        <v>0</v>
      </c>
      <c r="H6437" s="7">
        <v>0</v>
      </c>
    </row>
    <row r="6438" spans="1:8">
      <c r="A6438">
        <v>6</v>
      </c>
      <c r="B6438" t="s">
        <v>42</v>
      </c>
      <c r="C6438" t="s">
        <v>34</v>
      </c>
      <c r="D6438">
        <v>0</v>
      </c>
      <c r="E6438">
        <v>1</v>
      </c>
      <c r="F6438" s="7">
        <v>30405.26</v>
      </c>
      <c r="G6438">
        <v>0</v>
      </c>
      <c r="H6438" s="7">
        <v>0</v>
      </c>
    </row>
    <row r="6439" spans="1:8">
      <c r="A6439">
        <v>6</v>
      </c>
      <c r="B6439" t="s">
        <v>42</v>
      </c>
      <c r="C6439" t="s">
        <v>34</v>
      </c>
      <c r="D6439">
        <v>0</v>
      </c>
      <c r="E6439">
        <v>1</v>
      </c>
      <c r="F6439" s="7">
        <v>15037.88</v>
      </c>
      <c r="G6439">
        <v>0</v>
      </c>
      <c r="H6439" s="7">
        <v>0</v>
      </c>
    </row>
    <row r="6440" spans="1:8">
      <c r="A6440">
        <v>6</v>
      </c>
      <c r="B6440" t="s">
        <v>42</v>
      </c>
      <c r="C6440" t="s">
        <v>33</v>
      </c>
      <c r="D6440">
        <v>0</v>
      </c>
      <c r="E6440">
        <v>1</v>
      </c>
      <c r="F6440" s="7">
        <v>3485.75</v>
      </c>
      <c r="G6440">
        <v>0</v>
      </c>
      <c r="H6440" s="7">
        <v>0</v>
      </c>
    </row>
    <row r="6441" spans="1:8">
      <c r="A6441">
        <v>6</v>
      </c>
      <c r="B6441" t="s">
        <v>42</v>
      </c>
      <c r="C6441" t="s">
        <v>34</v>
      </c>
      <c r="D6441">
        <v>0</v>
      </c>
      <c r="E6441">
        <v>1</v>
      </c>
      <c r="F6441" s="7">
        <v>26719.22</v>
      </c>
      <c r="G6441">
        <v>0</v>
      </c>
      <c r="H6441" s="7">
        <v>0</v>
      </c>
    </row>
    <row r="6442" spans="1:8">
      <c r="A6442">
        <v>6</v>
      </c>
      <c r="B6442" t="s">
        <v>46</v>
      </c>
      <c r="C6442" t="s">
        <v>35</v>
      </c>
      <c r="D6442">
        <v>0</v>
      </c>
      <c r="E6442">
        <v>1</v>
      </c>
      <c r="F6442" s="7">
        <v>597329.41</v>
      </c>
      <c r="G6442">
        <v>0</v>
      </c>
      <c r="H6442" s="7">
        <v>0</v>
      </c>
    </row>
    <row r="6443" spans="1:8">
      <c r="A6443">
        <v>6</v>
      </c>
      <c r="B6443" t="s">
        <v>43</v>
      </c>
      <c r="C6443" t="s">
        <v>35</v>
      </c>
      <c r="D6443">
        <v>0</v>
      </c>
      <c r="E6443">
        <v>1</v>
      </c>
      <c r="F6443" s="7">
        <v>189072.94</v>
      </c>
      <c r="G6443">
        <v>0</v>
      </c>
      <c r="H6443" s="7">
        <v>0</v>
      </c>
    </row>
    <row r="6444" spans="1:8">
      <c r="A6444">
        <v>6</v>
      </c>
      <c r="B6444" t="s">
        <v>44</v>
      </c>
      <c r="C6444" t="s">
        <v>35</v>
      </c>
      <c r="D6444">
        <v>0</v>
      </c>
      <c r="E6444">
        <v>1</v>
      </c>
      <c r="F6444" s="7">
        <v>105165.25</v>
      </c>
      <c r="G6444">
        <v>0</v>
      </c>
      <c r="H6444" s="7">
        <v>0</v>
      </c>
    </row>
    <row r="6445" spans="1:8">
      <c r="A6445">
        <v>6</v>
      </c>
      <c r="B6445" t="s">
        <v>44</v>
      </c>
      <c r="C6445" t="s">
        <v>34</v>
      </c>
      <c r="D6445">
        <v>0</v>
      </c>
      <c r="E6445">
        <v>1</v>
      </c>
      <c r="F6445" s="7">
        <v>63967.63</v>
      </c>
      <c r="G6445">
        <v>0</v>
      </c>
      <c r="H6445" s="7">
        <v>0</v>
      </c>
    </row>
    <row r="6446" spans="1:8">
      <c r="A6446">
        <v>6</v>
      </c>
      <c r="B6446" t="s">
        <v>42</v>
      </c>
      <c r="C6446" t="s">
        <v>33</v>
      </c>
      <c r="D6446">
        <v>0</v>
      </c>
      <c r="E6446">
        <v>1</v>
      </c>
      <c r="F6446" s="7">
        <v>4445.7</v>
      </c>
      <c r="G6446">
        <v>0</v>
      </c>
      <c r="H6446" s="7">
        <v>0</v>
      </c>
    </row>
    <row r="6447" spans="1:8">
      <c r="A6447">
        <v>6</v>
      </c>
      <c r="B6447" t="s">
        <v>42</v>
      </c>
      <c r="C6447" t="s">
        <v>33</v>
      </c>
      <c r="D6447">
        <v>0</v>
      </c>
      <c r="E6447">
        <v>1</v>
      </c>
      <c r="F6447" s="7">
        <v>5034.25</v>
      </c>
      <c r="G6447">
        <v>0</v>
      </c>
      <c r="H6447" s="7">
        <v>0</v>
      </c>
    </row>
    <row r="6448" spans="1:8">
      <c r="A6448">
        <v>6</v>
      </c>
      <c r="B6448" t="s">
        <v>43</v>
      </c>
      <c r="C6448" t="s">
        <v>34</v>
      </c>
      <c r="D6448">
        <v>0</v>
      </c>
      <c r="E6448">
        <v>1</v>
      </c>
      <c r="F6448" s="7">
        <v>72875.23</v>
      </c>
      <c r="G6448">
        <v>0</v>
      </c>
      <c r="H6448" s="7">
        <v>0</v>
      </c>
    </row>
    <row r="6449" spans="1:8">
      <c r="A6449">
        <v>6</v>
      </c>
      <c r="B6449" t="s">
        <v>42</v>
      </c>
      <c r="C6449" t="s">
        <v>33</v>
      </c>
      <c r="D6449">
        <v>0</v>
      </c>
      <c r="E6449">
        <v>1</v>
      </c>
      <c r="F6449" s="7">
        <v>9069.15</v>
      </c>
      <c r="G6449">
        <v>0</v>
      </c>
      <c r="H6449" s="7">
        <v>0</v>
      </c>
    </row>
    <row r="6450" spans="1:8">
      <c r="A6450">
        <v>6</v>
      </c>
      <c r="B6450" t="s">
        <v>42</v>
      </c>
      <c r="C6450" t="s">
        <v>33</v>
      </c>
      <c r="D6450">
        <v>0</v>
      </c>
      <c r="E6450">
        <v>1</v>
      </c>
      <c r="F6450" s="7">
        <v>9380.69</v>
      </c>
      <c r="G6450">
        <v>0</v>
      </c>
      <c r="H6450" s="7">
        <v>0</v>
      </c>
    </row>
    <row r="6451" spans="1:8">
      <c r="A6451">
        <v>6</v>
      </c>
      <c r="B6451" t="s">
        <v>42</v>
      </c>
      <c r="C6451" t="s">
        <v>33</v>
      </c>
      <c r="D6451">
        <v>0</v>
      </c>
      <c r="E6451">
        <v>1</v>
      </c>
      <c r="F6451" s="7">
        <v>3485.42</v>
      </c>
      <c r="G6451">
        <v>0</v>
      </c>
      <c r="H6451" s="7">
        <v>0</v>
      </c>
    </row>
    <row r="6452" spans="1:8">
      <c r="A6452">
        <v>6</v>
      </c>
      <c r="B6452" t="s">
        <v>44</v>
      </c>
      <c r="C6452" t="s">
        <v>35</v>
      </c>
      <c r="D6452">
        <v>0</v>
      </c>
      <c r="E6452">
        <v>1</v>
      </c>
      <c r="F6452" s="7">
        <v>199682.99</v>
      </c>
      <c r="G6452">
        <v>0</v>
      </c>
      <c r="H6452" s="7">
        <v>0</v>
      </c>
    </row>
    <row r="6453" spans="1:8">
      <c r="A6453">
        <v>6</v>
      </c>
      <c r="B6453" t="s">
        <v>42</v>
      </c>
      <c r="C6453" t="s">
        <v>34</v>
      </c>
      <c r="D6453">
        <v>0</v>
      </c>
      <c r="E6453">
        <v>1</v>
      </c>
      <c r="F6453" s="7">
        <v>10663.61</v>
      </c>
      <c r="G6453">
        <v>0</v>
      </c>
      <c r="H6453" s="7">
        <v>0</v>
      </c>
    </row>
    <row r="6454" spans="1:8">
      <c r="A6454">
        <v>6</v>
      </c>
      <c r="B6454" t="s">
        <v>45</v>
      </c>
      <c r="C6454" t="s">
        <v>33</v>
      </c>
      <c r="D6454">
        <v>0</v>
      </c>
      <c r="E6454">
        <v>1</v>
      </c>
      <c r="F6454" s="7">
        <v>2279.48</v>
      </c>
      <c r="G6454">
        <v>0</v>
      </c>
      <c r="H6454" s="7">
        <v>0</v>
      </c>
    </row>
    <row r="6455" spans="1:8">
      <c r="A6455">
        <v>6</v>
      </c>
      <c r="B6455" t="s">
        <v>42</v>
      </c>
      <c r="C6455" t="s">
        <v>34</v>
      </c>
      <c r="D6455">
        <v>0</v>
      </c>
      <c r="E6455">
        <v>1</v>
      </c>
      <c r="F6455" s="7">
        <v>13778.41</v>
      </c>
      <c r="G6455">
        <v>0</v>
      </c>
      <c r="H6455" s="7">
        <v>0</v>
      </c>
    </row>
    <row r="6456" spans="1:8">
      <c r="A6456">
        <v>6</v>
      </c>
      <c r="B6456" t="s">
        <v>42</v>
      </c>
      <c r="C6456" t="s">
        <v>33</v>
      </c>
      <c r="D6456">
        <v>0</v>
      </c>
      <c r="E6456">
        <v>1</v>
      </c>
      <c r="F6456" s="7">
        <v>2740.41</v>
      </c>
      <c r="G6456">
        <v>0</v>
      </c>
      <c r="H6456" s="7">
        <v>0</v>
      </c>
    </row>
    <row r="6457" spans="1:8">
      <c r="A6457">
        <v>6</v>
      </c>
      <c r="B6457" t="s">
        <v>42</v>
      </c>
      <c r="C6457" t="s">
        <v>33</v>
      </c>
      <c r="D6457">
        <v>0</v>
      </c>
      <c r="E6457">
        <v>1</v>
      </c>
      <c r="F6457" s="7">
        <v>2829.15</v>
      </c>
      <c r="G6457">
        <v>0</v>
      </c>
      <c r="H6457" s="7">
        <v>0</v>
      </c>
    </row>
    <row r="6458" spans="1:8">
      <c r="A6458">
        <v>6</v>
      </c>
      <c r="B6458" t="s">
        <v>42</v>
      </c>
      <c r="C6458" t="s">
        <v>34</v>
      </c>
      <c r="D6458">
        <v>0</v>
      </c>
      <c r="E6458">
        <v>1</v>
      </c>
      <c r="F6458" s="7">
        <v>26393.7</v>
      </c>
      <c r="G6458">
        <v>0</v>
      </c>
      <c r="H6458" s="7">
        <v>0</v>
      </c>
    </row>
    <row r="6459" spans="1:8">
      <c r="A6459">
        <v>6</v>
      </c>
      <c r="B6459" t="s">
        <v>43</v>
      </c>
      <c r="C6459" t="s">
        <v>35</v>
      </c>
      <c r="D6459">
        <v>0</v>
      </c>
      <c r="E6459">
        <v>1</v>
      </c>
      <c r="F6459" s="7">
        <v>227653.62</v>
      </c>
      <c r="G6459">
        <v>0</v>
      </c>
      <c r="H6459" s="7">
        <v>0</v>
      </c>
    </row>
    <row r="6460" spans="1:8">
      <c r="A6460">
        <v>6</v>
      </c>
      <c r="B6460" t="s">
        <v>43</v>
      </c>
      <c r="C6460" t="s">
        <v>35</v>
      </c>
      <c r="D6460">
        <v>0</v>
      </c>
      <c r="E6460">
        <v>1</v>
      </c>
      <c r="F6460" s="7">
        <v>556849.49</v>
      </c>
      <c r="G6460">
        <v>0</v>
      </c>
      <c r="H6460" s="7">
        <v>0</v>
      </c>
    </row>
    <row r="6461" spans="1:8">
      <c r="A6461">
        <v>6</v>
      </c>
      <c r="B6461" t="s">
        <v>43</v>
      </c>
      <c r="C6461" t="s">
        <v>35</v>
      </c>
      <c r="D6461">
        <v>0</v>
      </c>
      <c r="E6461">
        <v>1</v>
      </c>
      <c r="F6461" s="7">
        <v>714579.59</v>
      </c>
      <c r="G6461">
        <v>0</v>
      </c>
      <c r="H6461" s="7">
        <v>0</v>
      </c>
    </row>
    <row r="6462" spans="1:8">
      <c r="A6462">
        <v>6</v>
      </c>
      <c r="B6462" t="s">
        <v>43</v>
      </c>
      <c r="C6462" t="s">
        <v>36</v>
      </c>
      <c r="D6462">
        <v>0</v>
      </c>
      <c r="E6462">
        <v>1</v>
      </c>
      <c r="F6462" s="7">
        <v>1566574.37</v>
      </c>
      <c r="G6462">
        <v>0</v>
      </c>
      <c r="H6462" s="7">
        <v>0</v>
      </c>
    </row>
    <row r="6463" spans="1:8">
      <c r="A6463">
        <v>6</v>
      </c>
      <c r="B6463" t="s">
        <v>43</v>
      </c>
      <c r="C6463" t="s">
        <v>36</v>
      </c>
      <c r="D6463">
        <v>0</v>
      </c>
      <c r="E6463">
        <v>1</v>
      </c>
      <c r="F6463" s="7">
        <v>2062692.94</v>
      </c>
      <c r="G6463">
        <v>0</v>
      </c>
      <c r="H6463" s="7">
        <v>0</v>
      </c>
    </row>
    <row r="6464" spans="1:8">
      <c r="A6464">
        <v>6</v>
      </c>
      <c r="B6464" t="s">
        <v>43</v>
      </c>
      <c r="C6464" t="s">
        <v>35</v>
      </c>
      <c r="D6464">
        <v>0</v>
      </c>
      <c r="E6464">
        <v>1</v>
      </c>
      <c r="F6464" s="7">
        <v>831878.75</v>
      </c>
      <c r="G6464">
        <v>0</v>
      </c>
      <c r="H6464" s="7">
        <v>0</v>
      </c>
    </row>
    <row r="6465" spans="1:8">
      <c r="A6465">
        <v>6</v>
      </c>
      <c r="B6465" t="s">
        <v>43</v>
      </c>
      <c r="C6465" t="s">
        <v>35</v>
      </c>
      <c r="D6465">
        <v>0</v>
      </c>
      <c r="E6465">
        <v>1</v>
      </c>
      <c r="F6465" s="7">
        <v>595893.92</v>
      </c>
      <c r="G6465">
        <v>0</v>
      </c>
      <c r="H6465" s="7">
        <v>0</v>
      </c>
    </row>
    <row r="6466" spans="1:8">
      <c r="A6466">
        <v>6</v>
      </c>
      <c r="B6466" t="s">
        <v>43</v>
      </c>
      <c r="C6466" t="s">
        <v>35</v>
      </c>
      <c r="D6466">
        <v>0</v>
      </c>
      <c r="E6466">
        <v>1</v>
      </c>
      <c r="F6466" s="7">
        <v>548556.51</v>
      </c>
      <c r="G6466">
        <v>0</v>
      </c>
      <c r="H6466" s="7">
        <v>0</v>
      </c>
    </row>
    <row r="6467" spans="1:8">
      <c r="A6467">
        <v>6</v>
      </c>
      <c r="B6467" t="s">
        <v>43</v>
      </c>
      <c r="C6467" t="s">
        <v>35</v>
      </c>
      <c r="D6467">
        <v>0</v>
      </c>
      <c r="E6467">
        <v>1</v>
      </c>
      <c r="F6467" s="7">
        <v>212357.06</v>
      </c>
      <c r="G6467">
        <v>0</v>
      </c>
      <c r="H6467" s="7">
        <v>0</v>
      </c>
    </row>
    <row r="6468" spans="1:8">
      <c r="A6468">
        <v>6</v>
      </c>
      <c r="B6468" t="s">
        <v>43</v>
      </c>
      <c r="C6468" t="s">
        <v>35</v>
      </c>
      <c r="D6468">
        <v>0</v>
      </c>
      <c r="E6468">
        <v>1</v>
      </c>
      <c r="F6468" s="7">
        <v>622552.15</v>
      </c>
      <c r="G6468">
        <v>0</v>
      </c>
      <c r="H6468" s="7">
        <v>0</v>
      </c>
    </row>
    <row r="6469" spans="1:8">
      <c r="A6469">
        <v>6</v>
      </c>
      <c r="B6469" t="s">
        <v>43</v>
      </c>
      <c r="C6469" t="s">
        <v>36</v>
      </c>
      <c r="D6469">
        <v>0</v>
      </c>
      <c r="E6469">
        <v>1</v>
      </c>
      <c r="F6469" s="7">
        <v>1805520.31</v>
      </c>
      <c r="G6469">
        <v>0</v>
      </c>
      <c r="H6469" s="7">
        <v>0</v>
      </c>
    </row>
    <row r="6470" spans="1:8">
      <c r="A6470">
        <v>6</v>
      </c>
      <c r="B6470" t="s">
        <v>43</v>
      </c>
      <c r="C6470" t="s">
        <v>35</v>
      </c>
      <c r="D6470">
        <v>0</v>
      </c>
      <c r="E6470">
        <v>1</v>
      </c>
      <c r="F6470" s="7">
        <v>412254.84</v>
      </c>
      <c r="G6470">
        <v>0</v>
      </c>
      <c r="H6470" s="7">
        <v>0</v>
      </c>
    </row>
    <row r="6471" spans="1:8">
      <c r="A6471">
        <v>6</v>
      </c>
      <c r="B6471" t="s">
        <v>43</v>
      </c>
      <c r="C6471" t="s">
        <v>35</v>
      </c>
      <c r="D6471">
        <v>0</v>
      </c>
      <c r="E6471">
        <v>1</v>
      </c>
      <c r="F6471" s="7">
        <v>942403.4</v>
      </c>
      <c r="G6471">
        <v>0</v>
      </c>
      <c r="H6471" s="7">
        <v>0</v>
      </c>
    </row>
    <row r="6472" spans="1:8">
      <c r="A6472">
        <v>6</v>
      </c>
      <c r="B6472" t="s">
        <v>43</v>
      </c>
      <c r="C6472" t="s">
        <v>35</v>
      </c>
      <c r="D6472">
        <v>0</v>
      </c>
      <c r="E6472">
        <v>1</v>
      </c>
      <c r="F6472" s="7">
        <v>999702.92</v>
      </c>
      <c r="G6472">
        <v>0</v>
      </c>
      <c r="H6472" s="7">
        <v>0</v>
      </c>
    </row>
    <row r="6473" spans="1:8">
      <c r="A6473">
        <v>6</v>
      </c>
      <c r="B6473" t="s">
        <v>43</v>
      </c>
      <c r="C6473" t="s">
        <v>35</v>
      </c>
      <c r="D6473">
        <v>0</v>
      </c>
      <c r="E6473">
        <v>1</v>
      </c>
      <c r="F6473" s="7">
        <v>903968.72</v>
      </c>
      <c r="G6473">
        <v>0</v>
      </c>
      <c r="H6473" s="7">
        <v>0</v>
      </c>
    </row>
    <row r="6474" spans="1:8">
      <c r="A6474">
        <v>6</v>
      </c>
      <c r="B6474" t="s">
        <v>43</v>
      </c>
      <c r="C6474" t="s">
        <v>35</v>
      </c>
      <c r="D6474">
        <v>0</v>
      </c>
      <c r="E6474">
        <v>1</v>
      </c>
      <c r="F6474" s="7">
        <v>205857.25</v>
      </c>
      <c r="G6474">
        <v>0</v>
      </c>
      <c r="H6474" s="7">
        <v>0</v>
      </c>
    </row>
    <row r="6475" spans="1:8">
      <c r="A6475">
        <v>6</v>
      </c>
      <c r="B6475" t="s">
        <v>43</v>
      </c>
      <c r="C6475" t="s">
        <v>35</v>
      </c>
      <c r="D6475">
        <v>0</v>
      </c>
      <c r="E6475">
        <v>1</v>
      </c>
      <c r="F6475" s="7">
        <v>401863.05</v>
      </c>
      <c r="G6475">
        <v>0</v>
      </c>
      <c r="H6475" s="7">
        <v>0</v>
      </c>
    </row>
    <row r="6476" spans="1:8">
      <c r="A6476">
        <v>6</v>
      </c>
      <c r="B6476" t="s">
        <v>43</v>
      </c>
      <c r="C6476" t="s">
        <v>35</v>
      </c>
      <c r="D6476">
        <v>0</v>
      </c>
      <c r="E6476">
        <v>1</v>
      </c>
      <c r="F6476" s="7">
        <v>330922.7</v>
      </c>
      <c r="G6476">
        <v>0</v>
      </c>
      <c r="H6476" s="7">
        <v>0</v>
      </c>
    </row>
    <row r="6477" spans="1:8">
      <c r="A6477">
        <v>6</v>
      </c>
      <c r="B6477" t="s">
        <v>42</v>
      </c>
      <c r="C6477" t="s">
        <v>34</v>
      </c>
      <c r="D6477">
        <v>0</v>
      </c>
      <c r="E6477">
        <v>1</v>
      </c>
      <c r="F6477" s="7">
        <v>12274.76</v>
      </c>
      <c r="G6477">
        <v>0</v>
      </c>
      <c r="H6477" s="7">
        <v>0</v>
      </c>
    </row>
    <row r="6478" spans="1:8">
      <c r="A6478">
        <v>6</v>
      </c>
      <c r="B6478" t="s">
        <v>45</v>
      </c>
      <c r="C6478" t="s">
        <v>32</v>
      </c>
      <c r="D6478">
        <v>0</v>
      </c>
      <c r="E6478">
        <v>1</v>
      </c>
      <c r="F6478" s="7">
        <v>149.11</v>
      </c>
      <c r="G6478">
        <v>0</v>
      </c>
      <c r="H6478" s="7">
        <v>0</v>
      </c>
    </row>
    <row r="6479" spans="1:8">
      <c r="A6479">
        <v>6</v>
      </c>
      <c r="B6479" t="s">
        <v>42</v>
      </c>
      <c r="C6479" t="s">
        <v>33</v>
      </c>
      <c r="D6479">
        <v>0</v>
      </c>
      <c r="E6479">
        <v>1</v>
      </c>
      <c r="F6479" s="7">
        <v>5414.15</v>
      </c>
      <c r="G6479">
        <v>0</v>
      </c>
      <c r="H6479" s="7">
        <v>0</v>
      </c>
    </row>
    <row r="6480" spans="1:8">
      <c r="A6480">
        <v>6</v>
      </c>
      <c r="B6480" t="s">
        <v>42</v>
      </c>
      <c r="C6480" t="s">
        <v>33</v>
      </c>
      <c r="D6480">
        <v>0</v>
      </c>
      <c r="E6480">
        <v>1</v>
      </c>
      <c r="F6480" s="7">
        <v>9396</v>
      </c>
      <c r="G6480">
        <v>0</v>
      </c>
      <c r="H6480" s="7">
        <v>0</v>
      </c>
    </row>
    <row r="6481" spans="1:8">
      <c r="A6481">
        <v>6</v>
      </c>
      <c r="B6481" t="s">
        <v>42</v>
      </c>
      <c r="C6481" t="s">
        <v>33</v>
      </c>
      <c r="D6481">
        <v>0</v>
      </c>
      <c r="E6481">
        <v>1</v>
      </c>
      <c r="F6481" s="7">
        <v>4968.73</v>
      </c>
      <c r="G6481">
        <v>0</v>
      </c>
      <c r="H6481" s="7">
        <v>0</v>
      </c>
    </row>
    <row r="6482" spans="1:8">
      <c r="A6482">
        <v>6</v>
      </c>
      <c r="B6482" t="s">
        <v>42</v>
      </c>
      <c r="C6482" t="s">
        <v>34</v>
      </c>
      <c r="D6482">
        <v>0</v>
      </c>
      <c r="E6482">
        <v>1</v>
      </c>
      <c r="F6482" s="7">
        <v>22850.11</v>
      </c>
      <c r="G6482">
        <v>0</v>
      </c>
      <c r="H6482" s="7">
        <v>0</v>
      </c>
    </row>
    <row r="6483" spans="1:8">
      <c r="A6483">
        <v>6</v>
      </c>
      <c r="B6483" t="s">
        <v>42</v>
      </c>
      <c r="C6483" t="s">
        <v>33</v>
      </c>
      <c r="D6483">
        <v>0</v>
      </c>
      <c r="E6483">
        <v>1</v>
      </c>
      <c r="F6483" s="7">
        <v>2522.56</v>
      </c>
      <c r="G6483">
        <v>0</v>
      </c>
      <c r="H6483" s="7">
        <v>0</v>
      </c>
    </row>
    <row r="6484" spans="1:8">
      <c r="A6484">
        <v>6</v>
      </c>
      <c r="B6484" t="s">
        <v>42</v>
      </c>
      <c r="C6484" t="s">
        <v>33</v>
      </c>
      <c r="D6484">
        <v>0</v>
      </c>
      <c r="E6484">
        <v>1</v>
      </c>
      <c r="F6484" s="7">
        <v>1961.03</v>
      </c>
      <c r="G6484">
        <v>0</v>
      </c>
      <c r="H6484" s="7">
        <v>0</v>
      </c>
    </row>
    <row r="6485" spans="1:8">
      <c r="A6485">
        <v>6</v>
      </c>
      <c r="B6485" t="s">
        <v>42</v>
      </c>
      <c r="C6485" t="s">
        <v>33</v>
      </c>
      <c r="D6485">
        <v>0</v>
      </c>
      <c r="E6485">
        <v>1</v>
      </c>
      <c r="F6485" s="7">
        <v>7905.37</v>
      </c>
      <c r="G6485">
        <v>0</v>
      </c>
      <c r="H6485" s="7">
        <v>0</v>
      </c>
    </row>
    <row r="6486" spans="1:8">
      <c r="A6486">
        <v>6</v>
      </c>
      <c r="B6486" t="s">
        <v>44</v>
      </c>
      <c r="C6486" t="s">
        <v>35</v>
      </c>
      <c r="D6486">
        <v>0</v>
      </c>
      <c r="E6486">
        <v>1</v>
      </c>
      <c r="F6486" s="7">
        <v>160356.26</v>
      </c>
      <c r="G6486">
        <v>0</v>
      </c>
      <c r="H6486" s="7">
        <v>0</v>
      </c>
    </row>
    <row r="6487" spans="1:8">
      <c r="A6487">
        <v>6</v>
      </c>
      <c r="B6487" t="s">
        <v>43</v>
      </c>
      <c r="C6487" t="s">
        <v>35</v>
      </c>
      <c r="D6487">
        <v>0</v>
      </c>
      <c r="E6487">
        <v>1</v>
      </c>
      <c r="F6487" s="7">
        <v>125968.11</v>
      </c>
      <c r="G6487">
        <v>0</v>
      </c>
      <c r="H6487" s="7">
        <v>0</v>
      </c>
    </row>
    <row r="6488" spans="1:8">
      <c r="A6488">
        <v>6</v>
      </c>
      <c r="B6488" t="s">
        <v>42</v>
      </c>
      <c r="C6488" t="s">
        <v>34</v>
      </c>
      <c r="D6488">
        <v>0</v>
      </c>
      <c r="E6488">
        <v>1</v>
      </c>
      <c r="F6488" s="7">
        <v>10695.07</v>
      </c>
      <c r="G6488">
        <v>0</v>
      </c>
      <c r="H6488" s="7">
        <v>0</v>
      </c>
    </row>
    <row r="6489" spans="1:8">
      <c r="A6489">
        <v>6</v>
      </c>
      <c r="B6489" t="s">
        <v>42</v>
      </c>
      <c r="C6489" t="s">
        <v>34</v>
      </c>
      <c r="D6489">
        <v>0</v>
      </c>
      <c r="E6489">
        <v>1</v>
      </c>
      <c r="F6489" s="7">
        <v>31153.57</v>
      </c>
      <c r="G6489">
        <v>0</v>
      </c>
      <c r="H6489" s="7">
        <v>0</v>
      </c>
    </row>
    <row r="6490" spans="1:8">
      <c r="A6490">
        <v>6</v>
      </c>
      <c r="B6490" t="s">
        <v>42</v>
      </c>
      <c r="C6490" t="s">
        <v>34</v>
      </c>
      <c r="D6490">
        <v>0</v>
      </c>
      <c r="E6490">
        <v>1</v>
      </c>
      <c r="F6490" s="7">
        <v>27652.32</v>
      </c>
      <c r="G6490">
        <v>0</v>
      </c>
      <c r="H6490" s="7">
        <v>0</v>
      </c>
    </row>
    <row r="6491" spans="1:8">
      <c r="A6491">
        <v>6</v>
      </c>
      <c r="B6491" t="s">
        <v>42</v>
      </c>
      <c r="C6491" t="s">
        <v>33</v>
      </c>
      <c r="D6491">
        <v>0</v>
      </c>
      <c r="E6491">
        <v>1</v>
      </c>
      <c r="F6491" s="7">
        <v>9325.19</v>
      </c>
      <c r="G6491">
        <v>0</v>
      </c>
      <c r="H6491" s="7">
        <v>0</v>
      </c>
    </row>
    <row r="6492" spans="1:8">
      <c r="A6492">
        <v>6</v>
      </c>
      <c r="B6492" t="s">
        <v>42</v>
      </c>
      <c r="C6492" t="s">
        <v>33</v>
      </c>
      <c r="D6492">
        <v>0</v>
      </c>
      <c r="E6492">
        <v>1</v>
      </c>
      <c r="F6492" s="7">
        <v>7135.37</v>
      </c>
      <c r="G6492">
        <v>0</v>
      </c>
      <c r="H6492" s="7">
        <v>0</v>
      </c>
    </row>
    <row r="6493" spans="1:8">
      <c r="A6493">
        <v>6</v>
      </c>
      <c r="B6493" t="s">
        <v>42</v>
      </c>
      <c r="C6493" t="s">
        <v>33</v>
      </c>
      <c r="D6493">
        <v>0</v>
      </c>
      <c r="E6493">
        <v>1</v>
      </c>
      <c r="F6493" s="7">
        <v>5057.25</v>
      </c>
      <c r="G6493">
        <v>0</v>
      </c>
      <c r="H6493" s="7">
        <v>0</v>
      </c>
    </row>
    <row r="6494" spans="1:8">
      <c r="A6494">
        <v>6</v>
      </c>
      <c r="B6494" t="s">
        <v>42</v>
      </c>
      <c r="C6494" t="s">
        <v>34</v>
      </c>
      <c r="D6494">
        <v>0</v>
      </c>
      <c r="E6494">
        <v>1</v>
      </c>
      <c r="F6494" s="7">
        <v>12327.31</v>
      </c>
      <c r="G6494">
        <v>0</v>
      </c>
      <c r="H6494" s="7">
        <v>0</v>
      </c>
    </row>
    <row r="6495" spans="1:8">
      <c r="A6495">
        <v>6</v>
      </c>
      <c r="B6495" t="s">
        <v>42</v>
      </c>
      <c r="C6495" t="s">
        <v>34</v>
      </c>
      <c r="D6495">
        <v>0</v>
      </c>
      <c r="E6495">
        <v>1</v>
      </c>
      <c r="F6495" s="7">
        <v>30168.17</v>
      </c>
      <c r="G6495">
        <v>0</v>
      </c>
      <c r="H6495" s="7">
        <v>0</v>
      </c>
    </row>
    <row r="6496" spans="1:8">
      <c r="A6496">
        <v>6</v>
      </c>
      <c r="B6496" t="s">
        <v>42</v>
      </c>
      <c r="C6496" t="s">
        <v>34</v>
      </c>
      <c r="D6496">
        <v>0</v>
      </c>
      <c r="E6496">
        <v>1</v>
      </c>
      <c r="F6496" s="7">
        <v>19150.12</v>
      </c>
      <c r="G6496">
        <v>0</v>
      </c>
      <c r="H6496" s="7">
        <v>0</v>
      </c>
    </row>
    <row r="6497" spans="1:8">
      <c r="A6497">
        <v>6</v>
      </c>
      <c r="B6497" t="s">
        <v>42</v>
      </c>
      <c r="C6497" t="s">
        <v>34</v>
      </c>
      <c r="D6497">
        <v>0</v>
      </c>
      <c r="E6497">
        <v>1</v>
      </c>
      <c r="F6497" s="7">
        <v>42621.98</v>
      </c>
      <c r="G6497">
        <v>0</v>
      </c>
      <c r="H6497" s="7">
        <v>0</v>
      </c>
    </row>
    <row r="6498" spans="1:8">
      <c r="A6498">
        <v>6</v>
      </c>
      <c r="B6498" t="s">
        <v>42</v>
      </c>
      <c r="C6498" t="s">
        <v>34</v>
      </c>
      <c r="D6498">
        <v>0</v>
      </c>
      <c r="E6498">
        <v>1</v>
      </c>
      <c r="F6498" s="7">
        <v>34594.65</v>
      </c>
      <c r="G6498">
        <v>0</v>
      </c>
      <c r="H6498" s="7">
        <v>0</v>
      </c>
    </row>
    <row r="6499" spans="1:8">
      <c r="A6499">
        <v>6</v>
      </c>
      <c r="B6499" t="s">
        <v>42</v>
      </c>
      <c r="C6499" t="s">
        <v>33</v>
      </c>
      <c r="D6499">
        <v>0</v>
      </c>
      <c r="E6499">
        <v>1</v>
      </c>
      <c r="F6499" s="7">
        <v>4044.24</v>
      </c>
      <c r="G6499">
        <v>0</v>
      </c>
      <c r="H6499" s="7">
        <v>0</v>
      </c>
    </row>
    <row r="6500" spans="1:8">
      <c r="A6500">
        <v>6</v>
      </c>
      <c r="B6500" t="s">
        <v>42</v>
      </c>
      <c r="C6500" t="s">
        <v>33</v>
      </c>
      <c r="D6500">
        <v>0</v>
      </c>
      <c r="E6500">
        <v>1</v>
      </c>
      <c r="F6500" s="7">
        <v>5372.6</v>
      </c>
      <c r="G6500">
        <v>0</v>
      </c>
      <c r="H6500" s="7">
        <v>0</v>
      </c>
    </row>
    <row r="6501" spans="1:8">
      <c r="A6501">
        <v>6</v>
      </c>
      <c r="B6501" t="s">
        <v>42</v>
      </c>
      <c r="C6501" t="s">
        <v>34</v>
      </c>
      <c r="D6501">
        <v>0</v>
      </c>
      <c r="E6501">
        <v>1</v>
      </c>
      <c r="F6501" s="7">
        <v>12897.36</v>
      </c>
      <c r="G6501">
        <v>0</v>
      </c>
      <c r="H6501" s="7">
        <v>0</v>
      </c>
    </row>
    <row r="6502" spans="1:8">
      <c r="A6502">
        <v>6</v>
      </c>
      <c r="B6502" t="s">
        <v>42</v>
      </c>
      <c r="C6502" t="s">
        <v>34</v>
      </c>
      <c r="D6502">
        <v>0</v>
      </c>
      <c r="E6502">
        <v>1</v>
      </c>
      <c r="F6502" s="7">
        <v>16721.01</v>
      </c>
      <c r="G6502">
        <v>0</v>
      </c>
      <c r="H6502" s="7">
        <v>0</v>
      </c>
    </row>
    <row r="6503" spans="1:8">
      <c r="A6503">
        <v>6</v>
      </c>
      <c r="B6503" t="s">
        <v>42</v>
      </c>
      <c r="C6503" t="s">
        <v>33</v>
      </c>
      <c r="D6503">
        <v>0</v>
      </c>
      <c r="E6503">
        <v>1</v>
      </c>
      <c r="F6503" s="7">
        <v>9282.6</v>
      </c>
      <c r="G6503">
        <v>0</v>
      </c>
      <c r="H6503" s="7">
        <v>0</v>
      </c>
    </row>
    <row r="6504" spans="1:8">
      <c r="A6504">
        <v>6</v>
      </c>
      <c r="B6504" t="s">
        <v>42</v>
      </c>
      <c r="C6504" t="s">
        <v>33</v>
      </c>
      <c r="D6504">
        <v>0</v>
      </c>
      <c r="E6504">
        <v>1</v>
      </c>
      <c r="F6504" s="7">
        <v>7887.71</v>
      </c>
      <c r="G6504">
        <v>0</v>
      </c>
      <c r="H6504" s="7">
        <v>0</v>
      </c>
    </row>
    <row r="6505" spans="1:8">
      <c r="A6505">
        <v>6</v>
      </c>
      <c r="B6505" t="s">
        <v>42</v>
      </c>
      <c r="C6505" t="s">
        <v>32</v>
      </c>
      <c r="D6505">
        <v>0</v>
      </c>
      <c r="E6505">
        <v>1</v>
      </c>
      <c r="F6505" s="7">
        <v>487.15</v>
      </c>
      <c r="G6505">
        <v>0</v>
      </c>
      <c r="H6505" s="7">
        <v>0</v>
      </c>
    </row>
    <row r="6506" spans="1:8">
      <c r="A6506">
        <v>6</v>
      </c>
      <c r="B6506" t="s">
        <v>42</v>
      </c>
      <c r="C6506" t="s">
        <v>33</v>
      </c>
      <c r="D6506">
        <v>0</v>
      </c>
      <c r="E6506">
        <v>1</v>
      </c>
      <c r="F6506" s="7">
        <v>2400.47</v>
      </c>
      <c r="G6506">
        <v>0</v>
      </c>
      <c r="H6506" s="7">
        <v>0</v>
      </c>
    </row>
    <row r="6507" spans="1:8">
      <c r="A6507">
        <v>6</v>
      </c>
      <c r="B6507" t="s">
        <v>42</v>
      </c>
      <c r="C6507" t="s">
        <v>33</v>
      </c>
      <c r="D6507">
        <v>0</v>
      </c>
      <c r="E6507">
        <v>1</v>
      </c>
      <c r="F6507" s="7">
        <v>7131.82</v>
      </c>
      <c r="G6507">
        <v>0</v>
      </c>
      <c r="H6507" s="7">
        <v>0</v>
      </c>
    </row>
    <row r="6508" spans="1:8">
      <c r="A6508">
        <v>6</v>
      </c>
      <c r="B6508" t="s">
        <v>42</v>
      </c>
      <c r="C6508" t="s">
        <v>33</v>
      </c>
      <c r="D6508">
        <v>0</v>
      </c>
      <c r="E6508">
        <v>1</v>
      </c>
      <c r="F6508" s="7">
        <v>9690.19</v>
      </c>
      <c r="G6508">
        <v>0</v>
      </c>
      <c r="H6508" s="7">
        <v>0</v>
      </c>
    </row>
    <row r="6509" spans="1:8">
      <c r="A6509">
        <v>6</v>
      </c>
      <c r="B6509" t="s">
        <v>42</v>
      </c>
      <c r="C6509" t="s">
        <v>34</v>
      </c>
      <c r="D6509">
        <v>0</v>
      </c>
      <c r="E6509">
        <v>1</v>
      </c>
      <c r="F6509" s="7">
        <v>30632.31</v>
      </c>
      <c r="G6509">
        <v>0</v>
      </c>
      <c r="H6509" s="7">
        <v>0</v>
      </c>
    </row>
    <row r="6510" spans="1:8">
      <c r="A6510">
        <v>6</v>
      </c>
      <c r="B6510" t="s">
        <v>42</v>
      </c>
      <c r="C6510" t="s">
        <v>32</v>
      </c>
      <c r="D6510">
        <v>0</v>
      </c>
      <c r="E6510">
        <v>1</v>
      </c>
      <c r="F6510" s="7">
        <v>476.55</v>
      </c>
      <c r="G6510">
        <v>0</v>
      </c>
      <c r="H6510" s="7">
        <v>0</v>
      </c>
    </row>
    <row r="6511" spans="1:8">
      <c r="A6511">
        <v>6</v>
      </c>
      <c r="B6511" t="s">
        <v>42</v>
      </c>
      <c r="C6511" t="s">
        <v>33</v>
      </c>
      <c r="D6511">
        <v>0</v>
      </c>
      <c r="E6511">
        <v>1</v>
      </c>
      <c r="F6511" s="7">
        <v>3627.87</v>
      </c>
      <c r="G6511">
        <v>0</v>
      </c>
      <c r="H6511" s="7">
        <v>0</v>
      </c>
    </row>
    <row r="6512" spans="1:8">
      <c r="A6512">
        <v>6</v>
      </c>
      <c r="B6512" t="s">
        <v>42</v>
      </c>
      <c r="C6512" t="s">
        <v>33</v>
      </c>
      <c r="D6512">
        <v>0</v>
      </c>
      <c r="E6512">
        <v>1</v>
      </c>
      <c r="F6512" s="7">
        <v>1016.37</v>
      </c>
      <c r="G6512">
        <v>0</v>
      </c>
      <c r="H6512" s="7">
        <v>0</v>
      </c>
    </row>
    <row r="6513" spans="1:8">
      <c r="A6513">
        <v>6</v>
      </c>
      <c r="B6513" t="s">
        <v>42</v>
      </c>
      <c r="C6513" t="s">
        <v>34</v>
      </c>
      <c r="D6513">
        <v>0</v>
      </c>
      <c r="E6513">
        <v>1</v>
      </c>
      <c r="F6513" s="7">
        <v>11654.37</v>
      </c>
      <c r="G6513">
        <v>0</v>
      </c>
      <c r="H6513" s="7">
        <v>0</v>
      </c>
    </row>
    <row r="6514" spans="1:8">
      <c r="A6514">
        <v>6</v>
      </c>
      <c r="B6514" t="s">
        <v>42</v>
      </c>
      <c r="C6514" t="s">
        <v>33</v>
      </c>
      <c r="D6514">
        <v>0</v>
      </c>
      <c r="E6514">
        <v>1</v>
      </c>
      <c r="F6514" s="7">
        <v>3450.71</v>
      </c>
      <c r="G6514">
        <v>0</v>
      </c>
      <c r="H6514" s="7">
        <v>0</v>
      </c>
    </row>
    <row r="6515" spans="1:8">
      <c r="A6515">
        <v>6</v>
      </c>
      <c r="B6515" t="s">
        <v>42</v>
      </c>
      <c r="C6515" t="s">
        <v>34</v>
      </c>
      <c r="D6515">
        <v>0</v>
      </c>
      <c r="E6515">
        <v>1</v>
      </c>
      <c r="F6515" s="7">
        <v>15085.17</v>
      </c>
      <c r="G6515">
        <v>0</v>
      </c>
      <c r="H6515" s="7">
        <v>0</v>
      </c>
    </row>
    <row r="6516" spans="1:8">
      <c r="A6516">
        <v>6</v>
      </c>
      <c r="B6516" t="s">
        <v>45</v>
      </c>
      <c r="C6516" t="s">
        <v>33</v>
      </c>
      <c r="D6516">
        <v>0</v>
      </c>
      <c r="E6516">
        <v>1</v>
      </c>
      <c r="F6516" s="7">
        <v>4747.29</v>
      </c>
      <c r="G6516">
        <v>0</v>
      </c>
      <c r="H6516" s="7">
        <v>0</v>
      </c>
    </row>
    <row r="6517" spans="1:8">
      <c r="A6517">
        <v>6</v>
      </c>
      <c r="B6517" t="s">
        <v>44</v>
      </c>
      <c r="C6517" t="s">
        <v>35</v>
      </c>
      <c r="D6517">
        <v>0</v>
      </c>
      <c r="E6517">
        <v>1</v>
      </c>
      <c r="F6517" s="7">
        <v>200910.66</v>
      </c>
      <c r="G6517">
        <v>0</v>
      </c>
      <c r="H6517" s="7">
        <v>0</v>
      </c>
    </row>
    <row r="6518" spans="1:8">
      <c r="A6518">
        <v>6</v>
      </c>
      <c r="B6518" t="s">
        <v>42</v>
      </c>
      <c r="C6518" t="s">
        <v>33</v>
      </c>
      <c r="D6518">
        <v>0</v>
      </c>
      <c r="E6518">
        <v>1</v>
      </c>
      <c r="F6518" s="7">
        <v>8096.68</v>
      </c>
      <c r="G6518">
        <v>0</v>
      </c>
      <c r="H6518" s="7">
        <v>0</v>
      </c>
    </row>
    <row r="6519" spans="1:8">
      <c r="A6519">
        <v>6</v>
      </c>
      <c r="B6519" t="s">
        <v>44</v>
      </c>
      <c r="C6519" t="s">
        <v>34</v>
      </c>
      <c r="D6519">
        <v>0</v>
      </c>
      <c r="E6519">
        <v>1</v>
      </c>
      <c r="F6519" s="7">
        <v>56195.07</v>
      </c>
      <c r="G6519">
        <v>0</v>
      </c>
      <c r="H6519" s="7">
        <v>0</v>
      </c>
    </row>
    <row r="6520" spans="1:8">
      <c r="A6520">
        <v>6</v>
      </c>
      <c r="B6520" t="s">
        <v>44</v>
      </c>
      <c r="C6520" t="s">
        <v>35</v>
      </c>
      <c r="D6520">
        <v>0</v>
      </c>
      <c r="E6520">
        <v>1</v>
      </c>
      <c r="F6520" s="7">
        <v>165777.06</v>
      </c>
      <c r="G6520">
        <v>0</v>
      </c>
      <c r="H6520" s="7">
        <v>0</v>
      </c>
    </row>
    <row r="6521" spans="1:8">
      <c r="A6521">
        <v>6</v>
      </c>
      <c r="B6521" t="s">
        <v>44</v>
      </c>
      <c r="C6521" t="s">
        <v>35</v>
      </c>
      <c r="D6521">
        <v>0</v>
      </c>
      <c r="E6521">
        <v>1</v>
      </c>
      <c r="F6521" s="7">
        <v>361748.99</v>
      </c>
      <c r="G6521">
        <v>0</v>
      </c>
      <c r="H6521" s="7">
        <v>0</v>
      </c>
    </row>
    <row r="6522" spans="1:8">
      <c r="A6522">
        <v>6</v>
      </c>
      <c r="B6522" t="s">
        <v>44</v>
      </c>
      <c r="C6522" t="s">
        <v>35</v>
      </c>
      <c r="D6522">
        <v>0</v>
      </c>
      <c r="E6522">
        <v>1</v>
      </c>
      <c r="F6522" s="7">
        <v>381343.16</v>
      </c>
      <c r="G6522">
        <v>0</v>
      </c>
      <c r="H6522" s="7">
        <v>0</v>
      </c>
    </row>
    <row r="6523" spans="1:8">
      <c r="A6523">
        <v>6</v>
      </c>
      <c r="B6523" t="s">
        <v>44</v>
      </c>
      <c r="C6523" t="s">
        <v>35</v>
      </c>
      <c r="D6523">
        <v>0</v>
      </c>
      <c r="E6523">
        <v>1</v>
      </c>
      <c r="F6523" s="7">
        <v>206187.66</v>
      </c>
      <c r="G6523">
        <v>0</v>
      </c>
      <c r="H6523" s="7">
        <v>0</v>
      </c>
    </row>
    <row r="6524" spans="1:8">
      <c r="A6524">
        <v>6</v>
      </c>
      <c r="B6524" t="s">
        <v>44</v>
      </c>
      <c r="C6524" t="s">
        <v>35</v>
      </c>
      <c r="D6524">
        <v>0</v>
      </c>
      <c r="E6524">
        <v>1</v>
      </c>
      <c r="F6524" s="7">
        <v>419260.55</v>
      </c>
      <c r="G6524">
        <v>0</v>
      </c>
      <c r="H6524" s="7">
        <v>0</v>
      </c>
    </row>
    <row r="6525" spans="1:8">
      <c r="A6525">
        <v>6</v>
      </c>
      <c r="B6525" t="s">
        <v>44</v>
      </c>
      <c r="C6525" t="s">
        <v>35</v>
      </c>
      <c r="D6525">
        <v>0</v>
      </c>
      <c r="E6525">
        <v>1</v>
      </c>
      <c r="F6525" s="7">
        <v>340369.3</v>
      </c>
      <c r="G6525">
        <v>0</v>
      </c>
      <c r="H6525" s="7">
        <v>0</v>
      </c>
    </row>
    <row r="6526" spans="1:8">
      <c r="A6526">
        <v>6</v>
      </c>
      <c r="B6526" t="s">
        <v>44</v>
      </c>
      <c r="C6526" t="s">
        <v>33</v>
      </c>
      <c r="D6526">
        <v>0</v>
      </c>
      <c r="E6526">
        <v>1</v>
      </c>
      <c r="F6526" s="7">
        <v>9300.22</v>
      </c>
      <c r="G6526">
        <v>0</v>
      </c>
      <c r="H6526" s="7">
        <v>0</v>
      </c>
    </row>
    <row r="6527" spans="1:8">
      <c r="A6527">
        <v>6</v>
      </c>
      <c r="B6527" t="s">
        <v>44</v>
      </c>
      <c r="C6527" t="s">
        <v>35</v>
      </c>
      <c r="D6527">
        <v>0</v>
      </c>
      <c r="E6527">
        <v>1</v>
      </c>
      <c r="F6527" s="7">
        <v>180572.73</v>
      </c>
      <c r="G6527">
        <v>0</v>
      </c>
      <c r="H6527" s="7">
        <v>0</v>
      </c>
    </row>
    <row r="6528" spans="1:8">
      <c r="A6528">
        <v>6</v>
      </c>
      <c r="B6528" t="s">
        <v>44</v>
      </c>
      <c r="C6528" t="s">
        <v>34</v>
      </c>
      <c r="D6528">
        <v>0</v>
      </c>
      <c r="E6528">
        <v>1</v>
      </c>
      <c r="F6528" s="7">
        <v>62959.29</v>
      </c>
      <c r="G6528">
        <v>0</v>
      </c>
      <c r="H6528" s="7">
        <v>0</v>
      </c>
    </row>
    <row r="6529" spans="1:8">
      <c r="A6529">
        <v>6</v>
      </c>
      <c r="B6529" t="s">
        <v>44</v>
      </c>
      <c r="C6529" t="s">
        <v>35</v>
      </c>
      <c r="D6529">
        <v>0</v>
      </c>
      <c r="E6529">
        <v>1</v>
      </c>
      <c r="F6529" s="7">
        <v>267379.89</v>
      </c>
      <c r="G6529">
        <v>0</v>
      </c>
      <c r="H6529" s="7">
        <v>0</v>
      </c>
    </row>
    <row r="6530" spans="1:8">
      <c r="A6530">
        <v>6</v>
      </c>
      <c r="B6530" t="s">
        <v>44</v>
      </c>
      <c r="C6530" t="s">
        <v>35</v>
      </c>
      <c r="D6530">
        <v>0</v>
      </c>
      <c r="E6530">
        <v>1</v>
      </c>
      <c r="F6530" s="7">
        <v>178505.6</v>
      </c>
      <c r="G6530">
        <v>0</v>
      </c>
      <c r="H6530" s="7">
        <v>0</v>
      </c>
    </row>
    <row r="6531" spans="1:8">
      <c r="A6531">
        <v>6</v>
      </c>
      <c r="B6531" t="s">
        <v>44</v>
      </c>
      <c r="C6531" t="s">
        <v>34</v>
      </c>
      <c r="D6531">
        <v>0</v>
      </c>
      <c r="E6531">
        <v>1</v>
      </c>
      <c r="F6531" s="7">
        <v>54933.79</v>
      </c>
      <c r="G6531">
        <v>0</v>
      </c>
      <c r="H6531" s="7">
        <v>0</v>
      </c>
    </row>
    <row r="6532" spans="1:8">
      <c r="A6532">
        <v>6</v>
      </c>
      <c r="B6532" t="s">
        <v>44</v>
      </c>
      <c r="C6532" t="s">
        <v>35</v>
      </c>
      <c r="D6532">
        <v>0</v>
      </c>
      <c r="E6532">
        <v>1</v>
      </c>
      <c r="F6532" s="7">
        <v>184679.97</v>
      </c>
      <c r="G6532">
        <v>0</v>
      </c>
      <c r="H6532" s="7">
        <v>0</v>
      </c>
    </row>
    <row r="6533" spans="1:8">
      <c r="A6533">
        <v>6</v>
      </c>
      <c r="B6533" t="s">
        <v>44</v>
      </c>
      <c r="C6533" t="s">
        <v>35</v>
      </c>
      <c r="D6533">
        <v>0</v>
      </c>
      <c r="E6533">
        <v>1</v>
      </c>
      <c r="F6533" s="7">
        <v>100729.18</v>
      </c>
      <c r="G6533">
        <v>0</v>
      </c>
      <c r="H6533" s="7">
        <v>0</v>
      </c>
    </row>
    <row r="6534" spans="1:8">
      <c r="A6534">
        <v>6</v>
      </c>
      <c r="B6534" t="s">
        <v>44</v>
      </c>
      <c r="C6534" t="s">
        <v>35</v>
      </c>
      <c r="D6534">
        <v>0</v>
      </c>
      <c r="E6534">
        <v>1</v>
      </c>
      <c r="F6534" s="7">
        <v>116951.71</v>
      </c>
      <c r="G6534">
        <v>0</v>
      </c>
      <c r="H6534" s="7">
        <v>0</v>
      </c>
    </row>
    <row r="6535" spans="1:8">
      <c r="A6535">
        <v>6</v>
      </c>
      <c r="B6535" t="s">
        <v>42</v>
      </c>
      <c r="C6535" t="s">
        <v>33</v>
      </c>
      <c r="D6535">
        <v>0</v>
      </c>
      <c r="E6535">
        <v>1</v>
      </c>
      <c r="F6535" s="7">
        <v>2555.12</v>
      </c>
      <c r="G6535">
        <v>0</v>
      </c>
      <c r="H6535" s="7">
        <v>0</v>
      </c>
    </row>
    <row r="6536" spans="1:8">
      <c r="A6536">
        <v>6</v>
      </c>
      <c r="B6536" t="s">
        <v>42</v>
      </c>
      <c r="C6536" t="s">
        <v>33</v>
      </c>
      <c r="D6536">
        <v>0</v>
      </c>
      <c r="E6536">
        <v>1</v>
      </c>
      <c r="F6536" s="7">
        <v>7350.01</v>
      </c>
      <c r="G6536">
        <v>0</v>
      </c>
      <c r="H6536" s="7">
        <v>0</v>
      </c>
    </row>
    <row r="6537" spans="1:8">
      <c r="A6537">
        <v>6</v>
      </c>
      <c r="B6537" t="s">
        <v>42</v>
      </c>
      <c r="C6537" t="s">
        <v>34</v>
      </c>
      <c r="D6537">
        <v>0</v>
      </c>
      <c r="E6537">
        <v>1</v>
      </c>
      <c r="F6537" s="7">
        <v>13709.48</v>
      </c>
      <c r="G6537">
        <v>0</v>
      </c>
      <c r="H6537" s="7">
        <v>0</v>
      </c>
    </row>
    <row r="6538" spans="1:8">
      <c r="A6538">
        <v>6</v>
      </c>
      <c r="B6538" t="s">
        <v>42</v>
      </c>
      <c r="C6538" t="s">
        <v>33</v>
      </c>
      <c r="D6538">
        <v>0</v>
      </c>
      <c r="E6538">
        <v>1</v>
      </c>
      <c r="F6538" s="7">
        <v>8808.05</v>
      </c>
      <c r="G6538">
        <v>0</v>
      </c>
      <c r="H6538" s="7">
        <v>0</v>
      </c>
    </row>
    <row r="6539" spans="1:8">
      <c r="A6539">
        <v>6</v>
      </c>
      <c r="B6539" t="s">
        <v>42</v>
      </c>
      <c r="C6539" t="s">
        <v>33</v>
      </c>
      <c r="D6539">
        <v>0</v>
      </c>
      <c r="E6539">
        <v>1</v>
      </c>
      <c r="F6539" s="7">
        <v>9183.25</v>
      </c>
      <c r="G6539">
        <v>0</v>
      </c>
      <c r="H6539" s="7">
        <v>0</v>
      </c>
    </row>
    <row r="6540" spans="1:8">
      <c r="A6540">
        <v>6</v>
      </c>
      <c r="B6540" t="s">
        <v>44</v>
      </c>
      <c r="C6540" t="s">
        <v>35</v>
      </c>
      <c r="D6540">
        <v>0</v>
      </c>
      <c r="E6540">
        <v>1</v>
      </c>
      <c r="F6540" s="7">
        <v>533164.85</v>
      </c>
      <c r="G6540">
        <v>0</v>
      </c>
      <c r="H6540" s="7">
        <v>0</v>
      </c>
    </row>
    <row r="6541" spans="1:8">
      <c r="A6541">
        <v>6</v>
      </c>
      <c r="B6541" t="s">
        <v>42</v>
      </c>
      <c r="C6541" t="s">
        <v>33</v>
      </c>
      <c r="D6541">
        <v>0</v>
      </c>
      <c r="E6541">
        <v>1</v>
      </c>
      <c r="F6541" s="7">
        <v>3169.28</v>
      </c>
      <c r="G6541">
        <v>0</v>
      </c>
      <c r="H6541" s="7">
        <v>0</v>
      </c>
    </row>
    <row r="6542" spans="1:8">
      <c r="A6542">
        <v>6</v>
      </c>
      <c r="B6542" t="s">
        <v>42</v>
      </c>
      <c r="C6542" t="s">
        <v>34</v>
      </c>
      <c r="D6542">
        <v>0</v>
      </c>
      <c r="E6542">
        <v>1</v>
      </c>
      <c r="F6542" s="7">
        <v>12371.83</v>
      </c>
      <c r="G6542">
        <v>0</v>
      </c>
      <c r="H6542" s="7">
        <v>0</v>
      </c>
    </row>
    <row r="6543" spans="1:8">
      <c r="A6543">
        <v>6</v>
      </c>
      <c r="B6543" t="s">
        <v>42</v>
      </c>
      <c r="C6543" t="s">
        <v>33</v>
      </c>
      <c r="D6543">
        <v>0</v>
      </c>
      <c r="E6543">
        <v>1</v>
      </c>
      <c r="F6543" s="7">
        <v>5047.89</v>
      </c>
      <c r="G6543">
        <v>0</v>
      </c>
      <c r="H6543" s="7">
        <v>0</v>
      </c>
    </row>
    <row r="6544" spans="1:8">
      <c r="A6544">
        <v>6</v>
      </c>
      <c r="B6544" t="s">
        <v>42</v>
      </c>
      <c r="C6544" t="s">
        <v>34</v>
      </c>
      <c r="D6544">
        <v>0</v>
      </c>
      <c r="E6544">
        <v>1</v>
      </c>
      <c r="F6544" s="7">
        <v>21100.42</v>
      </c>
      <c r="G6544">
        <v>0</v>
      </c>
      <c r="H6544" s="7">
        <v>0</v>
      </c>
    </row>
    <row r="6545" spans="1:8">
      <c r="A6545">
        <v>6</v>
      </c>
      <c r="B6545" t="s">
        <v>43</v>
      </c>
      <c r="C6545" t="s">
        <v>35</v>
      </c>
      <c r="D6545">
        <v>0</v>
      </c>
      <c r="E6545">
        <v>1</v>
      </c>
      <c r="F6545" s="7">
        <v>351690.17</v>
      </c>
      <c r="G6545">
        <v>0</v>
      </c>
      <c r="H6545" s="7">
        <v>0</v>
      </c>
    </row>
    <row r="6546" spans="1:8">
      <c r="A6546">
        <v>6</v>
      </c>
      <c r="B6546" t="s">
        <v>42</v>
      </c>
      <c r="C6546" t="s">
        <v>34</v>
      </c>
      <c r="D6546">
        <v>0</v>
      </c>
      <c r="E6546">
        <v>1</v>
      </c>
      <c r="F6546" s="7">
        <v>10953.04</v>
      </c>
      <c r="G6546">
        <v>0</v>
      </c>
      <c r="H6546" s="7">
        <v>0</v>
      </c>
    </row>
    <row r="6547" spans="1:8">
      <c r="A6547">
        <v>6</v>
      </c>
      <c r="B6547" t="s">
        <v>42</v>
      </c>
      <c r="C6547" t="s">
        <v>34</v>
      </c>
      <c r="D6547">
        <v>0</v>
      </c>
      <c r="E6547">
        <v>1</v>
      </c>
      <c r="F6547" s="7">
        <v>26164.54</v>
      </c>
      <c r="G6547">
        <v>0</v>
      </c>
      <c r="H6547" s="7">
        <v>0</v>
      </c>
    </row>
    <row r="6548" spans="1:8">
      <c r="A6548">
        <v>6</v>
      </c>
      <c r="B6548" t="s">
        <v>42</v>
      </c>
      <c r="C6548" t="s">
        <v>33</v>
      </c>
      <c r="D6548">
        <v>0</v>
      </c>
      <c r="E6548">
        <v>1</v>
      </c>
      <c r="F6548" s="7">
        <v>1895.14</v>
      </c>
      <c r="G6548">
        <v>0</v>
      </c>
      <c r="H6548" s="7">
        <v>0</v>
      </c>
    </row>
    <row r="6549" spans="1:8">
      <c r="A6549">
        <v>6</v>
      </c>
      <c r="B6549" t="s">
        <v>42</v>
      </c>
      <c r="C6549" t="s">
        <v>33</v>
      </c>
      <c r="D6549">
        <v>0</v>
      </c>
      <c r="E6549">
        <v>1</v>
      </c>
      <c r="F6549" s="7">
        <v>7019.85</v>
      </c>
      <c r="G6549">
        <v>0</v>
      </c>
      <c r="H6549" s="7">
        <v>0</v>
      </c>
    </row>
    <row r="6550" spans="1:8">
      <c r="A6550">
        <v>6</v>
      </c>
      <c r="B6550" t="s">
        <v>46</v>
      </c>
      <c r="C6550" t="s">
        <v>35</v>
      </c>
      <c r="D6550">
        <v>0</v>
      </c>
      <c r="E6550">
        <v>1</v>
      </c>
      <c r="F6550" s="7">
        <v>204371.41</v>
      </c>
      <c r="G6550">
        <v>0</v>
      </c>
      <c r="H6550" s="7">
        <v>0</v>
      </c>
    </row>
    <row r="6551" spans="1:8">
      <c r="A6551">
        <v>6</v>
      </c>
      <c r="B6551" t="s">
        <v>46</v>
      </c>
      <c r="C6551" t="s">
        <v>34</v>
      </c>
      <c r="D6551">
        <v>0</v>
      </c>
      <c r="E6551">
        <v>1</v>
      </c>
      <c r="F6551" s="7">
        <v>72770.85</v>
      </c>
      <c r="G6551">
        <v>0</v>
      </c>
      <c r="H6551" s="7">
        <v>0</v>
      </c>
    </row>
    <row r="6552" spans="1:8">
      <c r="A6552">
        <v>6</v>
      </c>
      <c r="B6552" t="s">
        <v>46</v>
      </c>
      <c r="C6552" t="s">
        <v>35</v>
      </c>
      <c r="D6552">
        <v>0</v>
      </c>
      <c r="E6552">
        <v>1</v>
      </c>
      <c r="F6552" s="7">
        <v>171495.96</v>
      </c>
      <c r="G6552">
        <v>0</v>
      </c>
      <c r="H6552" s="7">
        <v>0</v>
      </c>
    </row>
    <row r="6553" spans="1:8">
      <c r="A6553">
        <v>6</v>
      </c>
      <c r="B6553" t="s">
        <v>46</v>
      </c>
      <c r="C6553" t="s">
        <v>35</v>
      </c>
      <c r="D6553">
        <v>0</v>
      </c>
      <c r="E6553">
        <v>1</v>
      </c>
      <c r="F6553" s="7">
        <v>359532.76</v>
      </c>
      <c r="G6553">
        <v>0</v>
      </c>
      <c r="H6553" s="7">
        <v>0</v>
      </c>
    </row>
    <row r="6554" spans="1:8">
      <c r="A6554">
        <v>6</v>
      </c>
      <c r="B6554" t="s">
        <v>46</v>
      </c>
      <c r="C6554" t="s">
        <v>35</v>
      </c>
      <c r="D6554">
        <v>0</v>
      </c>
      <c r="E6554">
        <v>1</v>
      </c>
      <c r="F6554" s="7">
        <v>430086.7</v>
      </c>
      <c r="G6554">
        <v>0</v>
      </c>
      <c r="H6554" s="7">
        <v>0</v>
      </c>
    </row>
    <row r="6555" spans="1:8">
      <c r="A6555">
        <v>6</v>
      </c>
      <c r="B6555" t="s">
        <v>46</v>
      </c>
      <c r="C6555" t="s">
        <v>35</v>
      </c>
      <c r="D6555">
        <v>0</v>
      </c>
      <c r="E6555">
        <v>1</v>
      </c>
      <c r="F6555" s="7">
        <v>346727.71</v>
      </c>
      <c r="G6555">
        <v>0</v>
      </c>
      <c r="H6555" s="7">
        <v>0</v>
      </c>
    </row>
    <row r="6556" spans="1:8">
      <c r="A6556">
        <v>6</v>
      </c>
      <c r="B6556" t="s">
        <v>46</v>
      </c>
      <c r="C6556" t="s">
        <v>35</v>
      </c>
      <c r="D6556">
        <v>0</v>
      </c>
      <c r="E6556">
        <v>1</v>
      </c>
      <c r="F6556" s="7">
        <v>261519.42</v>
      </c>
      <c r="G6556">
        <v>0</v>
      </c>
      <c r="H6556" s="7">
        <v>0</v>
      </c>
    </row>
    <row r="6557" spans="1:8">
      <c r="A6557">
        <v>6</v>
      </c>
      <c r="B6557" t="s">
        <v>46</v>
      </c>
      <c r="C6557" t="s">
        <v>35</v>
      </c>
      <c r="D6557">
        <v>0</v>
      </c>
      <c r="E6557">
        <v>1</v>
      </c>
      <c r="F6557" s="7">
        <v>135807.95</v>
      </c>
      <c r="G6557">
        <v>0</v>
      </c>
      <c r="H6557" s="7">
        <v>0</v>
      </c>
    </row>
    <row r="6558" spans="1:8">
      <c r="A6558">
        <v>6</v>
      </c>
      <c r="B6558" t="s">
        <v>46</v>
      </c>
      <c r="C6558" t="s">
        <v>35</v>
      </c>
      <c r="D6558">
        <v>0</v>
      </c>
      <c r="E6558">
        <v>1</v>
      </c>
      <c r="F6558" s="7">
        <v>330293.92</v>
      </c>
      <c r="G6558">
        <v>0</v>
      </c>
      <c r="H6558" s="7">
        <v>0</v>
      </c>
    </row>
    <row r="6559" spans="1:8">
      <c r="A6559">
        <v>6</v>
      </c>
      <c r="B6559" t="s">
        <v>46</v>
      </c>
      <c r="C6559" t="s">
        <v>34</v>
      </c>
      <c r="D6559">
        <v>0</v>
      </c>
      <c r="E6559">
        <v>1</v>
      </c>
      <c r="F6559" s="7">
        <v>54182.33</v>
      </c>
      <c r="G6559">
        <v>0</v>
      </c>
      <c r="H6559" s="7">
        <v>0</v>
      </c>
    </row>
    <row r="6560" spans="1:8">
      <c r="A6560">
        <v>6</v>
      </c>
      <c r="B6560" t="s">
        <v>46</v>
      </c>
      <c r="C6560" t="s">
        <v>35</v>
      </c>
      <c r="D6560">
        <v>0</v>
      </c>
      <c r="E6560">
        <v>1</v>
      </c>
      <c r="F6560" s="7">
        <v>451688.56</v>
      </c>
      <c r="G6560">
        <v>0</v>
      </c>
      <c r="H6560" s="7">
        <v>0</v>
      </c>
    </row>
    <row r="6561" spans="1:8">
      <c r="A6561">
        <v>6</v>
      </c>
      <c r="B6561" t="s">
        <v>46</v>
      </c>
      <c r="C6561" t="s">
        <v>35</v>
      </c>
      <c r="D6561">
        <v>0</v>
      </c>
      <c r="E6561">
        <v>1</v>
      </c>
      <c r="F6561" s="7">
        <v>181483.46</v>
      </c>
      <c r="G6561">
        <v>0</v>
      </c>
      <c r="H6561" s="7">
        <v>0</v>
      </c>
    </row>
    <row r="6562" spans="1:8">
      <c r="A6562">
        <v>6</v>
      </c>
      <c r="B6562" t="s">
        <v>46</v>
      </c>
      <c r="C6562" t="s">
        <v>35</v>
      </c>
      <c r="D6562">
        <v>0</v>
      </c>
      <c r="E6562">
        <v>1</v>
      </c>
      <c r="F6562" s="7">
        <v>163607.02</v>
      </c>
      <c r="G6562">
        <v>0</v>
      </c>
      <c r="H6562" s="7">
        <v>0</v>
      </c>
    </row>
    <row r="6563" spans="1:8">
      <c r="A6563">
        <v>6</v>
      </c>
      <c r="B6563" t="s">
        <v>46</v>
      </c>
      <c r="C6563" t="s">
        <v>35</v>
      </c>
      <c r="D6563">
        <v>0</v>
      </c>
      <c r="E6563">
        <v>1</v>
      </c>
      <c r="F6563" s="7">
        <v>184347.18</v>
      </c>
      <c r="G6563">
        <v>0</v>
      </c>
      <c r="H6563" s="7">
        <v>0</v>
      </c>
    </row>
    <row r="6564" spans="1:8">
      <c r="A6564">
        <v>6</v>
      </c>
      <c r="B6564" t="s">
        <v>46</v>
      </c>
      <c r="C6564" t="s">
        <v>34</v>
      </c>
      <c r="D6564">
        <v>0</v>
      </c>
      <c r="E6564">
        <v>1</v>
      </c>
      <c r="F6564" s="7">
        <v>90264.51</v>
      </c>
      <c r="G6564">
        <v>0</v>
      </c>
      <c r="H6564" s="7">
        <v>0</v>
      </c>
    </row>
    <row r="6565" spans="1:8">
      <c r="A6565">
        <v>6</v>
      </c>
      <c r="B6565" t="s">
        <v>46</v>
      </c>
      <c r="C6565" t="s">
        <v>34</v>
      </c>
      <c r="D6565">
        <v>0</v>
      </c>
      <c r="E6565">
        <v>1</v>
      </c>
      <c r="F6565" s="7">
        <v>14574.01</v>
      </c>
      <c r="G6565">
        <v>0</v>
      </c>
      <c r="H6565" s="7">
        <v>0</v>
      </c>
    </row>
    <row r="6566" spans="1:8">
      <c r="A6566">
        <v>6</v>
      </c>
      <c r="B6566" t="s">
        <v>46</v>
      </c>
      <c r="C6566" t="s">
        <v>35</v>
      </c>
      <c r="D6566">
        <v>0</v>
      </c>
      <c r="E6566">
        <v>1</v>
      </c>
      <c r="F6566" s="7">
        <v>201937.2</v>
      </c>
      <c r="G6566">
        <v>0</v>
      </c>
      <c r="H6566" s="7">
        <v>0</v>
      </c>
    </row>
    <row r="6567" spans="1:8">
      <c r="A6567">
        <v>6</v>
      </c>
      <c r="B6567" t="s">
        <v>42</v>
      </c>
      <c r="C6567" t="s">
        <v>33</v>
      </c>
      <c r="D6567">
        <v>0</v>
      </c>
      <c r="E6567">
        <v>1</v>
      </c>
      <c r="F6567" s="7">
        <v>2871.18</v>
      </c>
      <c r="G6567">
        <v>0</v>
      </c>
      <c r="H6567" s="7">
        <v>0</v>
      </c>
    </row>
    <row r="6568" spans="1:8">
      <c r="A6568">
        <v>6</v>
      </c>
      <c r="B6568" t="s">
        <v>43</v>
      </c>
      <c r="C6568" t="s">
        <v>35</v>
      </c>
      <c r="D6568">
        <v>0</v>
      </c>
      <c r="E6568">
        <v>1</v>
      </c>
      <c r="F6568" s="7">
        <v>179341.27</v>
      </c>
      <c r="G6568">
        <v>0</v>
      </c>
      <c r="H6568" s="7">
        <v>0</v>
      </c>
    </row>
    <row r="6569" spans="1:8">
      <c r="A6569">
        <v>6</v>
      </c>
      <c r="B6569" t="s">
        <v>42</v>
      </c>
      <c r="C6569" t="s">
        <v>34</v>
      </c>
      <c r="D6569">
        <v>0</v>
      </c>
      <c r="E6569">
        <v>1</v>
      </c>
      <c r="F6569" s="7">
        <v>12135.69</v>
      </c>
      <c r="G6569">
        <v>0</v>
      </c>
      <c r="H6569" s="7">
        <v>0</v>
      </c>
    </row>
    <row r="6570" spans="1:8">
      <c r="A6570">
        <v>6</v>
      </c>
      <c r="B6570" t="s">
        <v>42</v>
      </c>
      <c r="C6570" t="s">
        <v>34</v>
      </c>
      <c r="D6570">
        <v>0</v>
      </c>
      <c r="E6570">
        <v>1</v>
      </c>
      <c r="F6570" s="7">
        <v>12989.69</v>
      </c>
      <c r="G6570">
        <v>0</v>
      </c>
      <c r="H6570" s="7">
        <v>0</v>
      </c>
    </row>
    <row r="6571" spans="1:8">
      <c r="A6571">
        <v>6</v>
      </c>
      <c r="B6571" t="s">
        <v>42</v>
      </c>
      <c r="C6571" t="s">
        <v>34</v>
      </c>
      <c r="D6571">
        <v>0</v>
      </c>
      <c r="E6571">
        <v>1</v>
      </c>
      <c r="F6571" s="7">
        <v>19642.29</v>
      </c>
      <c r="G6571">
        <v>0</v>
      </c>
      <c r="H6571" s="7">
        <v>0</v>
      </c>
    </row>
    <row r="6572" spans="1:8">
      <c r="A6572">
        <v>6</v>
      </c>
      <c r="B6572" t="s">
        <v>42</v>
      </c>
      <c r="C6572" t="s">
        <v>33</v>
      </c>
      <c r="D6572">
        <v>0</v>
      </c>
      <c r="E6572">
        <v>1</v>
      </c>
      <c r="F6572" s="7">
        <v>5017.33</v>
      </c>
      <c r="G6572">
        <v>0</v>
      </c>
      <c r="H6572" s="7">
        <v>0</v>
      </c>
    </row>
    <row r="6573" spans="1:8">
      <c r="A6573">
        <v>6</v>
      </c>
      <c r="B6573" t="s">
        <v>42</v>
      </c>
      <c r="C6573" t="s">
        <v>34</v>
      </c>
      <c r="D6573">
        <v>0</v>
      </c>
      <c r="E6573">
        <v>1</v>
      </c>
      <c r="F6573" s="7">
        <v>13498.44</v>
      </c>
      <c r="G6573">
        <v>0</v>
      </c>
      <c r="H6573" s="7">
        <v>0</v>
      </c>
    </row>
    <row r="6574" spans="1:8">
      <c r="A6574">
        <v>6</v>
      </c>
      <c r="B6574" t="s">
        <v>42</v>
      </c>
      <c r="C6574" t="s">
        <v>34</v>
      </c>
      <c r="D6574">
        <v>0</v>
      </c>
      <c r="E6574">
        <v>1</v>
      </c>
      <c r="F6574" s="7">
        <v>12742.65</v>
      </c>
      <c r="G6574">
        <v>0</v>
      </c>
      <c r="H6574" s="7">
        <v>0</v>
      </c>
    </row>
    <row r="6575" spans="1:8">
      <c r="A6575">
        <v>6</v>
      </c>
      <c r="B6575" t="s">
        <v>42</v>
      </c>
      <c r="C6575" t="s">
        <v>34</v>
      </c>
      <c r="D6575">
        <v>0</v>
      </c>
      <c r="E6575">
        <v>1</v>
      </c>
      <c r="F6575" s="7">
        <v>16200.08</v>
      </c>
      <c r="G6575">
        <v>0</v>
      </c>
      <c r="H6575" s="7">
        <v>0</v>
      </c>
    </row>
    <row r="6576" spans="1:8">
      <c r="A6576">
        <v>6</v>
      </c>
      <c r="B6576" t="s">
        <v>42</v>
      </c>
      <c r="C6576" t="s">
        <v>34</v>
      </c>
      <c r="D6576">
        <v>0</v>
      </c>
      <c r="E6576">
        <v>1</v>
      </c>
      <c r="F6576" s="7">
        <v>10353.67</v>
      </c>
      <c r="G6576">
        <v>0</v>
      </c>
      <c r="H6576" s="7">
        <v>0</v>
      </c>
    </row>
    <row r="6577" spans="1:8">
      <c r="A6577">
        <v>6</v>
      </c>
      <c r="B6577" t="s">
        <v>42</v>
      </c>
      <c r="C6577" t="s">
        <v>33</v>
      </c>
      <c r="D6577">
        <v>0</v>
      </c>
      <c r="E6577">
        <v>1</v>
      </c>
      <c r="F6577" s="7">
        <v>2615.73</v>
      </c>
      <c r="G6577">
        <v>0</v>
      </c>
      <c r="H6577" s="7">
        <v>0</v>
      </c>
    </row>
    <row r="6578" spans="1:8">
      <c r="A6578">
        <v>6</v>
      </c>
      <c r="B6578" t="s">
        <v>44</v>
      </c>
      <c r="C6578" t="s">
        <v>35</v>
      </c>
      <c r="D6578">
        <v>0</v>
      </c>
      <c r="E6578">
        <v>1</v>
      </c>
      <c r="F6578" s="7">
        <v>274406.81</v>
      </c>
      <c r="G6578">
        <v>0</v>
      </c>
      <c r="H6578" s="7">
        <v>0</v>
      </c>
    </row>
    <row r="6579" spans="1:8">
      <c r="A6579">
        <v>6</v>
      </c>
      <c r="B6579" t="s">
        <v>42</v>
      </c>
      <c r="C6579" t="s">
        <v>33</v>
      </c>
      <c r="D6579">
        <v>0</v>
      </c>
      <c r="E6579">
        <v>1</v>
      </c>
      <c r="F6579" s="7">
        <v>2607.64</v>
      </c>
      <c r="G6579">
        <v>0</v>
      </c>
      <c r="H6579" s="7">
        <v>0</v>
      </c>
    </row>
    <row r="6580" spans="1:8">
      <c r="A6580">
        <v>6</v>
      </c>
      <c r="B6580" t="s">
        <v>44</v>
      </c>
      <c r="C6580" t="s">
        <v>35</v>
      </c>
      <c r="D6580">
        <v>0</v>
      </c>
      <c r="E6580">
        <v>1</v>
      </c>
      <c r="F6580" s="7">
        <v>570941.46</v>
      </c>
      <c r="G6580">
        <v>0</v>
      </c>
      <c r="H6580" s="7">
        <v>0</v>
      </c>
    </row>
    <row r="6581" spans="1:8">
      <c r="A6581">
        <v>6</v>
      </c>
      <c r="B6581" t="s">
        <v>42</v>
      </c>
      <c r="C6581" t="s">
        <v>34</v>
      </c>
      <c r="D6581">
        <v>0</v>
      </c>
      <c r="E6581">
        <v>1</v>
      </c>
      <c r="F6581" s="7">
        <v>21404.44</v>
      </c>
      <c r="G6581">
        <v>0</v>
      </c>
      <c r="H6581" s="7">
        <v>0</v>
      </c>
    </row>
    <row r="6582" spans="1:8">
      <c r="A6582">
        <v>6</v>
      </c>
      <c r="B6582" t="s">
        <v>42</v>
      </c>
      <c r="C6582" t="s">
        <v>34</v>
      </c>
      <c r="D6582">
        <v>0</v>
      </c>
      <c r="E6582">
        <v>1</v>
      </c>
      <c r="F6582" s="7">
        <v>15889.95</v>
      </c>
      <c r="G6582">
        <v>0</v>
      </c>
      <c r="H6582" s="7">
        <v>0</v>
      </c>
    </row>
    <row r="6583" spans="1:8">
      <c r="A6583">
        <v>6</v>
      </c>
      <c r="B6583" t="s">
        <v>42</v>
      </c>
      <c r="C6583" t="s">
        <v>34</v>
      </c>
      <c r="D6583">
        <v>0</v>
      </c>
      <c r="E6583">
        <v>1</v>
      </c>
      <c r="F6583" s="7">
        <v>10310.77</v>
      </c>
      <c r="G6583">
        <v>0</v>
      </c>
      <c r="H6583" s="7">
        <v>0</v>
      </c>
    </row>
    <row r="6584" spans="1:8">
      <c r="A6584">
        <v>6</v>
      </c>
      <c r="B6584" t="s">
        <v>44</v>
      </c>
      <c r="C6584" t="s">
        <v>35</v>
      </c>
      <c r="D6584">
        <v>0</v>
      </c>
      <c r="E6584">
        <v>1</v>
      </c>
      <c r="F6584" s="7">
        <v>308384.4</v>
      </c>
      <c r="G6584">
        <v>0</v>
      </c>
      <c r="H6584" s="7">
        <v>0</v>
      </c>
    </row>
    <row r="6585" spans="1:8">
      <c r="A6585">
        <v>6</v>
      </c>
      <c r="B6585" t="s">
        <v>42</v>
      </c>
      <c r="C6585" t="s">
        <v>34</v>
      </c>
      <c r="D6585">
        <v>0</v>
      </c>
      <c r="E6585">
        <v>1</v>
      </c>
      <c r="F6585" s="7">
        <v>13268.13</v>
      </c>
      <c r="G6585">
        <v>0</v>
      </c>
      <c r="H6585" s="7">
        <v>0</v>
      </c>
    </row>
    <row r="6586" spans="1:8">
      <c r="A6586">
        <v>6</v>
      </c>
      <c r="B6586" t="s">
        <v>42</v>
      </c>
      <c r="C6586" t="s">
        <v>32</v>
      </c>
      <c r="D6586">
        <v>0</v>
      </c>
      <c r="E6586">
        <v>1</v>
      </c>
      <c r="F6586" s="7">
        <v>980.14</v>
      </c>
      <c r="G6586">
        <v>0</v>
      </c>
      <c r="H6586" s="7">
        <v>0</v>
      </c>
    </row>
    <row r="6587" spans="1:8">
      <c r="A6587">
        <v>6</v>
      </c>
      <c r="B6587" t="s">
        <v>44</v>
      </c>
      <c r="C6587" t="s">
        <v>34</v>
      </c>
      <c r="D6587">
        <v>0</v>
      </c>
      <c r="E6587">
        <v>1</v>
      </c>
      <c r="F6587" s="7">
        <v>84326.18</v>
      </c>
      <c r="G6587">
        <v>0</v>
      </c>
      <c r="H6587" s="7">
        <v>0</v>
      </c>
    </row>
    <row r="6588" spans="1:8">
      <c r="A6588">
        <v>6</v>
      </c>
      <c r="B6588" t="s">
        <v>44</v>
      </c>
      <c r="C6588" t="s">
        <v>35</v>
      </c>
      <c r="D6588">
        <v>0</v>
      </c>
      <c r="E6588">
        <v>1</v>
      </c>
      <c r="F6588" s="7">
        <v>261488.06</v>
      </c>
      <c r="G6588">
        <v>0</v>
      </c>
      <c r="H6588" s="7">
        <v>0</v>
      </c>
    </row>
    <row r="6589" spans="1:8">
      <c r="A6589">
        <v>6</v>
      </c>
      <c r="B6589" t="s">
        <v>43</v>
      </c>
      <c r="C6589" t="s">
        <v>35</v>
      </c>
      <c r="D6589">
        <v>1</v>
      </c>
      <c r="E6589">
        <v>1</v>
      </c>
      <c r="F6589" s="7">
        <v>216422</v>
      </c>
      <c r="G6589">
        <v>1</v>
      </c>
      <c r="H6589" s="7">
        <v>216422</v>
      </c>
    </row>
    <row r="6590" spans="1:8">
      <c r="A6590">
        <v>6</v>
      </c>
      <c r="B6590" t="s">
        <v>44</v>
      </c>
      <c r="C6590" t="s">
        <v>35</v>
      </c>
      <c r="D6590">
        <v>1</v>
      </c>
      <c r="E6590">
        <v>1</v>
      </c>
      <c r="F6590" s="7">
        <v>216422</v>
      </c>
      <c r="G6590">
        <v>1</v>
      </c>
      <c r="H6590" s="7">
        <v>216422</v>
      </c>
    </row>
    <row r="6591" spans="1:8">
      <c r="A6591">
        <v>6</v>
      </c>
      <c r="B6591" t="s">
        <v>42</v>
      </c>
      <c r="C6591" t="s">
        <v>33</v>
      </c>
      <c r="D6591">
        <v>0</v>
      </c>
      <c r="E6591">
        <v>1</v>
      </c>
      <c r="F6591" s="7">
        <v>9584.44</v>
      </c>
      <c r="G6591">
        <v>0</v>
      </c>
      <c r="H6591" s="7">
        <v>0</v>
      </c>
    </row>
    <row r="6592" spans="1:8">
      <c r="A6592">
        <v>6</v>
      </c>
      <c r="B6592" t="s">
        <v>44</v>
      </c>
      <c r="C6592" t="s">
        <v>35</v>
      </c>
      <c r="D6592">
        <v>0</v>
      </c>
      <c r="E6592">
        <v>1</v>
      </c>
      <c r="F6592" s="7">
        <v>122380.82</v>
      </c>
      <c r="G6592">
        <v>0</v>
      </c>
      <c r="H6592" s="7">
        <v>0</v>
      </c>
    </row>
    <row r="6593" spans="1:8">
      <c r="A6593">
        <v>6</v>
      </c>
      <c r="B6593" t="s">
        <v>44</v>
      </c>
      <c r="C6593" t="s">
        <v>34</v>
      </c>
      <c r="D6593">
        <v>0</v>
      </c>
      <c r="E6593">
        <v>1</v>
      </c>
      <c r="F6593" s="7">
        <v>65938.21</v>
      </c>
      <c r="G6593">
        <v>0</v>
      </c>
      <c r="H6593" s="7">
        <v>0</v>
      </c>
    </row>
    <row r="6594" spans="1:8">
      <c r="A6594">
        <v>6</v>
      </c>
      <c r="B6594" t="s">
        <v>44</v>
      </c>
      <c r="C6594" t="s">
        <v>35</v>
      </c>
      <c r="D6594">
        <v>0</v>
      </c>
      <c r="E6594">
        <v>1</v>
      </c>
      <c r="F6594" s="7">
        <v>142435.75</v>
      </c>
      <c r="G6594">
        <v>0</v>
      </c>
      <c r="H6594" s="7">
        <v>0</v>
      </c>
    </row>
    <row r="6595" spans="1:8">
      <c r="A6595">
        <v>6</v>
      </c>
      <c r="B6595" t="s">
        <v>44</v>
      </c>
      <c r="C6595" t="s">
        <v>34</v>
      </c>
      <c r="D6595">
        <v>0</v>
      </c>
      <c r="E6595">
        <v>1</v>
      </c>
      <c r="F6595" s="7">
        <v>86821.76</v>
      </c>
      <c r="G6595">
        <v>0</v>
      </c>
      <c r="H6595" s="7">
        <v>0</v>
      </c>
    </row>
    <row r="6596" spans="1:8">
      <c r="A6596">
        <v>6</v>
      </c>
      <c r="B6596" t="s">
        <v>44</v>
      </c>
      <c r="C6596" t="s">
        <v>34</v>
      </c>
      <c r="D6596">
        <v>0</v>
      </c>
      <c r="E6596">
        <v>1</v>
      </c>
      <c r="F6596" s="7">
        <v>85074.07</v>
      </c>
      <c r="G6596">
        <v>0</v>
      </c>
      <c r="H6596" s="7">
        <v>0</v>
      </c>
    </row>
    <row r="6597" spans="1:8">
      <c r="A6597">
        <v>6</v>
      </c>
      <c r="B6597" t="s">
        <v>44</v>
      </c>
      <c r="C6597" t="s">
        <v>34</v>
      </c>
      <c r="D6597">
        <v>0</v>
      </c>
      <c r="E6597">
        <v>1</v>
      </c>
      <c r="F6597" s="7">
        <v>21696.81</v>
      </c>
      <c r="G6597">
        <v>0</v>
      </c>
      <c r="H6597" s="7">
        <v>0</v>
      </c>
    </row>
    <row r="6598" spans="1:8">
      <c r="A6598">
        <v>6</v>
      </c>
      <c r="B6598" t="s">
        <v>44</v>
      </c>
      <c r="C6598" t="s">
        <v>35</v>
      </c>
      <c r="D6598">
        <v>0</v>
      </c>
      <c r="E6598">
        <v>1</v>
      </c>
      <c r="F6598" s="7">
        <v>206666.36</v>
      </c>
      <c r="G6598">
        <v>0</v>
      </c>
      <c r="H6598" s="7">
        <v>0</v>
      </c>
    </row>
    <row r="6599" spans="1:8">
      <c r="A6599">
        <v>6</v>
      </c>
      <c r="B6599" t="s">
        <v>44</v>
      </c>
      <c r="C6599" t="s">
        <v>34</v>
      </c>
      <c r="D6599">
        <v>0</v>
      </c>
      <c r="E6599">
        <v>1</v>
      </c>
      <c r="F6599" s="7">
        <v>15674.27</v>
      </c>
      <c r="G6599">
        <v>0</v>
      </c>
      <c r="H6599" s="7">
        <v>0</v>
      </c>
    </row>
    <row r="6600" spans="1:8">
      <c r="A6600">
        <v>6</v>
      </c>
      <c r="B6600" t="s">
        <v>44</v>
      </c>
      <c r="C6600" t="s">
        <v>35</v>
      </c>
      <c r="D6600">
        <v>0</v>
      </c>
      <c r="E6600">
        <v>1</v>
      </c>
      <c r="F6600" s="7">
        <v>200095.94</v>
      </c>
      <c r="G6600">
        <v>0</v>
      </c>
      <c r="H6600" s="7">
        <v>0</v>
      </c>
    </row>
    <row r="6601" spans="1:8">
      <c r="A6601">
        <v>6</v>
      </c>
      <c r="B6601" t="s">
        <v>44</v>
      </c>
      <c r="C6601" t="s">
        <v>35</v>
      </c>
      <c r="D6601">
        <v>0</v>
      </c>
      <c r="E6601">
        <v>1</v>
      </c>
      <c r="F6601" s="7">
        <v>203376.02</v>
      </c>
      <c r="G6601">
        <v>0</v>
      </c>
      <c r="H6601" s="7">
        <v>0</v>
      </c>
    </row>
    <row r="6602" spans="1:8">
      <c r="A6602">
        <v>6</v>
      </c>
      <c r="B6602" t="s">
        <v>44</v>
      </c>
      <c r="C6602" t="s">
        <v>35</v>
      </c>
      <c r="D6602">
        <v>0</v>
      </c>
      <c r="E6602">
        <v>1</v>
      </c>
      <c r="F6602" s="7">
        <v>207796.54</v>
      </c>
      <c r="G6602">
        <v>0</v>
      </c>
      <c r="H6602" s="7">
        <v>0</v>
      </c>
    </row>
    <row r="6603" spans="1:8">
      <c r="A6603">
        <v>6</v>
      </c>
      <c r="B6603" t="s">
        <v>42</v>
      </c>
      <c r="C6603" t="s">
        <v>34</v>
      </c>
      <c r="D6603">
        <v>0</v>
      </c>
      <c r="E6603">
        <v>1</v>
      </c>
      <c r="F6603" s="7">
        <v>10854.35</v>
      </c>
      <c r="G6603">
        <v>0</v>
      </c>
      <c r="H6603" s="7">
        <v>0</v>
      </c>
    </row>
    <row r="6604" spans="1:8">
      <c r="A6604">
        <v>6</v>
      </c>
      <c r="B6604" t="s">
        <v>43</v>
      </c>
      <c r="C6604" t="s">
        <v>35</v>
      </c>
      <c r="D6604">
        <v>0</v>
      </c>
      <c r="E6604">
        <v>1</v>
      </c>
      <c r="F6604" s="7">
        <v>308882.21</v>
      </c>
      <c r="G6604">
        <v>0</v>
      </c>
      <c r="H6604" s="7">
        <v>0</v>
      </c>
    </row>
    <row r="6605" spans="1:8">
      <c r="A6605">
        <v>6</v>
      </c>
      <c r="B6605" t="s">
        <v>42</v>
      </c>
      <c r="C6605" t="s">
        <v>34</v>
      </c>
      <c r="D6605">
        <v>0</v>
      </c>
      <c r="E6605">
        <v>1</v>
      </c>
      <c r="F6605" s="7">
        <v>17575.98</v>
      </c>
      <c r="G6605">
        <v>0</v>
      </c>
      <c r="H6605" s="7">
        <v>0</v>
      </c>
    </row>
    <row r="6606" spans="1:8">
      <c r="A6606">
        <v>6</v>
      </c>
      <c r="B6606" t="s">
        <v>42</v>
      </c>
      <c r="C6606" t="s">
        <v>34</v>
      </c>
      <c r="D6606">
        <v>0</v>
      </c>
      <c r="E6606">
        <v>1</v>
      </c>
      <c r="F6606" s="7">
        <v>20601.02</v>
      </c>
      <c r="G6606">
        <v>0</v>
      </c>
      <c r="H6606" s="7">
        <v>0</v>
      </c>
    </row>
    <row r="6607" spans="1:8">
      <c r="A6607">
        <v>6</v>
      </c>
      <c r="B6607" t="s">
        <v>42</v>
      </c>
      <c r="C6607" t="s">
        <v>34</v>
      </c>
      <c r="D6607">
        <v>0</v>
      </c>
      <c r="E6607">
        <v>1</v>
      </c>
      <c r="F6607" s="7">
        <v>16175.39</v>
      </c>
      <c r="G6607">
        <v>0</v>
      </c>
      <c r="H6607" s="7">
        <v>0</v>
      </c>
    </row>
    <row r="6608" spans="1:8">
      <c r="A6608">
        <v>6</v>
      </c>
      <c r="B6608" t="s">
        <v>42</v>
      </c>
      <c r="C6608" t="s">
        <v>34</v>
      </c>
      <c r="D6608">
        <v>0</v>
      </c>
      <c r="E6608">
        <v>1</v>
      </c>
      <c r="F6608" s="7">
        <v>25594.04</v>
      </c>
      <c r="G6608">
        <v>0</v>
      </c>
      <c r="H6608" s="7">
        <v>0</v>
      </c>
    </row>
    <row r="6609" spans="1:8">
      <c r="A6609">
        <v>6</v>
      </c>
      <c r="B6609" t="s">
        <v>42</v>
      </c>
      <c r="C6609" t="s">
        <v>33</v>
      </c>
      <c r="D6609">
        <v>0</v>
      </c>
      <c r="E6609">
        <v>1</v>
      </c>
      <c r="F6609" s="7">
        <v>9766.07</v>
      </c>
      <c r="G6609">
        <v>0</v>
      </c>
      <c r="H6609" s="7">
        <v>0</v>
      </c>
    </row>
    <row r="6610" spans="1:8">
      <c r="A6610">
        <v>6</v>
      </c>
      <c r="B6610" t="s">
        <v>42</v>
      </c>
      <c r="C6610" t="s">
        <v>32</v>
      </c>
      <c r="D6610">
        <v>0</v>
      </c>
      <c r="E6610">
        <v>1</v>
      </c>
      <c r="F6610" s="7">
        <v>779.76</v>
      </c>
      <c r="G6610">
        <v>0</v>
      </c>
      <c r="H6610" s="7">
        <v>0</v>
      </c>
    </row>
    <row r="6611" spans="1:8">
      <c r="A6611">
        <v>6</v>
      </c>
      <c r="B6611" t="s">
        <v>42</v>
      </c>
      <c r="C6611" t="s">
        <v>34</v>
      </c>
      <c r="D6611">
        <v>0</v>
      </c>
      <c r="E6611">
        <v>1</v>
      </c>
      <c r="F6611" s="7">
        <v>22802.84</v>
      </c>
      <c r="G6611">
        <v>0</v>
      </c>
      <c r="H6611" s="7">
        <v>0</v>
      </c>
    </row>
    <row r="6612" spans="1:8">
      <c r="A6612">
        <v>6</v>
      </c>
      <c r="B6612" t="s">
        <v>42</v>
      </c>
      <c r="C6612" t="s">
        <v>32</v>
      </c>
      <c r="D6612">
        <v>0</v>
      </c>
      <c r="E6612">
        <v>1</v>
      </c>
      <c r="F6612" s="7">
        <v>816.44</v>
      </c>
      <c r="G6612">
        <v>0</v>
      </c>
      <c r="H6612" s="7">
        <v>0</v>
      </c>
    </row>
    <row r="6613" spans="1:8">
      <c r="A6613">
        <v>6</v>
      </c>
      <c r="B6613" t="s">
        <v>42</v>
      </c>
      <c r="C6613" t="s">
        <v>33</v>
      </c>
      <c r="D6613">
        <v>0</v>
      </c>
      <c r="E6613">
        <v>1</v>
      </c>
      <c r="F6613" s="7">
        <v>2181.44</v>
      </c>
      <c r="G6613">
        <v>0</v>
      </c>
      <c r="H6613" s="7">
        <v>0</v>
      </c>
    </row>
    <row r="6614" spans="1:8">
      <c r="A6614">
        <v>6</v>
      </c>
      <c r="B6614" t="s">
        <v>42</v>
      </c>
      <c r="C6614" t="s">
        <v>34</v>
      </c>
      <c r="D6614">
        <v>0</v>
      </c>
      <c r="E6614">
        <v>1</v>
      </c>
      <c r="F6614" s="7">
        <v>36774.88</v>
      </c>
      <c r="G6614">
        <v>0</v>
      </c>
      <c r="H6614" s="7">
        <v>0</v>
      </c>
    </row>
    <row r="6615" spans="1:8">
      <c r="A6615">
        <v>6</v>
      </c>
      <c r="B6615" t="s">
        <v>42</v>
      </c>
      <c r="C6615" t="s">
        <v>34</v>
      </c>
      <c r="D6615">
        <v>0</v>
      </c>
      <c r="E6615">
        <v>1</v>
      </c>
      <c r="F6615" s="7">
        <v>18278.65</v>
      </c>
      <c r="G6615">
        <v>0</v>
      </c>
      <c r="H6615" s="7">
        <v>0</v>
      </c>
    </row>
    <row r="6616" spans="1:8">
      <c r="A6616">
        <v>6</v>
      </c>
      <c r="B6616" t="s">
        <v>45</v>
      </c>
      <c r="C6616" t="s">
        <v>33</v>
      </c>
      <c r="D6616">
        <v>0</v>
      </c>
      <c r="E6616">
        <v>1</v>
      </c>
      <c r="F6616" s="7">
        <v>4599.02</v>
      </c>
      <c r="G6616">
        <v>0</v>
      </c>
      <c r="H6616" s="7">
        <v>0</v>
      </c>
    </row>
    <row r="6617" spans="1:8">
      <c r="A6617">
        <v>6</v>
      </c>
      <c r="B6617" t="s">
        <v>42</v>
      </c>
      <c r="C6617" t="s">
        <v>34</v>
      </c>
      <c r="D6617">
        <v>0</v>
      </c>
      <c r="E6617">
        <v>1</v>
      </c>
      <c r="F6617" s="7">
        <v>11011.74</v>
      </c>
      <c r="G6617">
        <v>0</v>
      </c>
      <c r="H6617" s="7">
        <v>0</v>
      </c>
    </row>
    <row r="6618" spans="1:8">
      <c r="A6618">
        <v>6</v>
      </c>
      <c r="B6618" t="s">
        <v>42</v>
      </c>
      <c r="C6618" t="s">
        <v>34</v>
      </c>
      <c r="D6618">
        <v>0</v>
      </c>
      <c r="E6618">
        <v>1</v>
      </c>
      <c r="F6618" s="7">
        <v>18541.02</v>
      </c>
      <c r="G6618">
        <v>0</v>
      </c>
      <c r="H6618" s="7">
        <v>0</v>
      </c>
    </row>
    <row r="6619" spans="1:8">
      <c r="A6619">
        <v>6</v>
      </c>
      <c r="B6619" t="s">
        <v>42</v>
      </c>
      <c r="C6619" t="s">
        <v>34</v>
      </c>
      <c r="D6619">
        <v>0</v>
      </c>
      <c r="E6619">
        <v>1</v>
      </c>
      <c r="F6619" s="7">
        <v>20385.69</v>
      </c>
      <c r="G6619">
        <v>0</v>
      </c>
      <c r="H6619" s="7">
        <v>0</v>
      </c>
    </row>
    <row r="6620" spans="1:8">
      <c r="A6620">
        <v>6</v>
      </c>
      <c r="B6620" t="s">
        <v>43</v>
      </c>
      <c r="C6620" t="s">
        <v>35</v>
      </c>
      <c r="D6620">
        <v>0</v>
      </c>
      <c r="E6620">
        <v>1</v>
      </c>
      <c r="F6620" s="7">
        <v>199873.41</v>
      </c>
      <c r="G6620">
        <v>0</v>
      </c>
      <c r="H6620" s="7">
        <v>0</v>
      </c>
    </row>
    <row r="6621" spans="1:8">
      <c r="A6621">
        <v>6</v>
      </c>
      <c r="B6621" t="s">
        <v>44</v>
      </c>
      <c r="C6621" t="s">
        <v>35</v>
      </c>
      <c r="D6621">
        <v>0</v>
      </c>
      <c r="E6621">
        <v>1</v>
      </c>
      <c r="F6621" s="7">
        <v>273120.84</v>
      </c>
      <c r="G6621">
        <v>0</v>
      </c>
      <c r="H6621" s="7">
        <v>0</v>
      </c>
    </row>
    <row r="6622" spans="1:8">
      <c r="A6622">
        <v>6</v>
      </c>
      <c r="B6622" t="s">
        <v>42</v>
      </c>
      <c r="C6622" t="s">
        <v>34</v>
      </c>
      <c r="D6622">
        <v>0</v>
      </c>
      <c r="E6622">
        <v>1</v>
      </c>
      <c r="F6622" s="7">
        <v>17871.32</v>
      </c>
      <c r="G6622">
        <v>0</v>
      </c>
      <c r="H6622" s="7">
        <v>0</v>
      </c>
    </row>
    <row r="6623" spans="1:8">
      <c r="A6623">
        <v>6</v>
      </c>
      <c r="B6623" t="s">
        <v>42</v>
      </c>
      <c r="C6623" t="s">
        <v>34</v>
      </c>
      <c r="D6623">
        <v>0</v>
      </c>
      <c r="E6623">
        <v>1</v>
      </c>
      <c r="F6623" s="7">
        <v>13836.66</v>
      </c>
      <c r="G6623">
        <v>0</v>
      </c>
      <c r="H6623" s="7">
        <v>0</v>
      </c>
    </row>
    <row r="6624" spans="1:8">
      <c r="A6624">
        <v>6</v>
      </c>
      <c r="B6624" t="s">
        <v>42</v>
      </c>
      <c r="C6624" t="s">
        <v>34</v>
      </c>
      <c r="D6624">
        <v>0</v>
      </c>
      <c r="E6624">
        <v>1</v>
      </c>
      <c r="F6624" s="7">
        <v>25448.45</v>
      </c>
      <c r="G6624">
        <v>0</v>
      </c>
      <c r="H6624" s="7">
        <v>0</v>
      </c>
    </row>
    <row r="6625" spans="1:8">
      <c r="A6625">
        <v>6</v>
      </c>
      <c r="B6625" t="s">
        <v>42</v>
      </c>
      <c r="C6625" t="s">
        <v>34</v>
      </c>
      <c r="D6625">
        <v>0</v>
      </c>
      <c r="E6625">
        <v>1</v>
      </c>
      <c r="F6625" s="7">
        <v>22547.2</v>
      </c>
      <c r="G6625">
        <v>0</v>
      </c>
      <c r="H6625" s="7">
        <v>0</v>
      </c>
    </row>
    <row r="6626" spans="1:8">
      <c r="A6626">
        <v>6</v>
      </c>
      <c r="B6626" t="s">
        <v>42</v>
      </c>
      <c r="C6626" t="s">
        <v>33</v>
      </c>
      <c r="D6626">
        <v>0</v>
      </c>
      <c r="E6626">
        <v>1</v>
      </c>
      <c r="F6626" s="7">
        <v>9555.32</v>
      </c>
      <c r="G6626">
        <v>0</v>
      </c>
      <c r="H6626" s="7">
        <v>0</v>
      </c>
    </row>
    <row r="6627" spans="1:8">
      <c r="A6627">
        <v>6</v>
      </c>
      <c r="B6627" t="s">
        <v>42</v>
      </c>
      <c r="C6627" t="s">
        <v>34</v>
      </c>
      <c r="D6627">
        <v>0</v>
      </c>
      <c r="E6627">
        <v>1</v>
      </c>
      <c r="F6627" s="7">
        <v>15983.15</v>
      </c>
      <c r="G6627">
        <v>0</v>
      </c>
      <c r="H6627" s="7">
        <v>0</v>
      </c>
    </row>
    <row r="6628" spans="1:8">
      <c r="A6628">
        <v>6</v>
      </c>
      <c r="B6628" t="s">
        <v>46</v>
      </c>
      <c r="C6628" t="s">
        <v>35</v>
      </c>
      <c r="D6628">
        <v>0</v>
      </c>
      <c r="E6628">
        <v>1</v>
      </c>
      <c r="F6628" s="7">
        <v>283889</v>
      </c>
      <c r="G6628">
        <v>0</v>
      </c>
      <c r="H6628" s="7">
        <v>0</v>
      </c>
    </row>
    <row r="6629" spans="1:8">
      <c r="A6629">
        <v>6</v>
      </c>
      <c r="B6629" t="s">
        <v>46</v>
      </c>
      <c r="C6629" t="s">
        <v>34</v>
      </c>
      <c r="D6629">
        <v>0</v>
      </c>
      <c r="E6629">
        <v>1</v>
      </c>
      <c r="F6629" s="7">
        <v>24492.49</v>
      </c>
      <c r="G6629">
        <v>0</v>
      </c>
      <c r="H6629" s="7">
        <v>0</v>
      </c>
    </row>
    <row r="6630" spans="1:8">
      <c r="A6630">
        <v>6</v>
      </c>
      <c r="B6630" t="s">
        <v>46</v>
      </c>
      <c r="C6630" t="s">
        <v>35</v>
      </c>
      <c r="D6630">
        <v>0</v>
      </c>
      <c r="E6630">
        <v>1</v>
      </c>
      <c r="F6630" s="7">
        <v>420269.82</v>
      </c>
      <c r="G6630">
        <v>0</v>
      </c>
      <c r="H6630" s="7">
        <v>0</v>
      </c>
    </row>
    <row r="6631" spans="1:8">
      <c r="A6631">
        <v>6</v>
      </c>
      <c r="B6631" t="s">
        <v>46</v>
      </c>
      <c r="C6631" t="s">
        <v>35</v>
      </c>
      <c r="D6631">
        <v>0</v>
      </c>
      <c r="E6631">
        <v>1</v>
      </c>
      <c r="F6631" s="7">
        <v>174806.05</v>
      </c>
      <c r="G6631">
        <v>0</v>
      </c>
      <c r="H6631" s="7">
        <v>0</v>
      </c>
    </row>
    <row r="6632" spans="1:8">
      <c r="A6632">
        <v>6</v>
      </c>
      <c r="B6632" t="s">
        <v>46</v>
      </c>
      <c r="C6632" t="s">
        <v>34</v>
      </c>
      <c r="D6632">
        <v>0</v>
      </c>
      <c r="E6632">
        <v>1</v>
      </c>
      <c r="F6632" s="7">
        <v>78155.56</v>
      </c>
      <c r="G6632">
        <v>0</v>
      </c>
      <c r="H6632" s="7">
        <v>0</v>
      </c>
    </row>
    <row r="6633" spans="1:8">
      <c r="A6633">
        <v>6</v>
      </c>
      <c r="B6633" t="s">
        <v>46</v>
      </c>
      <c r="C6633" t="s">
        <v>34</v>
      </c>
      <c r="D6633">
        <v>0</v>
      </c>
      <c r="E6633">
        <v>1</v>
      </c>
      <c r="F6633" s="7">
        <v>55503.1</v>
      </c>
      <c r="G6633">
        <v>0</v>
      </c>
      <c r="H6633" s="7">
        <v>0</v>
      </c>
    </row>
    <row r="6634" spans="1:8">
      <c r="A6634">
        <v>6</v>
      </c>
      <c r="B6634" t="s">
        <v>46</v>
      </c>
      <c r="C6634" t="s">
        <v>35</v>
      </c>
      <c r="D6634">
        <v>0</v>
      </c>
      <c r="E6634">
        <v>1</v>
      </c>
      <c r="F6634" s="7">
        <v>271184.55</v>
      </c>
      <c r="G6634">
        <v>0</v>
      </c>
      <c r="H6634" s="7">
        <v>0</v>
      </c>
    </row>
    <row r="6635" spans="1:8">
      <c r="A6635">
        <v>6</v>
      </c>
      <c r="B6635" t="s">
        <v>46</v>
      </c>
      <c r="C6635" t="s">
        <v>35</v>
      </c>
      <c r="D6635">
        <v>0</v>
      </c>
      <c r="E6635">
        <v>1</v>
      </c>
      <c r="F6635" s="7">
        <v>232498.27</v>
      </c>
      <c r="G6635">
        <v>0</v>
      </c>
      <c r="H6635" s="7">
        <v>0</v>
      </c>
    </row>
    <row r="6636" spans="1:8">
      <c r="A6636">
        <v>6</v>
      </c>
      <c r="B6636" t="s">
        <v>46</v>
      </c>
      <c r="C6636" t="s">
        <v>35</v>
      </c>
      <c r="D6636">
        <v>0</v>
      </c>
      <c r="E6636">
        <v>1</v>
      </c>
      <c r="F6636" s="7">
        <v>357726.65</v>
      </c>
      <c r="G6636">
        <v>0</v>
      </c>
      <c r="H6636" s="7">
        <v>0</v>
      </c>
    </row>
    <row r="6637" spans="1:8">
      <c r="A6637">
        <v>6</v>
      </c>
      <c r="B6637" t="s">
        <v>46</v>
      </c>
      <c r="C6637" t="s">
        <v>35</v>
      </c>
      <c r="D6637">
        <v>0</v>
      </c>
      <c r="E6637">
        <v>1</v>
      </c>
      <c r="F6637" s="7">
        <v>135998.76</v>
      </c>
      <c r="G6637">
        <v>0</v>
      </c>
      <c r="H6637" s="7">
        <v>0</v>
      </c>
    </row>
    <row r="6638" spans="1:8">
      <c r="A6638">
        <v>6</v>
      </c>
      <c r="B6638" t="s">
        <v>46</v>
      </c>
      <c r="C6638" t="s">
        <v>35</v>
      </c>
      <c r="D6638">
        <v>0</v>
      </c>
      <c r="E6638">
        <v>1</v>
      </c>
      <c r="F6638" s="7">
        <v>153512.92</v>
      </c>
      <c r="G6638">
        <v>0</v>
      </c>
      <c r="H6638" s="7">
        <v>0</v>
      </c>
    </row>
    <row r="6639" spans="1:8">
      <c r="A6639">
        <v>6</v>
      </c>
      <c r="B6639" t="s">
        <v>46</v>
      </c>
      <c r="C6639" t="s">
        <v>34</v>
      </c>
      <c r="D6639">
        <v>0</v>
      </c>
      <c r="E6639">
        <v>1</v>
      </c>
      <c r="F6639" s="7">
        <v>12245.34</v>
      </c>
      <c r="G6639">
        <v>0</v>
      </c>
      <c r="H6639" s="7">
        <v>0</v>
      </c>
    </row>
    <row r="6640" spans="1:8">
      <c r="A6640">
        <v>6</v>
      </c>
      <c r="B6640" t="s">
        <v>46</v>
      </c>
      <c r="C6640" t="s">
        <v>35</v>
      </c>
      <c r="D6640">
        <v>0</v>
      </c>
      <c r="E6640">
        <v>1</v>
      </c>
      <c r="F6640" s="7">
        <v>253419.13</v>
      </c>
      <c r="G6640">
        <v>0</v>
      </c>
      <c r="H6640" s="7">
        <v>0</v>
      </c>
    </row>
    <row r="6641" spans="1:8">
      <c r="A6641">
        <v>6</v>
      </c>
      <c r="B6641" t="s">
        <v>46</v>
      </c>
      <c r="C6641" t="s">
        <v>35</v>
      </c>
      <c r="D6641">
        <v>0</v>
      </c>
      <c r="E6641">
        <v>1</v>
      </c>
      <c r="F6641" s="7">
        <v>111460.82</v>
      </c>
      <c r="G6641">
        <v>0</v>
      </c>
      <c r="H6641" s="7">
        <v>0</v>
      </c>
    </row>
    <row r="6642" spans="1:8">
      <c r="A6642">
        <v>6</v>
      </c>
      <c r="B6642" t="s">
        <v>46</v>
      </c>
      <c r="C6642" t="s">
        <v>35</v>
      </c>
      <c r="D6642">
        <v>0</v>
      </c>
      <c r="E6642">
        <v>1</v>
      </c>
      <c r="F6642" s="7">
        <v>186841.67</v>
      </c>
      <c r="G6642">
        <v>0</v>
      </c>
      <c r="H6642" s="7">
        <v>0</v>
      </c>
    </row>
    <row r="6643" spans="1:8">
      <c r="A6643">
        <v>6</v>
      </c>
      <c r="B6643" t="s">
        <v>46</v>
      </c>
      <c r="C6643" t="s">
        <v>35</v>
      </c>
      <c r="D6643">
        <v>0</v>
      </c>
      <c r="E6643">
        <v>1</v>
      </c>
      <c r="F6643" s="7">
        <v>133663.18</v>
      </c>
      <c r="G6643">
        <v>0</v>
      </c>
      <c r="H6643" s="7">
        <v>0</v>
      </c>
    </row>
    <row r="6644" spans="1:8">
      <c r="A6644">
        <v>6</v>
      </c>
      <c r="B6644" t="s">
        <v>46</v>
      </c>
      <c r="C6644" t="s">
        <v>35</v>
      </c>
      <c r="D6644">
        <v>0</v>
      </c>
      <c r="E6644">
        <v>1</v>
      </c>
      <c r="F6644" s="7">
        <v>159689.6</v>
      </c>
      <c r="G6644">
        <v>0</v>
      </c>
      <c r="H6644" s="7">
        <v>0</v>
      </c>
    </row>
    <row r="6645" spans="1:8">
      <c r="A6645">
        <v>6</v>
      </c>
      <c r="B6645" t="s">
        <v>46</v>
      </c>
      <c r="C6645" t="s">
        <v>35</v>
      </c>
      <c r="D6645">
        <v>0</v>
      </c>
      <c r="E6645">
        <v>1</v>
      </c>
      <c r="F6645" s="7">
        <v>561808.58</v>
      </c>
      <c r="G6645">
        <v>0</v>
      </c>
      <c r="H6645" s="7">
        <v>0</v>
      </c>
    </row>
    <row r="6646" spans="1:8">
      <c r="A6646">
        <v>6</v>
      </c>
      <c r="B6646" t="s">
        <v>46</v>
      </c>
      <c r="C6646" t="s">
        <v>35</v>
      </c>
      <c r="D6646">
        <v>0</v>
      </c>
      <c r="E6646">
        <v>1</v>
      </c>
      <c r="F6646" s="7">
        <v>502514.81</v>
      </c>
      <c r="G6646">
        <v>0</v>
      </c>
      <c r="H6646" s="7">
        <v>0</v>
      </c>
    </row>
    <row r="6647" spans="1:8">
      <c r="A6647">
        <v>6</v>
      </c>
      <c r="B6647" t="s">
        <v>46</v>
      </c>
      <c r="C6647" t="s">
        <v>35</v>
      </c>
      <c r="D6647">
        <v>0</v>
      </c>
      <c r="E6647">
        <v>1</v>
      </c>
      <c r="F6647" s="7">
        <v>115359.35</v>
      </c>
      <c r="G6647">
        <v>0</v>
      </c>
      <c r="H6647" s="7">
        <v>0</v>
      </c>
    </row>
    <row r="6648" spans="1:8">
      <c r="A6648">
        <v>6</v>
      </c>
      <c r="B6648" t="s">
        <v>46</v>
      </c>
      <c r="C6648" t="s">
        <v>34</v>
      </c>
      <c r="D6648">
        <v>0</v>
      </c>
      <c r="E6648">
        <v>1</v>
      </c>
      <c r="F6648" s="7">
        <v>26531.35</v>
      </c>
      <c r="G6648">
        <v>0</v>
      </c>
      <c r="H6648" s="7">
        <v>0</v>
      </c>
    </row>
    <row r="6649" spans="1:8">
      <c r="A6649">
        <v>6</v>
      </c>
      <c r="B6649" t="s">
        <v>46</v>
      </c>
      <c r="C6649" t="s">
        <v>34</v>
      </c>
      <c r="D6649">
        <v>0</v>
      </c>
      <c r="E6649">
        <v>1</v>
      </c>
      <c r="F6649" s="7">
        <v>30416</v>
      </c>
      <c r="G6649">
        <v>0</v>
      </c>
      <c r="H6649" s="7">
        <v>0</v>
      </c>
    </row>
    <row r="6650" spans="1:8">
      <c r="A6650">
        <v>6</v>
      </c>
      <c r="B6650" t="s">
        <v>46</v>
      </c>
      <c r="C6650" t="s">
        <v>34</v>
      </c>
      <c r="D6650">
        <v>0</v>
      </c>
      <c r="E6650">
        <v>1</v>
      </c>
      <c r="F6650" s="7">
        <v>58538.76</v>
      </c>
      <c r="G6650">
        <v>0</v>
      </c>
      <c r="H6650" s="7">
        <v>0</v>
      </c>
    </row>
    <row r="6651" spans="1:8">
      <c r="A6651">
        <v>6</v>
      </c>
      <c r="B6651" t="s">
        <v>46</v>
      </c>
      <c r="C6651" t="s">
        <v>34</v>
      </c>
      <c r="D6651">
        <v>0</v>
      </c>
      <c r="E6651">
        <v>1</v>
      </c>
      <c r="F6651" s="7">
        <v>41116.29</v>
      </c>
      <c r="G6651">
        <v>0</v>
      </c>
      <c r="H6651" s="7">
        <v>0</v>
      </c>
    </row>
    <row r="6652" spans="1:8">
      <c r="A6652">
        <v>6</v>
      </c>
      <c r="B6652" t="s">
        <v>46</v>
      </c>
      <c r="C6652" t="s">
        <v>35</v>
      </c>
      <c r="D6652">
        <v>0</v>
      </c>
      <c r="E6652">
        <v>1</v>
      </c>
      <c r="F6652" s="7">
        <v>164197.03</v>
      </c>
      <c r="G6652">
        <v>0</v>
      </c>
      <c r="H6652" s="7">
        <v>0</v>
      </c>
    </row>
    <row r="6653" spans="1:8">
      <c r="A6653">
        <v>6</v>
      </c>
      <c r="B6653" t="s">
        <v>46</v>
      </c>
      <c r="C6653" t="s">
        <v>35</v>
      </c>
      <c r="D6653">
        <v>0</v>
      </c>
      <c r="E6653">
        <v>1</v>
      </c>
      <c r="F6653" s="7">
        <v>308177.51</v>
      </c>
      <c r="G6653">
        <v>0</v>
      </c>
      <c r="H6653" s="7">
        <v>0</v>
      </c>
    </row>
    <row r="6654" spans="1:8">
      <c r="A6654">
        <v>6</v>
      </c>
      <c r="B6654" t="s">
        <v>46</v>
      </c>
      <c r="C6654" t="s">
        <v>34</v>
      </c>
      <c r="D6654">
        <v>0</v>
      </c>
      <c r="E6654">
        <v>1</v>
      </c>
      <c r="F6654" s="7">
        <v>52997.24</v>
      </c>
      <c r="G6654">
        <v>0</v>
      </c>
      <c r="H6654" s="7">
        <v>0</v>
      </c>
    </row>
    <row r="6655" spans="1:8">
      <c r="A6655">
        <v>6</v>
      </c>
      <c r="B6655" t="s">
        <v>46</v>
      </c>
      <c r="C6655" t="s">
        <v>35</v>
      </c>
      <c r="D6655">
        <v>0</v>
      </c>
      <c r="E6655">
        <v>1</v>
      </c>
      <c r="F6655" s="7">
        <v>103082.13</v>
      </c>
      <c r="G6655">
        <v>0</v>
      </c>
      <c r="H6655" s="7">
        <v>0</v>
      </c>
    </row>
    <row r="6656" spans="1:8">
      <c r="A6656">
        <v>6</v>
      </c>
      <c r="B6656" t="s">
        <v>46</v>
      </c>
      <c r="C6656" t="s">
        <v>35</v>
      </c>
      <c r="D6656">
        <v>0</v>
      </c>
      <c r="E6656">
        <v>1</v>
      </c>
      <c r="F6656" s="7">
        <v>214086.09</v>
      </c>
      <c r="G6656">
        <v>0</v>
      </c>
      <c r="H6656" s="7">
        <v>0</v>
      </c>
    </row>
    <row r="6657" spans="1:8">
      <c r="A6657">
        <v>6</v>
      </c>
      <c r="B6657" t="s">
        <v>46</v>
      </c>
      <c r="C6657" t="s">
        <v>35</v>
      </c>
      <c r="D6657">
        <v>0</v>
      </c>
      <c r="E6657">
        <v>1</v>
      </c>
      <c r="F6657" s="7">
        <v>263027.96</v>
      </c>
      <c r="G6657">
        <v>0</v>
      </c>
      <c r="H6657" s="7">
        <v>0</v>
      </c>
    </row>
    <row r="6658" spans="1:8">
      <c r="A6658">
        <v>6</v>
      </c>
      <c r="B6658" t="s">
        <v>46</v>
      </c>
      <c r="C6658" t="s">
        <v>35</v>
      </c>
      <c r="D6658">
        <v>0</v>
      </c>
      <c r="E6658">
        <v>1</v>
      </c>
      <c r="F6658" s="7">
        <v>352360.67</v>
      </c>
      <c r="G6658">
        <v>0</v>
      </c>
      <c r="H6658" s="7">
        <v>0</v>
      </c>
    </row>
    <row r="6659" spans="1:8">
      <c r="A6659">
        <v>6</v>
      </c>
      <c r="B6659" t="s">
        <v>46</v>
      </c>
      <c r="C6659" t="s">
        <v>35</v>
      </c>
      <c r="D6659">
        <v>0</v>
      </c>
      <c r="E6659">
        <v>1</v>
      </c>
      <c r="F6659" s="7">
        <v>224527.63</v>
      </c>
      <c r="G6659">
        <v>0</v>
      </c>
      <c r="H6659" s="7">
        <v>0</v>
      </c>
    </row>
    <row r="6660" spans="1:8">
      <c r="A6660">
        <v>6</v>
      </c>
      <c r="B6660" t="s">
        <v>46</v>
      </c>
      <c r="C6660" t="s">
        <v>35</v>
      </c>
      <c r="D6660">
        <v>0</v>
      </c>
      <c r="E6660">
        <v>1</v>
      </c>
      <c r="F6660" s="7">
        <v>249972.42</v>
      </c>
      <c r="G6660">
        <v>0</v>
      </c>
      <c r="H6660" s="7">
        <v>0</v>
      </c>
    </row>
    <row r="6661" spans="1:8">
      <c r="A6661">
        <v>6</v>
      </c>
      <c r="B6661" t="s">
        <v>46</v>
      </c>
      <c r="C6661" t="s">
        <v>34</v>
      </c>
      <c r="D6661">
        <v>0</v>
      </c>
      <c r="E6661">
        <v>1</v>
      </c>
      <c r="F6661" s="7">
        <v>85450.99</v>
      </c>
      <c r="G6661">
        <v>0</v>
      </c>
      <c r="H6661" s="7">
        <v>0</v>
      </c>
    </row>
    <row r="6662" spans="1:8">
      <c r="A6662">
        <v>6</v>
      </c>
      <c r="B6662" t="s">
        <v>46</v>
      </c>
      <c r="C6662" t="s">
        <v>35</v>
      </c>
      <c r="D6662">
        <v>0</v>
      </c>
      <c r="E6662">
        <v>1</v>
      </c>
      <c r="F6662" s="7">
        <v>126270.37</v>
      </c>
      <c r="G6662">
        <v>0</v>
      </c>
      <c r="H6662" s="7">
        <v>0</v>
      </c>
    </row>
    <row r="6663" spans="1:8">
      <c r="A6663">
        <v>6</v>
      </c>
      <c r="B6663" t="s">
        <v>46</v>
      </c>
      <c r="C6663" t="s">
        <v>34</v>
      </c>
      <c r="D6663">
        <v>0</v>
      </c>
      <c r="E6663">
        <v>1</v>
      </c>
      <c r="F6663" s="7">
        <v>28526.13</v>
      </c>
      <c r="G6663">
        <v>0</v>
      </c>
      <c r="H6663" s="7">
        <v>0</v>
      </c>
    </row>
    <row r="6664" spans="1:8">
      <c r="A6664">
        <v>6</v>
      </c>
      <c r="B6664" t="s">
        <v>46</v>
      </c>
      <c r="C6664" t="s">
        <v>34</v>
      </c>
      <c r="D6664">
        <v>0</v>
      </c>
      <c r="E6664">
        <v>1</v>
      </c>
      <c r="F6664" s="7">
        <v>26271.48</v>
      </c>
      <c r="G6664">
        <v>0</v>
      </c>
      <c r="H6664" s="7">
        <v>0</v>
      </c>
    </row>
    <row r="6665" spans="1:8">
      <c r="A6665">
        <v>6</v>
      </c>
      <c r="B6665" t="s">
        <v>46</v>
      </c>
      <c r="C6665" t="s">
        <v>35</v>
      </c>
      <c r="D6665">
        <v>0</v>
      </c>
      <c r="E6665">
        <v>1</v>
      </c>
      <c r="F6665" s="7">
        <v>209758.49</v>
      </c>
      <c r="G6665">
        <v>0</v>
      </c>
      <c r="H6665" s="7">
        <v>0</v>
      </c>
    </row>
    <row r="6666" spans="1:8">
      <c r="A6666">
        <v>6</v>
      </c>
      <c r="B6666" t="s">
        <v>46</v>
      </c>
      <c r="C6666" t="s">
        <v>35</v>
      </c>
      <c r="D6666">
        <v>0</v>
      </c>
      <c r="E6666">
        <v>1</v>
      </c>
      <c r="F6666" s="7">
        <v>202246.61</v>
      </c>
      <c r="G6666">
        <v>0</v>
      </c>
      <c r="H6666" s="7">
        <v>0</v>
      </c>
    </row>
    <row r="6667" spans="1:8">
      <c r="A6667">
        <v>6</v>
      </c>
      <c r="B6667" t="s">
        <v>46</v>
      </c>
      <c r="C6667" t="s">
        <v>35</v>
      </c>
      <c r="D6667">
        <v>0</v>
      </c>
      <c r="E6667">
        <v>1</v>
      </c>
      <c r="F6667" s="7">
        <v>121913.7</v>
      </c>
      <c r="G6667">
        <v>0</v>
      </c>
      <c r="H6667" s="7">
        <v>0</v>
      </c>
    </row>
    <row r="6668" spans="1:8">
      <c r="A6668">
        <v>6</v>
      </c>
      <c r="B6668" t="s">
        <v>46</v>
      </c>
      <c r="C6668" t="s">
        <v>35</v>
      </c>
      <c r="D6668">
        <v>0</v>
      </c>
      <c r="E6668">
        <v>1</v>
      </c>
      <c r="F6668" s="7">
        <v>134126.72</v>
      </c>
      <c r="G6668">
        <v>0</v>
      </c>
      <c r="H6668" s="7">
        <v>0</v>
      </c>
    </row>
    <row r="6669" spans="1:8">
      <c r="A6669">
        <v>6</v>
      </c>
      <c r="B6669" t="s">
        <v>46</v>
      </c>
      <c r="C6669" t="s">
        <v>35</v>
      </c>
      <c r="D6669">
        <v>0</v>
      </c>
      <c r="E6669">
        <v>1</v>
      </c>
      <c r="F6669" s="7">
        <v>266095.2</v>
      </c>
      <c r="G6669">
        <v>0</v>
      </c>
      <c r="H6669" s="7">
        <v>0</v>
      </c>
    </row>
    <row r="6670" spans="1:8">
      <c r="A6670">
        <v>6</v>
      </c>
      <c r="B6670" t="s">
        <v>46</v>
      </c>
      <c r="C6670" t="s">
        <v>35</v>
      </c>
      <c r="D6670">
        <v>0</v>
      </c>
      <c r="E6670">
        <v>1</v>
      </c>
      <c r="F6670" s="7">
        <v>189896.16</v>
      </c>
      <c r="G6670">
        <v>0</v>
      </c>
      <c r="H6670" s="7">
        <v>0</v>
      </c>
    </row>
    <row r="6671" spans="1:8">
      <c r="A6671">
        <v>6</v>
      </c>
      <c r="B6671" t="s">
        <v>46</v>
      </c>
      <c r="C6671" t="s">
        <v>34</v>
      </c>
      <c r="D6671">
        <v>0</v>
      </c>
      <c r="E6671">
        <v>1</v>
      </c>
      <c r="F6671" s="7">
        <v>49976.72</v>
      </c>
      <c r="G6671">
        <v>0</v>
      </c>
      <c r="H6671" s="7">
        <v>0</v>
      </c>
    </row>
    <row r="6672" spans="1:8">
      <c r="A6672">
        <v>6</v>
      </c>
      <c r="B6672" t="s">
        <v>46</v>
      </c>
      <c r="C6672" t="s">
        <v>35</v>
      </c>
      <c r="D6672">
        <v>0</v>
      </c>
      <c r="E6672">
        <v>1</v>
      </c>
      <c r="F6672" s="7">
        <v>299711.16</v>
      </c>
      <c r="G6672">
        <v>0</v>
      </c>
      <c r="H6672" s="7">
        <v>0</v>
      </c>
    </row>
    <row r="6673" spans="1:8">
      <c r="A6673">
        <v>6</v>
      </c>
      <c r="B6673" t="s">
        <v>46</v>
      </c>
      <c r="C6673" t="s">
        <v>34</v>
      </c>
      <c r="D6673">
        <v>0</v>
      </c>
      <c r="E6673">
        <v>1</v>
      </c>
      <c r="F6673" s="7">
        <v>68463.23</v>
      </c>
      <c r="G6673">
        <v>0</v>
      </c>
      <c r="H6673" s="7">
        <v>0</v>
      </c>
    </row>
    <row r="6674" spans="1:8">
      <c r="A6674">
        <v>6</v>
      </c>
      <c r="B6674" t="s">
        <v>46</v>
      </c>
      <c r="C6674" t="s">
        <v>35</v>
      </c>
      <c r="D6674">
        <v>0</v>
      </c>
      <c r="E6674">
        <v>1</v>
      </c>
      <c r="F6674" s="7">
        <v>348393.24</v>
      </c>
      <c r="G6674">
        <v>0</v>
      </c>
      <c r="H6674" s="7">
        <v>0</v>
      </c>
    </row>
    <row r="6675" spans="1:8">
      <c r="A6675">
        <v>6</v>
      </c>
      <c r="B6675" t="s">
        <v>46</v>
      </c>
      <c r="C6675" t="s">
        <v>34</v>
      </c>
      <c r="D6675">
        <v>0</v>
      </c>
      <c r="E6675">
        <v>1</v>
      </c>
      <c r="F6675" s="7">
        <v>21666.76</v>
      </c>
      <c r="G6675">
        <v>0</v>
      </c>
      <c r="H6675" s="7">
        <v>0</v>
      </c>
    </row>
    <row r="6676" spans="1:8">
      <c r="A6676">
        <v>6</v>
      </c>
      <c r="B6676" t="s">
        <v>46</v>
      </c>
      <c r="C6676" t="s">
        <v>34</v>
      </c>
      <c r="D6676">
        <v>0</v>
      </c>
      <c r="E6676">
        <v>1</v>
      </c>
      <c r="F6676" s="7">
        <v>63588.85</v>
      </c>
      <c r="G6676">
        <v>0</v>
      </c>
      <c r="H6676" s="7">
        <v>0</v>
      </c>
    </row>
    <row r="6677" spans="1:8">
      <c r="A6677">
        <v>6</v>
      </c>
      <c r="B6677" t="s">
        <v>46</v>
      </c>
      <c r="C6677" t="s">
        <v>33</v>
      </c>
      <c r="D6677">
        <v>0</v>
      </c>
      <c r="E6677">
        <v>1</v>
      </c>
      <c r="F6677" s="7">
        <v>3732.98</v>
      </c>
      <c r="G6677">
        <v>0</v>
      </c>
      <c r="H6677" s="7">
        <v>0</v>
      </c>
    </row>
    <row r="6678" spans="1:8">
      <c r="A6678">
        <v>6</v>
      </c>
      <c r="B6678" t="s">
        <v>46</v>
      </c>
      <c r="C6678" t="s">
        <v>34</v>
      </c>
      <c r="D6678">
        <v>0</v>
      </c>
      <c r="E6678">
        <v>1</v>
      </c>
      <c r="F6678" s="7">
        <v>51437.6</v>
      </c>
      <c r="G6678">
        <v>0</v>
      </c>
      <c r="H6678" s="7">
        <v>0</v>
      </c>
    </row>
    <row r="6679" spans="1:8">
      <c r="A6679">
        <v>6</v>
      </c>
      <c r="B6679" t="s">
        <v>46</v>
      </c>
      <c r="C6679" t="s">
        <v>35</v>
      </c>
      <c r="D6679">
        <v>0</v>
      </c>
      <c r="E6679">
        <v>1</v>
      </c>
      <c r="F6679" s="7">
        <v>108259.9</v>
      </c>
      <c r="G6679">
        <v>0</v>
      </c>
      <c r="H6679" s="7">
        <v>0</v>
      </c>
    </row>
    <row r="6680" spans="1:8">
      <c r="A6680">
        <v>6</v>
      </c>
      <c r="B6680" t="s">
        <v>46</v>
      </c>
      <c r="C6680" t="s">
        <v>35</v>
      </c>
      <c r="D6680">
        <v>0</v>
      </c>
      <c r="E6680">
        <v>1</v>
      </c>
      <c r="F6680" s="7">
        <v>138569.74</v>
      </c>
      <c r="G6680">
        <v>0</v>
      </c>
      <c r="H6680" s="7">
        <v>0</v>
      </c>
    </row>
    <row r="6681" spans="1:8">
      <c r="A6681">
        <v>6</v>
      </c>
      <c r="B6681" t="s">
        <v>46</v>
      </c>
      <c r="C6681" t="s">
        <v>35</v>
      </c>
      <c r="D6681">
        <v>0</v>
      </c>
      <c r="E6681">
        <v>1</v>
      </c>
      <c r="F6681" s="7">
        <v>117536.98</v>
      </c>
      <c r="G6681">
        <v>0</v>
      </c>
      <c r="H6681" s="7">
        <v>0</v>
      </c>
    </row>
    <row r="6682" spans="1:8">
      <c r="A6682">
        <v>6</v>
      </c>
      <c r="B6682" t="s">
        <v>46</v>
      </c>
      <c r="C6682" t="s">
        <v>34</v>
      </c>
      <c r="D6682">
        <v>0</v>
      </c>
      <c r="E6682">
        <v>1</v>
      </c>
      <c r="F6682" s="7">
        <v>29516.52</v>
      </c>
      <c r="G6682">
        <v>0</v>
      </c>
      <c r="H6682" s="7">
        <v>0</v>
      </c>
    </row>
    <row r="6683" spans="1:8">
      <c r="A6683">
        <v>6</v>
      </c>
      <c r="B6683" t="s">
        <v>46</v>
      </c>
      <c r="C6683" t="s">
        <v>34</v>
      </c>
      <c r="D6683">
        <v>0</v>
      </c>
      <c r="E6683">
        <v>1</v>
      </c>
      <c r="F6683" s="7">
        <v>20261.63</v>
      </c>
      <c r="G6683">
        <v>0</v>
      </c>
      <c r="H6683" s="7">
        <v>0</v>
      </c>
    </row>
    <row r="6684" spans="1:8">
      <c r="A6684">
        <v>6</v>
      </c>
      <c r="B6684" t="s">
        <v>46</v>
      </c>
      <c r="C6684" t="s">
        <v>34</v>
      </c>
      <c r="D6684">
        <v>0</v>
      </c>
      <c r="E6684">
        <v>1</v>
      </c>
      <c r="F6684" s="7">
        <v>61546.01</v>
      </c>
      <c r="G6684">
        <v>0</v>
      </c>
      <c r="H6684" s="7">
        <v>0</v>
      </c>
    </row>
    <row r="6685" spans="1:8">
      <c r="A6685">
        <v>6</v>
      </c>
      <c r="B6685" t="s">
        <v>46</v>
      </c>
      <c r="C6685" t="s">
        <v>35</v>
      </c>
      <c r="D6685">
        <v>0</v>
      </c>
      <c r="E6685">
        <v>1</v>
      </c>
      <c r="F6685" s="7">
        <v>154735.14</v>
      </c>
      <c r="G6685">
        <v>0</v>
      </c>
      <c r="H6685" s="7">
        <v>0</v>
      </c>
    </row>
    <row r="6686" spans="1:8">
      <c r="A6686">
        <v>6</v>
      </c>
      <c r="B6686" t="s">
        <v>46</v>
      </c>
      <c r="C6686" t="s">
        <v>34</v>
      </c>
      <c r="D6686">
        <v>0</v>
      </c>
      <c r="E6686">
        <v>1</v>
      </c>
      <c r="F6686" s="7">
        <v>28266.24</v>
      </c>
      <c r="G6686">
        <v>0</v>
      </c>
      <c r="H6686" s="7">
        <v>0</v>
      </c>
    </row>
    <row r="6687" spans="1:8">
      <c r="A6687">
        <v>6</v>
      </c>
      <c r="B6687" t="s">
        <v>46</v>
      </c>
      <c r="C6687" t="s">
        <v>35</v>
      </c>
      <c r="D6687">
        <v>0</v>
      </c>
      <c r="E6687">
        <v>1</v>
      </c>
      <c r="F6687" s="7">
        <v>229651.1</v>
      </c>
      <c r="G6687">
        <v>0</v>
      </c>
      <c r="H6687" s="7">
        <v>0</v>
      </c>
    </row>
    <row r="6688" spans="1:8">
      <c r="A6688">
        <v>6</v>
      </c>
      <c r="B6688" t="s">
        <v>46</v>
      </c>
      <c r="C6688" t="s">
        <v>35</v>
      </c>
      <c r="D6688">
        <v>0</v>
      </c>
      <c r="E6688">
        <v>1</v>
      </c>
      <c r="F6688" s="7">
        <v>455846.84</v>
      </c>
      <c r="G6688">
        <v>0</v>
      </c>
      <c r="H6688" s="7">
        <v>0</v>
      </c>
    </row>
    <row r="6689" spans="1:8">
      <c r="A6689">
        <v>6</v>
      </c>
      <c r="B6689" t="s">
        <v>46</v>
      </c>
      <c r="C6689" t="s">
        <v>35</v>
      </c>
      <c r="D6689">
        <v>0</v>
      </c>
      <c r="E6689">
        <v>1</v>
      </c>
      <c r="F6689" s="7">
        <v>511779.03</v>
      </c>
      <c r="G6689">
        <v>0</v>
      </c>
      <c r="H6689" s="7">
        <v>0</v>
      </c>
    </row>
    <row r="6690" spans="1:8">
      <c r="A6690">
        <v>6</v>
      </c>
      <c r="B6690" t="s">
        <v>46</v>
      </c>
      <c r="C6690" t="s">
        <v>35</v>
      </c>
      <c r="D6690">
        <v>0</v>
      </c>
      <c r="E6690">
        <v>1</v>
      </c>
      <c r="F6690" s="7">
        <v>253489.92</v>
      </c>
      <c r="G6690">
        <v>0</v>
      </c>
      <c r="H6690" s="7">
        <v>0</v>
      </c>
    </row>
    <row r="6691" spans="1:8">
      <c r="A6691">
        <v>6</v>
      </c>
      <c r="B6691" t="s">
        <v>46</v>
      </c>
      <c r="C6691" t="s">
        <v>35</v>
      </c>
      <c r="D6691">
        <v>0</v>
      </c>
      <c r="E6691">
        <v>1</v>
      </c>
      <c r="F6691" s="7">
        <v>341350.6</v>
      </c>
      <c r="G6691">
        <v>0</v>
      </c>
      <c r="H6691" s="7">
        <v>0</v>
      </c>
    </row>
    <row r="6692" spans="1:8">
      <c r="A6692">
        <v>6</v>
      </c>
      <c r="B6692" t="s">
        <v>46</v>
      </c>
      <c r="C6692" t="s">
        <v>35</v>
      </c>
      <c r="D6692">
        <v>0</v>
      </c>
      <c r="E6692">
        <v>1</v>
      </c>
      <c r="F6692" s="7">
        <v>410821.56</v>
      </c>
      <c r="G6692">
        <v>0</v>
      </c>
      <c r="H6692" s="7">
        <v>0</v>
      </c>
    </row>
    <row r="6693" spans="1:8">
      <c r="A6693">
        <v>6</v>
      </c>
      <c r="B6693" t="s">
        <v>46</v>
      </c>
      <c r="C6693" t="s">
        <v>35</v>
      </c>
      <c r="D6693">
        <v>0</v>
      </c>
      <c r="E6693">
        <v>1</v>
      </c>
      <c r="F6693" s="7">
        <v>335389.99</v>
      </c>
      <c r="G6693">
        <v>0</v>
      </c>
      <c r="H6693" s="7">
        <v>0</v>
      </c>
    </row>
    <row r="6694" spans="1:8">
      <c r="A6694">
        <v>6</v>
      </c>
      <c r="B6694" t="s">
        <v>46</v>
      </c>
      <c r="C6694" t="s">
        <v>34</v>
      </c>
      <c r="D6694">
        <v>0</v>
      </c>
      <c r="E6694">
        <v>1</v>
      </c>
      <c r="F6694" s="7">
        <v>28747.1</v>
      </c>
      <c r="G6694">
        <v>0</v>
      </c>
      <c r="H6694" s="7">
        <v>0</v>
      </c>
    </row>
    <row r="6695" spans="1:8">
      <c r="A6695">
        <v>6</v>
      </c>
      <c r="B6695" t="s">
        <v>46</v>
      </c>
      <c r="C6695" t="s">
        <v>35</v>
      </c>
      <c r="D6695">
        <v>0</v>
      </c>
      <c r="E6695">
        <v>1</v>
      </c>
      <c r="F6695" s="7">
        <v>258578.06</v>
      </c>
      <c r="G6695">
        <v>0</v>
      </c>
      <c r="H6695" s="7">
        <v>0</v>
      </c>
    </row>
    <row r="6696" spans="1:8">
      <c r="A6696">
        <v>6</v>
      </c>
      <c r="B6696" t="s">
        <v>46</v>
      </c>
      <c r="C6696" t="s">
        <v>34</v>
      </c>
      <c r="D6696">
        <v>0</v>
      </c>
      <c r="E6696">
        <v>1</v>
      </c>
      <c r="F6696" s="7">
        <v>21865.49</v>
      </c>
      <c r="G6696">
        <v>0</v>
      </c>
      <c r="H6696" s="7">
        <v>0</v>
      </c>
    </row>
    <row r="6697" spans="1:8">
      <c r="A6697">
        <v>6</v>
      </c>
      <c r="B6697" t="s">
        <v>46</v>
      </c>
      <c r="C6697" t="s">
        <v>34</v>
      </c>
      <c r="D6697">
        <v>0</v>
      </c>
      <c r="E6697">
        <v>1</v>
      </c>
      <c r="F6697" s="7">
        <v>25260.54</v>
      </c>
      <c r="G6697">
        <v>0</v>
      </c>
      <c r="H6697" s="7">
        <v>0</v>
      </c>
    </row>
    <row r="6698" spans="1:8">
      <c r="A6698">
        <v>6</v>
      </c>
      <c r="B6698" t="s">
        <v>46</v>
      </c>
      <c r="C6698" t="s">
        <v>35</v>
      </c>
      <c r="D6698">
        <v>0</v>
      </c>
      <c r="E6698">
        <v>1</v>
      </c>
      <c r="F6698" s="7">
        <v>123551.62</v>
      </c>
      <c r="G6698">
        <v>0</v>
      </c>
      <c r="H6698" s="7">
        <v>0</v>
      </c>
    </row>
    <row r="6699" spans="1:8">
      <c r="A6699">
        <v>6</v>
      </c>
      <c r="B6699" t="s">
        <v>46</v>
      </c>
      <c r="C6699" t="s">
        <v>35</v>
      </c>
      <c r="D6699">
        <v>0</v>
      </c>
      <c r="E6699">
        <v>1</v>
      </c>
      <c r="F6699" s="7">
        <v>187863.78</v>
      </c>
      <c r="G6699">
        <v>0</v>
      </c>
      <c r="H6699" s="7">
        <v>0</v>
      </c>
    </row>
    <row r="6700" spans="1:8">
      <c r="A6700">
        <v>6</v>
      </c>
      <c r="B6700" t="s">
        <v>46</v>
      </c>
      <c r="C6700" t="s">
        <v>35</v>
      </c>
      <c r="D6700">
        <v>0</v>
      </c>
      <c r="E6700">
        <v>1</v>
      </c>
      <c r="F6700" s="7">
        <v>237456.97</v>
      </c>
      <c r="G6700">
        <v>0</v>
      </c>
      <c r="H6700" s="7">
        <v>0</v>
      </c>
    </row>
    <row r="6701" spans="1:8">
      <c r="A6701">
        <v>6</v>
      </c>
      <c r="B6701" t="s">
        <v>46</v>
      </c>
      <c r="C6701" t="s">
        <v>34</v>
      </c>
      <c r="D6701">
        <v>0</v>
      </c>
      <c r="E6701">
        <v>1</v>
      </c>
      <c r="F6701" s="7">
        <v>32078.13</v>
      </c>
      <c r="G6701">
        <v>0</v>
      </c>
      <c r="H6701" s="7">
        <v>0</v>
      </c>
    </row>
    <row r="6702" spans="1:8">
      <c r="A6702">
        <v>6</v>
      </c>
      <c r="B6702" t="s">
        <v>42</v>
      </c>
      <c r="C6702" t="s">
        <v>33</v>
      </c>
      <c r="D6702">
        <v>0</v>
      </c>
      <c r="E6702">
        <v>1</v>
      </c>
      <c r="F6702" s="7">
        <v>6479.6</v>
      </c>
      <c r="G6702">
        <v>0</v>
      </c>
      <c r="H6702" s="7">
        <v>0</v>
      </c>
    </row>
    <row r="6703" spans="1:8">
      <c r="A6703">
        <v>6</v>
      </c>
      <c r="B6703" t="s">
        <v>42</v>
      </c>
      <c r="C6703" t="s">
        <v>33</v>
      </c>
      <c r="D6703">
        <v>0</v>
      </c>
      <c r="E6703">
        <v>1</v>
      </c>
      <c r="F6703" s="7">
        <v>2455.08</v>
      </c>
      <c r="G6703">
        <v>0</v>
      </c>
      <c r="H6703" s="7">
        <v>0</v>
      </c>
    </row>
    <row r="6704" spans="1:8">
      <c r="A6704">
        <v>6</v>
      </c>
      <c r="B6704" t="s">
        <v>42</v>
      </c>
      <c r="C6704" t="s">
        <v>33</v>
      </c>
      <c r="D6704">
        <v>0</v>
      </c>
      <c r="E6704">
        <v>1</v>
      </c>
      <c r="F6704" s="7">
        <v>5554.61</v>
      </c>
      <c r="G6704">
        <v>0</v>
      </c>
      <c r="H6704" s="7">
        <v>0</v>
      </c>
    </row>
    <row r="6705" spans="1:8">
      <c r="A6705">
        <v>6</v>
      </c>
      <c r="B6705" t="s">
        <v>42</v>
      </c>
      <c r="C6705" t="s">
        <v>34</v>
      </c>
      <c r="D6705">
        <v>0</v>
      </c>
      <c r="E6705">
        <v>1</v>
      </c>
      <c r="F6705" s="7">
        <v>24963.89</v>
      </c>
      <c r="G6705">
        <v>0</v>
      </c>
      <c r="H6705" s="7">
        <v>0</v>
      </c>
    </row>
    <row r="6706" spans="1:8">
      <c r="A6706">
        <v>6</v>
      </c>
      <c r="B6706" t="s">
        <v>42</v>
      </c>
      <c r="C6706" t="s">
        <v>33</v>
      </c>
      <c r="D6706">
        <v>0</v>
      </c>
      <c r="E6706">
        <v>1</v>
      </c>
      <c r="F6706" s="7">
        <v>6853.5</v>
      </c>
      <c r="G6706">
        <v>0</v>
      </c>
      <c r="H6706" s="7">
        <v>0</v>
      </c>
    </row>
    <row r="6707" spans="1:8">
      <c r="A6707">
        <v>6</v>
      </c>
      <c r="B6707" t="s">
        <v>42</v>
      </c>
      <c r="C6707" t="s">
        <v>34</v>
      </c>
      <c r="D6707">
        <v>0</v>
      </c>
      <c r="E6707">
        <v>1</v>
      </c>
      <c r="F6707" s="7">
        <v>14703.98</v>
      </c>
      <c r="G6707">
        <v>0</v>
      </c>
      <c r="H6707" s="7">
        <v>0</v>
      </c>
    </row>
    <row r="6708" spans="1:8">
      <c r="A6708">
        <v>6</v>
      </c>
      <c r="B6708" t="s">
        <v>43</v>
      </c>
      <c r="C6708" t="s">
        <v>34</v>
      </c>
      <c r="D6708">
        <v>1</v>
      </c>
      <c r="E6708">
        <v>1</v>
      </c>
      <c r="F6708" s="7">
        <v>17320.91</v>
      </c>
      <c r="G6708">
        <v>1</v>
      </c>
      <c r="H6708" s="7">
        <v>17320.91</v>
      </c>
    </row>
    <row r="6709" spans="1:8">
      <c r="A6709">
        <v>6</v>
      </c>
      <c r="B6709" t="s">
        <v>44</v>
      </c>
      <c r="C6709" t="s">
        <v>34</v>
      </c>
      <c r="D6709">
        <v>1</v>
      </c>
      <c r="E6709">
        <v>1</v>
      </c>
      <c r="F6709" s="7">
        <v>17320.91</v>
      </c>
      <c r="G6709">
        <v>1</v>
      </c>
      <c r="H6709" s="7">
        <v>17320.91</v>
      </c>
    </row>
    <row r="6710" spans="1:8">
      <c r="A6710">
        <v>6</v>
      </c>
      <c r="B6710" t="s">
        <v>42</v>
      </c>
      <c r="C6710" t="s">
        <v>34</v>
      </c>
      <c r="D6710">
        <v>0</v>
      </c>
      <c r="E6710">
        <v>1</v>
      </c>
      <c r="F6710" s="7">
        <v>14107.2</v>
      </c>
      <c r="G6710">
        <v>0</v>
      </c>
      <c r="H6710" s="7">
        <v>0</v>
      </c>
    </row>
    <row r="6711" spans="1:8">
      <c r="A6711">
        <v>6</v>
      </c>
      <c r="B6711" t="s">
        <v>42</v>
      </c>
      <c r="C6711" t="s">
        <v>33</v>
      </c>
      <c r="D6711">
        <v>0</v>
      </c>
      <c r="E6711">
        <v>1</v>
      </c>
      <c r="F6711" s="7">
        <v>5644.05</v>
      </c>
      <c r="G6711">
        <v>0</v>
      </c>
      <c r="H6711" s="7">
        <v>0</v>
      </c>
    </row>
    <row r="6712" spans="1:8">
      <c r="A6712">
        <v>6</v>
      </c>
      <c r="B6712" t="s">
        <v>43</v>
      </c>
      <c r="C6712" t="s">
        <v>34</v>
      </c>
      <c r="D6712">
        <v>1</v>
      </c>
      <c r="E6712">
        <v>1</v>
      </c>
      <c r="F6712" s="7">
        <v>17246</v>
      </c>
      <c r="G6712">
        <v>1</v>
      </c>
      <c r="H6712" s="7">
        <v>17246</v>
      </c>
    </row>
    <row r="6713" spans="1:8">
      <c r="A6713">
        <v>6</v>
      </c>
      <c r="B6713" t="s">
        <v>44</v>
      </c>
      <c r="C6713" t="s">
        <v>34</v>
      </c>
      <c r="D6713">
        <v>1</v>
      </c>
      <c r="E6713">
        <v>1</v>
      </c>
      <c r="F6713" s="7">
        <v>17246</v>
      </c>
      <c r="G6713">
        <v>1</v>
      </c>
      <c r="H6713" s="7">
        <v>17246</v>
      </c>
    </row>
    <row r="6714" spans="1:8">
      <c r="A6714">
        <v>6</v>
      </c>
      <c r="B6714" t="s">
        <v>42</v>
      </c>
      <c r="C6714" t="s">
        <v>33</v>
      </c>
      <c r="D6714">
        <v>0</v>
      </c>
      <c r="E6714">
        <v>1</v>
      </c>
      <c r="F6714" s="7">
        <v>3559.83</v>
      </c>
      <c r="G6714">
        <v>0</v>
      </c>
      <c r="H6714" s="7">
        <v>0</v>
      </c>
    </row>
    <row r="6715" spans="1:8">
      <c r="A6715">
        <v>6</v>
      </c>
      <c r="B6715" t="s">
        <v>42</v>
      </c>
      <c r="C6715" t="s">
        <v>34</v>
      </c>
      <c r="D6715">
        <v>0</v>
      </c>
      <c r="E6715">
        <v>1</v>
      </c>
      <c r="F6715" s="7">
        <v>11587.52</v>
      </c>
      <c r="G6715">
        <v>0</v>
      </c>
      <c r="H6715" s="7">
        <v>0</v>
      </c>
    </row>
    <row r="6716" spans="1:8">
      <c r="A6716">
        <v>6</v>
      </c>
      <c r="B6716" t="s">
        <v>42</v>
      </c>
      <c r="C6716" t="s">
        <v>34</v>
      </c>
      <c r="D6716">
        <v>0</v>
      </c>
      <c r="E6716">
        <v>1</v>
      </c>
      <c r="F6716" s="7">
        <v>30051.02</v>
      </c>
      <c r="G6716">
        <v>0</v>
      </c>
      <c r="H6716" s="7">
        <v>0</v>
      </c>
    </row>
    <row r="6717" spans="1:8">
      <c r="A6717">
        <v>6</v>
      </c>
      <c r="B6717" t="s">
        <v>42</v>
      </c>
      <c r="C6717" t="s">
        <v>33</v>
      </c>
      <c r="D6717">
        <v>0</v>
      </c>
      <c r="E6717">
        <v>1</v>
      </c>
      <c r="F6717" s="7">
        <v>2962.06</v>
      </c>
      <c r="G6717">
        <v>0</v>
      </c>
      <c r="H6717" s="7">
        <v>0</v>
      </c>
    </row>
    <row r="6718" spans="1:8">
      <c r="A6718">
        <v>6</v>
      </c>
      <c r="B6718" t="s">
        <v>42</v>
      </c>
      <c r="C6718" t="s">
        <v>34</v>
      </c>
      <c r="D6718">
        <v>0</v>
      </c>
      <c r="E6718">
        <v>1</v>
      </c>
      <c r="F6718" s="7">
        <v>33114.03</v>
      </c>
      <c r="G6718">
        <v>0</v>
      </c>
      <c r="H6718" s="7">
        <v>0</v>
      </c>
    </row>
    <row r="6719" spans="1:8">
      <c r="A6719">
        <v>6</v>
      </c>
      <c r="B6719" t="s">
        <v>42</v>
      </c>
      <c r="C6719" t="s">
        <v>34</v>
      </c>
      <c r="D6719">
        <v>0</v>
      </c>
      <c r="E6719">
        <v>1</v>
      </c>
      <c r="F6719" s="7">
        <v>32379.76</v>
      </c>
      <c r="G6719">
        <v>0</v>
      </c>
      <c r="H6719" s="7">
        <v>0</v>
      </c>
    </row>
    <row r="6720" spans="1:8">
      <c r="A6720">
        <v>6</v>
      </c>
      <c r="B6720" t="s">
        <v>42</v>
      </c>
      <c r="C6720" t="s">
        <v>34</v>
      </c>
      <c r="D6720">
        <v>0</v>
      </c>
      <c r="E6720">
        <v>1</v>
      </c>
      <c r="F6720" s="7">
        <v>24258.1</v>
      </c>
      <c r="G6720">
        <v>0</v>
      </c>
      <c r="H6720" s="7">
        <v>0</v>
      </c>
    </row>
    <row r="6721" spans="1:8">
      <c r="A6721">
        <v>6</v>
      </c>
      <c r="B6721" t="s">
        <v>42</v>
      </c>
      <c r="C6721" t="s">
        <v>33</v>
      </c>
      <c r="D6721">
        <v>0</v>
      </c>
      <c r="E6721">
        <v>1</v>
      </c>
      <c r="F6721" s="7">
        <v>3988.39</v>
      </c>
      <c r="G6721">
        <v>0</v>
      </c>
      <c r="H6721" s="7">
        <v>0</v>
      </c>
    </row>
    <row r="6722" spans="1:8">
      <c r="A6722">
        <v>6</v>
      </c>
      <c r="B6722" t="s">
        <v>42</v>
      </c>
      <c r="C6722" t="s">
        <v>33</v>
      </c>
      <c r="D6722">
        <v>0</v>
      </c>
      <c r="E6722">
        <v>1</v>
      </c>
      <c r="F6722" s="7">
        <v>8950.68</v>
      </c>
      <c r="G6722">
        <v>0</v>
      </c>
      <c r="H6722" s="7">
        <v>0</v>
      </c>
    </row>
    <row r="6723" spans="1:8">
      <c r="A6723">
        <v>6</v>
      </c>
      <c r="B6723" t="s">
        <v>43</v>
      </c>
      <c r="C6723" t="s">
        <v>35</v>
      </c>
      <c r="D6723">
        <v>0</v>
      </c>
      <c r="E6723">
        <v>1</v>
      </c>
      <c r="F6723" s="7">
        <v>301294.72</v>
      </c>
      <c r="G6723">
        <v>0</v>
      </c>
      <c r="H6723" s="7">
        <v>0</v>
      </c>
    </row>
    <row r="6724" spans="1:8">
      <c r="A6724">
        <v>6</v>
      </c>
      <c r="B6724" t="s">
        <v>42</v>
      </c>
      <c r="C6724" t="s">
        <v>34</v>
      </c>
      <c r="D6724">
        <v>0</v>
      </c>
      <c r="E6724">
        <v>1</v>
      </c>
      <c r="F6724" s="7">
        <v>21536.22</v>
      </c>
      <c r="G6724">
        <v>0</v>
      </c>
      <c r="H6724" s="7">
        <v>0</v>
      </c>
    </row>
    <row r="6725" spans="1:8">
      <c r="A6725">
        <v>6</v>
      </c>
      <c r="B6725" t="s">
        <v>42</v>
      </c>
      <c r="C6725" t="s">
        <v>33</v>
      </c>
      <c r="D6725">
        <v>0</v>
      </c>
      <c r="E6725">
        <v>1</v>
      </c>
      <c r="F6725" s="7">
        <v>3134.07</v>
      </c>
      <c r="G6725">
        <v>0</v>
      </c>
      <c r="H6725" s="7">
        <v>0</v>
      </c>
    </row>
    <row r="6726" spans="1:8">
      <c r="A6726">
        <v>6</v>
      </c>
      <c r="B6726" t="s">
        <v>42</v>
      </c>
      <c r="C6726" t="s">
        <v>33</v>
      </c>
      <c r="D6726">
        <v>0</v>
      </c>
      <c r="E6726">
        <v>1</v>
      </c>
      <c r="F6726" s="7">
        <v>5640.35</v>
      </c>
      <c r="G6726">
        <v>0</v>
      </c>
      <c r="H6726" s="7">
        <v>0</v>
      </c>
    </row>
    <row r="6727" spans="1:8">
      <c r="A6727">
        <v>6</v>
      </c>
      <c r="B6727" t="s">
        <v>42</v>
      </c>
      <c r="C6727" t="s">
        <v>33</v>
      </c>
      <c r="D6727">
        <v>0</v>
      </c>
      <c r="E6727">
        <v>1</v>
      </c>
      <c r="F6727" s="7">
        <v>9517.37</v>
      </c>
      <c r="G6727">
        <v>0</v>
      </c>
      <c r="H6727" s="7">
        <v>0</v>
      </c>
    </row>
    <row r="6728" spans="1:8">
      <c r="A6728">
        <v>6</v>
      </c>
      <c r="B6728" t="s">
        <v>44</v>
      </c>
      <c r="C6728" t="s">
        <v>35</v>
      </c>
      <c r="D6728">
        <v>0</v>
      </c>
      <c r="E6728">
        <v>1</v>
      </c>
      <c r="F6728" s="7">
        <v>235783.84</v>
      </c>
      <c r="G6728">
        <v>0</v>
      </c>
      <c r="H6728" s="7">
        <v>0</v>
      </c>
    </row>
    <row r="6729" spans="1:8">
      <c r="A6729">
        <v>6</v>
      </c>
      <c r="B6729" t="s">
        <v>42</v>
      </c>
      <c r="C6729" t="s">
        <v>34</v>
      </c>
      <c r="D6729">
        <v>0</v>
      </c>
      <c r="E6729">
        <v>1</v>
      </c>
      <c r="F6729" s="7">
        <v>10986.65</v>
      </c>
      <c r="G6729">
        <v>0</v>
      </c>
      <c r="H6729" s="7">
        <v>0</v>
      </c>
    </row>
    <row r="6730" spans="1:8">
      <c r="A6730">
        <v>6</v>
      </c>
      <c r="B6730" t="s">
        <v>42</v>
      </c>
      <c r="C6730" t="s">
        <v>33</v>
      </c>
      <c r="D6730">
        <v>0</v>
      </c>
      <c r="E6730">
        <v>1</v>
      </c>
      <c r="F6730" s="7">
        <v>2326.67</v>
      </c>
      <c r="G6730">
        <v>0</v>
      </c>
      <c r="H6730" s="7">
        <v>0</v>
      </c>
    </row>
    <row r="6731" spans="1:8">
      <c r="A6731">
        <v>6</v>
      </c>
      <c r="B6731" t="s">
        <v>42</v>
      </c>
      <c r="C6731" t="s">
        <v>33</v>
      </c>
      <c r="D6731">
        <v>0</v>
      </c>
      <c r="E6731">
        <v>1</v>
      </c>
      <c r="F6731" s="7">
        <v>9455.4</v>
      </c>
      <c r="G6731">
        <v>0</v>
      </c>
      <c r="H6731" s="7">
        <v>0</v>
      </c>
    </row>
    <row r="6732" spans="1:8">
      <c r="A6732">
        <v>6</v>
      </c>
      <c r="B6732" t="s">
        <v>44</v>
      </c>
      <c r="C6732" t="s">
        <v>35</v>
      </c>
      <c r="D6732">
        <v>0</v>
      </c>
      <c r="E6732">
        <v>1</v>
      </c>
      <c r="F6732" s="7">
        <v>242640.84</v>
      </c>
      <c r="G6732">
        <v>0</v>
      </c>
      <c r="H6732" s="7">
        <v>0</v>
      </c>
    </row>
    <row r="6733" spans="1:8">
      <c r="A6733">
        <v>6</v>
      </c>
      <c r="B6733" t="s">
        <v>44</v>
      </c>
      <c r="C6733" t="s">
        <v>35</v>
      </c>
      <c r="D6733">
        <v>0</v>
      </c>
      <c r="E6733">
        <v>1</v>
      </c>
      <c r="F6733" s="7">
        <v>237752.47</v>
      </c>
      <c r="G6733">
        <v>0</v>
      </c>
      <c r="H6733" s="7">
        <v>0</v>
      </c>
    </row>
    <row r="6734" spans="1:8">
      <c r="A6734">
        <v>6</v>
      </c>
      <c r="B6734" t="s">
        <v>44</v>
      </c>
      <c r="C6734" t="s">
        <v>34</v>
      </c>
      <c r="D6734">
        <v>0</v>
      </c>
      <c r="E6734">
        <v>1</v>
      </c>
      <c r="F6734" s="7">
        <v>46873.46</v>
      </c>
      <c r="G6734">
        <v>0</v>
      </c>
      <c r="H6734" s="7">
        <v>0</v>
      </c>
    </row>
    <row r="6735" spans="1:8">
      <c r="A6735">
        <v>6</v>
      </c>
      <c r="B6735" t="s">
        <v>44</v>
      </c>
      <c r="C6735" t="s">
        <v>35</v>
      </c>
      <c r="D6735">
        <v>0</v>
      </c>
      <c r="E6735">
        <v>1</v>
      </c>
      <c r="F6735" s="7">
        <v>102448.98</v>
      </c>
      <c r="G6735">
        <v>0</v>
      </c>
      <c r="H6735" s="7">
        <v>0</v>
      </c>
    </row>
    <row r="6736" spans="1:8">
      <c r="A6736">
        <v>6</v>
      </c>
      <c r="B6736" t="s">
        <v>42</v>
      </c>
      <c r="C6736" t="s">
        <v>34</v>
      </c>
      <c r="D6736">
        <v>0</v>
      </c>
      <c r="E6736">
        <v>1</v>
      </c>
      <c r="F6736" s="7">
        <v>19128.32</v>
      </c>
      <c r="G6736">
        <v>0</v>
      </c>
      <c r="H6736" s="7">
        <v>0</v>
      </c>
    </row>
    <row r="6737" spans="1:8">
      <c r="A6737">
        <v>6</v>
      </c>
      <c r="B6737" t="s">
        <v>42</v>
      </c>
      <c r="C6737" t="s">
        <v>34</v>
      </c>
      <c r="D6737">
        <v>0</v>
      </c>
      <c r="E6737">
        <v>1</v>
      </c>
      <c r="F6737" s="7">
        <v>18255.04</v>
      </c>
      <c r="G6737">
        <v>0</v>
      </c>
      <c r="H6737" s="7">
        <v>0</v>
      </c>
    </row>
    <row r="6738" spans="1:8">
      <c r="A6738">
        <v>6</v>
      </c>
      <c r="B6738" t="s">
        <v>42</v>
      </c>
      <c r="C6738" t="s">
        <v>34</v>
      </c>
      <c r="D6738">
        <v>0</v>
      </c>
      <c r="E6738">
        <v>1</v>
      </c>
      <c r="F6738" s="7">
        <v>17978.87</v>
      </c>
      <c r="G6738">
        <v>0</v>
      </c>
      <c r="H6738" s="7">
        <v>0</v>
      </c>
    </row>
    <row r="6739" spans="1:8">
      <c r="A6739">
        <v>6</v>
      </c>
      <c r="B6739" t="s">
        <v>42</v>
      </c>
      <c r="C6739" t="s">
        <v>33</v>
      </c>
      <c r="D6739">
        <v>0</v>
      </c>
      <c r="E6739">
        <v>1</v>
      </c>
      <c r="F6739" s="7">
        <v>1563.49</v>
      </c>
      <c r="G6739">
        <v>0</v>
      </c>
      <c r="H6739" s="7">
        <v>0</v>
      </c>
    </row>
    <row r="6740" spans="1:8">
      <c r="A6740">
        <v>6</v>
      </c>
      <c r="B6740" t="s">
        <v>42</v>
      </c>
      <c r="C6740" t="s">
        <v>34</v>
      </c>
      <c r="D6740">
        <v>0</v>
      </c>
      <c r="E6740">
        <v>1</v>
      </c>
      <c r="F6740" s="7">
        <v>38778.04</v>
      </c>
      <c r="G6740">
        <v>0</v>
      </c>
      <c r="H6740" s="7">
        <v>0</v>
      </c>
    </row>
    <row r="6741" spans="1:8">
      <c r="A6741">
        <v>6</v>
      </c>
      <c r="B6741" t="s">
        <v>42</v>
      </c>
      <c r="C6741" t="s">
        <v>34</v>
      </c>
      <c r="D6741">
        <v>0</v>
      </c>
      <c r="E6741">
        <v>1</v>
      </c>
      <c r="F6741" s="7">
        <v>23248.88</v>
      </c>
      <c r="G6741">
        <v>0</v>
      </c>
      <c r="H6741" s="7">
        <v>0</v>
      </c>
    </row>
    <row r="6742" spans="1:8">
      <c r="A6742">
        <v>6</v>
      </c>
      <c r="B6742" t="s">
        <v>42</v>
      </c>
      <c r="C6742" t="s">
        <v>32</v>
      </c>
      <c r="D6742">
        <v>0</v>
      </c>
      <c r="E6742">
        <v>1</v>
      </c>
      <c r="F6742" s="7">
        <v>749.05</v>
      </c>
      <c r="G6742">
        <v>0</v>
      </c>
      <c r="H6742" s="7">
        <v>0</v>
      </c>
    </row>
    <row r="6743" spans="1:8">
      <c r="A6743">
        <v>6</v>
      </c>
      <c r="B6743" t="s">
        <v>42</v>
      </c>
      <c r="C6743" t="s">
        <v>34</v>
      </c>
      <c r="D6743">
        <v>0</v>
      </c>
      <c r="E6743">
        <v>1</v>
      </c>
      <c r="F6743" s="7">
        <v>20756.62</v>
      </c>
      <c r="G6743">
        <v>0</v>
      </c>
      <c r="H6743" s="7">
        <v>0</v>
      </c>
    </row>
    <row r="6744" spans="1:8">
      <c r="A6744">
        <v>6</v>
      </c>
      <c r="B6744" t="s">
        <v>42</v>
      </c>
      <c r="C6744" t="s">
        <v>34</v>
      </c>
      <c r="D6744">
        <v>0</v>
      </c>
      <c r="E6744">
        <v>1</v>
      </c>
      <c r="F6744" s="7">
        <v>16344.3</v>
      </c>
      <c r="G6744">
        <v>0</v>
      </c>
      <c r="H6744" s="7">
        <v>0</v>
      </c>
    </row>
    <row r="6745" spans="1:8">
      <c r="A6745">
        <v>6</v>
      </c>
      <c r="B6745" t="s">
        <v>42</v>
      </c>
      <c r="C6745" t="s">
        <v>33</v>
      </c>
      <c r="D6745">
        <v>0</v>
      </c>
      <c r="E6745">
        <v>1</v>
      </c>
      <c r="F6745" s="7">
        <v>3051.36</v>
      </c>
      <c r="G6745">
        <v>0</v>
      </c>
      <c r="H6745" s="7">
        <v>0</v>
      </c>
    </row>
    <row r="6746" spans="1:8">
      <c r="A6746">
        <v>6</v>
      </c>
      <c r="B6746" t="s">
        <v>42</v>
      </c>
      <c r="C6746" t="s">
        <v>33</v>
      </c>
      <c r="D6746">
        <v>0</v>
      </c>
      <c r="E6746">
        <v>1</v>
      </c>
      <c r="F6746" s="7">
        <v>3230.7</v>
      </c>
      <c r="G6746">
        <v>0</v>
      </c>
      <c r="H6746" s="7">
        <v>0</v>
      </c>
    </row>
    <row r="6747" spans="1:8">
      <c r="A6747">
        <v>6</v>
      </c>
      <c r="B6747" t="s">
        <v>42</v>
      </c>
      <c r="C6747" t="s">
        <v>33</v>
      </c>
      <c r="D6747">
        <v>0</v>
      </c>
      <c r="E6747">
        <v>1</v>
      </c>
      <c r="F6747" s="7">
        <v>8893.16</v>
      </c>
      <c r="G6747">
        <v>0</v>
      </c>
      <c r="H6747" s="7">
        <v>0</v>
      </c>
    </row>
    <row r="6748" spans="1:8">
      <c r="A6748">
        <v>6</v>
      </c>
      <c r="B6748" t="s">
        <v>42</v>
      </c>
      <c r="C6748" t="s">
        <v>34</v>
      </c>
      <c r="D6748">
        <v>0</v>
      </c>
      <c r="E6748">
        <v>1</v>
      </c>
      <c r="F6748" s="7">
        <v>15972.45</v>
      </c>
      <c r="G6748">
        <v>0</v>
      </c>
      <c r="H6748" s="7">
        <v>0</v>
      </c>
    </row>
    <row r="6749" spans="1:8">
      <c r="A6749">
        <v>6</v>
      </c>
      <c r="B6749" t="s">
        <v>42</v>
      </c>
      <c r="C6749" t="s">
        <v>34</v>
      </c>
      <c r="D6749">
        <v>0</v>
      </c>
      <c r="E6749">
        <v>1</v>
      </c>
      <c r="F6749" s="7">
        <v>28710.56</v>
      </c>
      <c r="G6749">
        <v>0</v>
      </c>
      <c r="H6749" s="7">
        <v>0</v>
      </c>
    </row>
    <row r="6750" spans="1:8">
      <c r="A6750">
        <v>6</v>
      </c>
      <c r="B6750" t="s">
        <v>42</v>
      </c>
      <c r="C6750" t="s">
        <v>33</v>
      </c>
      <c r="D6750">
        <v>0</v>
      </c>
      <c r="E6750">
        <v>1</v>
      </c>
      <c r="F6750" s="7">
        <v>6286.6</v>
      </c>
      <c r="G6750">
        <v>0</v>
      </c>
      <c r="H6750" s="7">
        <v>0</v>
      </c>
    </row>
    <row r="6751" spans="1:8">
      <c r="A6751">
        <v>6</v>
      </c>
      <c r="B6751" t="s">
        <v>42</v>
      </c>
      <c r="C6751" t="s">
        <v>33</v>
      </c>
      <c r="D6751">
        <v>0</v>
      </c>
      <c r="E6751">
        <v>1</v>
      </c>
      <c r="F6751" s="7">
        <v>1599.64</v>
      </c>
      <c r="G6751">
        <v>0</v>
      </c>
      <c r="H6751" s="7">
        <v>0</v>
      </c>
    </row>
    <row r="6752" spans="1:8">
      <c r="A6752">
        <v>6</v>
      </c>
      <c r="B6752" t="s">
        <v>42</v>
      </c>
      <c r="C6752" t="s">
        <v>32</v>
      </c>
      <c r="D6752">
        <v>0</v>
      </c>
      <c r="E6752">
        <v>1</v>
      </c>
      <c r="F6752" s="7">
        <v>121.57</v>
      </c>
      <c r="G6752">
        <v>0</v>
      </c>
      <c r="H6752" s="7">
        <v>0</v>
      </c>
    </row>
    <row r="6753" spans="1:8">
      <c r="A6753">
        <v>6</v>
      </c>
      <c r="B6753" t="s">
        <v>42</v>
      </c>
      <c r="C6753" t="s">
        <v>33</v>
      </c>
      <c r="D6753">
        <v>0</v>
      </c>
      <c r="E6753">
        <v>1</v>
      </c>
      <c r="F6753" s="7">
        <v>9518.37</v>
      </c>
      <c r="G6753">
        <v>0</v>
      </c>
      <c r="H6753" s="7">
        <v>0</v>
      </c>
    </row>
    <row r="6754" spans="1:8">
      <c r="A6754">
        <v>6</v>
      </c>
      <c r="B6754" t="s">
        <v>42</v>
      </c>
      <c r="C6754" t="s">
        <v>34</v>
      </c>
      <c r="D6754">
        <v>0</v>
      </c>
      <c r="E6754">
        <v>1</v>
      </c>
      <c r="F6754" s="7">
        <v>15827.12</v>
      </c>
      <c r="G6754">
        <v>0</v>
      </c>
      <c r="H6754" s="7">
        <v>0</v>
      </c>
    </row>
    <row r="6755" spans="1:8">
      <c r="A6755">
        <v>6</v>
      </c>
      <c r="B6755" t="s">
        <v>42</v>
      </c>
      <c r="C6755" t="s">
        <v>33</v>
      </c>
      <c r="D6755">
        <v>0</v>
      </c>
      <c r="E6755">
        <v>1</v>
      </c>
      <c r="F6755" s="7">
        <v>5932.23</v>
      </c>
      <c r="G6755">
        <v>0</v>
      </c>
      <c r="H6755" s="7">
        <v>0</v>
      </c>
    </row>
    <row r="6756" spans="1:8">
      <c r="A6756">
        <v>6</v>
      </c>
      <c r="B6756" t="s">
        <v>42</v>
      </c>
      <c r="C6756" t="s">
        <v>34</v>
      </c>
      <c r="D6756">
        <v>0</v>
      </c>
      <c r="E6756">
        <v>1</v>
      </c>
      <c r="F6756" s="7">
        <v>18213.06</v>
      </c>
      <c r="G6756">
        <v>0</v>
      </c>
      <c r="H6756" s="7">
        <v>0</v>
      </c>
    </row>
    <row r="6757" spans="1:8">
      <c r="A6757">
        <v>6</v>
      </c>
      <c r="B6757" t="s">
        <v>42</v>
      </c>
      <c r="C6757" t="s">
        <v>33</v>
      </c>
      <c r="D6757">
        <v>0</v>
      </c>
      <c r="E6757">
        <v>1</v>
      </c>
      <c r="F6757" s="7">
        <v>6560.53</v>
      </c>
      <c r="G6757">
        <v>0</v>
      </c>
      <c r="H6757" s="7">
        <v>0</v>
      </c>
    </row>
    <row r="6758" spans="1:8">
      <c r="A6758">
        <v>6</v>
      </c>
      <c r="B6758" t="s">
        <v>42</v>
      </c>
      <c r="C6758" t="s">
        <v>33</v>
      </c>
      <c r="D6758">
        <v>0</v>
      </c>
      <c r="E6758">
        <v>1</v>
      </c>
      <c r="F6758" s="7">
        <v>5065.07</v>
      </c>
      <c r="G6758">
        <v>0</v>
      </c>
      <c r="H6758" s="7">
        <v>0</v>
      </c>
    </row>
    <row r="6759" spans="1:8">
      <c r="A6759">
        <v>6</v>
      </c>
      <c r="B6759" t="s">
        <v>42</v>
      </c>
      <c r="C6759" t="s">
        <v>34</v>
      </c>
      <c r="D6759">
        <v>0</v>
      </c>
      <c r="E6759">
        <v>1</v>
      </c>
      <c r="F6759" s="7">
        <v>13364.51</v>
      </c>
      <c r="G6759">
        <v>0</v>
      </c>
      <c r="H6759" s="7">
        <v>0</v>
      </c>
    </row>
    <row r="6760" spans="1:8">
      <c r="A6760">
        <v>6</v>
      </c>
      <c r="B6760" t="s">
        <v>42</v>
      </c>
      <c r="C6760" t="s">
        <v>34</v>
      </c>
      <c r="D6760">
        <v>0</v>
      </c>
      <c r="E6760">
        <v>1</v>
      </c>
      <c r="F6760" s="7">
        <v>14431.75</v>
      </c>
      <c r="G6760">
        <v>0</v>
      </c>
      <c r="H6760" s="7">
        <v>0</v>
      </c>
    </row>
    <row r="6761" spans="1:8">
      <c r="A6761">
        <v>6</v>
      </c>
      <c r="B6761" t="s">
        <v>42</v>
      </c>
      <c r="C6761" t="s">
        <v>34</v>
      </c>
      <c r="D6761">
        <v>0</v>
      </c>
      <c r="E6761">
        <v>1</v>
      </c>
      <c r="F6761" s="7">
        <v>15491.85</v>
      </c>
      <c r="G6761">
        <v>0</v>
      </c>
      <c r="H6761" s="7">
        <v>0</v>
      </c>
    </row>
    <row r="6762" spans="1:8">
      <c r="A6762">
        <v>6</v>
      </c>
      <c r="B6762" t="s">
        <v>42</v>
      </c>
      <c r="C6762" t="s">
        <v>34</v>
      </c>
      <c r="D6762">
        <v>0</v>
      </c>
      <c r="E6762">
        <v>1</v>
      </c>
      <c r="F6762" s="7">
        <v>20551.28</v>
      </c>
      <c r="G6762">
        <v>0</v>
      </c>
      <c r="H6762" s="7">
        <v>0</v>
      </c>
    </row>
    <row r="6763" spans="1:8">
      <c r="A6763">
        <v>6</v>
      </c>
      <c r="B6763" t="s">
        <v>45</v>
      </c>
      <c r="C6763" t="s">
        <v>33</v>
      </c>
      <c r="D6763">
        <v>0</v>
      </c>
      <c r="E6763">
        <v>1</v>
      </c>
      <c r="F6763" s="7">
        <v>5402.3</v>
      </c>
      <c r="G6763">
        <v>0</v>
      </c>
      <c r="H6763" s="7">
        <v>0</v>
      </c>
    </row>
    <row r="6764" spans="1:8">
      <c r="A6764">
        <v>6</v>
      </c>
      <c r="B6764" t="s">
        <v>42</v>
      </c>
      <c r="C6764" t="s">
        <v>34</v>
      </c>
      <c r="D6764">
        <v>0</v>
      </c>
      <c r="E6764">
        <v>1</v>
      </c>
      <c r="F6764" s="7">
        <v>14567.67</v>
      </c>
      <c r="G6764">
        <v>0</v>
      </c>
      <c r="H6764" s="7">
        <v>0</v>
      </c>
    </row>
    <row r="6765" spans="1:8">
      <c r="A6765">
        <v>6</v>
      </c>
      <c r="B6765" t="s">
        <v>42</v>
      </c>
      <c r="C6765" t="s">
        <v>33</v>
      </c>
      <c r="D6765">
        <v>0</v>
      </c>
      <c r="E6765">
        <v>1</v>
      </c>
      <c r="F6765" s="7">
        <v>8534.37</v>
      </c>
      <c r="G6765">
        <v>0</v>
      </c>
      <c r="H6765" s="7">
        <v>0</v>
      </c>
    </row>
    <row r="6766" spans="1:8">
      <c r="A6766">
        <v>6</v>
      </c>
      <c r="B6766" t="s">
        <v>42</v>
      </c>
      <c r="C6766" t="s">
        <v>34</v>
      </c>
      <c r="D6766">
        <v>0</v>
      </c>
      <c r="E6766">
        <v>1</v>
      </c>
      <c r="F6766" s="7">
        <v>20275.14</v>
      </c>
      <c r="G6766">
        <v>0</v>
      </c>
      <c r="H6766" s="7">
        <v>0</v>
      </c>
    </row>
    <row r="6767" spans="1:8">
      <c r="A6767">
        <v>6</v>
      </c>
      <c r="B6767" t="s">
        <v>43</v>
      </c>
      <c r="C6767" t="s">
        <v>35</v>
      </c>
      <c r="D6767">
        <v>0</v>
      </c>
      <c r="E6767">
        <v>1</v>
      </c>
      <c r="F6767" s="7">
        <v>416126.78</v>
      </c>
      <c r="G6767">
        <v>0</v>
      </c>
      <c r="H6767" s="7">
        <v>0</v>
      </c>
    </row>
    <row r="6768" spans="1:8">
      <c r="A6768">
        <v>6</v>
      </c>
      <c r="B6768" t="s">
        <v>42</v>
      </c>
      <c r="C6768" t="s">
        <v>34</v>
      </c>
      <c r="D6768">
        <v>0</v>
      </c>
      <c r="E6768">
        <v>1</v>
      </c>
      <c r="F6768" s="7">
        <v>13560.97</v>
      </c>
      <c r="G6768">
        <v>0</v>
      </c>
      <c r="H6768" s="7">
        <v>0</v>
      </c>
    </row>
    <row r="6769" spans="1:8">
      <c r="A6769">
        <v>6</v>
      </c>
      <c r="B6769" t="s">
        <v>42</v>
      </c>
      <c r="C6769" t="s">
        <v>33</v>
      </c>
      <c r="D6769">
        <v>0</v>
      </c>
      <c r="E6769">
        <v>1</v>
      </c>
      <c r="F6769" s="7">
        <v>3988.91</v>
      </c>
      <c r="G6769">
        <v>0</v>
      </c>
      <c r="H6769" s="7">
        <v>0</v>
      </c>
    </row>
    <row r="6770" spans="1:8">
      <c r="A6770">
        <v>6</v>
      </c>
      <c r="B6770" t="s">
        <v>42</v>
      </c>
      <c r="C6770" t="s">
        <v>33</v>
      </c>
      <c r="D6770">
        <v>0</v>
      </c>
      <c r="E6770">
        <v>1</v>
      </c>
      <c r="F6770" s="7">
        <v>1569.26</v>
      </c>
      <c r="G6770">
        <v>0</v>
      </c>
      <c r="H6770" s="7">
        <v>0</v>
      </c>
    </row>
    <row r="6771" spans="1:8">
      <c r="A6771">
        <v>6</v>
      </c>
      <c r="B6771" t="s">
        <v>45</v>
      </c>
      <c r="C6771" t="s">
        <v>33</v>
      </c>
      <c r="D6771">
        <v>0</v>
      </c>
      <c r="E6771">
        <v>1</v>
      </c>
      <c r="F6771" s="7">
        <v>7956.2</v>
      </c>
      <c r="G6771">
        <v>0</v>
      </c>
      <c r="H6771" s="7">
        <v>0</v>
      </c>
    </row>
    <row r="6772" spans="1:8">
      <c r="A6772">
        <v>6</v>
      </c>
      <c r="B6772" t="s">
        <v>42</v>
      </c>
      <c r="C6772" t="s">
        <v>33</v>
      </c>
      <c r="D6772">
        <v>0</v>
      </c>
      <c r="E6772">
        <v>1</v>
      </c>
      <c r="F6772" s="7">
        <v>3032.12</v>
      </c>
      <c r="G6772">
        <v>0</v>
      </c>
      <c r="H6772" s="7">
        <v>0</v>
      </c>
    </row>
    <row r="6773" spans="1:8">
      <c r="A6773">
        <v>6</v>
      </c>
      <c r="B6773" t="s">
        <v>42</v>
      </c>
      <c r="C6773" t="s">
        <v>34</v>
      </c>
      <c r="D6773">
        <v>0</v>
      </c>
      <c r="E6773">
        <v>1</v>
      </c>
      <c r="F6773" s="7">
        <v>30704.7</v>
      </c>
      <c r="G6773">
        <v>0</v>
      </c>
      <c r="H6773" s="7">
        <v>0</v>
      </c>
    </row>
    <row r="6774" spans="1:8">
      <c r="A6774">
        <v>6</v>
      </c>
      <c r="B6774" t="s">
        <v>42</v>
      </c>
      <c r="C6774" t="s">
        <v>34</v>
      </c>
      <c r="D6774">
        <v>0</v>
      </c>
      <c r="E6774">
        <v>1</v>
      </c>
      <c r="F6774" s="7">
        <v>21358.13</v>
      </c>
      <c r="G6774">
        <v>0</v>
      </c>
      <c r="H6774" s="7">
        <v>0</v>
      </c>
    </row>
    <row r="6775" spans="1:8">
      <c r="A6775">
        <v>6</v>
      </c>
      <c r="B6775" t="s">
        <v>42</v>
      </c>
      <c r="C6775" t="s">
        <v>34</v>
      </c>
      <c r="D6775">
        <v>0</v>
      </c>
      <c r="E6775">
        <v>1</v>
      </c>
      <c r="F6775" s="7">
        <v>15993.27</v>
      </c>
      <c r="G6775">
        <v>0</v>
      </c>
      <c r="H6775" s="7">
        <v>0</v>
      </c>
    </row>
    <row r="6776" spans="1:8">
      <c r="A6776">
        <v>6</v>
      </c>
      <c r="B6776" t="s">
        <v>42</v>
      </c>
      <c r="C6776" t="s">
        <v>34</v>
      </c>
      <c r="D6776">
        <v>0</v>
      </c>
      <c r="E6776">
        <v>1</v>
      </c>
      <c r="F6776" s="7">
        <v>37699.34</v>
      </c>
      <c r="G6776">
        <v>0</v>
      </c>
      <c r="H6776" s="7">
        <v>0</v>
      </c>
    </row>
    <row r="6777" spans="1:8">
      <c r="A6777">
        <v>6</v>
      </c>
      <c r="B6777" t="s">
        <v>44</v>
      </c>
      <c r="C6777" t="s">
        <v>35</v>
      </c>
      <c r="D6777">
        <v>0</v>
      </c>
      <c r="E6777">
        <v>1</v>
      </c>
      <c r="F6777" s="7">
        <v>170504.65</v>
      </c>
      <c r="G6777">
        <v>0</v>
      </c>
      <c r="H6777" s="7">
        <v>0</v>
      </c>
    </row>
    <row r="6778" spans="1:8">
      <c r="A6778">
        <v>6</v>
      </c>
      <c r="B6778" t="s">
        <v>42</v>
      </c>
      <c r="C6778" t="s">
        <v>34</v>
      </c>
      <c r="D6778">
        <v>0</v>
      </c>
      <c r="E6778">
        <v>1</v>
      </c>
      <c r="F6778" s="7">
        <v>22968.75</v>
      </c>
      <c r="G6778">
        <v>0</v>
      </c>
      <c r="H6778" s="7">
        <v>0</v>
      </c>
    </row>
    <row r="6779" spans="1:8">
      <c r="A6779">
        <v>6</v>
      </c>
      <c r="B6779" t="s">
        <v>42</v>
      </c>
      <c r="C6779" t="s">
        <v>34</v>
      </c>
      <c r="D6779">
        <v>0</v>
      </c>
      <c r="E6779">
        <v>1</v>
      </c>
      <c r="F6779" s="7">
        <v>27383.84</v>
      </c>
      <c r="G6779">
        <v>0</v>
      </c>
      <c r="H6779" s="7">
        <v>0</v>
      </c>
    </row>
    <row r="6780" spans="1:8">
      <c r="A6780">
        <v>6</v>
      </c>
      <c r="B6780" t="s">
        <v>42</v>
      </c>
      <c r="C6780" t="s">
        <v>34</v>
      </c>
      <c r="D6780">
        <v>0</v>
      </c>
      <c r="E6780">
        <v>1</v>
      </c>
      <c r="F6780" s="7">
        <v>21510.43</v>
      </c>
      <c r="G6780">
        <v>0</v>
      </c>
      <c r="H6780" s="7">
        <v>0</v>
      </c>
    </row>
    <row r="6781" spans="1:8">
      <c r="A6781">
        <v>6</v>
      </c>
      <c r="B6781" t="s">
        <v>42</v>
      </c>
      <c r="C6781" t="s">
        <v>33</v>
      </c>
      <c r="D6781">
        <v>0</v>
      </c>
      <c r="E6781">
        <v>1</v>
      </c>
      <c r="F6781" s="7">
        <v>6539.91</v>
      </c>
      <c r="G6781">
        <v>0</v>
      </c>
      <c r="H6781" s="7">
        <v>0</v>
      </c>
    </row>
    <row r="6782" spans="1:8">
      <c r="A6782">
        <v>6</v>
      </c>
      <c r="B6782" t="s">
        <v>42</v>
      </c>
      <c r="C6782" t="s">
        <v>33</v>
      </c>
      <c r="D6782">
        <v>0</v>
      </c>
      <c r="E6782">
        <v>1</v>
      </c>
      <c r="F6782" s="7">
        <v>5399.32</v>
      </c>
      <c r="G6782">
        <v>0</v>
      </c>
      <c r="H6782" s="7">
        <v>0</v>
      </c>
    </row>
    <row r="6783" spans="1:8">
      <c r="A6783">
        <v>6</v>
      </c>
      <c r="B6783" t="s">
        <v>42</v>
      </c>
      <c r="C6783" t="s">
        <v>34</v>
      </c>
      <c r="D6783">
        <v>0</v>
      </c>
      <c r="E6783">
        <v>1</v>
      </c>
      <c r="F6783" s="7">
        <v>13594.65</v>
      </c>
      <c r="G6783">
        <v>0</v>
      </c>
      <c r="H6783" s="7">
        <v>0</v>
      </c>
    </row>
    <row r="6784" spans="1:8">
      <c r="A6784">
        <v>6</v>
      </c>
      <c r="B6784" t="s">
        <v>42</v>
      </c>
      <c r="C6784" t="s">
        <v>34</v>
      </c>
      <c r="D6784">
        <v>0</v>
      </c>
      <c r="E6784">
        <v>1</v>
      </c>
      <c r="F6784" s="7">
        <v>21650.08</v>
      </c>
      <c r="G6784">
        <v>0</v>
      </c>
      <c r="H6784" s="7">
        <v>0</v>
      </c>
    </row>
    <row r="6785" spans="1:8">
      <c r="A6785">
        <v>6</v>
      </c>
      <c r="B6785" t="s">
        <v>42</v>
      </c>
      <c r="C6785" t="s">
        <v>33</v>
      </c>
      <c r="D6785">
        <v>0</v>
      </c>
      <c r="E6785">
        <v>1</v>
      </c>
      <c r="F6785" s="7">
        <v>6193.97</v>
      </c>
      <c r="G6785">
        <v>0</v>
      </c>
      <c r="H6785" s="7">
        <v>0</v>
      </c>
    </row>
    <row r="6786" spans="1:8">
      <c r="A6786">
        <v>6</v>
      </c>
      <c r="B6786" t="s">
        <v>42</v>
      </c>
      <c r="C6786" t="s">
        <v>33</v>
      </c>
      <c r="D6786">
        <v>0</v>
      </c>
      <c r="E6786">
        <v>1</v>
      </c>
      <c r="F6786" s="7">
        <v>2444.71</v>
      </c>
      <c r="G6786">
        <v>0</v>
      </c>
      <c r="H6786" s="7">
        <v>0</v>
      </c>
    </row>
    <row r="6787" spans="1:8">
      <c r="A6787">
        <v>6</v>
      </c>
      <c r="B6787" t="s">
        <v>42</v>
      </c>
      <c r="C6787" t="s">
        <v>33</v>
      </c>
      <c r="D6787">
        <v>0</v>
      </c>
      <c r="E6787">
        <v>1</v>
      </c>
      <c r="F6787" s="7">
        <v>6716.16</v>
      </c>
      <c r="G6787">
        <v>0</v>
      </c>
      <c r="H6787" s="7">
        <v>0</v>
      </c>
    </row>
    <row r="6788" spans="1:8">
      <c r="A6788">
        <v>6</v>
      </c>
      <c r="B6788" t="s">
        <v>42</v>
      </c>
      <c r="C6788" t="s">
        <v>34</v>
      </c>
      <c r="D6788">
        <v>0</v>
      </c>
      <c r="E6788">
        <v>1</v>
      </c>
      <c r="F6788" s="7">
        <v>55954.74</v>
      </c>
      <c r="G6788">
        <v>0</v>
      </c>
      <c r="H6788" s="7">
        <v>0</v>
      </c>
    </row>
    <row r="6789" spans="1:8">
      <c r="A6789">
        <v>6</v>
      </c>
      <c r="B6789" t="s">
        <v>42</v>
      </c>
      <c r="C6789" t="s">
        <v>34</v>
      </c>
      <c r="D6789">
        <v>0</v>
      </c>
      <c r="E6789">
        <v>1</v>
      </c>
      <c r="F6789" s="7">
        <v>22923.28</v>
      </c>
      <c r="G6789">
        <v>0</v>
      </c>
      <c r="H6789" s="7">
        <v>0</v>
      </c>
    </row>
    <row r="6790" spans="1:8">
      <c r="A6790">
        <v>6</v>
      </c>
      <c r="B6790" t="s">
        <v>42</v>
      </c>
      <c r="C6790" t="s">
        <v>33</v>
      </c>
      <c r="D6790">
        <v>0</v>
      </c>
      <c r="E6790">
        <v>1</v>
      </c>
      <c r="F6790" s="7">
        <v>6686.45</v>
      </c>
      <c r="G6790">
        <v>0</v>
      </c>
      <c r="H6790" s="7">
        <v>0</v>
      </c>
    </row>
    <row r="6791" spans="1:8">
      <c r="A6791">
        <v>6</v>
      </c>
      <c r="B6791" t="s">
        <v>42</v>
      </c>
      <c r="C6791" t="s">
        <v>34</v>
      </c>
      <c r="D6791">
        <v>0</v>
      </c>
      <c r="E6791">
        <v>1</v>
      </c>
      <c r="F6791" s="7">
        <v>15147.34</v>
      </c>
      <c r="G6791">
        <v>0</v>
      </c>
      <c r="H6791" s="7">
        <v>0</v>
      </c>
    </row>
    <row r="6792" spans="1:8">
      <c r="A6792">
        <v>6</v>
      </c>
      <c r="B6792" t="s">
        <v>42</v>
      </c>
      <c r="C6792" t="s">
        <v>34</v>
      </c>
      <c r="D6792">
        <v>0</v>
      </c>
      <c r="E6792">
        <v>1</v>
      </c>
      <c r="F6792" s="7">
        <v>56058.18</v>
      </c>
      <c r="G6792">
        <v>0</v>
      </c>
      <c r="H6792" s="7">
        <v>0</v>
      </c>
    </row>
    <row r="6793" spans="1:8">
      <c r="A6793">
        <v>6</v>
      </c>
      <c r="B6793" t="s">
        <v>42</v>
      </c>
      <c r="C6793" t="s">
        <v>34</v>
      </c>
      <c r="D6793">
        <v>0</v>
      </c>
      <c r="E6793">
        <v>1</v>
      </c>
      <c r="F6793" s="7">
        <v>12107.21</v>
      </c>
      <c r="G6793">
        <v>0</v>
      </c>
      <c r="H6793" s="7">
        <v>0</v>
      </c>
    </row>
    <row r="6794" spans="1:8">
      <c r="A6794">
        <v>6</v>
      </c>
      <c r="B6794" t="s">
        <v>42</v>
      </c>
      <c r="C6794" t="s">
        <v>34</v>
      </c>
      <c r="D6794">
        <v>0</v>
      </c>
      <c r="E6794">
        <v>1</v>
      </c>
      <c r="F6794" s="7">
        <v>25699.58</v>
      </c>
      <c r="G6794">
        <v>0</v>
      </c>
      <c r="H6794" s="7">
        <v>0</v>
      </c>
    </row>
    <row r="6795" spans="1:8">
      <c r="A6795">
        <v>6</v>
      </c>
      <c r="B6795" t="s">
        <v>42</v>
      </c>
      <c r="C6795" t="s">
        <v>33</v>
      </c>
      <c r="D6795">
        <v>0</v>
      </c>
      <c r="E6795">
        <v>1</v>
      </c>
      <c r="F6795" s="7">
        <v>6814.2</v>
      </c>
      <c r="G6795">
        <v>0</v>
      </c>
      <c r="H6795" s="7">
        <v>0</v>
      </c>
    </row>
    <row r="6796" spans="1:8">
      <c r="A6796">
        <v>6</v>
      </c>
      <c r="B6796" t="s">
        <v>42</v>
      </c>
      <c r="C6796" t="s">
        <v>33</v>
      </c>
      <c r="D6796">
        <v>0</v>
      </c>
      <c r="E6796">
        <v>1</v>
      </c>
      <c r="F6796" s="7">
        <v>7331.46</v>
      </c>
      <c r="G6796">
        <v>0</v>
      </c>
      <c r="H6796" s="7">
        <v>0</v>
      </c>
    </row>
    <row r="6797" spans="1:8">
      <c r="A6797">
        <v>6</v>
      </c>
      <c r="B6797" t="s">
        <v>42</v>
      </c>
      <c r="C6797" t="s">
        <v>33</v>
      </c>
      <c r="D6797">
        <v>0</v>
      </c>
      <c r="E6797">
        <v>1</v>
      </c>
      <c r="F6797" s="7">
        <v>2443.54</v>
      </c>
      <c r="G6797">
        <v>0</v>
      </c>
      <c r="H6797" s="7">
        <v>0</v>
      </c>
    </row>
    <row r="6798" spans="1:8">
      <c r="A6798">
        <v>6</v>
      </c>
      <c r="B6798" t="s">
        <v>42</v>
      </c>
      <c r="C6798" t="s">
        <v>34</v>
      </c>
      <c r="D6798">
        <v>0</v>
      </c>
      <c r="E6798">
        <v>1</v>
      </c>
      <c r="F6798" s="7">
        <v>13407.06</v>
      </c>
      <c r="G6798">
        <v>0</v>
      </c>
      <c r="H6798" s="7">
        <v>0</v>
      </c>
    </row>
    <row r="6799" spans="1:8">
      <c r="A6799">
        <v>6</v>
      </c>
      <c r="B6799" t="s">
        <v>42</v>
      </c>
      <c r="C6799" t="s">
        <v>33</v>
      </c>
      <c r="D6799">
        <v>0</v>
      </c>
      <c r="E6799">
        <v>1</v>
      </c>
      <c r="F6799" s="7">
        <v>6524.09</v>
      </c>
      <c r="G6799">
        <v>0</v>
      </c>
      <c r="H6799" s="7">
        <v>0</v>
      </c>
    </row>
    <row r="6800" spans="1:8">
      <c r="A6800">
        <v>6</v>
      </c>
      <c r="B6800" t="s">
        <v>42</v>
      </c>
      <c r="C6800" t="s">
        <v>33</v>
      </c>
      <c r="D6800">
        <v>0</v>
      </c>
      <c r="E6800">
        <v>1</v>
      </c>
      <c r="F6800" s="7">
        <v>7237.08</v>
      </c>
      <c r="G6800">
        <v>0</v>
      </c>
      <c r="H6800" s="7">
        <v>0</v>
      </c>
    </row>
    <row r="6801" spans="1:8">
      <c r="A6801">
        <v>6</v>
      </c>
      <c r="B6801" t="s">
        <v>42</v>
      </c>
      <c r="C6801" t="s">
        <v>34</v>
      </c>
      <c r="D6801">
        <v>0</v>
      </c>
      <c r="E6801">
        <v>1</v>
      </c>
      <c r="F6801" s="7">
        <v>10475.55</v>
      </c>
      <c r="G6801">
        <v>0</v>
      </c>
      <c r="H6801" s="7">
        <v>0</v>
      </c>
    </row>
    <row r="6802" spans="1:8">
      <c r="A6802">
        <v>6</v>
      </c>
      <c r="B6802" t="s">
        <v>42</v>
      </c>
      <c r="C6802" t="s">
        <v>34</v>
      </c>
      <c r="D6802">
        <v>0</v>
      </c>
      <c r="E6802">
        <v>1</v>
      </c>
      <c r="F6802" s="7">
        <v>17987.71</v>
      </c>
      <c r="G6802">
        <v>0</v>
      </c>
      <c r="H6802" s="7">
        <v>0</v>
      </c>
    </row>
    <row r="6803" spans="1:8">
      <c r="A6803">
        <v>6</v>
      </c>
      <c r="B6803" t="s">
        <v>42</v>
      </c>
      <c r="C6803" t="s">
        <v>34</v>
      </c>
      <c r="D6803">
        <v>0</v>
      </c>
      <c r="E6803">
        <v>1</v>
      </c>
      <c r="F6803" s="7">
        <v>13916.14</v>
      </c>
      <c r="G6803">
        <v>0</v>
      </c>
      <c r="H6803" s="7">
        <v>0</v>
      </c>
    </row>
    <row r="6804" spans="1:8">
      <c r="A6804">
        <v>6</v>
      </c>
      <c r="B6804" t="s">
        <v>42</v>
      </c>
      <c r="C6804" t="s">
        <v>33</v>
      </c>
      <c r="D6804">
        <v>0</v>
      </c>
      <c r="E6804">
        <v>1</v>
      </c>
      <c r="F6804" s="7">
        <v>6330.23</v>
      </c>
      <c r="G6804">
        <v>0</v>
      </c>
      <c r="H6804" s="7">
        <v>0</v>
      </c>
    </row>
    <row r="6805" spans="1:8">
      <c r="A6805">
        <v>6</v>
      </c>
      <c r="B6805" t="s">
        <v>42</v>
      </c>
      <c r="C6805" t="s">
        <v>34</v>
      </c>
      <c r="D6805">
        <v>0</v>
      </c>
      <c r="E6805">
        <v>1</v>
      </c>
      <c r="F6805" s="7">
        <v>15580.12</v>
      </c>
      <c r="G6805">
        <v>0</v>
      </c>
      <c r="H6805" s="7">
        <v>0</v>
      </c>
    </row>
    <row r="6806" spans="1:8">
      <c r="A6806">
        <v>6</v>
      </c>
      <c r="B6806" t="s">
        <v>42</v>
      </c>
      <c r="C6806" t="s">
        <v>33</v>
      </c>
      <c r="D6806">
        <v>0</v>
      </c>
      <c r="E6806">
        <v>1</v>
      </c>
      <c r="F6806" s="7">
        <v>1161.45</v>
      </c>
      <c r="G6806">
        <v>0</v>
      </c>
      <c r="H6806" s="7">
        <v>0</v>
      </c>
    </row>
    <row r="6807" spans="1:8">
      <c r="A6807">
        <v>6</v>
      </c>
      <c r="B6807" t="s">
        <v>42</v>
      </c>
      <c r="C6807" t="s">
        <v>34</v>
      </c>
      <c r="D6807">
        <v>0</v>
      </c>
      <c r="E6807">
        <v>1</v>
      </c>
      <c r="F6807" s="7">
        <v>17332.62</v>
      </c>
      <c r="G6807">
        <v>0</v>
      </c>
      <c r="H6807" s="7">
        <v>0</v>
      </c>
    </row>
    <row r="6808" spans="1:8">
      <c r="A6808">
        <v>6</v>
      </c>
      <c r="B6808" t="s">
        <v>42</v>
      </c>
      <c r="C6808" t="s">
        <v>33</v>
      </c>
      <c r="D6808">
        <v>0</v>
      </c>
      <c r="E6808">
        <v>1</v>
      </c>
      <c r="F6808" s="7">
        <v>8661.5</v>
      </c>
      <c r="G6808">
        <v>0</v>
      </c>
      <c r="H6808" s="7">
        <v>0</v>
      </c>
    </row>
    <row r="6809" spans="1:8">
      <c r="A6809">
        <v>6</v>
      </c>
      <c r="B6809" t="s">
        <v>42</v>
      </c>
      <c r="C6809" t="s">
        <v>34</v>
      </c>
      <c r="D6809">
        <v>0</v>
      </c>
      <c r="E6809">
        <v>1</v>
      </c>
      <c r="F6809" s="7">
        <v>12295.28</v>
      </c>
      <c r="G6809">
        <v>0</v>
      </c>
      <c r="H6809" s="7">
        <v>0</v>
      </c>
    </row>
    <row r="6810" spans="1:8">
      <c r="A6810">
        <v>6</v>
      </c>
      <c r="B6810" t="s">
        <v>43</v>
      </c>
      <c r="C6810" t="s">
        <v>34</v>
      </c>
      <c r="D6810">
        <v>0</v>
      </c>
      <c r="E6810">
        <v>1</v>
      </c>
      <c r="F6810" s="7">
        <v>56538.75</v>
      </c>
      <c r="G6810">
        <v>0</v>
      </c>
      <c r="H6810" s="7">
        <v>0</v>
      </c>
    </row>
    <row r="6811" spans="1:8">
      <c r="A6811">
        <v>6</v>
      </c>
      <c r="B6811" t="s">
        <v>42</v>
      </c>
      <c r="C6811" t="s">
        <v>34</v>
      </c>
      <c r="D6811">
        <v>0</v>
      </c>
      <c r="E6811">
        <v>1</v>
      </c>
      <c r="F6811" s="7">
        <v>16666.64</v>
      </c>
      <c r="G6811">
        <v>0</v>
      </c>
      <c r="H6811" s="7">
        <v>0</v>
      </c>
    </row>
    <row r="6812" spans="1:8">
      <c r="A6812">
        <v>6</v>
      </c>
      <c r="B6812" t="s">
        <v>42</v>
      </c>
      <c r="C6812" t="s">
        <v>33</v>
      </c>
      <c r="D6812">
        <v>0</v>
      </c>
      <c r="E6812">
        <v>1</v>
      </c>
      <c r="F6812" s="7">
        <v>4581.31</v>
      </c>
      <c r="G6812">
        <v>0</v>
      </c>
      <c r="H6812" s="7">
        <v>0</v>
      </c>
    </row>
    <row r="6813" spans="1:8">
      <c r="A6813">
        <v>6</v>
      </c>
      <c r="B6813" t="s">
        <v>44</v>
      </c>
      <c r="C6813" t="s">
        <v>35</v>
      </c>
      <c r="D6813">
        <v>0</v>
      </c>
      <c r="E6813">
        <v>1</v>
      </c>
      <c r="F6813" s="7">
        <v>242407.62</v>
      </c>
      <c r="G6813">
        <v>0</v>
      </c>
      <c r="H6813" s="7">
        <v>0</v>
      </c>
    </row>
    <row r="6814" spans="1:8">
      <c r="A6814">
        <v>6</v>
      </c>
      <c r="B6814" t="s">
        <v>43</v>
      </c>
      <c r="C6814" t="s">
        <v>34</v>
      </c>
      <c r="D6814">
        <v>0</v>
      </c>
      <c r="E6814">
        <v>1</v>
      </c>
      <c r="F6814" s="7">
        <v>50570.65</v>
      </c>
      <c r="G6814">
        <v>0</v>
      </c>
      <c r="H6814" s="7">
        <v>0</v>
      </c>
    </row>
    <row r="6815" spans="1:8">
      <c r="A6815">
        <v>6</v>
      </c>
      <c r="B6815" t="s">
        <v>42</v>
      </c>
      <c r="C6815" t="s">
        <v>34</v>
      </c>
      <c r="D6815">
        <v>0</v>
      </c>
      <c r="E6815">
        <v>1</v>
      </c>
      <c r="F6815" s="7">
        <v>13194.66</v>
      </c>
      <c r="G6815">
        <v>0</v>
      </c>
      <c r="H6815" s="7">
        <v>0</v>
      </c>
    </row>
    <row r="6816" spans="1:8">
      <c r="A6816">
        <v>6</v>
      </c>
      <c r="B6816" t="s">
        <v>42</v>
      </c>
      <c r="C6816" t="s">
        <v>32</v>
      </c>
      <c r="D6816">
        <v>0</v>
      </c>
      <c r="E6816">
        <v>1</v>
      </c>
      <c r="F6816" s="7">
        <v>438.55</v>
      </c>
      <c r="G6816">
        <v>0</v>
      </c>
      <c r="H6816" s="7">
        <v>0</v>
      </c>
    </row>
    <row r="6817" spans="1:8">
      <c r="A6817">
        <v>6</v>
      </c>
      <c r="B6817" t="s">
        <v>44</v>
      </c>
      <c r="C6817" t="s">
        <v>35</v>
      </c>
      <c r="D6817">
        <v>0</v>
      </c>
      <c r="E6817">
        <v>1</v>
      </c>
      <c r="F6817" s="7">
        <v>404491.79</v>
      </c>
      <c r="G6817">
        <v>0</v>
      </c>
      <c r="H6817" s="7">
        <v>0</v>
      </c>
    </row>
    <row r="6818" spans="1:8">
      <c r="A6818">
        <v>6</v>
      </c>
      <c r="B6818" t="s">
        <v>42</v>
      </c>
      <c r="C6818" t="s">
        <v>33</v>
      </c>
      <c r="D6818">
        <v>0</v>
      </c>
      <c r="E6818">
        <v>1</v>
      </c>
      <c r="F6818" s="7">
        <v>3263.58</v>
      </c>
      <c r="G6818">
        <v>0</v>
      </c>
      <c r="H6818" s="7">
        <v>0</v>
      </c>
    </row>
    <row r="6819" spans="1:8">
      <c r="A6819">
        <v>6</v>
      </c>
      <c r="B6819" t="s">
        <v>42</v>
      </c>
      <c r="C6819" t="s">
        <v>34</v>
      </c>
      <c r="D6819">
        <v>0</v>
      </c>
      <c r="E6819">
        <v>1</v>
      </c>
      <c r="F6819" s="7">
        <v>22946.31</v>
      </c>
      <c r="G6819">
        <v>0</v>
      </c>
      <c r="H6819" s="7">
        <v>0</v>
      </c>
    </row>
    <row r="6820" spans="1:8">
      <c r="A6820">
        <v>6</v>
      </c>
      <c r="B6820" t="s">
        <v>42</v>
      </c>
      <c r="C6820" t="s">
        <v>32</v>
      </c>
      <c r="D6820">
        <v>0</v>
      </c>
      <c r="E6820">
        <v>1</v>
      </c>
      <c r="F6820" s="7">
        <v>260.23</v>
      </c>
      <c r="G6820">
        <v>0</v>
      </c>
      <c r="H6820" s="7">
        <v>0</v>
      </c>
    </row>
    <row r="6821" spans="1:8">
      <c r="A6821">
        <v>6</v>
      </c>
      <c r="B6821" t="s">
        <v>42</v>
      </c>
      <c r="C6821" t="s">
        <v>34</v>
      </c>
      <c r="D6821">
        <v>0</v>
      </c>
      <c r="E6821">
        <v>1</v>
      </c>
      <c r="F6821" s="7">
        <v>18888.95</v>
      </c>
      <c r="G6821">
        <v>0</v>
      </c>
      <c r="H6821" s="7">
        <v>0</v>
      </c>
    </row>
    <row r="6822" spans="1:8">
      <c r="A6822">
        <v>6</v>
      </c>
      <c r="B6822" t="s">
        <v>42</v>
      </c>
      <c r="C6822" t="s">
        <v>34</v>
      </c>
      <c r="D6822">
        <v>0</v>
      </c>
      <c r="E6822">
        <v>1</v>
      </c>
      <c r="F6822" s="7">
        <v>12795.92</v>
      </c>
      <c r="G6822">
        <v>0</v>
      </c>
      <c r="H6822" s="7">
        <v>0</v>
      </c>
    </row>
    <row r="6823" spans="1:8">
      <c r="A6823">
        <v>6</v>
      </c>
      <c r="B6823" t="s">
        <v>42</v>
      </c>
      <c r="C6823" t="s">
        <v>32</v>
      </c>
      <c r="D6823">
        <v>0</v>
      </c>
      <c r="E6823">
        <v>1</v>
      </c>
      <c r="F6823" s="7">
        <v>947.91</v>
      </c>
      <c r="G6823">
        <v>0</v>
      </c>
      <c r="H6823" s="7">
        <v>0</v>
      </c>
    </row>
    <row r="6824" spans="1:8">
      <c r="A6824">
        <v>6</v>
      </c>
      <c r="B6824" t="s">
        <v>42</v>
      </c>
      <c r="C6824" t="s">
        <v>34</v>
      </c>
      <c r="D6824">
        <v>0</v>
      </c>
      <c r="E6824">
        <v>1</v>
      </c>
      <c r="F6824" s="7">
        <v>16169.9</v>
      </c>
      <c r="G6824">
        <v>0</v>
      </c>
      <c r="H6824" s="7">
        <v>0</v>
      </c>
    </row>
    <row r="6825" spans="1:8">
      <c r="A6825">
        <v>6</v>
      </c>
      <c r="B6825" t="s">
        <v>43</v>
      </c>
      <c r="C6825" t="s">
        <v>35</v>
      </c>
      <c r="D6825">
        <v>0</v>
      </c>
      <c r="E6825">
        <v>1</v>
      </c>
      <c r="F6825" s="7">
        <v>160869.97</v>
      </c>
      <c r="G6825">
        <v>0</v>
      </c>
      <c r="H6825" s="7">
        <v>0</v>
      </c>
    </row>
    <row r="6826" spans="1:8">
      <c r="A6826">
        <v>6</v>
      </c>
      <c r="B6826" t="s">
        <v>42</v>
      </c>
      <c r="C6826" t="s">
        <v>33</v>
      </c>
      <c r="D6826">
        <v>0</v>
      </c>
      <c r="E6826">
        <v>1</v>
      </c>
      <c r="F6826" s="7">
        <v>6705.12</v>
      </c>
      <c r="G6826">
        <v>0</v>
      </c>
      <c r="H6826" s="7">
        <v>0</v>
      </c>
    </row>
    <row r="6827" spans="1:8">
      <c r="A6827">
        <v>6</v>
      </c>
      <c r="B6827" t="s">
        <v>42</v>
      </c>
      <c r="C6827" t="s">
        <v>34</v>
      </c>
      <c r="D6827">
        <v>0</v>
      </c>
      <c r="E6827">
        <v>1</v>
      </c>
      <c r="F6827" s="7">
        <v>18995.99</v>
      </c>
      <c r="G6827">
        <v>0</v>
      </c>
      <c r="H6827" s="7">
        <v>0</v>
      </c>
    </row>
    <row r="6828" spans="1:8">
      <c r="A6828">
        <v>6</v>
      </c>
      <c r="B6828" t="s">
        <v>42</v>
      </c>
      <c r="C6828" t="s">
        <v>34</v>
      </c>
      <c r="D6828">
        <v>0</v>
      </c>
      <c r="E6828">
        <v>1</v>
      </c>
      <c r="F6828" s="7">
        <v>24690.36</v>
      </c>
      <c r="G6828">
        <v>0</v>
      </c>
      <c r="H6828" s="7">
        <v>0</v>
      </c>
    </row>
    <row r="6829" spans="1:8">
      <c r="A6829">
        <v>6</v>
      </c>
      <c r="B6829" t="s">
        <v>45</v>
      </c>
      <c r="C6829" t="s">
        <v>32</v>
      </c>
      <c r="D6829">
        <v>0</v>
      </c>
      <c r="E6829">
        <v>1</v>
      </c>
      <c r="F6829" s="7">
        <v>477.13</v>
      </c>
      <c r="G6829">
        <v>0</v>
      </c>
      <c r="H6829" s="7">
        <v>0</v>
      </c>
    </row>
    <row r="6830" spans="1:8">
      <c r="A6830">
        <v>6</v>
      </c>
      <c r="B6830" t="s">
        <v>44</v>
      </c>
      <c r="C6830" t="s">
        <v>35</v>
      </c>
      <c r="D6830">
        <v>0</v>
      </c>
      <c r="E6830">
        <v>1</v>
      </c>
      <c r="F6830" s="7">
        <v>385123.59</v>
      </c>
      <c r="G6830">
        <v>0</v>
      </c>
      <c r="H6830" s="7">
        <v>0</v>
      </c>
    </row>
    <row r="6831" spans="1:8">
      <c r="A6831">
        <v>6</v>
      </c>
      <c r="B6831" t="s">
        <v>42</v>
      </c>
      <c r="C6831" t="s">
        <v>34</v>
      </c>
      <c r="D6831">
        <v>0</v>
      </c>
      <c r="E6831">
        <v>1</v>
      </c>
      <c r="F6831" s="7">
        <v>26843.78</v>
      </c>
      <c r="G6831">
        <v>0</v>
      </c>
      <c r="H6831" s="7">
        <v>0</v>
      </c>
    </row>
    <row r="6832" spans="1:8">
      <c r="A6832">
        <v>6</v>
      </c>
      <c r="B6832" t="s">
        <v>42</v>
      </c>
      <c r="C6832" t="s">
        <v>34</v>
      </c>
      <c r="D6832">
        <v>0</v>
      </c>
      <c r="E6832">
        <v>1</v>
      </c>
      <c r="F6832" s="7">
        <v>15242.55</v>
      </c>
      <c r="G6832">
        <v>0</v>
      </c>
      <c r="H6832" s="7">
        <v>0</v>
      </c>
    </row>
    <row r="6833" spans="1:8">
      <c r="A6833">
        <v>6</v>
      </c>
      <c r="B6833" t="s">
        <v>43</v>
      </c>
      <c r="C6833" t="s">
        <v>35</v>
      </c>
      <c r="D6833">
        <v>0</v>
      </c>
      <c r="E6833">
        <v>1</v>
      </c>
      <c r="F6833" s="7">
        <v>356511.88</v>
      </c>
      <c r="G6833">
        <v>0</v>
      </c>
      <c r="H6833" s="7">
        <v>0</v>
      </c>
    </row>
    <row r="6834" spans="1:8">
      <c r="A6834">
        <v>6</v>
      </c>
      <c r="B6834" t="s">
        <v>42</v>
      </c>
      <c r="C6834" t="s">
        <v>34</v>
      </c>
      <c r="D6834">
        <v>0</v>
      </c>
      <c r="E6834">
        <v>1</v>
      </c>
      <c r="F6834" s="7">
        <v>27535.02</v>
      </c>
      <c r="G6834">
        <v>0</v>
      </c>
      <c r="H6834" s="7">
        <v>0</v>
      </c>
    </row>
    <row r="6835" spans="1:8">
      <c r="A6835">
        <v>6</v>
      </c>
      <c r="B6835" t="s">
        <v>42</v>
      </c>
      <c r="C6835" t="s">
        <v>33</v>
      </c>
      <c r="D6835">
        <v>0</v>
      </c>
      <c r="E6835">
        <v>1</v>
      </c>
      <c r="F6835" s="7">
        <v>4974.35</v>
      </c>
      <c r="G6835">
        <v>0</v>
      </c>
      <c r="H6835" s="7">
        <v>0</v>
      </c>
    </row>
    <row r="6836" spans="1:8">
      <c r="A6836">
        <v>6</v>
      </c>
      <c r="B6836" t="s">
        <v>42</v>
      </c>
      <c r="C6836" t="s">
        <v>33</v>
      </c>
      <c r="D6836">
        <v>0</v>
      </c>
      <c r="E6836">
        <v>1</v>
      </c>
      <c r="F6836" s="7">
        <v>8888.88</v>
      </c>
      <c r="G6836">
        <v>0</v>
      </c>
      <c r="H6836" s="7">
        <v>0</v>
      </c>
    </row>
    <row r="6837" spans="1:8">
      <c r="A6837">
        <v>6</v>
      </c>
      <c r="B6837" t="s">
        <v>42</v>
      </c>
      <c r="C6837" t="s">
        <v>33</v>
      </c>
      <c r="D6837">
        <v>0</v>
      </c>
      <c r="E6837">
        <v>1</v>
      </c>
      <c r="F6837" s="7">
        <v>8921.69</v>
      </c>
      <c r="G6837">
        <v>0</v>
      </c>
      <c r="H6837" s="7">
        <v>0</v>
      </c>
    </row>
    <row r="6838" spans="1:8">
      <c r="A6838">
        <v>6</v>
      </c>
      <c r="B6838" t="s">
        <v>42</v>
      </c>
      <c r="C6838" t="s">
        <v>34</v>
      </c>
      <c r="D6838">
        <v>0</v>
      </c>
      <c r="E6838">
        <v>1</v>
      </c>
      <c r="F6838" s="7">
        <v>24469.38</v>
      </c>
      <c r="G6838">
        <v>0</v>
      </c>
      <c r="H6838" s="7">
        <v>0</v>
      </c>
    </row>
    <row r="6839" spans="1:8">
      <c r="A6839">
        <v>6</v>
      </c>
      <c r="B6839" t="s">
        <v>44</v>
      </c>
      <c r="C6839" t="s">
        <v>35</v>
      </c>
      <c r="D6839">
        <v>0</v>
      </c>
      <c r="E6839">
        <v>1</v>
      </c>
      <c r="F6839" s="7">
        <v>119341.71</v>
      </c>
      <c r="G6839">
        <v>0</v>
      </c>
      <c r="H6839" s="7">
        <v>0</v>
      </c>
    </row>
    <row r="6840" spans="1:8">
      <c r="A6840">
        <v>6</v>
      </c>
      <c r="B6840" t="s">
        <v>42</v>
      </c>
      <c r="C6840" t="s">
        <v>34</v>
      </c>
      <c r="D6840">
        <v>0</v>
      </c>
      <c r="E6840">
        <v>1</v>
      </c>
      <c r="F6840" s="7">
        <v>19227.1</v>
      </c>
      <c r="G6840">
        <v>0</v>
      </c>
      <c r="H6840" s="7">
        <v>0</v>
      </c>
    </row>
    <row r="6841" spans="1:8">
      <c r="A6841">
        <v>6</v>
      </c>
      <c r="B6841" t="s">
        <v>42</v>
      </c>
      <c r="C6841" t="s">
        <v>34</v>
      </c>
      <c r="D6841">
        <v>0</v>
      </c>
      <c r="E6841">
        <v>1</v>
      </c>
      <c r="F6841" s="7">
        <v>17737.81</v>
      </c>
      <c r="G6841">
        <v>0</v>
      </c>
      <c r="H6841" s="7">
        <v>0</v>
      </c>
    </row>
    <row r="6842" spans="1:8">
      <c r="A6842">
        <v>6</v>
      </c>
      <c r="B6842" t="s">
        <v>42</v>
      </c>
      <c r="C6842" t="s">
        <v>34</v>
      </c>
      <c r="D6842">
        <v>0</v>
      </c>
      <c r="E6842">
        <v>1</v>
      </c>
      <c r="F6842" s="7">
        <v>14143.87</v>
      </c>
      <c r="G6842">
        <v>0</v>
      </c>
      <c r="H6842" s="7">
        <v>0</v>
      </c>
    </row>
    <row r="6843" spans="1:8">
      <c r="A6843">
        <v>6</v>
      </c>
      <c r="B6843" t="s">
        <v>42</v>
      </c>
      <c r="C6843" t="s">
        <v>33</v>
      </c>
      <c r="D6843">
        <v>0</v>
      </c>
      <c r="E6843">
        <v>1</v>
      </c>
      <c r="F6843" s="7">
        <v>4041.67</v>
      </c>
      <c r="G6843">
        <v>0</v>
      </c>
      <c r="H6843" s="7">
        <v>0</v>
      </c>
    </row>
    <row r="6844" spans="1:8">
      <c r="A6844">
        <v>6</v>
      </c>
      <c r="B6844" t="s">
        <v>42</v>
      </c>
      <c r="C6844" t="s">
        <v>33</v>
      </c>
      <c r="D6844">
        <v>0</v>
      </c>
      <c r="E6844">
        <v>1</v>
      </c>
      <c r="F6844" s="7">
        <v>5187.5</v>
      </c>
      <c r="G6844">
        <v>0</v>
      </c>
      <c r="H6844" s="7">
        <v>0</v>
      </c>
    </row>
    <row r="6845" spans="1:8">
      <c r="A6845">
        <v>6</v>
      </c>
      <c r="B6845" t="s">
        <v>42</v>
      </c>
      <c r="C6845" t="s">
        <v>34</v>
      </c>
      <c r="D6845">
        <v>0</v>
      </c>
      <c r="E6845">
        <v>1</v>
      </c>
      <c r="F6845" s="7">
        <v>24579.11</v>
      </c>
      <c r="G6845">
        <v>0</v>
      </c>
      <c r="H6845" s="7">
        <v>0</v>
      </c>
    </row>
    <row r="6846" spans="1:8">
      <c r="A6846">
        <v>6</v>
      </c>
      <c r="B6846" t="s">
        <v>42</v>
      </c>
      <c r="C6846" t="s">
        <v>33</v>
      </c>
      <c r="D6846">
        <v>0</v>
      </c>
      <c r="E6846">
        <v>1</v>
      </c>
      <c r="F6846" s="7">
        <v>6936.56</v>
      </c>
      <c r="G6846">
        <v>0</v>
      </c>
      <c r="H6846" s="7">
        <v>0</v>
      </c>
    </row>
    <row r="6847" spans="1:8">
      <c r="A6847">
        <v>6</v>
      </c>
      <c r="B6847" t="s">
        <v>42</v>
      </c>
      <c r="C6847" t="s">
        <v>34</v>
      </c>
      <c r="D6847">
        <v>0</v>
      </c>
      <c r="E6847">
        <v>1</v>
      </c>
      <c r="F6847" s="7">
        <v>13522.25</v>
      </c>
      <c r="G6847">
        <v>0</v>
      </c>
      <c r="H6847" s="7">
        <v>0</v>
      </c>
    </row>
    <row r="6848" spans="1:8">
      <c r="A6848">
        <v>6</v>
      </c>
      <c r="B6848" t="s">
        <v>42</v>
      </c>
      <c r="C6848" t="s">
        <v>34</v>
      </c>
      <c r="D6848">
        <v>0</v>
      </c>
      <c r="E6848">
        <v>1</v>
      </c>
      <c r="F6848" s="7">
        <v>12303.52</v>
      </c>
      <c r="G6848">
        <v>0</v>
      </c>
      <c r="H6848" s="7">
        <v>0</v>
      </c>
    </row>
    <row r="6849" spans="1:8">
      <c r="A6849">
        <v>6</v>
      </c>
      <c r="B6849" t="s">
        <v>42</v>
      </c>
      <c r="C6849" t="s">
        <v>34</v>
      </c>
      <c r="D6849">
        <v>0</v>
      </c>
      <c r="E6849">
        <v>1</v>
      </c>
      <c r="F6849" s="7">
        <v>18219.9</v>
      </c>
      <c r="G6849">
        <v>0</v>
      </c>
      <c r="H6849" s="7">
        <v>0</v>
      </c>
    </row>
    <row r="6850" spans="1:8">
      <c r="A6850">
        <v>6</v>
      </c>
      <c r="B6850" t="s">
        <v>43</v>
      </c>
      <c r="C6850" t="s">
        <v>35</v>
      </c>
      <c r="D6850">
        <v>0</v>
      </c>
      <c r="E6850">
        <v>1</v>
      </c>
      <c r="F6850" s="7">
        <v>104087.72</v>
      </c>
      <c r="G6850">
        <v>0</v>
      </c>
      <c r="H6850" s="7">
        <v>0</v>
      </c>
    </row>
    <row r="6851" spans="1:8">
      <c r="A6851">
        <v>6</v>
      </c>
      <c r="B6851" t="s">
        <v>42</v>
      </c>
      <c r="C6851" t="s">
        <v>34</v>
      </c>
      <c r="D6851">
        <v>0</v>
      </c>
      <c r="E6851">
        <v>1</v>
      </c>
      <c r="F6851" s="7">
        <v>22655.09</v>
      </c>
      <c r="G6851">
        <v>0</v>
      </c>
      <c r="H6851" s="7">
        <v>0</v>
      </c>
    </row>
    <row r="6852" spans="1:8">
      <c r="A6852">
        <v>6</v>
      </c>
      <c r="B6852" t="s">
        <v>42</v>
      </c>
      <c r="C6852" t="s">
        <v>34</v>
      </c>
      <c r="D6852">
        <v>0</v>
      </c>
      <c r="E6852">
        <v>1</v>
      </c>
      <c r="F6852" s="7">
        <v>20547.38</v>
      </c>
      <c r="G6852">
        <v>0</v>
      </c>
      <c r="H6852" s="7">
        <v>0</v>
      </c>
    </row>
    <row r="6853" spans="1:8">
      <c r="A6853">
        <v>6</v>
      </c>
      <c r="B6853" t="s">
        <v>42</v>
      </c>
      <c r="C6853" t="s">
        <v>34</v>
      </c>
      <c r="D6853">
        <v>0</v>
      </c>
      <c r="E6853">
        <v>1</v>
      </c>
      <c r="F6853" s="7">
        <v>16917.51</v>
      </c>
      <c r="G6853">
        <v>0</v>
      </c>
      <c r="H6853" s="7">
        <v>0</v>
      </c>
    </row>
    <row r="6854" spans="1:8">
      <c r="A6854">
        <v>6</v>
      </c>
      <c r="B6854" t="s">
        <v>42</v>
      </c>
      <c r="C6854" t="s">
        <v>33</v>
      </c>
      <c r="D6854">
        <v>0</v>
      </c>
      <c r="E6854">
        <v>1</v>
      </c>
      <c r="F6854" s="7">
        <v>1072.27</v>
      </c>
      <c r="G6854">
        <v>0</v>
      </c>
      <c r="H6854" s="7">
        <v>0</v>
      </c>
    </row>
    <row r="6855" spans="1:8">
      <c r="A6855">
        <v>6</v>
      </c>
      <c r="B6855" t="s">
        <v>42</v>
      </c>
      <c r="C6855" t="s">
        <v>33</v>
      </c>
      <c r="D6855">
        <v>0</v>
      </c>
      <c r="E6855">
        <v>1</v>
      </c>
      <c r="F6855" s="7">
        <v>5106.61</v>
      </c>
      <c r="G6855">
        <v>0</v>
      </c>
      <c r="H6855" s="7">
        <v>0</v>
      </c>
    </row>
    <row r="6856" spans="1:8">
      <c r="A6856">
        <v>6</v>
      </c>
      <c r="B6856" t="s">
        <v>42</v>
      </c>
      <c r="C6856" t="s">
        <v>33</v>
      </c>
      <c r="D6856">
        <v>0</v>
      </c>
      <c r="E6856">
        <v>1</v>
      </c>
      <c r="F6856" s="7">
        <v>6727.32</v>
      </c>
      <c r="G6856">
        <v>0</v>
      </c>
      <c r="H6856" s="7">
        <v>0</v>
      </c>
    </row>
    <row r="6857" spans="1:8">
      <c r="A6857">
        <v>6</v>
      </c>
      <c r="B6857" t="s">
        <v>42</v>
      </c>
      <c r="C6857" t="s">
        <v>33</v>
      </c>
      <c r="D6857">
        <v>0</v>
      </c>
      <c r="E6857">
        <v>1</v>
      </c>
      <c r="F6857" s="7">
        <v>6312.27</v>
      </c>
      <c r="G6857">
        <v>0</v>
      </c>
      <c r="H6857" s="7">
        <v>0</v>
      </c>
    </row>
    <row r="6858" spans="1:8">
      <c r="A6858">
        <v>6</v>
      </c>
      <c r="B6858" t="s">
        <v>42</v>
      </c>
      <c r="C6858" t="s">
        <v>34</v>
      </c>
      <c r="D6858">
        <v>0</v>
      </c>
      <c r="E6858">
        <v>1</v>
      </c>
      <c r="F6858" s="7">
        <v>17145.26</v>
      </c>
      <c r="G6858">
        <v>0</v>
      </c>
      <c r="H6858" s="7">
        <v>0</v>
      </c>
    </row>
    <row r="6859" spans="1:8">
      <c r="A6859">
        <v>6</v>
      </c>
      <c r="B6859" t="s">
        <v>42</v>
      </c>
      <c r="C6859" t="s">
        <v>34</v>
      </c>
      <c r="D6859">
        <v>0</v>
      </c>
      <c r="E6859">
        <v>1</v>
      </c>
      <c r="F6859" s="7">
        <v>24544.47</v>
      </c>
      <c r="G6859">
        <v>0</v>
      </c>
      <c r="H6859" s="7">
        <v>0</v>
      </c>
    </row>
    <row r="6860" spans="1:8">
      <c r="A6860">
        <v>6</v>
      </c>
      <c r="B6860" t="s">
        <v>42</v>
      </c>
      <c r="C6860" t="s">
        <v>34</v>
      </c>
      <c r="D6860">
        <v>0</v>
      </c>
      <c r="E6860">
        <v>1</v>
      </c>
      <c r="F6860" s="7">
        <v>12689.5</v>
      </c>
      <c r="G6860">
        <v>0</v>
      </c>
      <c r="H6860" s="7">
        <v>0</v>
      </c>
    </row>
    <row r="6861" spans="1:8">
      <c r="A6861">
        <v>6</v>
      </c>
      <c r="B6861" t="s">
        <v>42</v>
      </c>
      <c r="C6861" t="s">
        <v>34</v>
      </c>
      <c r="D6861">
        <v>0</v>
      </c>
      <c r="E6861">
        <v>1</v>
      </c>
      <c r="F6861" s="7">
        <v>15642.1</v>
      </c>
      <c r="G6861">
        <v>0</v>
      </c>
      <c r="H6861" s="7">
        <v>0</v>
      </c>
    </row>
    <row r="6862" spans="1:8">
      <c r="A6862">
        <v>6</v>
      </c>
      <c r="B6862" t="s">
        <v>42</v>
      </c>
      <c r="C6862" t="s">
        <v>33</v>
      </c>
      <c r="D6862">
        <v>0</v>
      </c>
      <c r="E6862">
        <v>1</v>
      </c>
      <c r="F6862" s="7">
        <v>3860.03</v>
      </c>
      <c r="G6862">
        <v>0</v>
      </c>
      <c r="H6862" s="7">
        <v>0</v>
      </c>
    </row>
    <row r="6863" spans="1:8">
      <c r="A6863">
        <v>6</v>
      </c>
      <c r="B6863" t="s">
        <v>42</v>
      </c>
      <c r="C6863" t="s">
        <v>34</v>
      </c>
      <c r="D6863">
        <v>0</v>
      </c>
      <c r="E6863">
        <v>1</v>
      </c>
      <c r="F6863" s="7">
        <v>11251.54</v>
      </c>
      <c r="G6863">
        <v>0</v>
      </c>
      <c r="H6863" s="7">
        <v>0</v>
      </c>
    </row>
    <row r="6864" spans="1:8">
      <c r="A6864">
        <v>6</v>
      </c>
      <c r="B6864" t="s">
        <v>42</v>
      </c>
      <c r="C6864" t="s">
        <v>34</v>
      </c>
      <c r="D6864">
        <v>0</v>
      </c>
      <c r="E6864">
        <v>1</v>
      </c>
      <c r="F6864" s="7">
        <v>13590.74</v>
      </c>
      <c r="G6864">
        <v>0</v>
      </c>
      <c r="H6864" s="7">
        <v>0</v>
      </c>
    </row>
    <row r="6865" spans="1:8">
      <c r="A6865">
        <v>6</v>
      </c>
      <c r="B6865" t="s">
        <v>42</v>
      </c>
      <c r="C6865" t="s">
        <v>33</v>
      </c>
      <c r="D6865">
        <v>0</v>
      </c>
      <c r="E6865">
        <v>1</v>
      </c>
      <c r="F6865" s="7">
        <v>4276.73</v>
      </c>
      <c r="G6865">
        <v>0</v>
      </c>
      <c r="H6865" s="7">
        <v>0</v>
      </c>
    </row>
    <row r="6866" spans="1:8">
      <c r="A6866">
        <v>6</v>
      </c>
      <c r="B6866" t="s">
        <v>42</v>
      </c>
      <c r="C6866" t="s">
        <v>33</v>
      </c>
      <c r="D6866">
        <v>0</v>
      </c>
      <c r="E6866">
        <v>1</v>
      </c>
      <c r="F6866" s="7">
        <v>3643.48</v>
      </c>
      <c r="G6866">
        <v>0</v>
      </c>
      <c r="H6866" s="7">
        <v>0</v>
      </c>
    </row>
    <row r="6867" spans="1:8">
      <c r="A6867">
        <v>6</v>
      </c>
      <c r="B6867" t="s">
        <v>42</v>
      </c>
      <c r="C6867" t="s">
        <v>34</v>
      </c>
      <c r="D6867">
        <v>0</v>
      </c>
      <c r="E6867">
        <v>1</v>
      </c>
      <c r="F6867" s="7">
        <v>35485.18</v>
      </c>
      <c r="G6867">
        <v>0</v>
      </c>
      <c r="H6867" s="7">
        <v>0</v>
      </c>
    </row>
    <row r="6868" spans="1:8">
      <c r="A6868">
        <v>6</v>
      </c>
      <c r="B6868" t="s">
        <v>42</v>
      </c>
      <c r="C6868" t="s">
        <v>33</v>
      </c>
      <c r="D6868">
        <v>0</v>
      </c>
      <c r="E6868">
        <v>1</v>
      </c>
      <c r="F6868" s="7">
        <v>9893.57</v>
      </c>
      <c r="G6868">
        <v>0</v>
      </c>
      <c r="H6868" s="7">
        <v>0</v>
      </c>
    </row>
    <row r="6869" spans="1:8">
      <c r="A6869">
        <v>6</v>
      </c>
      <c r="B6869" t="s">
        <v>42</v>
      </c>
      <c r="C6869" t="s">
        <v>34</v>
      </c>
      <c r="D6869">
        <v>0</v>
      </c>
      <c r="E6869">
        <v>1</v>
      </c>
      <c r="F6869" s="7">
        <v>11004.31</v>
      </c>
      <c r="G6869">
        <v>0</v>
      </c>
      <c r="H6869" s="7">
        <v>0</v>
      </c>
    </row>
    <row r="6870" spans="1:8">
      <c r="A6870">
        <v>6</v>
      </c>
      <c r="B6870" t="s">
        <v>42</v>
      </c>
      <c r="C6870" t="s">
        <v>34</v>
      </c>
      <c r="D6870">
        <v>0</v>
      </c>
      <c r="E6870">
        <v>1</v>
      </c>
      <c r="F6870" s="7">
        <v>15751.31</v>
      </c>
      <c r="G6870">
        <v>0</v>
      </c>
      <c r="H6870" s="7">
        <v>0</v>
      </c>
    </row>
    <row r="6871" spans="1:8">
      <c r="A6871">
        <v>6</v>
      </c>
      <c r="B6871" t="s">
        <v>42</v>
      </c>
      <c r="C6871" t="s">
        <v>34</v>
      </c>
      <c r="D6871">
        <v>0</v>
      </c>
      <c r="E6871">
        <v>1</v>
      </c>
      <c r="F6871" s="7">
        <v>12613.83</v>
      </c>
      <c r="G6871">
        <v>0</v>
      </c>
      <c r="H6871" s="7">
        <v>0</v>
      </c>
    </row>
    <row r="6872" spans="1:8">
      <c r="A6872">
        <v>6</v>
      </c>
      <c r="B6872" t="s">
        <v>42</v>
      </c>
      <c r="C6872" t="s">
        <v>34</v>
      </c>
      <c r="D6872">
        <v>0</v>
      </c>
      <c r="E6872">
        <v>1</v>
      </c>
      <c r="F6872" s="7">
        <v>38677.12</v>
      </c>
      <c r="G6872">
        <v>0</v>
      </c>
      <c r="H6872" s="7">
        <v>0</v>
      </c>
    </row>
    <row r="6873" spans="1:8">
      <c r="A6873">
        <v>6</v>
      </c>
      <c r="B6873" t="s">
        <v>42</v>
      </c>
      <c r="C6873" t="s">
        <v>34</v>
      </c>
      <c r="D6873">
        <v>0</v>
      </c>
      <c r="E6873">
        <v>1</v>
      </c>
      <c r="F6873" s="7">
        <v>11515.03</v>
      </c>
      <c r="G6873">
        <v>0</v>
      </c>
      <c r="H6873" s="7">
        <v>0</v>
      </c>
    </row>
    <row r="6874" spans="1:8">
      <c r="A6874">
        <v>6</v>
      </c>
      <c r="B6874" t="s">
        <v>42</v>
      </c>
      <c r="C6874" t="s">
        <v>33</v>
      </c>
      <c r="D6874">
        <v>0</v>
      </c>
      <c r="E6874">
        <v>1</v>
      </c>
      <c r="F6874" s="7">
        <v>6945.84</v>
      </c>
      <c r="G6874">
        <v>0</v>
      </c>
      <c r="H6874" s="7">
        <v>0</v>
      </c>
    </row>
    <row r="6875" spans="1:8">
      <c r="A6875">
        <v>6</v>
      </c>
      <c r="B6875" t="s">
        <v>42</v>
      </c>
      <c r="C6875" t="s">
        <v>32</v>
      </c>
      <c r="D6875">
        <v>0</v>
      </c>
      <c r="E6875">
        <v>1</v>
      </c>
      <c r="F6875" s="7">
        <v>548.44</v>
      </c>
      <c r="G6875">
        <v>0</v>
      </c>
      <c r="H6875" s="7">
        <v>0</v>
      </c>
    </row>
    <row r="6876" spans="1:8">
      <c r="A6876">
        <v>6</v>
      </c>
      <c r="B6876" t="s">
        <v>42</v>
      </c>
      <c r="C6876" t="s">
        <v>34</v>
      </c>
      <c r="D6876">
        <v>0</v>
      </c>
      <c r="E6876">
        <v>1</v>
      </c>
      <c r="F6876" s="7">
        <v>18655.15</v>
      </c>
      <c r="G6876">
        <v>0</v>
      </c>
      <c r="H6876" s="7">
        <v>0</v>
      </c>
    </row>
    <row r="6877" spans="1:8">
      <c r="A6877">
        <v>6</v>
      </c>
      <c r="B6877" t="s">
        <v>42</v>
      </c>
      <c r="C6877" t="s">
        <v>33</v>
      </c>
      <c r="D6877">
        <v>0</v>
      </c>
      <c r="E6877">
        <v>1</v>
      </c>
      <c r="F6877" s="7">
        <v>3765.68</v>
      </c>
      <c r="G6877">
        <v>0</v>
      </c>
      <c r="H6877" s="7">
        <v>0</v>
      </c>
    </row>
    <row r="6878" spans="1:8">
      <c r="A6878">
        <v>6</v>
      </c>
      <c r="B6878" t="s">
        <v>42</v>
      </c>
      <c r="C6878" t="s">
        <v>34</v>
      </c>
      <c r="D6878">
        <v>0</v>
      </c>
      <c r="E6878">
        <v>1</v>
      </c>
      <c r="F6878" s="7">
        <v>21625.13</v>
      </c>
      <c r="G6878">
        <v>0</v>
      </c>
      <c r="H6878" s="7">
        <v>0</v>
      </c>
    </row>
    <row r="6879" spans="1:8">
      <c r="A6879">
        <v>6</v>
      </c>
      <c r="B6879" t="s">
        <v>42</v>
      </c>
      <c r="C6879" t="s">
        <v>33</v>
      </c>
      <c r="D6879">
        <v>0</v>
      </c>
      <c r="E6879">
        <v>1</v>
      </c>
      <c r="F6879" s="7">
        <v>2901.34</v>
      </c>
      <c r="G6879">
        <v>0</v>
      </c>
      <c r="H6879" s="7">
        <v>0</v>
      </c>
    </row>
    <row r="6880" spans="1:8">
      <c r="A6880">
        <v>6</v>
      </c>
      <c r="B6880" t="s">
        <v>42</v>
      </c>
      <c r="C6880" t="s">
        <v>33</v>
      </c>
      <c r="D6880">
        <v>0</v>
      </c>
      <c r="E6880">
        <v>1</v>
      </c>
      <c r="F6880" s="7">
        <v>4922.27</v>
      </c>
      <c r="G6880">
        <v>0</v>
      </c>
      <c r="H6880" s="7">
        <v>0</v>
      </c>
    </row>
    <row r="6881" spans="1:8">
      <c r="A6881">
        <v>6</v>
      </c>
      <c r="B6881" t="s">
        <v>42</v>
      </c>
      <c r="C6881" t="s">
        <v>34</v>
      </c>
      <c r="D6881">
        <v>0</v>
      </c>
      <c r="E6881">
        <v>1</v>
      </c>
      <c r="F6881" s="7">
        <v>19858.46</v>
      </c>
      <c r="G6881">
        <v>0</v>
      </c>
      <c r="H6881" s="7">
        <v>0</v>
      </c>
    </row>
    <row r="6882" spans="1:8">
      <c r="A6882">
        <v>6</v>
      </c>
      <c r="B6882" t="s">
        <v>42</v>
      </c>
      <c r="C6882" t="s">
        <v>33</v>
      </c>
      <c r="D6882">
        <v>0</v>
      </c>
      <c r="E6882">
        <v>1</v>
      </c>
      <c r="F6882" s="7">
        <v>9538.96</v>
      </c>
      <c r="G6882">
        <v>0</v>
      </c>
      <c r="H6882" s="7">
        <v>0</v>
      </c>
    </row>
    <row r="6883" spans="1:8">
      <c r="A6883">
        <v>6</v>
      </c>
      <c r="B6883" t="s">
        <v>42</v>
      </c>
      <c r="C6883" t="s">
        <v>34</v>
      </c>
      <c r="D6883">
        <v>0</v>
      </c>
      <c r="E6883">
        <v>1</v>
      </c>
      <c r="F6883" s="7">
        <v>15593.41</v>
      </c>
      <c r="G6883">
        <v>0</v>
      </c>
      <c r="H6883" s="7">
        <v>0</v>
      </c>
    </row>
    <row r="6884" spans="1:8">
      <c r="A6884">
        <v>6</v>
      </c>
      <c r="B6884" t="s">
        <v>42</v>
      </c>
      <c r="C6884" t="s">
        <v>34</v>
      </c>
      <c r="D6884">
        <v>0</v>
      </c>
      <c r="E6884">
        <v>1</v>
      </c>
      <c r="F6884" s="7">
        <v>23258.69</v>
      </c>
      <c r="G6884">
        <v>0</v>
      </c>
      <c r="H6884" s="7">
        <v>0</v>
      </c>
    </row>
    <row r="6885" spans="1:8">
      <c r="A6885">
        <v>6</v>
      </c>
      <c r="B6885" t="s">
        <v>42</v>
      </c>
      <c r="C6885" t="s">
        <v>33</v>
      </c>
      <c r="D6885">
        <v>0</v>
      </c>
      <c r="E6885">
        <v>1</v>
      </c>
      <c r="F6885" s="7">
        <v>1636.72</v>
      </c>
      <c r="G6885">
        <v>0</v>
      </c>
      <c r="H6885" s="7">
        <v>0</v>
      </c>
    </row>
    <row r="6886" spans="1:8">
      <c r="A6886">
        <v>6</v>
      </c>
      <c r="B6886" t="s">
        <v>42</v>
      </c>
      <c r="C6886" t="s">
        <v>33</v>
      </c>
      <c r="D6886">
        <v>0</v>
      </c>
      <c r="E6886">
        <v>1</v>
      </c>
      <c r="F6886" s="7">
        <v>4293.83</v>
      </c>
      <c r="G6886">
        <v>0</v>
      </c>
      <c r="H6886" s="7">
        <v>0</v>
      </c>
    </row>
    <row r="6887" spans="1:8">
      <c r="A6887">
        <v>6</v>
      </c>
      <c r="B6887" t="s">
        <v>42</v>
      </c>
      <c r="C6887" t="s">
        <v>33</v>
      </c>
      <c r="D6887">
        <v>0</v>
      </c>
      <c r="E6887">
        <v>1</v>
      </c>
      <c r="F6887" s="7">
        <v>6737.87</v>
      </c>
      <c r="G6887">
        <v>0</v>
      </c>
      <c r="H6887" s="7">
        <v>0</v>
      </c>
    </row>
    <row r="6888" spans="1:8">
      <c r="A6888">
        <v>6</v>
      </c>
      <c r="B6888" t="s">
        <v>42</v>
      </c>
      <c r="C6888" t="s">
        <v>34</v>
      </c>
      <c r="D6888">
        <v>0</v>
      </c>
      <c r="E6888">
        <v>1</v>
      </c>
      <c r="F6888" s="7">
        <v>20491.58</v>
      </c>
      <c r="G6888">
        <v>0</v>
      </c>
      <c r="H6888" s="7">
        <v>0</v>
      </c>
    </row>
    <row r="6889" spans="1:8">
      <c r="A6889">
        <v>6</v>
      </c>
      <c r="B6889" t="s">
        <v>42</v>
      </c>
      <c r="C6889" t="s">
        <v>34</v>
      </c>
      <c r="D6889">
        <v>0</v>
      </c>
      <c r="E6889">
        <v>1</v>
      </c>
      <c r="F6889" s="7">
        <v>45279.83</v>
      </c>
      <c r="G6889">
        <v>0</v>
      </c>
      <c r="H6889" s="7">
        <v>0</v>
      </c>
    </row>
    <row r="6890" spans="1:8">
      <c r="A6890">
        <v>6</v>
      </c>
      <c r="B6890" t="s">
        <v>42</v>
      </c>
      <c r="C6890" t="s">
        <v>33</v>
      </c>
      <c r="D6890">
        <v>0</v>
      </c>
      <c r="E6890">
        <v>1</v>
      </c>
      <c r="F6890" s="7">
        <v>8278.63</v>
      </c>
      <c r="G6890">
        <v>0</v>
      </c>
      <c r="H6890" s="7">
        <v>0</v>
      </c>
    </row>
    <row r="6891" spans="1:8">
      <c r="A6891">
        <v>6</v>
      </c>
      <c r="B6891" t="s">
        <v>43</v>
      </c>
      <c r="C6891" t="s">
        <v>33</v>
      </c>
      <c r="D6891">
        <v>0</v>
      </c>
      <c r="E6891">
        <v>1</v>
      </c>
      <c r="F6891" s="7">
        <v>6870.64</v>
      </c>
      <c r="G6891">
        <v>0</v>
      </c>
      <c r="H6891" s="7">
        <v>0</v>
      </c>
    </row>
    <row r="6892" spans="1:8">
      <c r="A6892">
        <v>6</v>
      </c>
      <c r="B6892" t="s">
        <v>42</v>
      </c>
      <c r="C6892" t="s">
        <v>33</v>
      </c>
      <c r="D6892">
        <v>0</v>
      </c>
      <c r="E6892">
        <v>1</v>
      </c>
      <c r="F6892" s="7">
        <v>5624.29</v>
      </c>
      <c r="G6892">
        <v>0</v>
      </c>
      <c r="H6892" s="7">
        <v>0</v>
      </c>
    </row>
    <row r="6893" spans="1:8">
      <c r="A6893">
        <v>6</v>
      </c>
      <c r="B6893" t="s">
        <v>42</v>
      </c>
      <c r="C6893" t="s">
        <v>34</v>
      </c>
      <c r="D6893">
        <v>0</v>
      </c>
      <c r="E6893">
        <v>1</v>
      </c>
      <c r="F6893" s="7">
        <v>15768.41</v>
      </c>
      <c r="G6893">
        <v>0</v>
      </c>
      <c r="H6893" s="7">
        <v>0</v>
      </c>
    </row>
    <row r="6894" spans="1:8">
      <c r="A6894">
        <v>6</v>
      </c>
      <c r="B6894" t="s">
        <v>43</v>
      </c>
      <c r="C6894" t="s">
        <v>35</v>
      </c>
      <c r="D6894">
        <v>0</v>
      </c>
      <c r="E6894">
        <v>1</v>
      </c>
      <c r="F6894" s="7">
        <v>394310.01</v>
      </c>
      <c r="G6894">
        <v>0</v>
      </c>
      <c r="H6894" s="7">
        <v>0</v>
      </c>
    </row>
    <row r="6895" spans="1:8">
      <c r="A6895">
        <v>6</v>
      </c>
      <c r="B6895" t="s">
        <v>43</v>
      </c>
      <c r="C6895" t="s">
        <v>35</v>
      </c>
      <c r="D6895">
        <v>0</v>
      </c>
      <c r="E6895">
        <v>1</v>
      </c>
      <c r="F6895" s="7">
        <v>264367.48</v>
      </c>
      <c r="G6895">
        <v>0</v>
      </c>
      <c r="H6895" s="7">
        <v>0</v>
      </c>
    </row>
    <row r="6896" spans="1:8">
      <c r="A6896">
        <v>6</v>
      </c>
      <c r="B6896" t="s">
        <v>42</v>
      </c>
      <c r="C6896" t="s">
        <v>34</v>
      </c>
      <c r="D6896">
        <v>0</v>
      </c>
      <c r="E6896">
        <v>1</v>
      </c>
      <c r="F6896" s="7">
        <v>14164.55</v>
      </c>
      <c r="G6896">
        <v>0</v>
      </c>
      <c r="H6896" s="7">
        <v>0</v>
      </c>
    </row>
    <row r="6897" spans="1:8">
      <c r="A6897">
        <v>6</v>
      </c>
      <c r="B6897" t="s">
        <v>42</v>
      </c>
      <c r="C6897" t="s">
        <v>32</v>
      </c>
      <c r="D6897">
        <v>0</v>
      </c>
      <c r="E6897">
        <v>1</v>
      </c>
      <c r="F6897" s="7">
        <v>314.67</v>
      </c>
      <c r="G6897">
        <v>0</v>
      </c>
      <c r="H6897" s="7">
        <v>0</v>
      </c>
    </row>
    <row r="6898" spans="1:8">
      <c r="A6898">
        <v>6</v>
      </c>
      <c r="B6898" t="s">
        <v>44</v>
      </c>
      <c r="C6898" t="s">
        <v>34</v>
      </c>
      <c r="D6898">
        <v>0</v>
      </c>
      <c r="E6898">
        <v>1</v>
      </c>
      <c r="F6898" s="7">
        <v>71868.61</v>
      </c>
      <c r="G6898">
        <v>0</v>
      </c>
      <c r="H6898" s="7">
        <v>0</v>
      </c>
    </row>
    <row r="6899" spans="1:8">
      <c r="A6899">
        <v>6</v>
      </c>
      <c r="B6899" t="s">
        <v>43</v>
      </c>
      <c r="C6899" t="s">
        <v>35</v>
      </c>
      <c r="D6899">
        <v>0</v>
      </c>
      <c r="E6899">
        <v>1</v>
      </c>
      <c r="F6899" s="7">
        <v>334889.22</v>
      </c>
      <c r="G6899">
        <v>0</v>
      </c>
      <c r="H6899" s="7">
        <v>0</v>
      </c>
    </row>
    <row r="6900" spans="1:8">
      <c r="A6900">
        <v>6</v>
      </c>
      <c r="B6900" t="s">
        <v>44</v>
      </c>
      <c r="C6900" t="s">
        <v>34</v>
      </c>
      <c r="D6900">
        <v>0</v>
      </c>
      <c r="E6900">
        <v>1</v>
      </c>
      <c r="F6900" s="7">
        <v>83184.28</v>
      </c>
      <c r="G6900">
        <v>0</v>
      </c>
      <c r="H6900" s="7">
        <v>0</v>
      </c>
    </row>
    <row r="6901" spans="1:8">
      <c r="A6901">
        <v>6</v>
      </c>
      <c r="B6901" t="s">
        <v>42</v>
      </c>
      <c r="C6901" t="s">
        <v>32</v>
      </c>
      <c r="D6901">
        <v>0</v>
      </c>
      <c r="E6901">
        <v>1</v>
      </c>
      <c r="F6901" s="7">
        <v>206.66</v>
      </c>
      <c r="G6901">
        <v>0</v>
      </c>
      <c r="H6901" s="7">
        <v>0</v>
      </c>
    </row>
    <row r="6902" spans="1:8">
      <c r="A6902">
        <v>6</v>
      </c>
      <c r="B6902" t="s">
        <v>44</v>
      </c>
      <c r="C6902" t="s">
        <v>35</v>
      </c>
      <c r="D6902">
        <v>0</v>
      </c>
      <c r="E6902">
        <v>1</v>
      </c>
      <c r="F6902" s="7">
        <v>139283.22</v>
      </c>
      <c r="G6902">
        <v>0</v>
      </c>
      <c r="H6902" s="7">
        <v>0</v>
      </c>
    </row>
    <row r="6903" spans="1:8">
      <c r="A6903">
        <v>6</v>
      </c>
      <c r="B6903" t="s">
        <v>43</v>
      </c>
      <c r="C6903" t="s">
        <v>34</v>
      </c>
      <c r="D6903">
        <v>1</v>
      </c>
      <c r="E6903">
        <v>1</v>
      </c>
      <c r="F6903" s="7">
        <v>10565</v>
      </c>
      <c r="G6903">
        <v>1</v>
      </c>
      <c r="H6903" s="7">
        <v>10565</v>
      </c>
    </row>
    <row r="6904" spans="1:8">
      <c r="A6904">
        <v>6</v>
      </c>
      <c r="B6904" t="s">
        <v>44</v>
      </c>
      <c r="C6904" t="s">
        <v>34</v>
      </c>
      <c r="D6904">
        <v>1</v>
      </c>
      <c r="E6904">
        <v>1</v>
      </c>
      <c r="F6904" s="7">
        <v>10565</v>
      </c>
      <c r="G6904">
        <v>1</v>
      </c>
      <c r="H6904" s="7">
        <v>10565</v>
      </c>
    </row>
    <row r="6905" spans="1:8">
      <c r="A6905">
        <v>6</v>
      </c>
      <c r="B6905" t="s">
        <v>42</v>
      </c>
      <c r="C6905" t="s">
        <v>34</v>
      </c>
      <c r="D6905">
        <v>0</v>
      </c>
      <c r="E6905">
        <v>1</v>
      </c>
      <c r="F6905" s="7">
        <v>27008.46</v>
      </c>
      <c r="G6905">
        <v>0</v>
      </c>
      <c r="H6905" s="7">
        <v>0</v>
      </c>
    </row>
    <row r="6906" spans="1:8">
      <c r="A6906">
        <v>6</v>
      </c>
      <c r="B6906" t="s">
        <v>42</v>
      </c>
      <c r="C6906" t="s">
        <v>33</v>
      </c>
      <c r="D6906">
        <v>0</v>
      </c>
      <c r="E6906">
        <v>1</v>
      </c>
      <c r="F6906" s="7">
        <v>5734.4</v>
      </c>
      <c r="G6906">
        <v>0</v>
      </c>
      <c r="H6906" s="7">
        <v>0</v>
      </c>
    </row>
    <row r="6907" spans="1:8">
      <c r="A6907">
        <v>6</v>
      </c>
      <c r="B6907" t="s">
        <v>44</v>
      </c>
      <c r="C6907" t="s">
        <v>34</v>
      </c>
      <c r="D6907">
        <v>0</v>
      </c>
      <c r="E6907">
        <v>1</v>
      </c>
      <c r="F6907" s="7">
        <v>21128.42</v>
      </c>
      <c r="G6907">
        <v>0</v>
      </c>
      <c r="H6907" s="7">
        <v>0</v>
      </c>
    </row>
    <row r="6908" spans="1:8">
      <c r="A6908">
        <v>6</v>
      </c>
      <c r="B6908" t="s">
        <v>44</v>
      </c>
      <c r="C6908" t="s">
        <v>35</v>
      </c>
      <c r="D6908">
        <v>0</v>
      </c>
      <c r="E6908">
        <v>1</v>
      </c>
      <c r="F6908" s="7">
        <v>196775.47</v>
      </c>
      <c r="G6908">
        <v>0</v>
      </c>
      <c r="H6908" s="7">
        <v>0</v>
      </c>
    </row>
    <row r="6909" spans="1:8">
      <c r="A6909">
        <v>6</v>
      </c>
      <c r="B6909" t="s">
        <v>42</v>
      </c>
      <c r="C6909" t="s">
        <v>33</v>
      </c>
      <c r="D6909">
        <v>0</v>
      </c>
      <c r="E6909">
        <v>1</v>
      </c>
      <c r="F6909" s="7">
        <v>4197.94</v>
      </c>
      <c r="G6909">
        <v>0</v>
      </c>
      <c r="H6909" s="7">
        <v>0</v>
      </c>
    </row>
    <row r="6910" spans="1:8">
      <c r="A6910">
        <v>6</v>
      </c>
      <c r="B6910" t="s">
        <v>42</v>
      </c>
      <c r="C6910" t="s">
        <v>34</v>
      </c>
      <c r="D6910">
        <v>0</v>
      </c>
      <c r="E6910">
        <v>1</v>
      </c>
      <c r="F6910" s="7">
        <v>13794.64</v>
      </c>
      <c r="G6910">
        <v>0</v>
      </c>
      <c r="H6910" s="7">
        <v>0</v>
      </c>
    </row>
    <row r="6911" spans="1:8">
      <c r="A6911">
        <v>6</v>
      </c>
      <c r="B6911" t="s">
        <v>42</v>
      </c>
      <c r="C6911" t="s">
        <v>33</v>
      </c>
      <c r="D6911">
        <v>0</v>
      </c>
      <c r="E6911">
        <v>1</v>
      </c>
      <c r="F6911" s="7">
        <v>4630.35</v>
      </c>
      <c r="G6911">
        <v>0</v>
      </c>
      <c r="H6911" s="7">
        <v>0</v>
      </c>
    </row>
    <row r="6912" spans="1:8">
      <c r="A6912">
        <v>6</v>
      </c>
      <c r="B6912" t="s">
        <v>43</v>
      </c>
      <c r="C6912" t="s">
        <v>35</v>
      </c>
      <c r="D6912">
        <v>0</v>
      </c>
      <c r="E6912">
        <v>1</v>
      </c>
      <c r="F6912" s="7">
        <v>251644.29</v>
      </c>
      <c r="G6912">
        <v>0</v>
      </c>
      <c r="H6912" s="7">
        <v>0</v>
      </c>
    </row>
    <row r="6913" spans="1:8">
      <c r="A6913">
        <v>6</v>
      </c>
      <c r="B6913" t="s">
        <v>42</v>
      </c>
      <c r="C6913" t="s">
        <v>34</v>
      </c>
      <c r="D6913">
        <v>0</v>
      </c>
      <c r="E6913">
        <v>1</v>
      </c>
      <c r="F6913" s="7">
        <v>33025.94</v>
      </c>
      <c r="G6913">
        <v>0</v>
      </c>
      <c r="H6913" s="7">
        <v>0</v>
      </c>
    </row>
    <row r="6914" spans="1:8">
      <c r="A6914">
        <v>6</v>
      </c>
      <c r="B6914" t="s">
        <v>44</v>
      </c>
      <c r="C6914" t="s">
        <v>35</v>
      </c>
      <c r="D6914">
        <v>0</v>
      </c>
      <c r="E6914">
        <v>1</v>
      </c>
      <c r="F6914" s="7">
        <v>440165.52</v>
      </c>
      <c r="G6914">
        <v>0</v>
      </c>
      <c r="H6914" s="7">
        <v>0</v>
      </c>
    </row>
    <row r="6915" spans="1:8">
      <c r="A6915">
        <v>6</v>
      </c>
      <c r="B6915" t="s">
        <v>42</v>
      </c>
      <c r="C6915" t="s">
        <v>33</v>
      </c>
      <c r="D6915">
        <v>0</v>
      </c>
      <c r="E6915">
        <v>1</v>
      </c>
      <c r="F6915" s="7">
        <v>2091.2</v>
      </c>
      <c r="G6915">
        <v>0</v>
      </c>
      <c r="H6915" s="7">
        <v>0</v>
      </c>
    </row>
    <row r="6916" spans="1:8">
      <c r="A6916">
        <v>6</v>
      </c>
      <c r="B6916" t="s">
        <v>42</v>
      </c>
      <c r="C6916" t="s">
        <v>34</v>
      </c>
      <c r="D6916">
        <v>0</v>
      </c>
      <c r="E6916">
        <v>1</v>
      </c>
      <c r="F6916" s="7">
        <v>10960.92</v>
      </c>
      <c r="G6916">
        <v>0</v>
      </c>
      <c r="H6916" s="7">
        <v>0</v>
      </c>
    </row>
    <row r="6917" spans="1:8">
      <c r="A6917">
        <v>6</v>
      </c>
      <c r="B6917" t="s">
        <v>42</v>
      </c>
      <c r="C6917" t="s">
        <v>34</v>
      </c>
      <c r="D6917">
        <v>0</v>
      </c>
      <c r="E6917">
        <v>1</v>
      </c>
      <c r="F6917" s="7">
        <v>15171.48</v>
      </c>
      <c r="G6917">
        <v>0</v>
      </c>
      <c r="H6917" s="7">
        <v>0</v>
      </c>
    </row>
    <row r="6918" spans="1:8">
      <c r="A6918">
        <v>6</v>
      </c>
      <c r="B6918" t="s">
        <v>42</v>
      </c>
      <c r="C6918" t="s">
        <v>34</v>
      </c>
      <c r="D6918">
        <v>0</v>
      </c>
      <c r="E6918">
        <v>1</v>
      </c>
      <c r="F6918" s="7">
        <v>12968.1</v>
      </c>
      <c r="G6918">
        <v>0</v>
      </c>
      <c r="H6918" s="7">
        <v>0</v>
      </c>
    </row>
    <row r="6919" spans="1:8">
      <c r="A6919">
        <v>6</v>
      </c>
      <c r="B6919" t="s">
        <v>42</v>
      </c>
      <c r="C6919" t="s">
        <v>34</v>
      </c>
      <c r="D6919">
        <v>0</v>
      </c>
      <c r="E6919">
        <v>1</v>
      </c>
      <c r="F6919" s="7">
        <v>11473.98</v>
      </c>
      <c r="G6919">
        <v>0</v>
      </c>
      <c r="H6919" s="7">
        <v>0</v>
      </c>
    </row>
    <row r="6920" spans="1:8">
      <c r="A6920">
        <v>6</v>
      </c>
      <c r="B6920" t="s">
        <v>42</v>
      </c>
      <c r="C6920" t="s">
        <v>34</v>
      </c>
      <c r="D6920">
        <v>0</v>
      </c>
      <c r="E6920">
        <v>1</v>
      </c>
      <c r="F6920" s="7">
        <v>17078.55</v>
      </c>
      <c r="G6920">
        <v>0</v>
      </c>
      <c r="H6920" s="7">
        <v>0</v>
      </c>
    </row>
    <row r="6921" spans="1:8">
      <c r="A6921">
        <v>6</v>
      </c>
      <c r="B6921" t="s">
        <v>42</v>
      </c>
      <c r="C6921" t="s">
        <v>33</v>
      </c>
      <c r="D6921">
        <v>0</v>
      </c>
      <c r="E6921">
        <v>1</v>
      </c>
      <c r="F6921" s="7">
        <v>5427.12</v>
      </c>
      <c r="G6921">
        <v>0</v>
      </c>
      <c r="H6921" s="7">
        <v>0</v>
      </c>
    </row>
    <row r="6922" spans="1:8">
      <c r="A6922">
        <v>6</v>
      </c>
      <c r="B6922" t="s">
        <v>42</v>
      </c>
      <c r="C6922" t="s">
        <v>33</v>
      </c>
      <c r="D6922">
        <v>0</v>
      </c>
      <c r="E6922">
        <v>1</v>
      </c>
      <c r="F6922" s="7">
        <v>8719.82</v>
      </c>
      <c r="G6922">
        <v>0</v>
      </c>
      <c r="H6922" s="7">
        <v>0</v>
      </c>
    </row>
    <row r="6923" spans="1:8">
      <c r="A6923">
        <v>6</v>
      </c>
      <c r="B6923" t="s">
        <v>42</v>
      </c>
      <c r="C6923" t="s">
        <v>34</v>
      </c>
      <c r="D6923">
        <v>0</v>
      </c>
      <c r="E6923">
        <v>1</v>
      </c>
      <c r="F6923" s="7">
        <v>17949.84</v>
      </c>
      <c r="G6923">
        <v>0</v>
      </c>
      <c r="H6923" s="7">
        <v>0</v>
      </c>
    </row>
    <row r="6924" spans="1:8">
      <c r="A6924">
        <v>6</v>
      </c>
      <c r="B6924" t="s">
        <v>46</v>
      </c>
      <c r="C6924" t="s">
        <v>34</v>
      </c>
      <c r="D6924">
        <v>0</v>
      </c>
      <c r="E6924">
        <v>1</v>
      </c>
      <c r="F6924" s="7">
        <v>94933.34</v>
      </c>
      <c r="G6924">
        <v>0</v>
      </c>
      <c r="H6924" s="7">
        <v>0</v>
      </c>
    </row>
    <row r="6925" spans="1:8">
      <c r="A6925">
        <v>6</v>
      </c>
      <c r="B6925" t="s">
        <v>42</v>
      </c>
      <c r="C6925" t="s">
        <v>34</v>
      </c>
      <c r="D6925">
        <v>0</v>
      </c>
      <c r="E6925">
        <v>1</v>
      </c>
      <c r="F6925" s="7">
        <v>10088.16</v>
      </c>
      <c r="G6925">
        <v>0</v>
      </c>
      <c r="H6925" s="7">
        <v>0</v>
      </c>
    </row>
    <row r="6926" spans="1:8">
      <c r="A6926">
        <v>6</v>
      </c>
      <c r="B6926" t="s">
        <v>43</v>
      </c>
      <c r="C6926" t="s">
        <v>35</v>
      </c>
      <c r="D6926">
        <v>0</v>
      </c>
      <c r="E6926">
        <v>1</v>
      </c>
      <c r="F6926" s="7">
        <v>128505.21</v>
      </c>
      <c r="G6926">
        <v>0</v>
      </c>
      <c r="H6926" s="7">
        <v>0</v>
      </c>
    </row>
    <row r="6927" spans="1:8">
      <c r="A6927">
        <v>6</v>
      </c>
      <c r="B6927" t="s">
        <v>44</v>
      </c>
      <c r="C6927" t="s">
        <v>35</v>
      </c>
      <c r="D6927">
        <v>0</v>
      </c>
      <c r="E6927">
        <v>1</v>
      </c>
      <c r="F6927" s="7">
        <v>142705.55</v>
      </c>
      <c r="G6927">
        <v>0</v>
      </c>
      <c r="H6927" s="7">
        <v>0</v>
      </c>
    </row>
    <row r="6928" spans="1:8">
      <c r="A6928">
        <v>6</v>
      </c>
      <c r="B6928" t="s">
        <v>42</v>
      </c>
      <c r="C6928" t="s">
        <v>33</v>
      </c>
      <c r="D6928">
        <v>0</v>
      </c>
      <c r="E6928">
        <v>1</v>
      </c>
      <c r="F6928" s="7">
        <v>1538.49</v>
      </c>
      <c r="G6928">
        <v>0</v>
      </c>
      <c r="H6928" s="7">
        <v>0</v>
      </c>
    </row>
    <row r="6929" spans="1:8">
      <c r="A6929">
        <v>6</v>
      </c>
      <c r="B6929" t="s">
        <v>42</v>
      </c>
      <c r="C6929" t="s">
        <v>33</v>
      </c>
      <c r="D6929">
        <v>0</v>
      </c>
      <c r="E6929">
        <v>1</v>
      </c>
      <c r="F6929" s="7">
        <v>2472.54</v>
      </c>
      <c r="G6929">
        <v>0</v>
      </c>
      <c r="H6929" s="7">
        <v>0</v>
      </c>
    </row>
    <row r="6930" spans="1:8">
      <c r="A6930">
        <v>6</v>
      </c>
      <c r="B6930" t="s">
        <v>42</v>
      </c>
      <c r="C6930" t="s">
        <v>33</v>
      </c>
      <c r="D6930">
        <v>0</v>
      </c>
      <c r="E6930">
        <v>1</v>
      </c>
      <c r="F6930" s="7">
        <v>1314.57</v>
      </c>
      <c r="G6930">
        <v>0</v>
      </c>
      <c r="H6930" s="7">
        <v>0</v>
      </c>
    </row>
    <row r="6931" spans="1:8">
      <c r="A6931">
        <v>6</v>
      </c>
      <c r="B6931" t="s">
        <v>42</v>
      </c>
      <c r="C6931" t="s">
        <v>33</v>
      </c>
      <c r="D6931">
        <v>0</v>
      </c>
      <c r="E6931">
        <v>1</v>
      </c>
      <c r="F6931" s="7">
        <v>3583.64</v>
      </c>
      <c r="G6931">
        <v>0</v>
      </c>
      <c r="H6931" s="7">
        <v>0</v>
      </c>
    </row>
    <row r="6932" spans="1:8">
      <c r="A6932">
        <v>6</v>
      </c>
      <c r="B6932" t="s">
        <v>42</v>
      </c>
      <c r="C6932" t="s">
        <v>34</v>
      </c>
      <c r="D6932">
        <v>0</v>
      </c>
      <c r="E6932">
        <v>1</v>
      </c>
      <c r="F6932" s="7">
        <v>18657.24</v>
      </c>
      <c r="G6932">
        <v>0</v>
      </c>
      <c r="H6932" s="7">
        <v>0</v>
      </c>
    </row>
    <row r="6933" spans="1:8">
      <c r="A6933">
        <v>6</v>
      </c>
      <c r="B6933" t="s">
        <v>46</v>
      </c>
      <c r="C6933" t="s">
        <v>35</v>
      </c>
      <c r="D6933">
        <v>0</v>
      </c>
      <c r="E6933">
        <v>1</v>
      </c>
      <c r="F6933" s="7">
        <v>271666.26</v>
      </c>
      <c r="G6933">
        <v>0</v>
      </c>
      <c r="H6933" s="7">
        <v>0</v>
      </c>
    </row>
    <row r="6934" spans="1:8">
      <c r="A6934">
        <v>6</v>
      </c>
      <c r="B6934" t="s">
        <v>43</v>
      </c>
      <c r="C6934" t="s">
        <v>35</v>
      </c>
      <c r="D6934">
        <v>0</v>
      </c>
      <c r="E6934">
        <v>1</v>
      </c>
      <c r="F6934" s="7">
        <v>125527.29</v>
      </c>
      <c r="G6934">
        <v>0</v>
      </c>
      <c r="H6934" s="7">
        <v>0</v>
      </c>
    </row>
    <row r="6935" spans="1:8">
      <c r="A6935">
        <v>6</v>
      </c>
      <c r="B6935" t="s">
        <v>42</v>
      </c>
      <c r="C6935" t="s">
        <v>34</v>
      </c>
      <c r="D6935">
        <v>0</v>
      </c>
      <c r="E6935">
        <v>1</v>
      </c>
      <c r="F6935" s="7">
        <v>17689.59</v>
      </c>
      <c r="G6935">
        <v>0</v>
      </c>
      <c r="H6935" s="7">
        <v>0</v>
      </c>
    </row>
    <row r="6936" spans="1:8">
      <c r="A6936">
        <v>6</v>
      </c>
      <c r="B6936" t="s">
        <v>42</v>
      </c>
      <c r="C6936" t="s">
        <v>34</v>
      </c>
      <c r="D6936">
        <v>0</v>
      </c>
      <c r="E6936">
        <v>1</v>
      </c>
      <c r="F6936" s="7">
        <v>18960.49</v>
      </c>
      <c r="G6936">
        <v>0</v>
      </c>
      <c r="H6936" s="7">
        <v>0</v>
      </c>
    </row>
    <row r="6937" spans="1:8">
      <c r="A6937">
        <v>6</v>
      </c>
      <c r="B6937" t="s">
        <v>42</v>
      </c>
      <c r="C6937" t="s">
        <v>34</v>
      </c>
      <c r="D6937">
        <v>0</v>
      </c>
      <c r="E6937">
        <v>1</v>
      </c>
      <c r="F6937" s="7">
        <v>16703.28</v>
      </c>
      <c r="G6937">
        <v>0</v>
      </c>
      <c r="H6937" s="7">
        <v>0</v>
      </c>
    </row>
    <row r="6938" spans="1:8">
      <c r="A6938">
        <v>6</v>
      </c>
      <c r="B6938" t="s">
        <v>42</v>
      </c>
      <c r="C6938" t="s">
        <v>34</v>
      </c>
      <c r="D6938">
        <v>0</v>
      </c>
      <c r="E6938">
        <v>1</v>
      </c>
      <c r="F6938" s="7">
        <v>20703.33</v>
      </c>
      <c r="G6938">
        <v>0</v>
      </c>
      <c r="H6938" s="7">
        <v>0</v>
      </c>
    </row>
    <row r="6939" spans="1:8">
      <c r="A6939">
        <v>6</v>
      </c>
      <c r="B6939" t="s">
        <v>42</v>
      </c>
      <c r="C6939" t="s">
        <v>34</v>
      </c>
      <c r="D6939">
        <v>0</v>
      </c>
      <c r="E6939">
        <v>1</v>
      </c>
      <c r="F6939" s="7">
        <v>20677.95</v>
      </c>
      <c r="G6939">
        <v>0</v>
      </c>
      <c r="H6939" s="7">
        <v>0</v>
      </c>
    </row>
    <row r="6940" spans="1:8">
      <c r="A6940">
        <v>6</v>
      </c>
      <c r="B6940" t="s">
        <v>42</v>
      </c>
      <c r="C6940" t="s">
        <v>34</v>
      </c>
      <c r="D6940">
        <v>0</v>
      </c>
      <c r="E6940">
        <v>1</v>
      </c>
      <c r="F6940" s="7">
        <v>16427.31</v>
      </c>
      <c r="G6940">
        <v>0</v>
      </c>
      <c r="H6940" s="7">
        <v>0</v>
      </c>
    </row>
    <row r="6941" spans="1:8">
      <c r="A6941">
        <v>6</v>
      </c>
      <c r="B6941" t="s">
        <v>42</v>
      </c>
      <c r="C6941" t="s">
        <v>33</v>
      </c>
      <c r="D6941">
        <v>0</v>
      </c>
      <c r="E6941">
        <v>1</v>
      </c>
      <c r="F6941" s="7">
        <v>3320.7</v>
      </c>
      <c r="G6941">
        <v>0</v>
      </c>
      <c r="H6941" s="7">
        <v>0</v>
      </c>
    </row>
    <row r="6942" spans="1:8">
      <c r="A6942">
        <v>6</v>
      </c>
      <c r="B6942" t="s">
        <v>42</v>
      </c>
      <c r="C6942" t="s">
        <v>34</v>
      </c>
      <c r="D6942">
        <v>0</v>
      </c>
      <c r="E6942">
        <v>1</v>
      </c>
      <c r="F6942" s="7">
        <v>11483.48</v>
      </c>
      <c r="G6942">
        <v>0</v>
      </c>
      <c r="H6942" s="7">
        <v>0</v>
      </c>
    </row>
    <row r="6943" spans="1:8">
      <c r="A6943">
        <v>6</v>
      </c>
      <c r="B6943" t="s">
        <v>42</v>
      </c>
      <c r="C6943" t="s">
        <v>34</v>
      </c>
      <c r="D6943">
        <v>0</v>
      </c>
      <c r="E6943">
        <v>1</v>
      </c>
      <c r="F6943" s="7">
        <v>15129.45</v>
      </c>
      <c r="G6943">
        <v>0</v>
      </c>
      <c r="H6943" s="7">
        <v>0</v>
      </c>
    </row>
    <row r="6944" spans="1:8">
      <c r="A6944">
        <v>6</v>
      </c>
      <c r="B6944" t="s">
        <v>42</v>
      </c>
      <c r="C6944" t="s">
        <v>34</v>
      </c>
      <c r="D6944">
        <v>0</v>
      </c>
      <c r="E6944">
        <v>1</v>
      </c>
      <c r="F6944" s="7">
        <v>14904.51</v>
      </c>
      <c r="G6944">
        <v>0</v>
      </c>
      <c r="H6944" s="7">
        <v>0</v>
      </c>
    </row>
    <row r="6945" spans="1:8">
      <c r="A6945">
        <v>6</v>
      </c>
      <c r="B6945" t="s">
        <v>42</v>
      </c>
      <c r="C6945" t="s">
        <v>34</v>
      </c>
      <c r="D6945">
        <v>0</v>
      </c>
      <c r="E6945">
        <v>1</v>
      </c>
      <c r="F6945" s="7">
        <v>32542.48</v>
      </c>
      <c r="G6945">
        <v>0</v>
      </c>
      <c r="H6945" s="7">
        <v>0</v>
      </c>
    </row>
    <row r="6946" spans="1:8">
      <c r="A6946">
        <v>6</v>
      </c>
      <c r="B6946" t="s">
        <v>42</v>
      </c>
      <c r="C6946" t="s">
        <v>33</v>
      </c>
      <c r="D6946">
        <v>0</v>
      </c>
      <c r="E6946">
        <v>1</v>
      </c>
      <c r="F6946" s="7">
        <v>9903.87</v>
      </c>
      <c r="G6946">
        <v>0</v>
      </c>
      <c r="H6946" s="7">
        <v>0</v>
      </c>
    </row>
    <row r="6947" spans="1:8">
      <c r="A6947">
        <v>6</v>
      </c>
      <c r="B6947" t="s">
        <v>42</v>
      </c>
      <c r="C6947" t="s">
        <v>34</v>
      </c>
      <c r="D6947">
        <v>0</v>
      </c>
      <c r="E6947">
        <v>1</v>
      </c>
      <c r="F6947" s="7">
        <v>15638.89</v>
      </c>
      <c r="G6947">
        <v>0</v>
      </c>
      <c r="H6947" s="7">
        <v>0</v>
      </c>
    </row>
    <row r="6948" spans="1:8">
      <c r="A6948">
        <v>6</v>
      </c>
      <c r="B6948" t="s">
        <v>42</v>
      </c>
      <c r="C6948" t="s">
        <v>33</v>
      </c>
      <c r="D6948">
        <v>0</v>
      </c>
      <c r="E6948">
        <v>1</v>
      </c>
      <c r="F6948" s="7">
        <v>8720.99</v>
      </c>
      <c r="G6948">
        <v>0</v>
      </c>
      <c r="H6948" s="7">
        <v>0</v>
      </c>
    </row>
    <row r="6949" spans="1:8">
      <c r="A6949">
        <v>6</v>
      </c>
      <c r="B6949" t="s">
        <v>42</v>
      </c>
      <c r="C6949" t="s">
        <v>33</v>
      </c>
      <c r="D6949">
        <v>0</v>
      </c>
      <c r="E6949">
        <v>1</v>
      </c>
      <c r="F6949" s="7">
        <v>4534.37</v>
      </c>
      <c r="G6949">
        <v>0</v>
      </c>
      <c r="H6949" s="7">
        <v>0</v>
      </c>
    </row>
    <row r="6950" spans="1:8">
      <c r="A6950">
        <v>6</v>
      </c>
      <c r="B6950" t="s">
        <v>42</v>
      </c>
      <c r="C6950" t="s">
        <v>33</v>
      </c>
      <c r="D6950">
        <v>0</v>
      </c>
      <c r="E6950">
        <v>1</v>
      </c>
      <c r="F6950" s="7">
        <v>7672.07</v>
      </c>
      <c r="G6950">
        <v>0</v>
      </c>
      <c r="H6950" s="7">
        <v>0</v>
      </c>
    </row>
    <row r="6951" spans="1:8">
      <c r="A6951">
        <v>6</v>
      </c>
      <c r="B6951" t="s">
        <v>42</v>
      </c>
      <c r="C6951" t="s">
        <v>34</v>
      </c>
      <c r="D6951">
        <v>0</v>
      </c>
      <c r="E6951">
        <v>1</v>
      </c>
      <c r="F6951" s="7">
        <v>34027.34</v>
      </c>
      <c r="G6951">
        <v>0</v>
      </c>
      <c r="H6951" s="7">
        <v>0</v>
      </c>
    </row>
    <row r="6952" spans="1:8">
      <c r="A6952">
        <v>6</v>
      </c>
      <c r="B6952" t="s">
        <v>42</v>
      </c>
      <c r="C6952" t="s">
        <v>34</v>
      </c>
      <c r="D6952">
        <v>0</v>
      </c>
      <c r="E6952">
        <v>1</v>
      </c>
      <c r="F6952" s="7">
        <v>20982.22</v>
      </c>
      <c r="G6952">
        <v>0</v>
      </c>
      <c r="H6952" s="7">
        <v>0</v>
      </c>
    </row>
    <row r="6953" spans="1:8">
      <c r="A6953">
        <v>6</v>
      </c>
      <c r="B6953" t="s">
        <v>42</v>
      </c>
      <c r="C6953" t="s">
        <v>33</v>
      </c>
      <c r="D6953">
        <v>0</v>
      </c>
      <c r="E6953">
        <v>1</v>
      </c>
      <c r="F6953" s="7">
        <v>5842.48</v>
      </c>
      <c r="G6953">
        <v>0</v>
      </c>
      <c r="H6953" s="7">
        <v>0</v>
      </c>
    </row>
    <row r="6954" spans="1:8">
      <c r="A6954">
        <v>6</v>
      </c>
      <c r="B6954" t="s">
        <v>42</v>
      </c>
      <c r="C6954" t="s">
        <v>32</v>
      </c>
      <c r="D6954">
        <v>0</v>
      </c>
      <c r="E6954">
        <v>1</v>
      </c>
      <c r="F6954" s="7">
        <v>17.42</v>
      </c>
      <c r="G6954">
        <v>0</v>
      </c>
      <c r="H6954" s="7">
        <v>0</v>
      </c>
    </row>
    <row r="6955" spans="1:8">
      <c r="A6955">
        <v>6</v>
      </c>
      <c r="B6955" t="s">
        <v>42</v>
      </c>
      <c r="C6955" t="s">
        <v>33</v>
      </c>
      <c r="D6955">
        <v>0</v>
      </c>
      <c r="E6955">
        <v>1</v>
      </c>
      <c r="F6955" s="7">
        <v>5484.94</v>
      </c>
      <c r="G6955">
        <v>0</v>
      </c>
      <c r="H6955" s="7">
        <v>0</v>
      </c>
    </row>
    <row r="6956" spans="1:8">
      <c r="A6956">
        <v>6</v>
      </c>
      <c r="B6956" t="s">
        <v>42</v>
      </c>
      <c r="C6956" t="s">
        <v>33</v>
      </c>
      <c r="D6956">
        <v>0</v>
      </c>
      <c r="E6956">
        <v>1</v>
      </c>
      <c r="F6956" s="7">
        <v>8667.21</v>
      </c>
      <c r="G6956">
        <v>0</v>
      </c>
      <c r="H6956" s="7">
        <v>0</v>
      </c>
    </row>
    <row r="6957" spans="1:8">
      <c r="A6957">
        <v>6</v>
      </c>
      <c r="B6957" t="s">
        <v>42</v>
      </c>
      <c r="C6957" t="s">
        <v>34</v>
      </c>
      <c r="D6957">
        <v>0</v>
      </c>
      <c r="E6957">
        <v>1</v>
      </c>
      <c r="F6957" s="7">
        <v>14390.28</v>
      </c>
      <c r="G6957">
        <v>0</v>
      </c>
      <c r="H6957" s="7">
        <v>0</v>
      </c>
    </row>
    <row r="6958" spans="1:8">
      <c r="A6958">
        <v>6</v>
      </c>
      <c r="B6958" t="s">
        <v>42</v>
      </c>
      <c r="C6958" t="s">
        <v>33</v>
      </c>
      <c r="D6958">
        <v>0</v>
      </c>
      <c r="E6958">
        <v>1</v>
      </c>
      <c r="F6958" s="7">
        <v>4664.21</v>
      </c>
      <c r="G6958">
        <v>0</v>
      </c>
      <c r="H6958" s="7">
        <v>0</v>
      </c>
    </row>
    <row r="6959" spans="1:8">
      <c r="A6959">
        <v>6</v>
      </c>
      <c r="B6959" t="s">
        <v>42</v>
      </c>
      <c r="C6959" t="s">
        <v>34</v>
      </c>
      <c r="D6959">
        <v>0</v>
      </c>
      <c r="E6959">
        <v>1</v>
      </c>
      <c r="F6959" s="7">
        <v>11240.64</v>
      </c>
      <c r="G6959">
        <v>0</v>
      </c>
      <c r="H6959" s="7">
        <v>0</v>
      </c>
    </row>
    <row r="6960" spans="1:8">
      <c r="A6960">
        <v>6</v>
      </c>
      <c r="B6960" t="s">
        <v>42</v>
      </c>
      <c r="C6960" t="s">
        <v>33</v>
      </c>
      <c r="D6960">
        <v>0</v>
      </c>
      <c r="E6960">
        <v>1</v>
      </c>
      <c r="F6960" s="7">
        <v>1044.38</v>
      </c>
      <c r="G6960">
        <v>0</v>
      </c>
      <c r="H6960" s="7">
        <v>0</v>
      </c>
    </row>
    <row r="6961" spans="1:8">
      <c r="A6961">
        <v>6</v>
      </c>
      <c r="B6961" t="s">
        <v>42</v>
      </c>
      <c r="C6961" t="s">
        <v>34</v>
      </c>
      <c r="D6961">
        <v>0</v>
      </c>
      <c r="E6961">
        <v>1</v>
      </c>
      <c r="F6961" s="7">
        <v>10134.78</v>
      </c>
      <c r="G6961">
        <v>0</v>
      </c>
      <c r="H6961" s="7">
        <v>0</v>
      </c>
    </row>
    <row r="6962" spans="1:8">
      <c r="A6962">
        <v>6</v>
      </c>
      <c r="B6962" t="s">
        <v>42</v>
      </c>
      <c r="C6962" t="s">
        <v>34</v>
      </c>
      <c r="D6962">
        <v>0</v>
      </c>
      <c r="E6962">
        <v>1</v>
      </c>
      <c r="F6962" s="7">
        <v>15093.73</v>
      </c>
      <c r="G6962">
        <v>0</v>
      </c>
      <c r="H6962" s="7">
        <v>0</v>
      </c>
    </row>
    <row r="6963" spans="1:8">
      <c r="A6963">
        <v>6</v>
      </c>
      <c r="B6963" t="s">
        <v>42</v>
      </c>
      <c r="C6963" t="s">
        <v>33</v>
      </c>
      <c r="D6963">
        <v>0</v>
      </c>
      <c r="E6963">
        <v>1</v>
      </c>
      <c r="F6963" s="7">
        <v>4786.79</v>
      </c>
      <c r="G6963">
        <v>0</v>
      </c>
      <c r="H6963" s="7">
        <v>0</v>
      </c>
    </row>
    <row r="6964" spans="1:8">
      <c r="A6964">
        <v>6</v>
      </c>
      <c r="B6964" t="s">
        <v>42</v>
      </c>
      <c r="C6964" t="s">
        <v>34</v>
      </c>
      <c r="D6964">
        <v>0</v>
      </c>
      <c r="E6964">
        <v>1</v>
      </c>
      <c r="F6964" s="7">
        <v>11675.92</v>
      </c>
      <c r="G6964">
        <v>0</v>
      </c>
      <c r="H6964" s="7">
        <v>0</v>
      </c>
    </row>
    <row r="6965" spans="1:8">
      <c r="A6965">
        <v>6</v>
      </c>
      <c r="B6965" t="s">
        <v>42</v>
      </c>
      <c r="C6965" t="s">
        <v>33</v>
      </c>
      <c r="D6965">
        <v>0</v>
      </c>
      <c r="E6965">
        <v>1</v>
      </c>
      <c r="F6965" s="7">
        <v>2022.78</v>
      </c>
      <c r="G6965">
        <v>0</v>
      </c>
      <c r="H6965" s="7">
        <v>0</v>
      </c>
    </row>
    <row r="6966" spans="1:8">
      <c r="A6966">
        <v>6</v>
      </c>
      <c r="B6966" t="s">
        <v>42</v>
      </c>
      <c r="C6966" t="s">
        <v>33</v>
      </c>
      <c r="D6966">
        <v>0</v>
      </c>
      <c r="E6966">
        <v>1</v>
      </c>
      <c r="F6966" s="7">
        <v>5055.67</v>
      </c>
      <c r="G6966">
        <v>0</v>
      </c>
      <c r="H6966" s="7">
        <v>0</v>
      </c>
    </row>
    <row r="6967" spans="1:8">
      <c r="A6967">
        <v>6</v>
      </c>
      <c r="B6967" t="s">
        <v>42</v>
      </c>
      <c r="C6967" t="s">
        <v>33</v>
      </c>
      <c r="D6967">
        <v>0</v>
      </c>
      <c r="E6967">
        <v>1</v>
      </c>
      <c r="F6967" s="7">
        <v>1392.66</v>
      </c>
      <c r="G6967">
        <v>0</v>
      </c>
      <c r="H6967" s="7">
        <v>0</v>
      </c>
    </row>
    <row r="6968" spans="1:8">
      <c r="A6968">
        <v>6</v>
      </c>
      <c r="B6968" t="s">
        <v>42</v>
      </c>
      <c r="C6968" t="s">
        <v>34</v>
      </c>
      <c r="D6968">
        <v>0</v>
      </c>
      <c r="E6968">
        <v>1</v>
      </c>
      <c r="F6968" s="7">
        <v>15719.2</v>
      </c>
      <c r="G6968">
        <v>0</v>
      </c>
      <c r="H6968" s="7">
        <v>0</v>
      </c>
    </row>
    <row r="6969" spans="1:8">
      <c r="A6969">
        <v>6</v>
      </c>
      <c r="B6969" t="s">
        <v>44</v>
      </c>
      <c r="C6969" t="s">
        <v>35</v>
      </c>
      <c r="D6969">
        <v>0</v>
      </c>
      <c r="E6969">
        <v>1</v>
      </c>
      <c r="F6969" s="7">
        <v>212665.96</v>
      </c>
      <c r="G6969">
        <v>0</v>
      </c>
      <c r="H6969" s="7">
        <v>0</v>
      </c>
    </row>
    <row r="6970" spans="1:8">
      <c r="A6970">
        <v>6</v>
      </c>
      <c r="B6970" t="s">
        <v>42</v>
      </c>
      <c r="C6970" t="s">
        <v>34</v>
      </c>
      <c r="D6970">
        <v>0</v>
      </c>
      <c r="E6970">
        <v>1</v>
      </c>
      <c r="F6970" s="7">
        <v>18079.63</v>
      </c>
      <c r="G6970">
        <v>0</v>
      </c>
      <c r="H6970" s="7">
        <v>0</v>
      </c>
    </row>
    <row r="6971" spans="1:8">
      <c r="A6971">
        <v>6</v>
      </c>
      <c r="B6971" t="s">
        <v>42</v>
      </c>
      <c r="C6971" t="s">
        <v>34</v>
      </c>
      <c r="D6971">
        <v>0</v>
      </c>
      <c r="E6971">
        <v>1</v>
      </c>
      <c r="F6971" s="7">
        <v>17456.35</v>
      </c>
      <c r="G6971">
        <v>0</v>
      </c>
      <c r="H6971" s="7">
        <v>0</v>
      </c>
    </row>
    <row r="6972" spans="1:8">
      <c r="A6972">
        <v>6</v>
      </c>
      <c r="B6972" t="s">
        <v>42</v>
      </c>
      <c r="C6972" t="s">
        <v>33</v>
      </c>
      <c r="D6972">
        <v>0</v>
      </c>
      <c r="E6972">
        <v>1</v>
      </c>
      <c r="F6972" s="7">
        <v>3621.47</v>
      </c>
      <c r="G6972">
        <v>0</v>
      </c>
      <c r="H6972" s="7">
        <v>0</v>
      </c>
    </row>
    <row r="6973" spans="1:8">
      <c r="A6973">
        <v>6</v>
      </c>
      <c r="B6973" t="s">
        <v>42</v>
      </c>
      <c r="C6973" t="s">
        <v>33</v>
      </c>
      <c r="D6973">
        <v>0</v>
      </c>
      <c r="E6973">
        <v>1</v>
      </c>
      <c r="F6973" s="7">
        <v>8208.25</v>
      </c>
      <c r="G6973">
        <v>0</v>
      </c>
      <c r="H6973" s="7">
        <v>0</v>
      </c>
    </row>
    <row r="6974" spans="1:8">
      <c r="A6974">
        <v>6</v>
      </c>
      <c r="B6974" t="s">
        <v>43</v>
      </c>
      <c r="C6974" t="s">
        <v>35</v>
      </c>
      <c r="D6974">
        <v>0</v>
      </c>
      <c r="E6974">
        <v>1</v>
      </c>
      <c r="F6974" s="7">
        <v>250371.89</v>
      </c>
      <c r="G6974">
        <v>0</v>
      </c>
      <c r="H6974" s="7">
        <v>0</v>
      </c>
    </row>
    <row r="6975" spans="1:8">
      <c r="A6975">
        <v>6</v>
      </c>
      <c r="B6975" t="s">
        <v>42</v>
      </c>
      <c r="C6975" t="s">
        <v>33</v>
      </c>
      <c r="D6975">
        <v>0</v>
      </c>
      <c r="E6975">
        <v>1</v>
      </c>
      <c r="F6975" s="7">
        <v>9524.45</v>
      </c>
      <c r="G6975">
        <v>0</v>
      </c>
      <c r="H6975" s="7">
        <v>0</v>
      </c>
    </row>
    <row r="6976" spans="1:8">
      <c r="A6976">
        <v>6</v>
      </c>
      <c r="B6976" t="s">
        <v>42</v>
      </c>
      <c r="C6976" t="s">
        <v>34</v>
      </c>
      <c r="D6976">
        <v>0</v>
      </c>
      <c r="E6976">
        <v>1</v>
      </c>
      <c r="F6976" s="7">
        <v>12586.69</v>
      </c>
      <c r="G6976">
        <v>0</v>
      </c>
      <c r="H6976" s="7">
        <v>0</v>
      </c>
    </row>
    <row r="6977" spans="1:8">
      <c r="A6977">
        <v>6</v>
      </c>
      <c r="B6977" t="s">
        <v>42</v>
      </c>
      <c r="C6977" t="s">
        <v>34</v>
      </c>
      <c r="D6977">
        <v>0</v>
      </c>
      <c r="E6977">
        <v>1</v>
      </c>
      <c r="F6977" s="7">
        <v>38874.87</v>
      </c>
      <c r="G6977">
        <v>0</v>
      </c>
      <c r="H6977" s="7">
        <v>0</v>
      </c>
    </row>
    <row r="6978" spans="1:8">
      <c r="A6978">
        <v>6</v>
      </c>
      <c r="B6978" t="s">
        <v>42</v>
      </c>
      <c r="C6978" t="s">
        <v>34</v>
      </c>
      <c r="D6978">
        <v>0</v>
      </c>
      <c r="E6978">
        <v>1</v>
      </c>
      <c r="F6978" s="7">
        <v>17658.97</v>
      </c>
      <c r="G6978">
        <v>0</v>
      </c>
      <c r="H6978" s="7">
        <v>0</v>
      </c>
    </row>
    <row r="6979" spans="1:8">
      <c r="A6979">
        <v>6</v>
      </c>
      <c r="B6979" t="s">
        <v>42</v>
      </c>
      <c r="C6979" t="s">
        <v>32</v>
      </c>
      <c r="D6979">
        <v>0</v>
      </c>
      <c r="E6979">
        <v>1</v>
      </c>
      <c r="F6979" s="7">
        <v>103.64</v>
      </c>
      <c r="G6979">
        <v>0</v>
      </c>
      <c r="H6979" s="7">
        <v>0</v>
      </c>
    </row>
    <row r="6980" spans="1:8">
      <c r="A6980">
        <v>6</v>
      </c>
      <c r="B6980" t="s">
        <v>42</v>
      </c>
      <c r="C6980" t="s">
        <v>33</v>
      </c>
      <c r="D6980">
        <v>0</v>
      </c>
      <c r="E6980">
        <v>1</v>
      </c>
      <c r="F6980" s="7">
        <v>5691.85</v>
      </c>
      <c r="G6980">
        <v>0</v>
      </c>
      <c r="H6980" s="7">
        <v>0</v>
      </c>
    </row>
    <row r="6981" spans="1:8">
      <c r="A6981">
        <v>6</v>
      </c>
      <c r="B6981" t="s">
        <v>42</v>
      </c>
      <c r="C6981" t="s">
        <v>32</v>
      </c>
      <c r="D6981">
        <v>0</v>
      </c>
      <c r="E6981">
        <v>1</v>
      </c>
      <c r="F6981" s="7">
        <v>128.03</v>
      </c>
      <c r="G6981">
        <v>0</v>
      </c>
      <c r="H6981" s="7">
        <v>0</v>
      </c>
    </row>
    <row r="6982" spans="1:8">
      <c r="A6982">
        <v>6</v>
      </c>
      <c r="B6982" t="s">
        <v>42</v>
      </c>
      <c r="C6982" t="s">
        <v>34</v>
      </c>
      <c r="D6982">
        <v>0</v>
      </c>
      <c r="E6982">
        <v>1</v>
      </c>
      <c r="F6982" s="7">
        <v>25885.94</v>
      </c>
      <c r="G6982">
        <v>0</v>
      </c>
      <c r="H6982" s="7">
        <v>0</v>
      </c>
    </row>
    <row r="6983" spans="1:8">
      <c r="A6983">
        <v>6</v>
      </c>
      <c r="B6983" t="s">
        <v>43</v>
      </c>
      <c r="C6983" t="s">
        <v>35</v>
      </c>
      <c r="D6983">
        <v>0</v>
      </c>
      <c r="E6983">
        <v>1</v>
      </c>
      <c r="F6983" s="7">
        <v>340936.73</v>
      </c>
      <c r="G6983">
        <v>0</v>
      </c>
      <c r="H6983" s="7">
        <v>0</v>
      </c>
    </row>
    <row r="6984" spans="1:8">
      <c r="A6984">
        <v>6</v>
      </c>
      <c r="B6984" t="s">
        <v>42</v>
      </c>
      <c r="C6984" t="s">
        <v>33</v>
      </c>
      <c r="D6984">
        <v>0</v>
      </c>
      <c r="E6984">
        <v>1</v>
      </c>
      <c r="F6984" s="7">
        <v>5938.85</v>
      </c>
      <c r="G6984">
        <v>0</v>
      </c>
      <c r="H6984" s="7">
        <v>0</v>
      </c>
    </row>
    <row r="6985" spans="1:8">
      <c r="A6985">
        <v>6</v>
      </c>
      <c r="B6985" t="s">
        <v>42</v>
      </c>
      <c r="C6985" t="s">
        <v>34</v>
      </c>
      <c r="D6985">
        <v>0</v>
      </c>
      <c r="E6985">
        <v>1</v>
      </c>
      <c r="F6985" s="7">
        <v>36825.83</v>
      </c>
      <c r="G6985">
        <v>0</v>
      </c>
      <c r="H6985" s="7">
        <v>0</v>
      </c>
    </row>
    <row r="6986" spans="1:8">
      <c r="A6986">
        <v>6</v>
      </c>
      <c r="B6986" t="s">
        <v>42</v>
      </c>
      <c r="C6986" t="s">
        <v>33</v>
      </c>
      <c r="D6986">
        <v>0</v>
      </c>
      <c r="E6986">
        <v>1</v>
      </c>
      <c r="F6986" s="7">
        <v>1035.3</v>
      </c>
      <c r="G6986">
        <v>0</v>
      </c>
      <c r="H6986" s="7">
        <v>0</v>
      </c>
    </row>
    <row r="6987" spans="1:8">
      <c r="A6987">
        <v>6</v>
      </c>
      <c r="B6987" t="s">
        <v>42</v>
      </c>
      <c r="C6987" t="s">
        <v>33</v>
      </c>
      <c r="D6987">
        <v>0</v>
      </c>
      <c r="E6987">
        <v>1</v>
      </c>
      <c r="F6987" s="7">
        <v>1144.61</v>
      </c>
      <c r="G6987">
        <v>0</v>
      </c>
      <c r="H6987" s="7">
        <v>0</v>
      </c>
    </row>
    <row r="6988" spans="1:8">
      <c r="A6988">
        <v>6</v>
      </c>
      <c r="B6988" t="s">
        <v>42</v>
      </c>
      <c r="C6988" t="s">
        <v>34</v>
      </c>
      <c r="D6988">
        <v>0</v>
      </c>
      <c r="E6988">
        <v>1</v>
      </c>
      <c r="F6988" s="7">
        <v>10626.74</v>
      </c>
      <c r="G6988">
        <v>0</v>
      </c>
      <c r="H6988" s="7">
        <v>0</v>
      </c>
    </row>
    <row r="6989" spans="1:8">
      <c r="A6989">
        <v>6</v>
      </c>
      <c r="B6989" t="s">
        <v>42</v>
      </c>
      <c r="C6989" t="s">
        <v>33</v>
      </c>
      <c r="D6989">
        <v>0</v>
      </c>
      <c r="E6989">
        <v>1</v>
      </c>
      <c r="F6989" s="7">
        <v>7163.87</v>
      </c>
      <c r="G6989">
        <v>0</v>
      </c>
      <c r="H6989" s="7">
        <v>0</v>
      </c>
    </row>
    <row r="6990" spans="1:8">
      <c r="A6990">
        <v>6</v>
      </c>
      <c r="B6990" t="s">
        <v>42</v>
      </c>
      <c r="C6990" t="s">
        <v>33</v>
      </c>
      <c r="D6990">
        <v>0</v>
      </c>
      <c r="E6990">
        <v>1</v>
      </c>
      <c r="F6990" s="7">
        <v>9133.33</v>
      </c>
      <c r="G6990">
        <v>0</v>
      </c>
      <c r="H6990" s="7">
        <v>0</v>
      </c>
    </row>
    <row r="6991" spans="1:8">
      <c r="A6991">
        <v>6</v>
      </c>
      <c r="B6991" t="s">
        <v>44</v>
      </c>
      <c r="C6991" t="s">
        <v>34</v>
      </c>
      <c r="D6991">
        <v>0</v>
      </c>
      <c r="E6991">
        <v>1</v>
      </c>
      <c r="F6991" s="7">
        <v>47097.56</v>
      </c>
      <c r="G6991">
        <v>0</v>
      </c>
      <c r="H6991" s="7">
        <v>0</v>
      </c>
    </row>
    <row r="6992" spans="1:8">
      <c r="A6992">
        <v>6</v>
      </c>
      <c r="B6992" t="s">
        <v>44</v>
      </c>
      <c r="C6992" t="s">
        <v>35</v>
      </c>
      <c r="D6992">
        <v>0</v>
      </c>
      <c r="E6992">
        <v>1</v>
      </c>
      <c r="F6992" s="7">
        <v>284467.43</v>
      </c>
      <c r="G6992">
        <v>0</v>
      </c>
      <c r="H6992" s="7">
        <v>0</v>
      </c>
    </row>
    <row r="6993" spans="1:8">
      <c r="A6993">
        <v>6</v>
      </c>
      <c r="B6993" t="s">
        <v>44</v>
      </c>
      <c r="C6993" t="s">
        <v>35</v>
      </c>
      <c r="D6993">
        <v>0</v>
      </c>
      <c r="E6993">
        <v>1</v>
      </c>
      <c r="F6993" s="7">
        <v>559782.41</v>
      </c>
      <c r="G6993">
        <v>0</v>
      </c>
      <c r="H6993" s="7">
        <v>0</v>
      </c>
    </row>
    <row r="6994" spans="1:8">
      <c r="A6994">
        <v>6</v>
      </c>
      <c r="B6994" t="s">
        <v>44</v>
      </c>
      <c r="C6994" t="s">
        <v>35</v>
      </c>
      <c r="D6994">
        <v>0</v>
      </c>
      <c r="E6994">
        <v>1</v>
      </c>
      <c r="F6994" s="7">
        <v>274475.45</v>
      </c>
      <c r="G6994">
        <v>0</v>
      </c>
      <c r="H6994" s="7">
        <v>0</v>
      </c>
    </row>
    <row r="6995" spans="1:8">
      <c r="A6995">
        <v>6</v>
      </c>
      <c r="B6995" t="s">
        <v>44</v>
      </c>
      <c r="C6995" t="s">
        <v>35</v>
      </c>
      <c r="D6995">
        <v>0</v>
      </c>
      <c r="E6995">
        <v>1</v>
      </c>
      <c r="F6995" s="7">
        <v>181231.33</v>
      </c>
      <c r="G6995">
        <v>0</v>
      </c>
      <c r="H6995" s="7">
        <v>0</v>
      </c>
    </row>
    <row r="6996" spans="1:8">
      <c r="A6996">
        <v>6</v>
      </c>
      <c r="B6996" t="s">
        <v>44</v>
      </c>
      <c r="C6996" t="s">
        <v>35</v>
      </c>
      <c r="D6996">
        <v>0</v>
      </c>
      <c r="E6996">
        <v>1</v>
      </c>
      <c r="F6996" s="7">
        <v>264351</v>
      </c>
      <c r="G6996">
        <v>0</v>
      </c>
      <c r="H6996" s="7">
        <v>0</v>
      </c>
    </row>
    <row r="6997" spans="1:8">
      <c r="A6997">
        <v>6</v>
      </c>
      <c r="B6997" t="s">
        <v>44</v>
      </c>
      <c r="C6997" t="s">
        <v>35</v>
      </c>
      <c r="D6997">
        <v>0</v>
      </c>
      <c r="E6997">
        <v>1</v>
      </c>
      <c r="F6997" s="7">
        <v>193896.28</v>
      </c>
      <c r="G6997">
        <v>0</v>
      </c>
      <c r="H6997" s="7">
        <v>0</v>
      </c>
    </row>
    <row r="6998" spans="1:8">
      <c r="A6998">
        <v>6</v>
      </c>
      <c r="B6998" t="s">
        <v>44</v>
      </c>
      <c r="C6998" t="s">
        <v>35</v>
      </c>
      <c r="D6998">
        <v>0</v>
      </c>
      <c r="E6998">
        <v>1</v>
      </c>
      <c r="F6998" s="7">
        <v>292220.17</v>
      </c>
      <c r="G6998">
        <v>0</v>
      </c>
      <c r="H6998" s="7">
        <v>0</v>
      </c>
    </row>
    <row r="6999" spans="1:8">
      <c r="A6999">
        <v>6</v>
      </c>
      <c r="B6999" t="s">
        <v>44</v>
      </c>
      <c r="C6999" t="s">
        <v>35</v>
      </c>
      <c r="D6999">
        <v>0</v>
      </c>
      <c r="E6999">
        <v>1</v>
      </c>
      <c r="F6999" s="7">
        <v>102210.04</v>
      </c>
      <c r="G6999">
        <v>0</v>
      </c>
      <c r="H6999" s="7">
        <v>0</v>
      </c>
    </row>
    <row r="7000" spans="1:8">
      <c r="A7000">
        <v>6</v>
      </c>
      <c r="B7000" t="s">
        <v>44</v>
      </c>
      <c r="C7000" t="s">
        <v>35</v>
      </c>
      <c r="D7000">
        <v>0</v>
      </c>
      <c r="E7000">
        <v>1</v>
      </c>
      <c r="F7000" s="7">
        <v>376400.31</v>
      </c>
      <c r="G7000">
        <v>0</v>
      </c>
      <c r="H7000" s="7">
        <v>0</v>
      </c>
    </row>
    <row r="7001" spans="1:8">
      <c r="A7001">
        <v>6</v>
      </c>
      <c r="B7001" t="s">
        <v>44</v>
      </c>
      <c r="C7001" t="s">
        <v>35</v>
      </c>
      <c r="D7001">
        <v>0</v>
      </c>
      <c r="E7001">
        <v>1</v>
      </c>
      <c r="F7001" s="7">
        <v>273119.31</v>
      </c>
      <c r="G7001">
        <v>0</v>
      </c>
      <c r="H7001" s="7">
        <v>0</v>
      </c>
    </row>
    <row r="7002" spans="1:8">
      <c r="A7002">
        <v>6</v>
      </c>
      <c r="B7002" t="s">
        <v>44</v>
      </c>
      <c r="C7002" t="s">
        <v>34</v>
      </c>
      <c r="D7002">
        <v>0</v>
      </c>
      <c r="E7002">
        <v>1</v>
      </c>
      <c r="F7002" s="7">
        <v>97771.23</v>
      </c>
      <c r="G7002">
        <v>0</v>
      </c>
      <c r="H7002" s="7">
        <v>0</v>
      </c>
    </row>
    <row r="7003" spans="1:8">
      <c r="A7003">
        <v>6</v>
      </c>
      <c r="B7003" t="s">
        <v>44</v>
      </c>
      <c r="C7003" t="s">
        <v>35</v>
      </c>
      <c r="D7003">
        <v>0</v>
      </c>
      <c r="E7003">
        <v>1</v>
      </c>
      <c r="F7003" s="7">
        <v>129717.52</v>
      </c>
      <c r="G7003">
        <v>0</v>
      </c>
      <c r="H7003" s="7">
        <v>0</v>
      </c>
    </row>
    <row r="7004" spans="1:8">
      <c r="A7004">
        <v>6</v>
      </c>
      <c r="B7004" t="s">
        <v>42</v>
      </c>
      <c r="C7004" t="s">
        <v>34</v>
      </c>
      <c r="D7004">
        <v>0</v>
      </c>
      <c r="E7004">
        <v>1</v>
      </c>
      <c r="F7004" s="7">
        <v>20452.81</v>
      </c>
      <c r="G7004">
        <v>0</v>
      </c>
      <c r="H7004" s="7">
        <v>0</v>
      </c>
    </row>
    <row r="7005" spans="1:8">
      <c r="A7005">
        <v>6</v>
      </c>
      <c r="B7005" t="s">
        <v>42</v>
      </c>
      <c r="C7005" t="s">
        <v>34</v>
      </c>
      <c r="D7005">
        <v>0</v>
      </c>
      <c r="E7005">
        <v>1</v>
      </c>
      <c r="F7005" s="7">
        <v>13407.42</v>
      </c>
      <c r="G7005">
        <v>0</v>
      </c>
      <c r="H7005" s="7">
        <v>0</v>
      </c>
    </row>
    <row r="7006" spans="1:8">
      <c r="A7006">
        <v>6</v>
      </c>
      <c r="B7006" t="s">
        <v>42</v>
      </c>
      <c r="C7006" t="s">
        <v>34</v>
      </c>
      <c r="D7006">
        <v>0</v>
      </c>
      <c r="E7006">
        <v>1</v>
      </c>
      <c r="F7006" s="7">
        <v>43728.01</v>
      </c>
      <c r="G7006">
        <v>0</v>
      </c>
      <c r="H7006" s="7">
        <v>0</v>
      </c>
    </row>
    <row r="7007" spans="1:8">
      <c r="A7007">
        <v>6</v>
      </c>
      <c r="B7007" t="s">
        <v>42</v>
      </c>
      <c r="C7007" t="s">
        <v>33</v>
      </c>
      <c r="D7007">
        <v>0</v>
      </c>
      <c r="E7007">
        <v>1</v>
      </c>
      <c r="F7007" s="7">
        <v>8953.88</v>
      </c>
      <c r="G7007">
        <v>0</v>
      </c>
      <c r="H7007" s="7">
        <v>0</v>
      </c>
    </row>
    <row r="7008" spans="1:8">
      <c r="A7008">
        <v>6</v>
      </c>
      <c r="B7008" t="s">
        <v>43</v>
      </c>
      <c r="C7008" t="s">
        <v>34</v>
      </c>
      <c r="D7008">
        <v>1</v>
      </c>
      <c r="E7008">
        <v>1</v>
      </c>
      <c r="F7008" s="7">
        <v>10224</v>
      </c>
      <c r="G7008">
        <v>1</v>
      </c>
      <c r="H7008" s="7">
        <v>10224</v>
      </c>
    </row>
    <row r="7009" spans="1:8">
      <c r="A7009">
        <v>6</v>
      </c>
      <c r="B7009" t="s">
        <v>44</v>
      </c>
      <c r="C7009" t="s">
        <v>34</v>
      </c>
      <c r="D7009">
        <v>1</v>
      </c>
      <c r="E7009">
        <v>1</v>
      </c>
      <c r="F7009" s="7">
        <v>10224</v>
      </c>
      <c r="G7009">
        <v>1</v>
      </c>
      <c r="H7009" s="7">
        <v>10224</v>
      </c>
    </row>
    <row r="7010" spans="1:8">
      <c r="A7010">
        <v>6</v>
      </c>
      <c r="B7010" t="s">
        <v>42</v>
      </c>
      <c r="C7010" t="s">
        <v>34</v>
      </c>
      <c r="D7010">
        <v>0</v>
      </c>
      <c r="E7010">
        <v>1</v>
      </c>
      <c r="F7010" s="7">
        <v>25580.96</v>
      </c>
      <c r="G7010">
        <v>0</v>
      </c>
      <c r="H7010" s="7">
        <v>0</v>
      </c>
    </row>
    <row r="7011" spans="1:8">
      <c r="A7011">
        <v>6</v>
      </c>
      <c r="B7011" t="s">
        <v>42</v>
      </c>
      <c r="C7011" t="s">
        <v>34</v>
      </c>
      <c r="D7011">
        <v>0</v>
      </c>
      <c r="E7011">
        <v>1</v>
      </c>
      <c r="F7011" s="7">
        <v>18799.27</v>
      </c>
      <c r="G7011">
        <v>0</v>
      </c>
      <c r="H7011" s="7">
        <v>0</v>
      </c>
    </row>
    <row r="7012" spans="1:8">
      <c r="A7012">
        <v>6</v>
      </c>
      <c r="B7012" t="s">
        <v>45</v>
      </c>
      <c r="C7012" t="s">
        <v>33</v>
      </c>
      <c r="D7012">
        <v>0</v>
      </c>
      <c r="E7012">
        <v>1</v>
      </c>
      <c r="F7012" s="7">
        <v>2411.42</v>
      </c>
      <c r="G7012">
        <v>0</v>
      </c>
      <c r="H7012" s="7">
        <v>0</v>
      </c>
    </row>
    <row r="7013" spans="1:8">
      <c r="A7013">
        <v>6</v>
      </c>
      <c r="B7013" t="s">
        <v>42</v>
      </c>
      <c r="C7013" t="s">
        <v>32</v>
      </c>
      <c r="D7013">
        <v>0</v>
      </c>
      <c r="E7013">
        <v>1</v>
      </c>
      <c r="F7013" s="7">
        <v>273.61</v>
      </c>
      <c r="G7013">
        <v>0</v>
      </c>
      <c r="H7013" s="7">
        <v>0</v>
      </c>
    </row>
    <row r="7014" spans="1:8">
      <c r="A7014">
        <v>6</v>
      </c>
      <c r="B7014" t="s">
        <v>42</v>
      </c>
      <c r="C7014" t="s">
        <v>34</v>
      </c>
      <c r="D7014">
        <v>0</v>
      </c>
      <c r="E7014">
        <v>1</v>
      </c>
      <c r="F7014" s="7">
        <v>39268.73</v>
      </c>
      <c r="G7014">
        <v>0</v>
      </c>
      <c r="H7014" s="7">
        <v>0</v>
      </c>
    </row>
    <row r="7015" spans="1:8">
      <c r="A7015">
        <v>6</v>
      </c>
      <c r="B7015" t="s">
        <v>45</v>
      </c>
      <c r="C7015" t="s">
        <v>33</v>
      </c>
      <c r="D7015">
        <v>0</v>
      </c>
      <c r="E7015">
        <v>1</v>
      </c>
      <c r="F7015" s="7">
        <v>7374.81</v>
      </c>
      <c r="G7015">
        <v>0</v>
      </c>
      <c r="H7015" s="7">
        <v>0</v>
      </c>
    </row>
    <row r="7016" spans="1:8">
      <c r="A7016">
        <v>6</v>
      </c>
      <c r="B7016" t="s">
        <v>42</v>
      </c>
      <c r="C7016" t="s">
        <v>33</v>
      </c>
      <c r="D7016">
        <v>0</v>
      </c>
      <c r="E7016">
        <v>1</v>
      </c>
      <c r="F7016" s="7">
        <v>1559.81</v>
      </c>
      <c r="G7016">
        <v>0</v>
      </c>
      <c r="H7016" s="7">
        <v>0</v>
      </c>
    </row>
    <row r="7017" spans="1:8">
      <c r="A7017">
        <v>6</v>
      </c>
      <c r="B7017" t="s">
        <v>42</v>
      </c>
      <c r="C7017" t="s">
        <v>33</v>
      </c>
      <c r="D7017">
        <v>0</v>
      </c>
      <c r="E7017">
        <v>1</v>
      </c>
      <c r="F7017" s="7">
        <v>3626.07</v>
      </c>
      <c r="G7017">
        <v>0</v>
      </c>
      <c r="H7017" s="7">
        <v>0</v>
      </c>
    </row>
    <row r="7018" spans="1:8">
      <c r="A7018">
        <v>6</v>
      </c>
      <c r="B7018" t="s">
        <v>42</v>
      </c>
      <c r="C7018" t="s">
        <v>33</v>
      </c>
      <c r="D7018">
        <v>0</v>
      </c>
      <c r="E7018">
        <v>1</v>
      </c>
      <c r="F7018" s="7">
        <v>7185.9</v>
      </c>
      <c r="G7018">
        <v>0</v>
      </c>
      <c r="H7018" s="7">
        <v>0</v>
      </c>
    </row>
    <row r="7019" spans="1:8">
      <c r="A7019">
        <v>6</v>
      </c>
      <c r="B7019" t="s">
        <v>43</v>
      </c>
      <c r="C7019" t="s">
        <v>35</v>
      </c>
      <c r="D7019">
        <v>0</v>
      </c>
      <c r="E7019">
        <v>1</v>
      </c>
      <c r="F7019" s="7">
        <v>102145.81</v>
      </c>
      <c r="G7019">
        <v>0</v>
      </c>
      <c r="H7019" s="7">
        <v>0</v>
      </c>
    </row>
    <row r="7020" spans="1:8">
      <c r="A7020">
        <v>6</v>
      </c>
      <c r="B7020" t="s">
        <v>43</v>
      </c>
      <c r="C7020" t="s">
        <v>35</v>
      </c>
      <c r="D7020">
        <v>0</v>
      </c>
      <c r="E7020">
        <v>1</v>
      </c>
      <c r="F7020" s="7">
        <v>330262.78</v>
      </c>
      <c r="G7020">
        <v>0</v>
      </c>
      <c r="H7020" s="7">
        <v>0</v>
      </c>
    </row>
    <row r="7021" spans="1:8">
      <c r="A7021">
        <v>6</v>
      </c>
      <c r="B7021" t="s">
        <v>42</v>
      </c>
      <c r="C7021" t="s">
        <v>34</v>
      </c>
      <c r="D7021">
        <v>0</v>
      </c>
      <c r="E7021">
        <v>1</v>
      </c>
      <c r="F7021" s="7">
        <v>20669.8</v>
      </c>
      <c r="G7021">
        <v>0</v>
      </c>
      <c r="H7021" s="7">
        <v>0</v>
      </c>
    </row>
    <row r="7022" spans="1:8">
      <c r="A7022">
        <v>6</v>
      </c>
      <c r="B7022" t="s">
        <v>42</v>
      </c>
      <c r="C7022" t="s">
        <v>33</v>
      </c>
      <c r="D7022">
        <v>0</v>
      </c>
      <c r="E7022">
        <v>1</v>
      </c>
      <c r="F7022" s="7">
        <v>2689.41</v>
      </c>
      <c r="G7022">
        <v>0</v>
      </c>
      <c r="H7022" s="7">
        <v>0</v>
      </c>
    </row>
    <row r="7023" spans="1:8">
      <c r="A7023">
        <v>6</v>
      </c>
      <c r="B7023" t="s">
        <v>42</v>
      </c>
      <c r="C7023" t="s">
        <v>33</v>
      </c>
      <c r="D7023">
        <v>0</v>
      </c>
      <c r="E7023">
        <v>1</v>
      </c>
      <c r="F7023" s="7">
        <v>7712.29</v>
      </c>
      <c r="G7023">
        <v>0</v>
      </c>
      <c r="H7023" s="7">
        <v>0</v>
      </c>
    </row>
    <row r="7024" spans="1:8">
      <c r="A7024">
        <v>6</v>
      </c>
      <c r="B7024" t="s">
        <v>43</v>
      </c>
      <c r="C7024" t="s">
        <v>35</v>
      </c>
      <c r="D7024">
        <v>0</v>
      </c>
      <c r="E7024">
        <v>1</v>
      </c>
      <c r="F7024" s="7">
        <v>211207.36</v>
      </c>
      <c r="G7024">
        <v>0</v>
      </c>
      <c r="H7024" s="7">
        <v>0</v>
      </c>
    </row>
    <row r="7025" spans="1:8">
      <c r="A7025">
        <v>6</v>
      </c>
      <c r="B7025" t="s">
        <v>43</v>
      </c>
      <c r="C7025" t="s">
        <v>34</v>
      </c>
      <c r="D7025">
        <v>0</v>
      </c>
      <c r="E7025">
        <v>1</v>
      </c>
      <c r="F7025" s="7">
        <v>93296.5</v>
      </c>
      <c r="G7025">
        <v>0</v>
      </c>
      <c r="H7025" s="7">
        <v>0</v>
      </c>
    </row>
    <row r="7026" spans="1:8">
      <c r="A7026">
        <v>6</v>
      </c>
      <c r="B7026" t="s">
        <v>42</v>
      </c>
      <c r="C7026" t="s">
        <v>33</v>
      </c>
      <c r="D7026">
        <v>0</v>
      </c>
      <c r="E7026">
        <v>1</v>
      </c>
      <c r="F7026" s="7">
        <v>2247.29</v>
      </c>
      <c r="G7026">
        <v>0</v>
      </c>
      <c r="H7026" s="7">
        <v>0</v>
      </c>
    </row>
    <row r="7027" spans="1:8">
      <c r="A7027">
        <v>6</v>
      </c>
      <c r="B7027" t="s">
        <v>42</v>
      </c>
      <c r="C7027" t="s">
        <v>34</v>
      </c>
      <c r="D7027">
        <v>0</v>
      </c>
      <c r="E7027">
        <v>1</v>
      </c>
      <c r="F7027" s="7">
        <v>13203.01</v>
      </c>
      <c r="G7027">
        <v>0</v>
      </c>
      <c r="H7027" s="7">
        <v>0</v>
      </c>
    </row>
    <row r="7028" spans="1:8">
      <c r="A7028">
        <v>6</v>
      </c>
      <c r="B7028" t="s">
        <v>43</v>
      </c>
      <c r="C7028" t="s">
        <v>35</v>
      </c>
      <c r="D7028">
        <v>0</v>
      </c>
      <c r="E7028">
        <v>1</v>
      </c>
      <c r="F7028" s="7">
        <v>111691.03</v>
      </c>
      <c r="G7028">
        <v>0</v>
      </c>
      <c r="H7028" s="7">
        <v>0</v>
      </c>
    </row>
    <row r="7029" spans="1:8">
      <c r="A7029">
        <v>6</v>
      </c>
      <c r="B7029" t="s">
        <v>44</v>
      </c>
      <c r="C7029" t="s">
        <v>35</v>
      </c>
      <c r="D7029">
        <v>0</v>
      </c>
      <c r="E7029">
        <v>1</v>
      </c>
      <c r="F7029" s="7">
        <v>343046.11</v>
      </c>
      <c r="G7029">
        <v>0</v>
      </c>
      <c r="H7029" s="7">
        <v>0</v>
      </c>
    </row>
    <row r="7030" spans="1:8">
      <c r="A7030">
        <v>6</v>
      </c>
      <c r="B7030" t="s">
        <v>42</v>
      </c>
      <c r="C7030" t="s">
        <v>34</v>
      </c>
      <c r="D7030">
        <v>0</v>
      </c>
      <c r="E7030">
        <v>1</v>
      </c>
      <c r="F7030" s="7">
        <v>13048.61</v>
      </c>
      <c r="G7030">
        <v>0</v>
      </c>
      <c r="H7030" s="7">
        <v>0</v>
      </c>
    </row>
    <row r="7031" spans="1:8">
      <c r="A7031">
        <v>6</v>
      </c>
      <c r="B7031" t="s">
        <v>44</v>
      </c>
      <c r="C7031" t="s">
        <v>35</v>
      </c>
      <c r="D7031">
        <v>0</v>
      </c>
      <c r="E7031">
        <v>1</v>
      </c>
      <c r="F7031" s="7">
        <v>205908.12</v>
      </c>
      <c r="G7031">
        <v>0</v>
      </c>
      <c r="H7031" s="7">
        <v>0</v>
      </c>
    </row>
    <row r="7032" spans="1:8">
      <c r="A7032">
        <v>6</v>
      </c>
      <c r="B7032" t="s">
        <v>42</v>
      </c>
      <c r="C7032" t="s">
        <v>33</v>
      </c>
      <c r="D7032">
        <v>0</v>
      </c>
      <c r="E7032">
        <v>1</v>
      </c>
      <c r="F7032" s="7">
        <v>1813.39</v>
      </c>
      <c r="G7032">
        <v>0</v>
      </c>
      <c r="H7032" s="7">
        <v>0</v>
      </c>
    </row>
    <row r="7033" spans="1:8">
      <c r="A7033">
        <v>6</v>
      </c>
      <c r="B7033" t="s">
        <v>42</v>
      </c>
      <c r="C7033" t="s">
        <v>33</v>
      </c>
      <c r="D7033">
        <v>0</v>
      </c>
      <c r="E7033">
        <v>1</v>
      </c>
      <c r="F7033" s="7">
        <v>7515.48</v>
      </c>
      <c r="G7033">
        <v>0</v>
      </c>
      <c r="H7033" s="7">
        <v>0</v>
      </c>
    </row>
    <row r="7034" spans="1:8">
      <c r="A7034">
        <v>6</v>
      </c>
      <c r="B7034" t="s">
        <v>42</v>
      </c>
      <c r="C7034" t="s">
        <v>33</v>
      </c>
      <c r="D7034">
        <v>0</v>
      </c>
      <c r="E7034">
        <v>1</v>
      </c>
      <c r="F7034" s="7">
        <v>6920.66</v>
      </c>
      <c r="G7034">
        <v>0</v>
      </c>
      <c r="H7034" s="7">
        <v>0</v>
      </c>
    </row>
    <row r="7035" spans="1:8">
      <c r="A7035">
        <v>6</v>
      </c>
      <c r="B7035" t="s">
        <v>43</v>
      </c>
      <c r="C7035" t="s">
        <v>34</v>
      </c>
      <c r="D7035">
        <v>1</v>
      </c>
      <c r="E7035">
        <v>1</v>
      </c>
      <c r="F7035" s="7">
        <v>85354.69</v>
      </c>
      <c r="G7035">
        <v>1</v>
      </c>
      <c r="H7035" s="7">
        <v>85354.69</v>
      </c>
    </row>
    <row r="7036" spans="1:8">
      <c r="A7036">
        <v>6</v>
      </c>
      <c r="B7036" t="s">
        <v>44</v>
      </c>
      <c r="C7036" t="s">
        <v>34</v>
      </c>
      <c r="D7036">
        <v>1</v>
      </c>
      <c r="E7036">
        <v>1</v>
      </c>
      <c r="F7036" s="7">
        <v>85354.69</v>
      </c>
      <c r="G7036">
        <v>1</v>
      </c>
      <c r="H7036" s="7">
        <v>85354.69</v>
      </c>
    </row>
    <row r="7037" spans="1:8">
      <c r="A7037">
        <v>6</v>
      </c>
      <c r="B7037" t="s">
        <v>42</v>
      </c>
      <c r="C7037" t="s">
        <v>34</v>
      </c>
      <c r="D7037">
        <v>0</v>
      </c>
      <c r="E7037">
        <v>1</v>
      </c>
      <c r="F7037" s="7">
        <v>18591.22</v>
      </c>
      <c r="G7037">
        <v>0</v>
      </c>
      <c r="H7037" s="7">
        <v>0</v>
      </c>
    </row>
    <row r="7038" spans="1:8">
      <c r="A7038">
        <v>6</v>
      </c>
      <c r="B7038" t="s">
        <v>42</v>
      </c>
      <c r="C7038" t="s">
        <v>34</v>
      </c>
      <c r="D7038">
        <v>0</v>
      </c>
      <c r="E7038">
        <v>1</v>
      </c>
      <c r="F7038" s="7">
        <v>12028.83</v>
      </c>
      <c r="G7038">
        <v>0</v>
      </c>
      <c r="H7038" s="7">
        <v>0</v>
      </c>
    </row>
    <row r="7039" spans="1:8">
      <c r="A7039">
        <v>6</v>
      </c>
      <c r="B7039" t="s">
        <v>42</v>
      </c>
      <c r="C7039" t="s">
        <v>32</v>
      </c>
      <c r="D7039">
        <v>0</v>
      </c>
      <c r="E7039">
        <v>1</v>
      </c>
      <c r="F7039" s="7">
        <v>16.29</v>
      </c>
      <c r="G7039">
        <v>0</v>
      </c>
      <c r="H7039" s="7">
        <v>0</v>
      </c>
    </row>
    <row r="7040" spans="1:8">
      <c r="A7040">
        <v>6</v>
      </c>
      <c r="B7040" t="s">
        <v>42</v>
      </c>
      <c r="C7040" t="s">
        <v>34</v>
      </c>
      <c r="D7040">
        <v>0</v>
      </c>
      <c r="E7040">
        <v>1</v>
      </c>
      <c r="F7040" s="7">
        <v>15806.57</v>
      </c>
      <c r="G7040">
        <v>0</v>
      </c>
      <c r="H7040" s="7">
        <v>0</v>
      </c>
    </row>
    <row r="7041" spans="1:8">
      <c r="A7041">
        <v>6</v>
      </c>
      <c r="B7041" t="s">
        <v>42</v>
      </c>
      <c r="C7041" t="s">
        <v>33</v>
      </c>
      <c r="D7041">
        <v>0</v>
      </c>
      <c r="E7041">
        <v>1</v>
      </c>
      <c r="F7041" s="7">
        <v>5471.85</v>
      </c>
      <c r="G7041">
        <v>0</v>
      </c>
      <c r="H7041" s="7">
        <v>0</v>
      </c>
    </row>
    <row r="7042" spans="1:8">
      <c r="A7042">
        <v>6</v>
      </c>
      <c r="B7042" t="s">
        <v>44</v>
      </c>
      <c r="C7042" t="s">
        <v>34</v>
      </c>
      <c r="D7042">
        <v>0</v>
      </c>
      <c r="E7042">
        <v>1</v>
      </c>
      <c r="F7042" s="7">
        <v>57737.75</v>
      </c>
      <c r="G7042">
        <v>0</v>
      </c>
      <c r="H7042" s="7">
        <v>0</v>
      </c>
    </row>
    <row r="7043" spans="1:8">
      <c r="A7043">
        <v>6</v>
      </c>
      <c r="B7043" t="s">
        <v>43</v>
      </c>
      <c r="C7043" t="s">
        <v>34</v>
      </c>
      <c r="D7043">
        <v>0</v>
      </c>
      <c r="E7043">
        <v>1</v>
      </c>
      <c r="F7043" s="7">
        <v>36863.19</v>
      </c>
      <c r="G7043">
        <v>0</v>
      </c>
      <c r="H7043" s="7">
        <v>0</v>
      </c>
    </row>
    <row r="7044" spans="1:8">
      <c r="A7044">
        <v>6</v>
      </c>
      <c r="B7044" t="s">
        <v>42</v>
      </c>
      <c r="C7044" t="s">
        <v>34</v>
      </c>
      <c r="D7044">
        <v>0</v>
      </c>
      <c r="E7044">
        <v>1</v>
      </c>
      <c r="F7044" s="7">
        <v>18096.37</v>
      </c>
      <c r="G7044">
        <v>0</v>
      </c>
      <c r="H7044" s="7">
        <v>0</v>
      </c>
    </row>
    <row r="7045" spans="1:8">
      <c r="A7045">
        <v>6</v>
      </c>
      <c r="B7045" t="s">
        <v>42</v>
      </c>
      <c r="C7045" t="s">
        <v>34</v>
      </c>
      <c r="D7045">
        <v>0</v>
      </c>
      <c r="E7045">
        <v>1</v>
      </c>
      <c r="F7045" s="7">
        <v>15314.84</v>
      </c>
      <c r="G7045">
        <v>0</v>
      </c>
      <c r="H7045" s="7">
        <v>0</v>
      </c>
    </row>
    <row r="7046" spans="1:8">
      <c r="A7046">
        <v>6</v>
      </c>
      <c r="B7046" t="s">
        <v>43</v>
      </c>
      <c r="C7046" t="s">
        <v>34</v>
      </c>
      <c r="D7046">
        <v>0</v>
      </c>
      <c r="E7046">
        <v>1</v>
      </c>
      <c r="F7046" s="7">
        <v>73844.55</v>
      </c>
      <c r="G7046">
        <v>0</v>
      </c>
      <c r="H7046" s="7">
        <v>0</v>
      </c>
    </row>
    <row r="7047" spans="1:8">
      <c r="A7047">
        <v>6</v>
      </c>
      <c r="B7047" t="s">
        <v>42</v>
      </c>
      <c r="C7047" t="s">
        <v>32</v>
      </c>
      <c r="D7047">
        <v>0</v>
      </c>
      <c r="E7047">
        <v>1</v>
      </c>
      <c r="F7047" s="7">
        <v>774.43</v>
      </c>
      <c r="G7047">
        <v>0</v>
      </c>
      <c r="H7047" s="7">
        <v>0</v>
      </c>
    </row>
    <row r="7048" spans="1:8">
      <c r="A7048">
        <v>6</v>
      </c>
      <c r="B7048" t="s">
        <v>44</v>
      </c>
      <c r="C7048" t="s">
        <v>34</v>
      </c>
      <c r="D7048">
        <v>0</v>
      </c>
      <c r="E7048">
        <v>1</v>
      </c>
      <c r="F7048" s="7">
        <v>43145.46</v>
      </c>
      <c r="G7048">
        <v>0</v>
      </c>
      <c r="H7048" s="7">
        <v>0</v>
      </c>
    </row>
    <row r="7049" spans="1:8">
      <c r="A7049">
        <v>6</v>
      </c>
      <c r="B7049" t="s">
        <v>42</v>
      </c>
      <c r="C7049" t="s">
        <v>34</v>
      </c>
      <c r="D7049">
        <v>0</v>
      </c>
      <c r="E7049">
        <v>1</v>
      </c>
      <c r="F7049" s="7">
        <v>16771.05</v>
      </c>
      <c r="G7049">
        <v>0</v>
      </c>
      <c r="H7049" s="7">
        <v>0</v>
      </c>
    </row>
    <row r="7050" spans="1:8">
      <c r="A7050">
        <v>6</v>
      </c>
      <c r="B7050" t="s">
        <v>42</v>
      </c>
      <c r="C7050" t="s">
        <v>34</v>
      </c>
      <c r="D7050">
        <v>0</v>
      </c>
      <c r="E7050">
        <v>1</v>
      </c>
      <c r="F7050" s="7">
        <v>17373.62</v>
      </c>
      <c r="G7050">
        <v>0</v>
      </c>
      <c r="H7050" s="7">
        <v>0</v>
      </c>
    </row>
    <row r="7051" spans="1:8">
      <c r="A7051">
        <v>6</v>
      </c>
      <c r="B7051" t="s">
        <v>42</v>
      </c>
      <c r="C7051" t="s">
        <v>33</v>
      </c>
      <c r="D7051">
        <v>0</v>
      </c>
      <c r="E7051">
        <v>1</v>
      </c>
      <c r="F7051" s="7">
        <v>6800.9</v>
      </c>
      <c r="G7051">
        <v>0</v>
      </c>
      <c r="H7051" s="7">
        <v>0</v>
      </c>
    </row>
    <row r="7052" spans="1:8">
      <c r="A7052">
        <v>6</v>
      </c>
      <c r="B7052" t="s">
        <v>42</v>
      </c>
      <c r="C7052" t="s">
        <v>34</v>
      </c>
      <c r="D7052">
        <v>0</v>
      </c>
      <c r="E7052">
        <v>1</v>
      </c>
      <c r="F7052" s="7">
        <v>28084.57</v>
      </c>
      <c r="G7052">
        <v>0</v>
      </c>
      <c r="H7052" s="7">
        <v>0</v>
      </c>
    </row>
    <row r="7053" spans="1:8">
      <c r="A7053">
        <v>6</v>
      </c>
      <c r="B7053" t="s">
        <v>43</v>
      </c>
      <c r="C7053" t="s">
        <v>35</v>
      </c>
      <c r="D7053">
        <v>0</v>
      </c>
      <c r="E7053">
        <v>1</v>
      </c>
      <c r="F7053" s="7">
        <v>491920</v>
      </c>
      <c r="G7053">
        <v>0</v>
      </c>
      <c r="H7053" s="7">
        <v>0</v>
      </c>
    </row>
    <row r="7054" spans="1:8">
      <c r="A7054">
        <v>6</v>
      </c>
      <c r="B7054" t="s">
        <v>42</v>
      </c>
      <c r="C7054" t="s">
        <v>33</v>
      </c>
      <c r="D7054">
        <v>0</v>
      </c>
      <c r="E7054">
        <v>1</v>
      </c>
      <c r="F7054" s="7">
        <v>4115.83</v>
      </c>
      <c r="G7054">
        <v>0</v>
      </c>
      <c r="H7054" s="7">
        <v>0</v>
      </c>
    </row>
    <row r="7055" spans="1:8">
      <c r="A7055">
        <v>6</v>
      </c>
      <c r="B7055" t="s">
        <v>43</v>
      </c>
      <c r="C7055" t="s">
        <v>35</v>
      </c>
      <c r="D7055">
        <v>0</v>
      </c>
      <c r="E7055">
        <v>1</v>
      </c>
      <c r="F7055" s="7">
        <v>109865.4</v>
      </c>
      <c r="G7055">
        <v>0</v>
      </c>
      <c r="H7055" s="7">
        <v>0</v>
      </c>
    </row>
    <row r="7056" spans="1:8">
      <c r="A7056">
        <v>6</v>
      </c>
      <c r="B7056" t="s">
        <v>42</v>
      </c>
      <c r="C7056" t="s">
        <v>32</v>
      </c>
      <c r="D7056">
        <v>0</v>
      </c>
      <c r="E7056">
        <v>1</v>
      </c>
      <c r="F7056" s="7">
        <v>83.01</v>
      </c>
      <c r="G7056">
        <v>0</v>
      </c>
      <c r="H7056" s="7">
        <v>0</v>
      </c>
    </row>
    <row r="7057" spans="1:8">
      <c r="A7057">
        <v>6</v>
      </c>
      <c r="B7057" t="s">
        <v>42</v>
      </c>
      <c r="C7057" t="s">
        <v>34</v>
      </c>
      <c r="D7057">
        <v>0</v>
      </c>
      <c r="E7057">
        <v>1</v>
      </c>
      <c r="F7057" s="7">
        <v>11132.52</v>
      </c>
      <c r="G7057">
        <v>0</v>
      </c>
      <c r="H7057" s="7">
        <v>0</v>
      </c>
    </row>
    <row r="7058" spans="1:8">
      <c r="A7058">
        <v>6</v>
      </c>
      <c r="B7058" t="s">
        <v>42</v>
      </c>
      <c r="C7058" t="s">
        <v>34</v>
      </c>
      <c r="D7058">
        <v>0</v>
      </c>
      <c r="E7058">
        <v>1</v>
      </c>
      <c r="F7058" s="7">
        <v>12450.02</v>
      </c>
      <c r="G7058">
        <v>0</v>
      </c>
      <c r="H7058" s="7">
        <v>0</v>
      </c>
    </row>
    <row r="7059" spans="1:8">
      <c r="A7059">
        <v>6</v>
      </c>
      <c r="B7059" t="s">
        <v>42</v>
      </c>
      <c r="C7059" t="s">
        <v>34</v>
      </c>
      <c r="D7059">
        <v>0</v>
      </c>
      <c r="E7059">
        <v>1</v>
      </c>
      <c r="F7059" s="7">
        <v>16970.45</v>
      </c>
      <c r="G7059">
        <v>0</v>
      </c>
      <c r="H7059" s="7">
        <v>0</v>
      </c>
    </row>
    <row r="7060" spans="1:8">
      <c r="A7060">
        <v>6</v>
      </c>
      <c r="B7060" t="s">
        <v>42</v>
      </c>
      <c r="C7060" t="s">
        <v>34</v>
      </c>
      <c r="D7060">
        <v>0</v>
      </c>
      <c r="E7060">
        <v>1</v>
      </c>
      <c r="F7060" s="7">
        <v>14608.67</v>
      </c>
      <c r="G7060">
        <v>0</v>
      </c>
      <c r="H7060" s="7">
        <v>0</v>
      </c>
    </row>
    <row r="7061" spans="1:8">
      <c r="A7061">
        <v>6</v>
      </c>
      <c r="B7061" t="s">
        <v>42</v>
      </c>
      <c r="C7061" t="s">
        <v>33</v>
      </c>
      <c r="D7061">
        <v>0</v>
      </c>
      <c r="E7061">
        <v>1</v>
      </c>
      <c r="F7061" s="7">
        <v>2818.53</v>
      </c>
      <c r="G7061">
        <v>0</v>
      </c>
      <c r="H7061" s="7">
        <v>0</v>
      </c>
    </row>
    <row r="7062" spans="1:8">
      <c r="A7062">
        <v>6</v>
      </c>
      <c r="B7062" t="s">
        <v>42</v>
      </c>
      <c r="C7062" t="s">
        <v>34</v>
      </c>
      <c r="D7062">
        <v>0</v>
      </c>
      <c r="E7062">
        <v>1</v>
      </c>
      <c r="F7062" s="7">
        <v>16231.43</v>
      </c>
      <c r="G7062">
        <v>0</v>
      </c>
      <c r="H7062" s="7">
        <v>0</v>
      </c>
    </row>
    <row r="7063" spans="1:8">
      <c r="A7063">
        <v>6</v>
      </c>
      <c r="B7063" t="s">
        <v>42</v>
      </c>
      <c r="C7063" t="s">
        <v>33</v>
      </c>
      <c r="D7063">
        <v>0</v>
      </c>
      <c r="E7063">
        <v>1</v>
      </c>
      <c r="F7063" s="7">
        <v>1639.3</v>
      </c>
      <c r="G7063">
        <v>0</v>
      </c>
      <c r="H7063" s="7">
        <v>0</v>
      </c>
    </row>
    <row r="7064" spans="1:8">
      <c r="A7064">
        <v>6</v>
      </c>
      <c r="B7064" t="s">
        <v>42</v>
      </c>
      <c r="C7064" t="s">
        <v>34</v>
      </c>
      <c r="D7064">
        <v>0</v>
      </c>
      <c r="E7064">
        <v>1</v>
      </c>
      <c r="F7064" s="7">
        <v>10420.26</v>
      </c>
      <c r="G7064">
        <v>0</v>
      </c>
      <c r="H7064" s="7">
        <v>0</v>
      </c>
    </row>
    <row r="7065" spans="1:8">
      <c r="A7065">
        <v>6</v>
      </c>
      <c r="B7065" t="s">
        <v>42</v>
      </c>
      <c r="C7065" t="s">
        <v>32</v>
      </c>
      <c r="D7065">
        <v>0</v>
      </c>
      <c r="E7065">
        <v>1</v>
      </c>
      <c r="F7065" s="7">
        <v>41.93</v>
      </c>
      <c r="G7065">
        <v>0</v>
      </c>
      <c r="H7065" s="7">
        <v>0</v>
      </c>
    </row>
    <row r="7066" spans="1:8">
      <c r="A7066">
        <v>6</v>
      </c>
      <c r="B7066" t="s">
        <v>42</v>
      </c>
      <c r="C7066" t="s">
        <v>33</v>
      </c>
      <c r="D7066">
        <v>0</v>
      </c>
      <c r="E7066">
        <v>1</v>
      </c>
      <c r="F7066" s="7">
        <v>2132.75</v>
      </c>
      <c r="G7066">
        <v>0</v>
      </c>
      <c r="H7066" s="7">
        <v>0</v>
      </c>
    </row>
    <row r="7067" spans="1:8">
      <c r="A7067">
        <v>6</v>
      </c>
      <c r="B7067" t="s">
        <v>42</v>
      </c>
      <c r="C7067" t="s">
        <v>34</v>
      </c>
      <c r="D7067">
        <v>0</v>
      </c>
      <c r="E7067">
        <v>1</v>
      </c>
      <c r="F7067" s="7">
        <v>33857.1</v>
      </c>
      <c r="G7067">
        <v>0</v>
      </c>
      <c r="H7067" s="7">
        <v>0</v>
      </c>
    </row>
    <row r="7068" spans="1:8">
      <c r="A7068">
        <v>6</v>
      </c>
      <c r="B7068" t="s">
        <v>42</v>
      </c>
      <c r="C7068" t="s">
        <v>33</v>
      </c>
      <c r="D7068">
        <v>0</v>
      </c>
      <c r="E7068">
        <v>1</v>
      </c>
      <c r="F7068" s="7">
        <v>5711.32</v>
      </c>
      <c r="G7068">
        <v>0</v>
      </c>
      <c r="H7068" s="7">
        <v>0</v>
      </c>
    </row>
    <row r="7069" spans="1:8">
      <c r="A7069">
        <v>6</v>
      </c>
      <c r="B7069" t="s">
        <v>42</v>
      </c>
      <c r="C7069" t="s">
        <v>33</v>
      </c>
      <c r="D7069">
        <v>0</v>
      </c>
      <c r="E7069">
        <v>1</v>
      </c>
      <c r="F7069" s="7">
        <v>2694.66</v>
      </c>
      <c r="G7069">
        <v>0</v>
      </c>
      <c r="H7069" s="7">
        <v>0</v>
      </c>
    </row>
    <row r="7070" spans="1:8">
      <c r="A7070">
        <v>6</v>
      </c>
      <c r="B7070" t="s">
        <v>42</v>
      </c>
      <c r="C7070" t="s">
        <v>32</v>
      </c>
      <c r="D7070">
        <v>0</v>
      </c>
      <c r="E7070">
        <v>1</v>
      </c>
      <c r="F7070" s="7">
        <v>531.45</v>
      </c>
      <c r="G7070">
        <v>0</v>
      </c>
      <c r="H7070" s="7">
        <v>0</v>
      </c>
    </row>
    <row r="7071" spans="1:8">
      <c r="A7071">
        <v>6</v>
      </c>
      <c r="B7071" t="s">
        <v>46</v>
      </c>
      <c r="C7071" t="s">
        <v>35</v>
      </c>
      <c r="D7071">
        <v>0</v>
      </c>
      <c r="E7071">
        <v>1</v>
      </c>
      <c r="F7071" s="7">
        <v>284657.93</v>
      </c>
      <c r="G7071">
        <v>0</v>
      </c>
      <c r="H7071" s="7">
        <v>0</v>
      </c>
    </row>
    <row r="7072" spans="1:8">
      <c r="A7072">
        <v>6</v>
      </c>
      <c r="B7072" t="s">
        <v>42</v>
      </c>
      <c r="C7072" t="s">
        <v>33</v>
      </c>
      <c r="D7072">
        <v>0</v>
      </c>
      <c r="E7072">
        <v>1</v>
      </c>
      <c r="F7072" s="7">
        <v>7463.22</v>
      </c>
      <c r="G7072">
        <v>0</v>
      </c>
      <c r="H7072" s="7">
        <v>0</v>
      </c>
    </row>
    <row r="7073" spans="1:8">
      <c r="A7073">
        <v>6</v>
      </c>
      <c r="B7073" t="s">
        <v>42</v>
      </c>
      <c r="C7073" t="s">
        <v>33</v>
      </c>
      <c r="D7073">
        <v>0</v>
      </c>
      <c r="E7073">
        <v>1</v>
      </c>
      <c r="F7073" s="7">
        <v>6322.81</v>
      </c>
      <c r="G7073">
        <v>0</v>
      </c>
      <c r="H7073" s="7">
        <v>0</v>
      </c>
    </row>
    <row r="7074" spans="1:8">
      <c r="A7074">
        <v>6</v>
      </c>
      <c r="B7074" t="s">
        <v>46</v>
      </c>
      <c r="C7074" t="s">
        <v>34</v>
      </c>
      <c r="D7074">
        <v>0</v>
      </c>
      <c r="E7074">
        <v>1</v>
      </c>
      <c r="F7074" s="7">
        <v>56151.12</v>
      </c>
      <c r="G7074">
        <v>0</v>
      </c>
      <c r="H7074" s="7">
        <v>0</v>
      </c>
    </row>
    <row r="7075" spans="1:8">
      <c r="A7075">
        <v>6</v>
      </c>
      <c r="B7075" t="s">
        <v>46</v>
      </c>
      <c r="C7075" t="s">
        <v>33</v>
      </c>
      <c r="D7075">
        <v>0</v>
      </c>
      <c r="E7075">
        <v>1</v>
      </c>
      <c r="F7075" s="7">
        <v>6441.93</v>
      </c>
      <c r="G7075">
        <v>0</v>
      </c>
      <c r="H7075" s="7">
        <v>0</v>
      </c>
    </row>
    <row r="7076" spans="1:8">
      <c r="A7076">
        <v>6</v>
      </c>
      <c r="B7076" t="s">
        <v>46</v>
      </c>
      <c r="C7076" t="s">
        <v>35</v>
      </c>
      <c r="D7076">
        <v>0</v>
      </c>
      <c r="E7076">
        <v>1</v>
      </c>
      <c r="F7076" s="7">
        <v>180870.42</v>
      </c>
      <c r="G7076">
        <v>0</v>
      </c>
      <c r="H7076" s="7">
        <v>0</v>
      </c>
    </row>
    <row r="7077" spans="1:8">
      <c r="A7077">
        <v>6</v>
      </c>
      <c r="B7077" t="s">
        <v>46</v>
      </c>
      <c r="C7077" t="s">
        <v>35</v>
      </c>
      <c r="D7077">
        <v>0</v>
      </c>
      <c r="E7077">
        <v>1</v>
      </c>
      <c r="F7077" s="7">
        <v>177793.46</v>
      </c>
      <c r="G7077">
        <v>0</v>
      </c>
      <c r="H7077" s="7">
        <v>0</v>
      </c>
    </row>
    <row r="7078" spans="1:8">
      <c r="A7078">
        <v>6</v>
      </c>
      <c r="B7078" t="s">
        <v>46</v>
      </c>
      <c r="C7078" t="s">
        <v>35</v>
      </c>
      <c r="D7078">
        <v>0</v>
      </c>
      <c r="E7078">
        <v>1</v>
      </c>
      <c r="F7078" s="7">
        <v>403393.65</v>
      </c>
      <c r="G7078">
        <v>0</v>
      </c>
      <c r="H7078" s="7">
        <v>0</v>
      </c>
    </row>
    <row r="7079" spans="1:8">
      <c r="A7079">
        <v>6</v>
      </c>
      <c r="B7079" t="s">
        <v>46</v>
      </c>
      <c r="C7079" t="s">
        <v>35</v>
      </c>
      <c r="D7079">
        <v>0</v>
      </c>
      <c r="E7079">
        <v>1</v>
      </c>
      <c r="F7079" s="7">
        <v>374378.57</v>
      </c>
      <c r="G7079">
        <v>0</v>
      </c>
      <c r="H7079" s="7">
        <v>0</v>
      </c>
    </row>
    <row r="7080" spans="1:8">
      <c r="A7080">
        <v>6</v>
      </c>
      <c r="B7080" t="s">
        <v>46</v>
      </c>
      <c r="C7080" t="s">
        <v>35</v>
      </c>
      <c r="D7080">
        <v>0</v>
      </c>
      <c r="E7080">
        <v>1</v>
      </c>
      <c r="F7080" s="7">
        <v>555921.6</v>
      </c>
      <c r="G7080">
        <v>0</v>
      </c>
      <c r="H7080" s="7">
        <v>0</v>
      </c>
    </row>
    <row r="7081" spans="1:8">
      <c r="A7081">
        <v>6</v>
      </c>
      <c r="B7081" t="s">
        <v>46</v>
      </c>
      <c r="C7081" t="s">
        <v>35</v>
      </c>
      <c r="D7081">
        <v>0</v>
      </c>
      <c r="E7081">
        <v>1</v>
      </c>
      <c r="F7081" s="7">
        <v>399998.92</v>
      </c>
      <c r="G7081">
        <v>0</v>
      </c>
      <c r="H7081" s="7">
        <v>0</v>
      </c>
    </row>
    <row r="7082" spans="1:8">
      <c r="A7082">
        <v>6</v>
      </c>
      <c r="B7082" t="s">
        <v>46</v>
      </c>
      <c r="C7082" t="s">
        <v>35</v>
      </c>
      <c r="D7082">
        <v>0</v>
      </c>
      <c r="E7082">
        <v>1</v>
      </c>
      <c r="F7082" s="7">
        <v>107588.94</v>
      </c>
      <c r="G7082">
        <v>0</v>
      </c>
      <c r="H7082" s="7">
        <v>0</v>
      </c>
    </row>
    <row r="7083" spans="1:8">
      <c r="A7083">
        <v>6</v>
      </c>
      <c r="B7083" t="s">
        <v>46</v>
      </c>
      <c r="C7083" t="s">
        <v>35</v>
      </c>
      <c r="D7083">
        <v>0</v>
      </c>
      <c r="E7083">
        <v>1</v>
      </c>
      <c r="F7083" s="7">
        <v>349084.96</v>
      </c>
      <c r="G7083">
        <v>0</v>
      </c>
      <c r="H7083" s="7">
        <v>0</v>
      </c>
    </row>
    <row r="7084" spans="1:8">
      <c r="A7084">
        <v>6</v>
      </c>
      <c r="B7084" t="s">
        <v>46</v>
      </c>
      <c r="C7084" t="s">
        <v>35</v>
      </c>
      <c r="D7084">
        <v>0</v>
      </c>
      <c r="E7084">
        <v>1</v>
      </c>
      <c r="F7084" s="7">
        <v>259049.85</v>
      </c>
      <c r="G7084">
        <v>0</v>
      </c>
      <c r="H7084" s="7">
        <v>0</v>
      </c>
    </row>
    <row r="7085" spans="1:8">
      <c r="A7085">
        <v>6</v>
      </c>
      <c r="B7085" t="s">
        <v>46</v>
      </c>
      <c r="C7085" t="s">
        <v>35</v>
      </c>
      <c r="D7085">
        <v>0</v>
      </c>
      <c r="E7085">
        <v>1</v>
      </c>
      <c r="F7085" s="7">
        <v>162410.51</v>
      </c>
      <c r="G7085">
        <v>0</v>
      </c>
      <c r="H7085" s="7">
        <v>0</v>
      </c>
    </row>
    <row r="7086" spans="1:8">
      <c r="A7086">
        <v>6</v>
      </c>
      <c r="B7086" t="s">
        <v>46</v>
      </c>
      <c r="C7086" t="s">
        <v>35</v>
      </c>
      <c r="D7086">
        <v>0</v>
      </c>
      <c r="E7086">
        <v>1</v>
      </c>
      <c r="F7086" s="7">
        <v>139209.07</v>
      </c>
      <c r="G7086">
        <v>0</v>
      </c>
      <c r="H7086" s="7">
        <v>0</v>
      </c>
    </row>
    <row r="7087" spans="1:8">
      <c r="A7087">
        <v>6</v>
      </c>
      <c r="B7087" t="s">
        <v>46</v>
      </c>
      <c r="C7087" t="s">
        <v>35</v>
      </c>
      <c r="D7087">
        <v>0</v>
      </c>
      <c r="E7087">
        <v>1</v>
      </c>
      <c r="F7087" s="7">
        <v>221584.67</v>
      </c>
      <c r="G7087">
        <v>0</v>
      </c>
      <c r="H7087" s="7">
        <v>0</v>
      </c>
    </row>
    <row r="7088" spans="1:8">
      <c r="A7088">
        <v>6</v>
      </c>
      <c r="B7088" t="s">
        <v>46</v>
      </c>
      <c r="C7088" t="s">
        <v>34</v>
      </c>
      <c r="D7088">
        <v>0</v>
      </c>
      <c r="E7088">
        <v>1</v>
      </c>
      <c r="F7088" s="7">
        <v>33975.45</v>
      </c>
      <c r="G7088">
        <v>0</v>
      </c>
      <c r="H7088" s="7">
        <v>0</v>
      </c>
    </row>
    <row r="7089" spans="1:8">
      <c r="A7089">
        <v>6</v>
      </c>
      <c r="B7089" t="s">
        <v>46</v>
      </c>
      <c r="C7089" t="s">
        <v>35</v>
      </c>
      <c r="D7089">
        <v>0</v>
      </c>
      <c r="E7089">
        <v>1</v>
      </c>
      <c r="F7089" s="7">
        <v>189095.53</v>
      </c>
      <c r="G7089">
        <v>0</v>
      </c>
      <c r="H7089" s="7">
        <v>0</v>
      </c>
    </row>
    <row r="7090" spans="1:8">
      <c r="A7090">
        <v>6</v>
      </c>
      <c r="B7090" t="s">
        <v>46</v>
      </c>
      <c r="C7090" t="s">
        <v>34</v>
      </c>
      <c r="D7090">
        <v>0</v>
      </c>
      <c r="E7090">
        <v>1</v>
      </c>
      <c r="F7090" s="7">
        <v>51696.89</v>
      </c>
      <c r="G7090">
        <v>0</v>
      </c>
      <c r="H7090" s="7">
        <v>0</v>
      </c>
    </row>
    <row r="7091" spans="1:8">
      <c r="A7091">
        <v>6</v>
      </c>
      <c r="B7091" t="s">
        <v>46</v>
      </c>
      <c r="C7091" t="s">
        <v>34</v>
      </c>
      <c r="D7091">
        <v>0</v>
      </c>
      <c r="E7091">
        <v>1</v>
      </c>
      <c r="F7091" s="7">
        <v>97173.8</v>
      </c>
      <c r="G7091">
        <v>0</v>
      </c>
      <c r="H7091" s="7">
        <v>0</v>
      </c>
    </row>
    <row r="7092" spans="1:8">
      <c r="A7092">
        <v>6</v>
      </c>
      <c r="B7092" t="s">
        <v>46</v>
      </c>
      <c r="C7092" t="s">
        <v>35</v>
      </c>
      <c r="D7092">
        <v>0</v>
      </c>
      <c r="E7092">
        <v>1</v>
      </c>
      <c r="F7092" s="7">
        <v>170656.02</v>
      </c>
      <c r="G7092">
        <v>0</v>
      </c>
      <c r="H7092" s="7">
        <v>0</v>
      </c>
    </row>
    <row r="7093" spans="1:8">
      <c r="A7093">
        <v>6</v>
      </c>
      <c r="B7093" t="s">
        <v>46</v>
      </c>
      <c r="C7093" t="s">
        <v>34</v>
      </c>
      <c r="D7093">
        <v>0</v>
      </c>
      <c r="E7093">
        <v>1</v>
      </c>
      <c r="F7093" s="7">
        <v>46644.73</v>
      </c>
      <c r="G7093">
        <v>0</v>
      </c>
      <c r="H7093" s="7">
        <v>0</v>
      </c>
    </row>
    <row r="7094" spans="1:8">
      <c r="A7094">
        <v>6</v>
      </c>
      <c r="B7094" t="s">
        <v>46</v>
      </c>
      <c r="C7094" t="s">
        <v>34</v>
      </c>
      <c r="D7094">
        <v>0</v>
      </c>
      <c r="E7094">
        <v>1</v>
      </c>
      <c r="F7094" s="7">
        <v>17923.87</v>
      </c>
      <c r="G7094">
        <v>0</v>
      </c>
      <c r="H7094" s="7">
        <v>0</v>
      </c>
    </row>
    <row r="7095" spans="1:8">
      <c r="A7095">
        <v>6</v>
      </c>
      <c r="B7095" t="s">
        <v>46</v>
      </c>
      <c r="C7095" t="s">
        <v>34</v>
      </c>
      <c r="D7095">
        <v>0</v>
      </c>
      <c r="E7095">
        <v>1</v>
      </c>
      <c r="F7095" s="7">
        <v>42874.29</v>
      </c>
      <c r="G7095">
        <v>0</v>
      </c>
      <c r="H7095" s="7">
        <v>0</v>
      </c>
    </row>
    <row r="7096" spans="1:8">
      <c r="A7096">
        <v>6</v>
      </c>
      <c r="B7096" t="s">
        <v>46</v>
      </c>
      <c r="C7096" t="s">
        <v>35</v>
      </c>
      <c r="D7096">
        <v>0</v>
      </c>
      <c r="E7096">
        <v>1</v>
      </c>
      <c r="F7096" s="7">
        <v>276974.44</v>
      </c>
      <c r="G7096">
        <v>0</v>
      </c>
      <c r="H7096" s="7">
        <v>0</v>
      </c>
    </row>
    <row r="7097" spans="1:8">
      <c r="A7097">
        <v>6</v>
      </c>
      <c r="B7097" t="s">
        <v>46</v>
      </c>
      <c r="C7097" t="s">
        <v>34</v>
      </c>
      <c r="D7097">
        <v>0</v>
      </c>
      <c r="E7097">
        <v>1</v>
      </c>
      <c r="F7097" s="7">
        <v>88549.9</v>
      </c>
      <c r="G7097">
        <v>0</v>
      </c>
      <c r="H7097" s="7">
        <v>0</v>
      </c>
    </row>
    <row r="7098" spans="1:8">
      <c r="A7098">
        <v>6</v>
      </c>
      <c r="B7098" t="s">
        <v>46</v>
      </c>
      <c r="C7098" t="s">
        <v>35</v>
      </c>
      <c r="D7098">
        <v>0</v>
      </c>
      <c r="E7098">
        <v>1</v>
      </c>
      <c r="F7098" s="7">
        <v>154372.69</v>
      </c>
      <c r="G7098">
        <v>0</v>
      </c>
      <c r="H7098" s="7">
        <v>0</v>
      </c>
    </row>
    <row r="7099" spans="1:8">
      <c r="A7099">
        <v>6</v>
      </c>
      <c r="B7099" t="s">
        <v>46</v>
      </c>
      <c r="C7099" t="s">
        <v>35</v>
      </c>
      <c r="D7099">
        <v>0</v>
      </c>
      <c r="E7099">
        <v>1</v>
      </c>
      <c r="F7099" s="7">
        <v>113859.94</v>
      </c>
      <c r="G7099">
        <v>0</v>
      </c>
      <c r="H7099" s="7">
        <v>0</v>
      </c>
    </row>
    <row r="7100" spans="1:8">
      <c r="A7100">
        <v>6</v>
      </c>
      <c r="B7100" t="s">
        <v>46</v>
      </c>
      <c r="C7100" t="s">
        <v>35</v>
      </c>
      <c r="D7100">
        <v>0</v>
      </c>
      <c r="E7100">
        <v>1</v>
      </c>
      <c r="F7100" s="7">
        <v>278369.25</v>
      </c>
      <c r="G7100">
        <v>0</v>
      </c>
      <c r="H7100" s="7">
        <v>0</v>
      </c>
    </row>
    <row r="7101" spans="1:8">
      <c r="A7101">
        <v>6</v>
      </c>
      <c r="B7101" t="s">
        <v>46</v>
      </c>
      <c r="C7101" t="s">
        <v>35</v>
      </c>
      <c r="D7101">
        <v>0</v>
      </c>
      <c r="E7101">
        <v>1</v>
      </c>
      <c r="F7101" s="7">
        <v>194642.4</v>
      </c>
      <c r="G7101">
        <v>0</v>
      </c>
      <c r="H7101" s="7">
        <v>0</v>
      </c>
    </row>
    <row r="7102" spans="1:8">
      <c r="A7102">
        <v>6</v>
      </c>
      <c r="B7102" t="s">
        <v>46</v>
      </c>
      <c r="C7102" t="s">
        <v>35</v>
      </c>
      <c r="D7102">
        <v>0</v>
      </c>
      <c r="E7102">
        <v>1</v>
      </c>
      <c r="F7102" s="7">
        <v>277447.82</v>
      </c>
      <c r="G7102">
        <v>0</v>
      </c>
      <c r="H7102" s="7">
        <v>0</v>
      </c>
    </row>
    <row r="7103" spans="1:8">
      <c r="A7103">
        <v>6</v>
      </c>
      <c r="B7103" t="s">
        <v>46</v>
      </c>
      <c r="C7103" t="s">
        <v>35</v>
      </c>
      <c r="D7103">
        <v>0</v>
      </c>
      <c r="E7103">
        <v>1</v>
      </c>
      <c r="F7103" s="7">
        <v>123601.07</v>
      </c>
      <c r="G7103">
        <v>0</v>
      </c>
      <c r="H7103" s="7">
        <v>0</v>
      </c>
    </row>
    <row r="7104" spans="1:8">
      <c r="A7104">
        <v>6</v>
      </c>
      <c r="B7104" t="s">
        <v>46</v>
      </c>
      <c r="C7104" t="s">
        <v>35</v>
      </c>
      <c r="D7104">
        <v>0</v>
      </c>
      <c r="E7104">
        <v>1</v>
      </c>
      <c r="F7104" s="7">
        <v>299234.56</v>
      </c>
      <c r="G7104">
        <v>0</v>
      </c>
      <c r="H7104" s="7">
        <v>0</v>
      </c>
    </row>
    <row r="7105" spans="1:8">
      <c r="A7105">
        <v>6</v>
      </c>
      <c r="B7105" t="s">
        <v>46</v>
      </c>
      <c r="C7105" t="s">
        <v>34</v>
      </c>
      <c r="D7105">
        <v>0</v>
      </c>
      <c r="E7105">
        <v>1</v>
      </c>
      <c r="F7105" s="7">
        <v>20606.91</v>
      </c>
      <c r="G7105">
        <v>0</v>
      </c>
      <c r="H7105" s="7">
        <v>0</v>
      </c>
    </row>
    <row r="7106" spans="1:8">
      <c r="A7106">
        <v>6</v>
      </c>
      <c r="B7106" t="s">
        <v>46</v>
      </c>
      <c r="C7106" t="s">
        <v>35</v>
      </c>
      <c r="D7106">
        <v>0</v>
      </c>
      <c r="E7106">
        <v>1</v>
      </c>
      <c r="F7106" s="7">
        <v>353210.38</v>
      </c>
      <c r="G7106">
        <v>0</v>
      </c>
      <c r="H7106" s="7">
        <v>0</v>
      </c>
    </row>
    <row r="7107" spans="1:8">
      <c r="A7107">
        <v>6</v>
      </c>
      <c r="B7107" t="s">
        <v>46</v>
      </c>
      <c r="C7107" t="s">
        <v>34</v>
      </c>
      <c r="D7107">
        <v>0</v>
      </c>
      <c r="E7107">
        <v>1</v>
      </c>
      <c r="F7107" s="7">
        <v>90206.82</v>
      </c>
      <c r="G7107">
        <v>0</v>
      </c>
      <c r="H7107" s="7">
        <v>0</v>
      </c>
    </row>
    <row r="7108" spans="1:8">
      <c r="A7108">
        <v>6</v>
      </c>
      <c r="B7108" t="s">
        <v>46</v>
      </c>
      <c r="C7108" t="s">
        <v>35</v>
      </c>
      <c r="D7108">
        <v>0</v>
      </c>
      <c r="E7108">
        <v>1</v>
      </c>
      <c r="F7108" s="7">
        <v>145697.63</v>
      </c>
      <c r="G7108">
        <v>0</v>
      </c>
      <c r="H7108" s="7">
        <v>0</v>
      </c>
    </row>
    <row r="7109" spans="1:8">
      <c r="A7109">
        <v>6</v>
      </c>
      <c r="B7109" t="s">
        <v>46</v>
      </c>
      <c r="C7109" t="s">
        <v>35</v>
      </c>
      <c r="D7109">
        <v>0</v>
      </c>
      <c r="E7109">
        <v>1</v>
      </c>
      <c r="F7109" s="7">
        <v>117372.63</v>
      </c>
      <c r="G7109">
        <v>0</v>
      </c>
      <c r="H7109" s="7">
        <v>0</v>
      </c>
    </row>
    <row r="7110" spans="1:8">
      <c r="A7110">
        <v>6</v>
      </c>
      <c r="B7110" t="s">
        <v>46</v>
      </c>
      <c r="C7110" t="s">
        <v>34</v>
      </c>
      <c r="D7110">
        <v>0</v>
      </c>
      <c r="E7110">
        <v>1</v>
      </c>
      <c r="F7110" s="7">
        <v>22883.86</v>
      </c>
      <c r="G7110">
        <v>0</v>
      </c>
      <c r="H7110" s="7">
        <v>0</v>
      </c>
    </row>
    <row r="7111" spans="1:8">
      <c r="A7111">
        <v>6</v>
      </c>
      <c r="B7111" t="s">
        <v>46</v>
      </c>
      <c r="C7111" t="s">
        <v>34</v>
      </c>
      <c r="D7111">
        <v>0</v>
      </c>
      <c r="E7111">
        <v>1</v>
      </c>
      <c r="F7111" s="7">
        <v>26775.37</v>
      </c>
      <c r="G7111">
        <v>0</v>
      </c>
      <c r="H7111" s="7">
        <v>0</v>
      </c>
    </row>
    <row r="7112" spans="1:8">
      <c r="A7112">
        <v>6</v>
      </c>
      <c r="B7112" t="s">
        <v>46</v>
      </c>
      <c r="C7112" t="s">
        <v>35</v>
      </c>
      <c r="D7112">
        <v>0</v>
      </c>
      <c r="E7112">
        <v>1</v>
      </c>
      <c r="F7112" s="7">
        <v>228957.76</v>
      </c>
      <c r="G7112">
        <v>0</v>
      </c>
      <c r="H7112" s="7">
        <v>0</v>
      </c>
    </row>
    <row r="7113" spans="1:8">
      <c r="A7113">
        <v>6</v>
      </c>
      <c r="B7113" t="s">
        <v>46</v>
      </c>
      <c r="C7113" t="s">
        <v>35</v>
      </c>
      <c r="D7113">
        <v>0</v>
      </c>
      <c r="E7113">
        <v>1</v>
      </c>
      <c r="F7113" s="7">
        <v>276215.93</v>
      </c>
      <c r="G7113">
        <v>0</v>
      </c>
      <c r="H7113" s="7">
        <v>0</v>
      </c>
    </row>
    <row r="7114" spans="1:8">
      <c r="A7114">
        <v>6</v>
      </c>
      <c r="B7114" t="s">
        <v>46</v>
      </c>
      <c r="C7114" t="s">
        <v>35</v>
      </c>
      <c r="D7114">
        <v>0</v>
      </c>
      <c r="E7114">
        <v>1</v>
      </c>
      <c r="F7114" s="7">
        <v>147303.27</v>
      </c>
      <c r="G7114">
        <v>0</v>
      </c>
      <c r="H7114" s="7">
        <v>0</v>
      </c>
    </row>
    <row r="7115" spans="1:8">
      <c r="A7115">
        <v>6</v>
      </c>
      <c r="B7115" t="s">
        <v>46</v>
      </c>
      <c r="C7115" t="s">
        <v>34</v>
      </c>
      <c r="D7115">
        <v>0</v>
      </c>
      <c r="E7115">
        <v>1</v>
      </c>
      <c r="F7115" s="7">
        <v>81947.39</v>
      </c>
      <c r="G7115">
        <v>0</v>
      </c>
      <c r="H7115" s="7">
        <v>0</v>
      </c>
    </row>
    <row r="7116" spans="1:8">
      <c r="A7116">
        <v>6</v>
      </c>
      <c r="B7116" t="s">
        <v>46</v>
      </c>
      <c r="C7116" t="s">
        <v>35</v>
      </c>
      <c r="D7116">
        <v>0</v>
      </c>
      <c r="E7116">
        <v>1</v>
      </c>
      <c r="F7116" s="7">
        <v>160681.58</v>
      </c>
      <c r="G7116">
        <v>0</v>
      </c>
      <c r="H7116" s="7">
        <v>0</v>
      </c>
    </row>
    <row r="7117" spans="1:8">
      <c r="A7117">
        <v>6</v>
      </c>
      <c r="B7117" t="s">
        <v>46</v>
      </c>
      <c r="C7117" t="s">
        <v>35</v>
      </c>
      <c r="D7117">
        <v>0</v>
      </c>
      <c r="E7117">
        <v>1</v>
      </c>
      <c r="F7117" s="7">
        <v>104695.79</v>
      </c>
      <c r="G7117">
        <v>0</v>
      </c>
      <c r="H7117" s="7">
        <v>0</v>
      </c>
    </row>
    <row r="7118" spans="1:8">
      <c r="A7118">
        <v>6</v>
      </c>
      <c r="B7118" t="s">
        <v>46</v>
      </c>
      <c r="C7118" t="s">
        <v>34</v>
      </c>
      <c r="D7118">
        <v>0</v>
      </c>
      <c r="E7118">
        <v>1</v>
      </c>
      <c r="F7118" s="7">
        <v>85360.76</v>
      </c>
      <c r="G7118">
        <v>0</v>
      </c>
      <c r="H7118" s="7">
        <v>0</v>
      </c>
    </row>
    <row r="7119" spans="1:8">
      <c r="A7119">
        <v>6</v>
      </c>
      <c r="B7119" t="s">
        <v>46</v>
      </c>
      <c r="C7119" t="s">
        <v>35</v>
      </c>
      <c r="D7119">
        <v>0</v>
      </c>
      <c r="E7119">
        <v>1</v>
      </c>
      <c r="F7119" s="7">
        <v>141561.27</v>
      </c>
      <c r="G7119">
        <v>0</v>
      </c>
      <c r="H7119" s="7">
        <v>0</v>
      </c>
    </row>
    <row r="7120" spans="1:8">
      <c r="A7120">
        <v>6</v>
      </c>
      <c r="B7120" t="s">
        <v>46</v>
      </c>
      <c r="C7120" t="s">
        <v>35</v>
      </c>
      <c r="D7120">
        <v>0</v>
      </c>
      <c r="E7120">
        <v>1</v>
      </c>
      <c r="F7120" s="7">
        <v>206810.15</v>
      </c>
      <c r="G7120">
        <v>0</v>
      </c>
      <c r="H7120" s="7">
        <v>0</v>
      </c>
    </row>
    <row r="7121" spans="1:8">
      <c r="A7121">
        <v>6</v>
      </c>
      <c r="B7121" t="s">
        <v>46</v>
      </c>
      <c r="C7121" t="s">
        <v>34</v>
      </c>
      <c r="D7121">
        <v>0</v>
      </c>
      <c r="E7121">
        <v>1</v>
      </c>
      <c r="F7121" s="7">
        <v>25976.3</v>
      </c>
      <c r="G7121">
        <v>0</v>
      </c>
      <c r="H7121" s="7">
        <v>0</v>
      </c>
    </row>
    <row r="7122" spans="1:8">
      <c r="A7122">
        <v>6</v>
      </c>
      <c r="B7122" t="s">
        <v>46</v>
      </c>
      <c r="C7122" t="s">
        <v>35</v>
      </c>
      <c r="D7122">
        <v>0</v>
      </c>
      <c r="E7122">
        <v>1</v>
      </c>
      <c r="F7122" s="7">
        <v>117770.95</v>
      </c>
      <c r="G7122">
        <v>0</v>
      </c>
      <c r="H7122" s="7">
        <v>0</v>
      </c>
    </row>
    <row r="7123" spans="1:8">
      <c r="A7123">
        <v>6</v>
      </c>
      <c r="B7123" t="s">
        <v>46</v>
      </c>
      <c r="C7123" t="s">
        <v>35</v>
      </c>
      <c r="D7123">
        <v>0</v>
      </c>
      <c r="E7123">
        <v>1</v>
      </c>
      <c r="F7123" s="7">
        <v>162271.77</v>
      </c>
      <c r="G7123">
        <v>0</v>
      </c>
      <c r="H7123" s="7">
        <v>0</v>
      </c>
    </row>
    <row r="7124" spans="1:8">
      <c r="A7124">
        <v>6</v>
      </c>
      <c r="B7124" t="s">
        <v>46</v>
      </c>
      <c r="C7124" t="s">
        <v>34</v>
      </c>
      <c r="D7124">
        <v>0</v>
      </c>
      <c r="E7124">
        <v>1</v>
      </c>
      <c r="F7124" s="7">
        <v>44264.07</v>
      </c>
      <c r="G7124">
        <v>0</v>
      </c>
      <c r="H7124" s="7">
        <v>0</v>
      </c>
    </row>
    <row r="7125" spans="1:8">
      <c r="A7125">
        <v>6</v>
      </c>
      <c r="B7125" t="s">
        <v>46</v>
      </c>
      <c r="C7125" t="s">
        <v>35</v>
      </c>
      <c r="D7125">
        <v>0</v>
      </c>
      <c r="E7125">
        <v>1</v>
      </c>
      <c r="F7125" s="7">
        <v>292307.46</v>
      </c>
      <c r="G7125">
        <v>0</v>
      </c>
      <c r="H7125" s="7">
        <v>0</v>
      </c>
    </row>
    <row r="7126" spans="1:8">
      <c r="A7126">
        <v>6</v>
      </c>
      <c r="B7126" t="s">
        <v>46</v>
      </c>
      <c r="C7126" t="s">
        <v>35</v>
      </c>
      <c r="D7126">
        <v>0</v>
      </c>
      <c r="E7126">
        <v>1</v>
      </c>
      <c r="F7126" s="7">
        <v>151301.14</v>
      </c>
      <c r="G7126">
        <v>0</v>
      </c>
      <c r="H7126" s="7">
        <v>0</v>
      </c>
    </row>
    <row r="7127" spans="1:8">
      <c r="A7127">
        <v>6</v>
      </c>
      <c r="B7127" t="s">
        <v>46</v>
      </c>
      <c r="C7127" t="s">
        <v>35</v>
      </c>
      <c r="D7127">
        <v>0</v>
      </c>
      <c r="E7127">
        <v>1</v>
      </c>
      <c r="F7127" s="7">
        <v>343371.38</v>
      </c>
      <c r="G7127">
        <v>0</v>
      </c>
      <c r="H7127" s="7">
        <v>0</v>
      </c>
    </row>
    <row r="7128" spans="1:8">
      <c r="A7128">
        <v>6</v>
      </c>
      <c r="B7128" t="s">
        <v>46</v>
      </c>
      <c r="C7128" t="s">
        <v>33</v>
      </c>
      <c r="D7128">
        <v>0</v>
      </c>
      <c r="E7128">
        <v>1</v>
      </c>
      <c r="F7128" s="7">
        <v>8477.85</v>
      </c>
      <c r="G7128">
        <v>0</v>
      </c>
      <c r="H7128" s="7">
        <v>0</v>
      </c>
    </row>
    <row r="7129" spans="1:8">
      <c r="A7129">
        <v>6</v>
      </c>
      <c r="B7129" t="s">
        <v>46</v>
      </c>
      <c r="C7129" t="s">
        <v>35</v>
      </c>
      <c r="D7129">
        <v>0</v>
      </c>
      <c r="E7129">
        <v>1</v>
      </c>
      <c r="F7129" s="7">
        <v>400377.11</v>
      </c>
      <c r="G7129">
        <v>0</v>
      </c>
      <c r="H7129" s="7">
        <v>0</v>
      </c>
    </row>
    <row r="7130" spans="1:8">
      <c r="A7130">
        <v>6</v>
      </c>
      <c r="B7130" t="s">
        <v>46</v>
      </c>
      <c r="C7130" t="s">
        <v>35</v>
      </c>
      <c r="D7130">
        <v>0</v>
      </c>
      <c r="E7130">
        <v>1</v>
      </c>
      <c r="F7130" s="7">
        <v>204307.03</v>
      </c>
      <c r="G7130">
        <v>0</v>
      </c>
      <c r="H7130" s="7">
        <v>0</v>
      </c>
    </row>
    <row r="7131" spans="1:8">
      <c r="A7131">
        <v>6</v>
      </c>
      <c r="B7131" t="s">
        <v>46</v>
      </c>
      <c r="C7131" t="s">
        <v>35</v>
      </c>
      <c r="D7131">
        <v>0</v>
      </c>
      <c r="E7131">
        <v>1</v>
      </c>
      <c r="F7131" s="7">
        <v>391209.48</v>
      </c>
      <c r="G7131">
        <v>0</v>
      </c>
      <c r="H7131" s="7">
        <v>0</v>
      </c>
    </row>
    <row r="7132" spans="1:8">
      <c r="A7132">
        <v>6</v>
      </c>
      <c r="B7132" t="s">
        <v>46</v>
      </c>
      <c r="C7132" t="s">
        <v>35</v>
      </c>
      <c r="D7132">
        <v>0</v>
      </c>
      <c r="E7132">
        <v>1</v>
      </c>
      <c r="F7132" s="7">
        <v>369168.98</v>
      </c>
      <c r="G7132">
        <v>0</v>
      </c>
      <c r="H7132" s="7">
        <v>0</v>
      </c>
    </row>
    <row r="7133" spans="1:8">
      <c r="A7133">
        <v>6</v>
      </c>
      <c r="B7133" t="s">
        <v>46</v>
      </c>
      <c r="C7133" t="s">
        <v>35</v>
      </c>
      <c r="D7133">
        <v>0</v>
      </c>
      <c r="E7133">
        <v>1</v>
      </c>
      <c r="F7133" s="7">
        <v>116215.63</v>
      </c>
      <c r="G7133">
        <v>0</v>
      </c>
      <c r="H7133" s="7">
        <v>0</v>
      </c>
    </row>
    <row r="7134" spans="1:8">
      <c r="A7134">
        <v>6</v>
      </c>
      <c r="B7134" t="s">
        <v>46</v>
      </c>
      <c r="C7134" t="s">
        <v>35</v>
      </c>
      <c r="D7134">
        <v>0</v>
      </c>
      <c r="E7134">
        <v>1</v>
      </c>
      <c r="F7134" s="7">
        <v>299261.26</v>
      </c>
      <c r="G7134">
        <v>0</v>
      </c>
      <c r="H7134" s="7">
        <v>0</v>
      </c>
    </row>
    <row r="7135" spans="1:8">
      <c r="A7135">
        <v>6</v>
      </c>
      <c r="B7135" t="s">
        <v>46</v>
      </c>
      <c r="C7135" t="s">
        <v>35</v>
      </c>
      <c r="D7135">
        <v>0</v>
      </c>
      <c r="E7135">
        <v>1</v>
      </c>
      <c r="F7135" s="7">
        <v>241605.17</v>
      </c>
      <c r="G7135">
        <v>0</v>
      </c>
      <c r="H7135" s="7">
        <v>0</v>
      </c>
    </row>
    <row r="7136" spans="1:8">
      <c r="A7136">
        <v>6</v>
      </c>
      <c r="B7136" t="s">
        <v>42</v>
      </c>
      <c r="C7136" t="s">
        <v>34</v>
      </c>
      <c r="D7136">
        <v>0</v>
      </c>
      <c r="E7136">
        <v>1</v>
      </c>
      <c r="F7136" s="7">
        <v>23861.38</v>
      </c>
      <c r="G7136">
        <v>0</v>
      </c>
      <c r="H7136" s="7">
        <v>0</v>
      </c>
    </row>
    <row r="7137" spans="1:8">
      <c r="A7137">
        <v>6</v>
      </c>
      <c r="B7137" t="s">
        <v>42</v>
      </c>
      <c r="C7137" t="s">
        <v>33</v>
      </c>
      <c r="D7137">
        <v>0</v>
      </c>
      <c r="E7137">
        <v>1</v>
      </c>
      <c r="F7137" s="7">
        <v>4398.44</v>
      </c>
      <c r="G7137">
        <v>0</v>
      </c>
      <c r="H7137" s="7">
        <v>0</v>
      </c>
    </row>
    <row r="7138" spans="1:8">
      <c r="A7138">
        <v>6</v>
      </c>
      <c r="B7138" t="s">
        <v>43</v>
      </c>
      <c r="C7138" t="s">
        <v>35</v>
      </c>
      <c r="D7138">
        <v>0</v>
      </c>
      <c r="E7138">
        <v>1</v>
      </c>
      <c r="F7138" s="7">
        <v>141189.81</v>
      </c>
      <c r="G7138">
        <v>0</v>
      </c>
      <c r="H7138" s="7">
        <v>0</v>
      </c>
    </row>
    <row r="7139" spans="1:8">
      <c r="A7139">
        <v>6</v>
      </c>
      <c r="B7139" t="s">
        <v>42</v>
      </c>
      <c r="C7139" t="s">
        <v>33</v>
      </c>
      <c r="D7139">
        <v>0</v>
      </c>
      <c r="E7139">
        <v>1</v>
      </c>
      <c r="F7139" s="7">
        <v>6210.12</v>
      </c>
      <c r="G7139">
        <v>0</v>
      </c>
      <c r="H7139" s="7">
        <v>0</v>
      </c>
    </row>
    <row r="7140" spans="1:8">
      <c r="A7140">
        <v>6</v>
      </c>
      <c r="B7140" t="s">
        <v>42</v>
      </c>
      <c r="C7140" t="s">
        <v>33</v>
      </c>
      <c r="D7140">
        <v>0</v>
      </c>
      <c r="E7140">
        <v>1</v>
      </c>
      <c r="F7140" s="7">
        <v>4759.68</v>
      </c>
      <c r="G7140">
        <v>0</v>
      </c>
      <c r="H7140" s="7">
        <v>0</v>
      </c>
    </row>
    <row r="7141" spans="1:8">
      <c r="A7141">
        <v>6</v>
      </c>
      <c r="B7141" t="s">
        <v>42</v>
      </c>
      <c r="C7141" t="s">
        <v>34</v>
      </c>
      <c r="D7141">
        <v>0</v>
      </c>
      <c r="E7141">
        <v>1</v>
      </c>
      <c r="F7141" s="7">
        <v>41727.65</v>
      </c>
      <c r="G7141">
        <v>0</v>
      </c>
      <c r="H7141" s="7">
        <v>0</v>
      </c>
    </row>
    <row r="7142" spans="1:8">
      <c r="A7142">
        <v>6</v>
      </c>
      <c r="B7142" t="s">
        <v>42</v>
      </c>
      <c r="C7142" t="s">
        <v>34</v>
      </c>
      <c r="D7142">
        <v>0</v>
      </c>
      <c r="E7142">
        <v>1</v>
      </c>
      <c r="F7142" s="7">
        <v>19869.17</v>
      </c>
      <c r="G7142">
        <v>0</v>
      </c>
      <c r="H7142" s="7">
        <v>0</v>
      </c>
    </row>
    <row r="7143" spans="1:8">
      <c r="A7143">
        <v>6</v>
      </c>
      <c r="B7143" t="s">
        <v>42</v>
      </c>
      <c r="C7143" t="s">
        <v>34</v>
      </c>
      <c r="D7143">
        <v>0</v>
      </c>
      <c r="E7143">
        <v>1</v>
      </c>
      <c r="F7143" s="7">
        <v>31546.47</v>
      </c>
      <c r="G7143">
        <v>0</v>
      </c>
      <c r="H7143" s="7">
        <v>0</v>
      </c>
    </row>
    <row r="7144" spans="1:8">
      <c r="A7144">
        <v>6</v>
      </c>
      <c r="B7144" t="s">
        <v>42</v>
      </c>
      <c r="C7144" t="s">
        <v>33</v>
      </c>
      <c r="D7144">
        <v>0</v>
      </c>
      <c r="E7144">
        <v>1</v>
      </c>
      <c r="F7144" s="7">
        <v>5718.98</v>
      </c>
      <c r="G7144">
        <v>0</v>
      </c>
      <c r="H7144" s="7">
        <v>0</v>
      </c>
    </row>
    <row r="7145" spans="1:8">
      <c r="A7145">
        <v>6</v>
      </c>
      <c r="B7145" t="s">
        <v>42</v>
      </c>
      <c r="C7145" t="s">
        <v>33</v>
      </c>
      <c r="D7145">
        <v>0</v>
      </c>
      <c r="E7145">
        <v>1</v>
      </c>
      <c r="F7145" s="7">
        <v>7749.22</v>
      </c>
      <c r="G7145">
        <v>0</v>
      </c>
      <c r="H7145" s="7">
        <v>0</v>
      </c>
    </row>
    <row r="7146" spans="1:8">
      <c r="A7146">
        <v>6</v>
      </c>
      <c r="B7146" t="s">
        <v>42</v>
      </c>
      <c r="C7146" t="s">
        <v>34</v>
      </c>
      <c r="D7146">
        <v>0</v>
      </c>
      <c r="E7146">
        <v>1</v>
      </c>
      <c r="F7146" s="7">
        <v>16362.86</v>
      </c>
      <c r="G7146">
        <v>0</v>
      </c>
      <c r="H7146" s="7">
        <v>0</v>
      </c>
    </row>
    <row r="7147" spans="1:8">
      <c r="A7147">
        <v>6</v>
      </c>
      <c r="B7147" t="s">
        <v>42</v>
      </c>
      <c r="C7147" t="s">
        <v>32</v>
      </c>
      <c r="D7147">
        <v>0</v>
      </c>
      <c r="E7147">
        <v>1</v>
      </c>
      <c r="F7147" s="7">
        <v>336.05</v>
      </c>
      <c r="G7147">
        <v>0</v>
      </c>
      <c r="H7147" s="7">
        <v>0</v>
      </c>
    </row>
    <row r="7148" spans="1:8">
      <c r="A7148">
        <v>6</v>
      </c>
      <c r="B7148" t="s">
        <v>42</v>
      </c>
      <c r="C7148" t="s">
        <v>32</v>
      </c>
      <c r="D7148">
        <v>0</v>
      </c>
      <c r="E7148">
        <v>1</v>
      </c>
      <c r="F7148" s="7">
        <v>414.32</v>
      </c>
      <c r="G7148">
        <v>0</v>
      </c>
      <c r="H7148" s="7">
        <v>0</v>
      </c>
    </row>
    <row r="7149" spans="1:8">
      <c r="A7149">
        <v>6</v>
      </c>
      <c r="B7149" t="s">
        <v>42</v>
      </c>
      <c r="C7149" t="s">
        <v>34</v>
      </c>
      <c r="D7149">
        <v>0</v>
      </c>
      <c r="E7149">
        <v>1</v>
      </c>
      <c r="F7149" s="7">
        <v>44660.63</v>
      </c>
      <c r="G7149">
        <v>0</v>
      </c>
      <c r="H7149" s="7">
        <v>0</v>
      </c>
    </row>
    <row r="7150" spans="1:8">
      <c r="A7150">
        <v>6</v>
      </c>
      <c r="B7150" t="s">
        <v>42</v>
      </c>
      <c r="C7150" t="s">
        <v>33</v>
      </c>
      <c r="D7150">
        <v>0</v>
      </c>
      <c r="E7150">
        <v>1</v>
      </c>
      <c r="F7150" s="7">
        <v>8844.72</v>
      </c>
      <c r="G7150">
        <v>0</v>
      </c>
      <c r="H7150" s="7">
        <v>0</v>
      </c>
    </row>
    <row r="7151" spans="1:8">
      <c r="A7151">
        <v>6</v>
      </c>
      <c r="B7151" t="s">
        <v>42</v>
      </c>
      <c r="C7151" t="s">
        <v>33</v>
      </c>
      <c r="D7151">
        <v>0</v>
      </c>
      <c r="E7151">
        <v>1</v>
      </c>
      <c r="F7151" s="7">
        <v>7955.58</v>
      </c>
      <c r="G7151">
        <v>0</v>
      </c>
      <c r="H7151" s="7">
        <v>0</v>
      </c>
    </row>
    <row r="7152" spans="1:8">
      <c r="A7152">
        <v>6</v>
      </c>
      <c r="B7152" t="s">
        <v>42</v>
      </c>
      <c r="C7152" t="s">
        <v>34</v>
      </c>
      <c r="D7152">
        <v>0</v>
      </c>
      <c r="E7152">
        <v>1</v>
      </c>
      <c r="F7152" s="7">
        <v>37887.08</v>
      </c>
      <c r="G7152">
        <v>0</v>
      </c>
      <c r="H7152" s="7">
        <v>0</v>
      </c>
    </row>
    <row r="7153" spans="1:8">
      <c r="A7153">
        <v>6</v>
      </c>
      <c r="B7153" t="s">
        <v>42</v>
      </c>
      <c r="C7153" t="s">
        <v>34</v>
      </c>
      <c r="D7153">
        <v>0</v>
      </c>
      <c r="E7153">
        <v>1</v>
      </c>
      <c r="F7153" s="7">
        <v>15033.16</v>
      </c>
      <c r="G7153">
        <v>0</v>
      </c>
      <c r="H7153" s="7">
        <v>0</v>
      </c>
    </row>
    <row r="7154" spans="1:8">
      <c r="A7154">
        <v>6</v>
      </c>
      <c r="B7154" t="s">
        <v>43</v>
      </c>
      <c r="C7154" t="s">
        <v>35</v>
      </c>
      <c r="D7154">
        <v>0</v>
      </c>
      <c r="E7154">
        <v>1</v>
      </c>
      <c r="F7154" s="7">
        <v>262301.96</v>
      </c>
      <c r="G7154">
        <v>0</v>
      </c>
      <c r="H7154" s="7">
        <v>0</v>
      </c>
    </row>
    <row r="7155" spans="1:8">
      <c r="A7155">
        <v>6</v>
      </c>
      <c r="B7155" t="s">
        <v>42</v>
      </c>
      <c r="C7155" t="s">
        <v>34</v>
      </c>
      <c r="D7155">
        <v>0</v>
      </c>
      <c r="E7155">
        <v>1</v>
      </c>
      <c r="F7155" s="7">
        <v>31211.8</v>
      </c>
      <c r="G7155">
        <v>0</v>
      </c>
      <c r="H7155" s="7">
        <v>0</v>
      </c>
    </row>
    <row r="7156" spans="1:8">
      <c r="A7156">
        <v>6</v>
      </c>
      <c r="B7156" t="s">
        <v>42</v>
      </c>
      <c r="C7156" t="s">
        <v>33</v>
      </c>
      <c r="D7156">
        <v>0</v>
      </c>
      <c r="E7156">
        <v>1</v>
      </c>
      <c r="F7156" s="7">
        <v>3392.19</v>
      </c>
      <c r="G7156">
        <v>0</v>
      </c>
      <c r="H7156" s="7">
        <v>0</v>
      </c>
    </row>
    <row r="7157" spans="1:8">
      <c r="A7157">
        <v>6</v>
      </c>
      <c r="B7157" t="s">
        <v>42</v>
      </c>
      <c r="C7157" t="s">
        <v>33</v>
      </c>
      <c r="D7157">
        <v>0</v>
      </c>
      <c r="E7157">
        <v>1</v>
      </c>
      <c r="F7157" s="7">
        <v>5501.57</v>
      </c>
      <c r="G7157">
        <v>0</v>
      </c>
      <c r="H7157" s="7">
        <v>0</v>
      </c>
    </row>
    <row r="7158" spans="1:8">
      <c r="A7158">
        <v>6</v>
      </c>
      <c r="B7158" t="s">
        <v>42</v>
      </c>
      <c r="C7158" t="s">
        <v>33</v>
      </c>
      <c r="D7158">
        <v>0</v>
      </c>
      <c r="E7158">
        <v>1</v>
      </c>
      <c r="F7158" s="7">
        <v>6382.5</v>
      </c>
      <c r="G7158">
        <v>0</v>
      </c>
      <c r="H7158" s="7">
        <v>0</v>
      </c>
    </row>
    <row r="7159" spans="1:8">
      <c r="A7159">
        <v>6</v>
      </c>
      <c r="B7159" t="s">
        <v>42</v>
      </c>
      <c r="C7159" t="s">
        <v>34</v>
      </c>
      <c r="D7159">
        <v>0</v>
      </c>
      <c r="E7159">
        <v>1</v>
      </c>
      <c r="F7159" s="7">
        <v>17826.95</v>
      </c>
      <c r="G7159">
        <v>0</v>
      </c>
      <c r="H7159" s="7">
        <v>0</v>
      </c>
    </row>
    <row r="7160" spans="1:8">
      <c r="A7160">
        <v>6</v>
      </c>
      <c r="B7160" t="s">
        <v>43</v>
      </c>
      <c r="C7160" t="s">
        <v>34</v>
      </c>
      <c r="D7160">
        <v>1</v>
      </c>
      <c r="E7160">
        <v>1</v>
      </c>
      <c r="F7160" s="7">
        <v>13704</v>
      </c>
      <c r="G7160">
        <v>1</v>
      </c>
      <c r="H7160" s="7">
        <v>13704</v>
      </c>
    </row>
    <row r="7161" spans="1:8">
      <c r="A7161">
        <v>6</v>
      </c>
      <c r="B7161" t="s">
        <v>44</v>
      </c>
      <c r="C7161" t="s">
        <v>34</v>
      </c>
      <c r="D7161">
        <v>1</v>
      </c>
      <c r="E7161">
        <v>1</v>
      </c>
      <c r="F7161" s="7">
        <v>13704</v>
      </c>
      <c r="G7161">
        <v>1</v>
      </c>
      <c r="H7161" s="7">
        <v>13704</v>
      </c>
    </row>
    <row r="7162" spans="1:8">
      <c r="A7162">
        <v>6</v>
      </c>
      <c r="B7162" t="s">
        <v>42</v>
      </c>
      <c r="C7162" t="s">
        <v>33</v>
      </c>
      <c r="D7162">
        <v>0</v>
      </c>
      <c r="E7162">
        <v>1</v>
      </c>
      <c r="F7162" s="7">
        <v>2945.31</v>
      </c>
      <c r="G7162">
        <v>0</v>
      </c>
      <c r="H7162" s="7">
        <v>0</v>
      </c>
    </row>
    <row r="7163" spans="1:8">
      <c r="A7163">
        <v>6</v>
      </c>
      <c r="B7163" t="s">
        <v>42</v>
      </c>
      <c r="C7163" t="s">
        <v>34</v>
      </c>
      <c r="D7163">
        <v>0</v>
      </c>
      <c r="E7163">
        <v>1</v>
      </c>
      <c r="F7163" s="7">
        <v>27668.81</v>
      </c>
      <c r="G7163">
        <v>0</v>
      </c>
      <c r="H7163" s="7">
        <v>0</v>
      </c>
    </row>
    <row r="7164" spans="1:8">
      <c r="A7164">
        <v>6</v>
      </c>
      <c r="B7164" t="s">
        <v>42</v>
      </c>
      <c r="C7164" t="s">
        <v>34</v>
      </c>
      <c r="D7164">
        <v>0</v>
      </c>
      <c r="E7164">
        <v>1</v>
      </c>
      <c r="F7164" s="7">
        <v>18714.61</v>
      </c>
      <c r="G7164">
        <v>0</v>
      </c>
      <c r="H7164" s="7">
        <v>0</v>
      </c>
    </row>
    <row r="7165" spans="1:8">
      <c r="A7165">
        <v>6</v>
      </c>
      <c r="B7165" t="s">
        <v>43</v>
      </c>
      <c r="C7165" t="s">
        <v>35</v>
      </c>
      <c r="D7165">
        <v>0</v>
      </c>
      <c r="E7165">
        <v>1</v>
      </c>
      <c r="F7165" s="7">
        <v>312895.63</v>
      </c>
      <c r="G7165">
        <v>0</v>
      </c>
      <c r="H7165" s="7">
        <v>0</v>
      </c>
    </row>
    <row r="7166" spans="1:8">
      <c r="A7166">
        <v>6</v>
      </c>
      <c r="B7166" t="s">
        <v>42</v>
      </c>
      <c r="C7166" t="s">
        <v>33</v>
      </c>
      <c r="D7166">
        <v>0</v>
      </c>
      <c r="E7166">
        <v>1</v>
      </c>
      <c r="F7166" s="7">
        <v>4411.9</v>
      </c>
      <c r="G7166">
        <v>0</v>
      </c>
      <c r="H7166" s="7">
        <v>0</v>
      </c>
    </row>
    <row r="7167" spans="1:8">
      <c r="A7167">
        <v>6</v>
      </c>
      <c r="B7167" t="s">
        <v>43</v>
      </c>
      <c r="C7167" t="s">
        <v>35</v>
      </c>
      <c r="D7167">
        <v>0</v>
      </c>
      <c r="E7167">
        <v>1</v>
      </c>
      <c r="F7167" s="7">
        <v>245997.24</v>
      </c>
      <c r="G7167">
        <v>0</v>
      </c>
      <c r="H7167" s="7">
        <v>0</v>
      </c>
    </row>
    <row r="7168" spans="1:8">
      <c r="A7168">
        <v>6</v>
      </c>
      <c r="B7168" t="s">
        <v>42</v>
      </c>
      <c r="C7168" t="s">
        <v>33</v>
      </c>
      <c r="D7168">
        <v>0</v>
      </c>
      <c r="E7168">
        <v>1</v>
      </c>
      <c r="F7168" s="7">
        <v>7426.32</v>
      </c>
      <c r="G7168">
        <v>0</v>
      </c>
      <c r="H7168" s="7">
        <v>0</v>
      </c>
    </row>
    <row r="7169" spans="1:8">
      <c r="A7169">
        <v>6</v>
      </c>
      <c r="B7169" t="s">
        <v>42</v>
      </c>
      <c r="C7169" t="s">
        <v>33</v>
      </c>
      <c r="D7169">
        <v>0</v>
      </c>
      <c r="E7169">
        <v>1</v>
      </c>
      <c r="F7169" s="7">
        <v>9282.83</v>
      </c>
      <c r="G7169">
        <v>0</v>
      </c>
      <c r="H7169" s="7">
        <v>0</v>
      </c>
    </row>
    <row r="7170" spans="1:8">
      <c r="A7170">
        <v>7</v>
      </c>
      <c r="B7170" t="s">
        <v>42</v>
      </c>
      <c r="C7170" t="s">
        <v>33</v>
      </c>
      <c r="D7170">
        <v>0</v>
      </c>
      <c r="E7170">
        <v>1</v>
      </c>
      <c r="F7170" s="7">
        <v>9023.63</v>
      </c>
      <c r="G7170">
        <v>0</v>
      </c>
      <c r="H7170" s="7">
        <v>0</v>
      </c>
    </row>
    <row r="7171" spans="1:8">
      <c r="A7171">
        <v>7</v>
      </c>
      <c r="B7171" t="s">
        <v>42</v>
      </c>
      <c r="C7171" t="s">
        <v>34</v>
      </c>
      <c r="D7171">
        <v>0</v>
      </c>
      <c r="E7171">
        <v>1</v>
      </c>
      <c r="F7171" s="7">
        <v>13266.85</v>
      </c>
      <c r="G7171">
        <v>0</v>
      </c>
      <c r="H7171" s="7">
        <v>0</v>
      </c>
    </row>
    <row r="7172" spans="1:8">
      <c r="A7172">
        <v>7</v>
      </c>
      <c r="B7172" t="s">
        <v>44</v>
      </c>
      <c r="C7172" t="s">
        <v>34</v>
      </c>
      <c r="D7172">
        <v>0</v>
      </c>
      <c r="E7172">
        <v>1</v>
      </c>
      <c r="F7172" s="7">
        <v>77253.21</v>
      </c>
      <c r="G7172">
        <v>0</v>
      </c>
      <c r="H7172" s="7">
        <v>0</v>
      </c>
    </row>
    <row r="7173" spans="1:8">
      <c r="A7173">
        <v>7</v>
      </c>
      <c r="B7173" t="s">
        <v>43</v>
      </c>
      <c r="C7173" t="s">
        <v>35</v>
      </c>
      <c r="D7173">
        <v>0</v>
      </c>
      <c r="E7173">
        <v>1</v>
      </c>
      <c r="F7173" s="7">
        <v>360373.89</v>
      </c>
      <c r="G7173">
        <v>0</v>
      </c>
      <c r="H7173" s="7">
        <v>0</v>
      </c>
    </row>
    <row r="7174" spans="1:8">
      <c r="A7174">
        <v>7</v>
      </c>
      <c r="B7174" t="s">
        <v>42</v>
      </c>
      <c r="C7174" t="s">
        <v>33</v>
      </c>
      <c r="D7174">
        <v>0</v>
      </c>
      <c r="E7174">
        <v>1</v>
      </c>
      <c r="F7174" s="7">
        <v>1526.5</v>
      </c>
      <c r="G7174">
        <v>0</v>
      </c>
      <c r="H7174" s="7">
        <v>0</v>
      </c>
    </row>
    <row r="7175" spans="1:8">
      <c r="A7175">
        <v>7</v>
      </c>
      <c r="B7175" t="s">
        <v>42</v>
      </c>
      <c r="C7175" t="s">
        <v>34</v>
      </c>
      <c r="D7175">
        <v>0</v>
      </c>
      <c r="E7175">
        <v>1</v>
      </c>
      <c r="F7175" s="7">
        <v>18747.29</v>
      </c>
      <c r="G7175">
        <v>0</v>
      </c>
      <c r="H7175" s="7">
        <v>0</v>
      </c>
    </row>
    <row r="7176" spans="1:8">
      <c r="A7176">
        <v>7</v>
      </c>
      <c r="B7176" t="s">
        <v>42</v>
      </c>
      <c r="C7176" t="s">
        <v>33</v>
      </c>
      <c r="D7176">
        <v>0</v>
      </c>
      <c r="E7176">
        <v>1</v>
      </c>
      <c r="F7176" s="7">
        <v>5248.34</v>
      </c>
      <c r="G7176">
        <v>0</v>
      </c>
      <c r="H7176" s="7">
        <v>0</v>
      </c>
    </row>
    <row r="7177" spans="1:8">
      <c r="A7177">
        <v>7</v>
      </c>
      <c r="B7177" t="s">
        <v>42</v>
      </c>
      <c r="C7177" t="s">
        <v>33</v>
      </c>
      <c r="D7177">
        <v>0</v>
      </c>
      <c r="E7177">
        <v>1</v>
      </c>
      <c r="F7177" s="7">
        <v>4944.21</v>
      </c>
      <c r="G7177">
        <v>0</v>
      </c>
      <c r="H7177" s="7">
        <v>0</v>
      </c>
    </row>
    <row r="7178" spans="1:8">
      <c r="A7178">
        <v>7</v>
      </c>
      <c r="B7178" t="s">
        <v>42</v>
      </c>
      <c r="C7178" t="s">
        <v>34</v>
      </c>
      <c r="D7178">
        <v>0</v>
      </c>
      <c r="E7178">
        <v>1</v>
      </c>
      <c r="F7178" s="7">
        <v>11933.67</v>
      </c>
      <c r="G7178">
        <v>0</v>
      </c>
      <c r="H7178" s="7">
        <v>0</v>
      </c>
    </row>
    <row r="7179" spans="1:8">
      <c r="A7179">
        <v>7</v>
      </c>
      <c r="B7179" t="s">
        <v>44</v>
      </c>
      <c r="C7179" t="s">
        <v>34</v>
      </c>
      <c r="D7179">
        <v>0</v>
      </c>
      <c r="E7179">
        <v>1</v>
      </c>
      <c r="F7179" s="7">
        <v>75359.52</v>
      </c>
      <c r="G7179">
        <v>0</v>
      </c>
      <c r="H7179" s="7">
        <v>0</v>
      </c>
    </row>
    <row r="7180" spans="1:8">
      <c r="A7180">
        <v>7</v>
      </c>
      <c r="B7180" t="s">
        <v>42</v>
      </c>
      <c r="C7180" t="s">
        <v>33</v>
      </c>
      <c r="D7180">
        <v>0</v>
      </c>
      <c r="E7180">
        <v>1</v>
      </c>
      <c r="F7180" s="7">
        <v>5624.78</v>
      </c>
      <c r="G7180">
        <v>0</v>
      </c>
      <c r="H7180" s="7">
        <v>0</v>
      </c>
    </row>
    <row r="7181" spans="1:8">
      <c r="A7181">
        <v>7</v>
      </c>
      <c r="B7181" t="s">
        <v>44</v>
      </c>
      <c r="C7181" t="s">
        <v>34</v>
      </c>
      <c r="D7181">
        <v>0</v>
      </c>
      <c r="E7181">
        <v>1</v>
      </c>
      <c r="F7181" s="7">
        <v>67787.89</v>
      </c>
      <c r="G7181">
        <v>0</v>
      </c>
      <c r="H7181" s="7">
        <v>0</v>
      </c>
    </row>
    <row r="7182" spans="1:8">
      <c r="A7182">
        <v>7</v>
      </c>
      <c r="B7182" t="s">
        <v>42</v>
      </c>
      <c r="C7182" t="s">
        <v>33</v>
      </c>
      <c r="D7182">
        <v>0</v>
      </c>
      <c r="E7182">
        <v>1</v>
      </c>
      <c r="F7182" s="7">
        <v>5272.45</v>
      </c>
      <c r="G7182">
        <v>0</v>
      </c>
      <c r="H7182" s="7">
        <v>0</v>
      </c>
    </row>
    <row r="7183" spans="1:8">
      <c r="A7183">
        <v>7</v>
      </c>
      <c r="B7183" t="s">
        <v>42</v>
      </c>
      <c r="C7183" t="s">
        <v>33</v>
      </c>
      <c r="D7183">
        <v>0</v>
      </c>
      <c r="E7183">
        <v>1</v>
      </c>
      <c r="F7183" s="7">
        <v>5947.18</v>
      </c>
      <c r="G7183">
        <v>0</v>
      </c>
      <c r="H7183" s="7">
        <v>0</v>
      </c>
    </row>
    <row r="7184" spans="1:8">
      <c r="A7184">
        <v>7</v>
      </c>
      <c r="B7184" t="s">
        <v>42</v>
      </c>
      <c r="C7184" t="s">
        <v>33</v>
      </c>
      <c r="D7184">
        <v>0</v>
      </c>
      <c r="E7184">
        <v>1</v>
      </c>
      <c r="F7184" s="7">
        <v>2392.42</v>
      </c>
      <c r="G7184">
        <v>0</v>
      </c>
      <c r="H7184" s="7">
        <v>0</v>
      </c>
    </row>
    <row r="7185" spans="1:8">
      <c r="A7185">
        <v>7</v>
      </c>
      <c r="B7185" t="s">
        <v>42</v>
      </c>
      <c r="C7185" t="s">
        <v>33</v>
      </c>
      <c r="D7185">
        <v>0</v>
      </c>
      <c r="E7185">
        <v>1</v>
      </c>
      <c r="F7185" s="7">
        <v>7046.53</v>
      </c>
      <c r="G7185">
        <v>0</v>
      </c>
      <c r="H7185" s="7">
        <v>0</v>
      </c>
    </row>
    <row r="7186" spans="1:8">
      <c r="A7186">
        <v>7</v>
      </c>
      <c r="B7186" t="s">
        <v>43</v>
      </c>
      <c r="C7186" t="s">
        <v>35</v>
      </c>
      <c r="D7186">
        <v>0</v>
      </c>
      <c r="E7186">
        <v>1</v>
      </c>
      <c r="F7186" s="7">
        <v>761871.16</v>
      </c>
      <c r="G7186">
        <v>0</v>
      </c>
      <c r="H7186" s="7">
        <v>0</v>
      </c>
    </row>
    <row r="7187" spans="1:8">
      <c r="A7187">
        <v>7</v>
      </c>
      <c r="B7187" t="s">
        <v>42</v>
      </c>
      <c r="C7187" t="s">
        <v>33</v>
      </c>
      <c r="D7187">
        <v>0</v>
      </c>
      <c r="E7187">
        <v>1</v>
      </c>
      <c r="F7187" s="7">
        <v>3408.19</v>
      </c>
      <c r="G7187">
        <v>0</v>
      </c>
      <c r="H7187" s="7">
        <v>0</v>
      </c>
    </row>
    <row r="7188" spans="1:8">
      <c r="A7188">
        <v>7</v>
      </c>
      <c r="B7188" t="s">
        <v>43</v>
      </c>
      <c r="C7188" t="s">
        <v>35</v>
      </c>
      <c r="D7188">
        <v>0</v>
      </c>
      <c r="E7188">
        <v>1</v>
      </c>
      <c r="F7188" s="7">
        <v>905112.26</v>
      </c>
      <c r="G7188">
        <v>0</v>
      </c>
      <c r="H7188" s="7">
        <v>0</v>
      </c>
    </row>
    <row r="7189" spans="1:8">
      <c r="A7189">
        <v>7</v>
      </c>
      <c r="B7189" t="s">
        <v>42</v>
      </c>
      <c r="C7189" t="s">
        <v>33</v>
      </c>
      <c r="D7189">
        <v>0</v>
      </c>
      <c r="E7189">
        <v>1</v>
      </c>
      <c r="F7189" s="7">
        <v>3615.16</v>
      </c>
      <c r="G7189">
        <v>0</v>
      </c>
      <c r="H7189" s="7">
        <v>0</v>
      </c>
    </row>
    <row r="7190" spans="1:8">
      <c r="A7190">
        <v>7</v>
      </c>
      <c r="B7190" t="s">
        <v>44</v>
      </c>
      <c r="C7190" t="s">
        <v>35</v>
      </c>
      <c r="D7190">
        <v>0</v>
      </c>
      <c r="E7190">
        <v>1</v>
      </c>
      <c r="F7190" s="7">
        <v>112681.95</v>
      </c>
      <c r="G7190">
        <v>0</v>
      </c>
      <c r="H7190" s="7">
        <v>0</v>
      </c>
    </row>
    <row r="7191" spans="1:8">
      <c r="A7191">
        <v>7</v>
      </c>
      <c r="B7191" t="s">
        <v>42</v>
      </c>
      <c r="C7191" t="s">
        <v>34</v>
      </c>
      <c r="D7191">
        <v>0</v>
      </c>
      <c r="E7191">
        <v>1</v>
      </c>
      <c r="F7191" s="7">
        <v>11877.65</v>
      </c>
      <c r="G7191">
        <v>0</v>
      </c>
      <c r="H7191" s="7">
        <v>0</v>
      </c>
    </row>
    <row r="7192" spans="1:8">
      <c r="A7192">
        <v>7</v>
      </c>
      <c r="B7192" t="s">
        <v>42</v>
      </c>
      <c r="C7192" t="s">
        <v>33</v>
      </c>
      <c r="D7192">
        <v>0</v>
      </c>
      <c r="E7192">
        <v>1</v>
      </c>
      <c r="F7192" s="7">
        <v>9065.86</v>
      </c>
      <c r="G7192">
        <v>0</v>
      </c>
      <c r="H7192" s="7">
        <v>0</v>
      </c>
    </row>
    <row r="7193" spans="1:8">
      <c r="A7193">
        <v>7</v>
      </c>
      <c r="B7193" t="s">
        <v>42</v>
      </c>
      <c r="C7193" t="s">
        <v>34</v>
      </c>
      <c r="D7193">
        <v>0</v>
      </c>
      <c r="E7193">
        <v>1</v>
      </c>
      <c r="F7193" s="7">
        <v>12672.81</v>
      </c>
      <c r="G7193">
        <v>0</v>
      </c>
      <c r="H7193" s="7">
        <v>0</v>
      </c>
    </row>
    <row r="7194" spans="1:8">
      <c r="A7194">
        <v>7</v>
      </c>
      <c r="B7194" t="s">
        <v>42</v>
      </c>
      <c r="C7194" t="s">
        <v>33</v>
      </c>
      <c r="D7194">
        <v>0</v>
      </c>
      <c r="E7194">
        <v>1</v>
      </c>
      <c r="F7194" s="7">
        <v>5528.36</v>
      </c>
      <c r="G7194">
        <v>0</v>
      </c>
      <c r="H7194" s="7">
        <v>0</v>
      </c>
    </row>
    <row r="7195" spans="1:8">
      <c r="A7195">
        <v>7</v>
      </c>
      <c r="B7195" t="s">
        <v>43</v>
      </c>
      <c r="C7195" t="s">
        <v>35</v>
      </c>
      <c r="D7195">
        <v>0</v>
      </c>
      <c r="E7195">
        <v>1</v>
      </c>
      <c r="F7195" s="7">
        <v>437415.9</v>
      </c>
      <c r="G7195">
        <v>0</v>
      </c>
      <c r="H7195" s="7">
        <v>0</v>
      </c>
    </row>
    <row r="7196" spans="1:8">
      <c r="A7196">
        <v>7</v>
      </c>
      <c r="B7196" t="s">
        <v>43</v>
      </c>
      <c r="C7196" t="s">
        <v>35</v>
      </c>
      <c r="D7196">
        <v>0</v>
      </c>
      <c r="E7196">
        <v>1</v>
      </c>
      <c r="F7196" s="7">
        <v>837439.12</v>
      </c>
      <c r="G7196">
        <v>0</v>
      </c>
      <c r="H7196" s="7">
        <v>0</v>
      </c>
    </row>
    <row r="7197" spans="1:8">
      <c r="A7197">
        <v>7</v>
      </c>
      <c r="B7197" t="s">
        <v>42</v>
      </c>
      <c r="C7197" t="s">
        <v>34</v>
      </c>
      <c r="D7197">
        <v>0</v>
      </c>
      <c r="E7197">
        <v>1</v>
      </c>
      <c r="F7197" s="7">
        <v>17864.89</v>
      </c>
      <c r="G7197">
        <v>0</v>
      </c>
      <c r="H7197" s="7">
        <v>0</v>
      </c>
    </row>
    <row r="7198" spans="1:8">
      <c r="A7198">
        <v>7</v>
      </c>
      <c r="B7198" t="s">
        <v>43</v>
      </c>
      <c r="C7198" t="s">
        <v>35</v>
      </c>
      <c r="D7198">
        <v>0</v>
      </c>
      <c r="E7198">
        <v>1</v>
      </c>
      <c r="F7198" s="7">
        <v>542435.88</v>
      </c>
      <c r="G7198">
        <v>0</v>
      </c>
      <c r="H7198" s="7">
        <v>0</v>
      </c>
    </row>
    <row r="7199" spans="1:8">
      <c r="A7199">
        <v>7</v>
      </c>
      <c r="B7199" t="s">
        <v>44</v>
      </c>
      <c r="C7199" t="s">
        <v>34</v>
      </c>
      <c r="D7199">
        <v>0</v>
      </c>
      <c r="E7199">
        <v>1</v>
      </c>
      <c r="F7199" s="7">
        <v>30918.53</v>
      </c>
      <c r="G7199">
        <v>0</v>
      </c>
      <c r="H7199" s="7">
        <v>0</v>
      </c>
    </row>
    <row r="7200" spans="1:8">
      <c r="A7200">
        <v>7</v>
      </c>
      <c r="B7200" t="s">
        <v>42</v>
      </c>
      <c r="C7200" t="s">
        <v>34</v>
      </c>
      <c r="D7200">
        <v>0</v>
      </c>
      <c r="E7200">
        <v>1</v>
      </c>
      <c r="F7200" s="7">
        <v>12691.35</v>
      </c>
      <c r="G7200">
        <v>0</v>
      </c>
      <c r="H7200" s="7">
        <v>0</v>
      </c>
    </row>
    <row r="7201" spans="1:8">
      <c r="A7201">
        <v>7</v>
      </c>
      <c r="B7201" t="s">
        <v>42</v>
      </c>
      <c r="C7201" t="s">
        <v>33</v>
      </c>
      <c r="D7201">
        <v>0</v>
      </c>
      <c r="E7201">
        <v>1</v>
      </c>
      <c r="F7201" s="7">
        <v>3790.42</v>
      </c>
      <c r="G7201">
        <v>0</v>
      </c>
      <c r="H7201" s="7">
        <v>0</v>
      </c>
    </row>
    <row r="7202" spans="1:8">
      <c r="A7202">
        <v>7</v>
      </c>
      <c r="B7202" t="s">
        <v>42</v>
      </c>
      <c r="C7202" t="s">
        <v>33</v>
      </c>
      <c r="D7202">
        <v>0</v>
      </c>
      <c r="E7202">
        <v>1</v>
      </c>
      <c r="F7202" s="7">
        <v>1966.5</v>
      </c>
      <c r="G7202">
        <v>0</v>
      </c>
      <c r="H7202" s="7">
        <v>0</v>
      </c>
    </row>
    <row r="7203" spans="1:8">
      <c r="A7203">
        <v>7</v>
      </c>
      <c r="B7203" t="s">
        <v>42</v>
      </c>
      <c r="C7203" t="s">
        <v>33</v>
      </c>
      <c r="D7203">
        <v>0</v>
      </c>
      <c r="E7203">
        <v>1</v>
      </c>
      <c r="F7203" s="7">
        <v>2627.97</v>
      </c>
      <c r="G7203">
        <v>0</v>
      </c>
      <c r="H7203" s="7">
        <v>0</v>
      </c>
    </row>
    <row r="7204" spans="1:8">
      <c r="A7204">
        <v>7</v>
      </c>
      <c r="B7204" t="s">
        <v>44</v>
      </c>
      <c r="C7204" t="s">
        <v>33</v>
      </c>
      <c r="D7204">
        <v>0</v>
      </c>
      <c r="E7204">
        <v>1</v>
      </c>
      <c r="F7204" s="7">
        <v>3336.48</v>
      </c>
      <c r="G7204">
        <v>0</v>
      </c>
      <c r="H7204" s="7">
        <v>0</v>
      </c>
    </row>
    <row r="7205" spans="1:8">
      <c r="A7205">
        <v>7</v>
      </c>
      <c r="B7205" t="s">
        <v>44</v>
      </c>
      <c r="C7205" t="s">
        <v>35</v>
      </c>
      <c r="D7205">
        <v>0</v>
      </c>
      <c r="E7205">
        <v>1</v>
      </c>
      <c r="F7205" s="7">
        <v>252322.27</v>
      </c>
      <c r="G7205">
        <v>0</v>
      </c>
      <c r="H7205" s="7">
        <v>0</v>
      </c>
    </row>
    <row r="7206" spans="1:8">
      <c r="A7206">
        <v>7</v>
      </c>
      <c r="B7206" t="s">
        <v>44</v>
      </c>
      <c r="C7206" t="s">
        <v>35</v>
      </c>
      <c r="D7206">
        <v>0</v>
      </c>
      <c r="E7206">
        <v>1</v>
      </c>
      <c r="F7206" s="7">
        <v>271308.11</v>
      </c>
      <c r="G7206">
        <v>0</v>
      </c>
      <c r="H7206" s="7">
        <v>0</v>
      </c>
    </row>
    <row r="7207" spans="1:8">
      <c r="A7207">
        <v>7</v>
      </c>
      <c r="B7207" t="s">
        <v>44</v>
      </c>
      <c r="C7207" t="s">
        <v>35</v>
      </c>
      <c r="D7207">
        <v>0</v>
      </c>
      <c r="E7207">
        <v>1</v>
      </c>
      <c r="F7207" s="7">
        <v>560156.47</v>
      </c>
      <c r="G7207">
        <v>0</v>
      </c>
      <c r="H7207" s="7">
        <v>0</v>
      </c>
    </row>
    <row r="7208" spans="1:8">
      <c r="A7208">
        <v>7</v>
      </c>
      <c r="B7208" t="s">
        <v>44</v>
      </c>
      <c r="C7208" t="s">
        <v>35</v>
      </c>
      <c r="D7208">
        <v>0</v>
      </c>
      <c r="E7208">
        <v>1</v>
      </c>
      <c r="F7208" s="7">
        <v>265115.26</v>
      </c>
      <c r="G7208">
        <v>0</v>
      </c>
      <c r="H7208" s="7">
        <v>0</v>
      </c>
    </row>
    <row r="7209" spans="1:8">
      <c r="A7209">
        <v>7</v>
      </c>
      <c r="B7209" t="s">
        <v>44</v>
      </c>
      <c r="C7209" t="s">
        <v>35</v>
      </c>
      <c r="D7209">
        <v>0</v>
      </c>
      <c r="E7209">
        <v>1</v>
      </c>
      <c r="F7209" s="7">
        <v>160642.36</v>
      </c>
      <c r="G7209">
        <v>0</v>
      </c>
      <c r="H7209" s="7">
        <v>0</v>
      </c>
    </row>
    <row r="7210" spans="1:8">
      <c r="A7210">
        <v>7</v>
      </c>
      <c r="B7210" t="s">
        <v>44</v>
      </c>
      <c r="C7210" t="s">
        <v>34</v>
      </c>
      <c r="D7210">
        <v>0</v>
      </c>
      <c r="E7210">
        <v>1</v>
      </c>
      <c r="F7210" s="7">
        <v>23691.12</v>
      </c>
      <c r="G7210">
        <v>0</v>
      </c>
      <c r="H7210" s="7">
        <v>0</v>
      </c>
    </row>
    <row r="7211" spans="1:8">
      <c r="A7211">
        <v>7</v>
      </c>
      <c r="B7211" t="s">
        <v>44</v>
      </c>
      <c r="C7211" t="s">
        <v>34</v>
      </c>
      <c r="D7211">
        <v>0</v>
      </c>
      <c r="E7211">
        <v>1</v>
      </c>
      <c r="F7211" s="7">
        <v>24971.08</v>
      </c>
      <c r="G7211">
        <v>0</v>
      </c>
      <c r="H7211" s="7">
        <v>0</v>
      </c>
    </row>
    <row r="7212" spans="1:8">
      <c r="A7212">
        <v>7</v>
      </c>
      <c r="B7212" t="s">
        <v>45</v>
      </c>
      <c r="C7212" t="s">
        <v>33</v>
      </c>
      <c r="D7212">
        <v>0</v>
      </c>
      <c r="E7212">
        <v>1</v>
      </c>
      <c r="F7212" s="7">
        <v>2226.78</v>
      </c>
      <c r="G7212">
        <v>0</v>
      </c>
      <c r="H7212" s="7">
        <v>0</v>
      </c>
    </row>
    <row r="7213" spans="1:8">
      <c r="A7213">
        <v>7</v>
      </c>
      <c r="B7213" t="s">
        <v>42</v>
      </c>
      <c r="C7213" t="s">
        <v>33</v>
      </c>
      <c r="D7213">
        <v>0</v>
      </c>
      <c r="E7213">
        <v>1</v>
      </c>
      <c r="F7213" s="7">
        <v>3358.66</v>
      </c>
      <c r="G7213">
        <v>0</v>
      </c>
      <c r="H7213" s="7">
        <v>0</v>
      </c>
    </row>
    <row r="7214" spans="1:8">
      <c r="A7214">
        <v>7</v>
      </c>
      <c r="B7214" t="s">
        <v>44</v>
      </c>
      <c r="C7214" t="s">
        <v>33</v>
      </c>
      <c r="D7214">
        <v>0</v>
      </c>
      <c r="E7214">
        <v>1</v>
      </c>
      <c r="F7214" s="7">
        <v>4339.89</v>
      </c>
      <c r="G7214">
        <v>0</v>
      </c>
      <c r="H7214" s="7">
        <v>0</v>
      </c>
    </row>
    <row r="7215" spans="1:8">
      <c r="A7215">
        <v>7</v>
      </c>
      <c r="B7215" t="s">
        <v>42</v>
      </c>
      <c r="C7215" t="s">
        <v>34</v>
      </c>
      <c r="D7215">
        <v>0</v>
      </c>
      <c r="E7215">
        <v>1</v>
      </c>
      <c r="F7215" s="7">
        <v>12294.76</v>
      </c>
      <c r="G7215">
        <v>0</v>
      </c>
      <c r="H7215" s="7">
        <v>0</v>
      </c>
    </row>
    <row r="7216" spans="1:8">
      <c r="A7216">
        <v>7</v>
      </c>
      <c r="B7216" t="s">
        <v>42</v>
      </c>
      <c r="C7216" t="s">
        <v>34</v>
      </c>
      <c r="D7216">
        <v>0</v>
      </c>
      <c r="E7216">
        <v>1</v>
      </c>
      <c r="F7216" s="7">
        <v>12091.12</v>
      </c>
      <c r="G7216">
        <v>0</v>
      </c>
      <c r="H7216" s="7">
        <v>0</v>
      </c>
    </row>
    <row r="7217" spans="1:8">
      <c r="A7217">
        <v>7</v>
      </c>
      <c r="B7217" t="s">
        <v>42</v>
      </c>
      <c r="C7217" t="s">
        <v>33</v>
      </c>
      <c r="D7217">
        <v>0</v>
      </c>
      <c r="E7217">
        <v>1</v>
      </c>
      <c r="F7217" s="7">
        <v>1620.17</v>
      </c>
      <c r="G7217">
        <v>0</v>
      </c>
      <c r="H7217" s="7">
        <v>0</v>
      </c>
    </row>
    <row r="7218" spans="1:8">
      <c r="A7218">
        <v>7</v>
      </c>
      <c r="B7218" t="s">
        <v>42</v>
      </c>
      <c r="C7218" t="s">
        <v>34</v>
      </c>
      <c r="D7218">
        <v>0</v>
      </c>
      <c r="E7218">
        <v>1</v>
      </c>
      <c r="F7218" s="7">
        <v>10364.69</v>
      </c>
      <c r="G7218">
        <v>0</v>
      </c>
      <c r="H7218" s="7">
        <v>0</v>
      </c>
    </row>
    <row r="7219" spans="1:8">
      <c r="A7219">
        <v>7</v>
      </c>
      <c r="B7219" t="s">
        <v>42</v>
      </c>
      <c r="C7219" t="s">
        <v>33</v>
      </c>
      <c r="D7219">
        <v>0</v>
      </c>
      <c r="E7219">
        <v>1</v>
      </c>
      <c r="F7219" s="7">
        <v>9621.65</v>
      </c>
      <c r="G7219">
        <v>0</v>
      </c>
      <c r="H7219" s="7">
        <v>0</v>
      </c>
    </row>
    <row r="7220" spans="1:8">
      <c r="A7220">
        <v>7</v>
      </c>
      <c r="B7220" t="s">
        <v>42</v>
      </c>
      <c r="C7220" t="s">
        <v>34</v>
      </c>
      <c r="D7220">
        <v>0</v>
      </c>
      <c r="E7220">
        <v>1</v>
      </c>
      <c r="F7220" s="7">
        <v>14852.76</v>
      </c>
      <c r="G7220">
        <v>0</v>
      </c>
      <c r="H7220" s="7">
        <v>0</v>
      </c>
    </row>
    <row r="7221" spans="1:8">
      <c r="A7221">
        <v>7</v>
      </c>
      <c r="B7221" t="s">
        <v>42</v>
      </c>
      <c r="C7221" t="s">
        <v>33</v>
      </c>
      <c r="D7221">
        <v>0</v>
      </c>
      <c r="E7221">
        <v>1</v>
      </c>
      <c r="F7221" s="7">
        <v>1748.86</v>
      </c>
      <c r="G7221">
        <v>0</v>
      </c>
      <c r="H7221" s="7">
        <v>0</v>
      </c>
    </row>
    <row r="7222" spans="1:8">
      <c r="A7222">
        <v>7</v>
      </c>
      <c r="B7222" t="s">
        <v>42</v>
      </c>
      <c r="C7222" t="s">
        <v>33</v>
      </c>
      <c r="D7222">
        <v>0</v>
      </c>
      <c r="E7222">
        <v>1</v>
      </c>
      <c r="F7222" s="7">
        <v>8257.29</v>
      </c>
      <c r="G7222">
        <v>0</v>
      </c>
      <c r="H7222" s="7">
        <v>0</v>
      </c>
    </row>
    <row r="7223" spans="1:8">
      <c r="A7223">
        <v>7</v>
      </c>
      <c r="B7223" t="s">
        <v>42</v>
      </c>
      <c r="C7223" t="s">
        <v>33</v>
      </c>
      <c r="D7223">
        <v>0</v>
      </c>
      <c r="E7223">
        <v>1</v>
      </c>
      <c r="F7223" s="7">
        <v>4680.12</v>
      </c>
      <c r="G7223">
        <v>0</v>
      </c>
      <c r="H7223" s="7">
        <v>0</v>
      </c>
    </row>
    <row r="7224" spans="1:8">
      <c r="A7224">
        <v>7</v>
      </c>
      <c r="B7224" t="s">
        <v>42</v>
      </c>
      <c r="C7224" t="s">
        <v>33</v>
      </c>
      <c r="D7224">
        <v>0</v>
      </c>
      <c r="E7224">
        <v>1</v>
      </c>
      <c r="F7224" s="7">
        <v>1221.33</v>
      </c>
      <c r="G7224">
        <v>0</v>
      </c>
      <c r="H7224" s="7">
        <v>0</v>
      </c>
    </row>
    <row r="7225" spans="1:8">
      <c r="A7225">
        <v>7</v>
      </c>
      <c r="B7225" t="s">
        <v>42</v>
      </c>
      <c r="C7225" t="s">
        <v>33</v>
      </c>
      <c r="D7225">
        <v>0</v>
      </c>
      <c r="E7225">
        <v>1</v>
      </c>
      <c r="F7225" s="7">
        <v>4286.24</v>
      </c>
      <c r="G7225">
        <v>0</v>
      </c>
      <c r="H7225" s="7">
        <v>0</v>
      </c>
    </row>
    <row r="7226" spans="1:8">
      <c r="A7226">
        <v>7</v>
      </c>
      <c r="B7226" t="s">
        <v>44</v>
      </c>
      <c r="C7226" t="s">
        <v>35</v>
      </c>
      <c r="D7226">
        <v>0</v>
      </c>
      <c r="E7226">
        <v>1</v>
      </c>
      <c r="F7226" s="7">
        <v>181882.49</v>
      </c>
      <c r="G7226">
        <v>0</v>
      </c>
      <c r="H7226" s="7">
        <v>0</v>
      </c>
    </row>
    <row r="7227" spans="1:8">
      <c r="A7227">
        <v>7</v>
      </c>
      <c r="B7227" t="s">
        <v>42</v>
      </c>
      <c r="C7227" t="s">
        <v>33</v>
      </c>
      <c r="D7227">
        <v>0</v>
      </c>
      <c r="E7227">
        <v>1</v>
      </c>
      <c r="F7227" s="7">
        <v>3764.45</v>
      </c>
      <c r="G7227">
        <v>0</v>
      </c>
      <c r="H7227" s="7">
        <v>0</v>
      </c>
    </row>
    <row r="7228" spans="1:8">
      <c r="A7228">
        <v>7</v>
      </c>
      <c r="B7228" t="s">
        <v>46</v>
      </c>
      <c r="C7228" t="s">
        <v>34</v>
      </c>
      <c r="D7228">
        <v>0</v>
      </c>
      <c r="E7228">
        <v>1</v>
      </c>
      <c r="F7228" s="7">
        <v>39922.66</v>
      </c>
      <c r="G7228">
        <v>0</v>
      </c>
      <c r="H7228" s="7">
        <v>0</v>
      </c>
    </row>
    <row r="7229" spans="1:8">
      <c r="A7229">
        <v>7</v>
      </c>
      <c r="B7229" t="s">
        <v>46</v>
      </c>
      <c r="C7229" t="s">
        <v>35</v>
      </c>
      <c r="D7229">
        <v>0</v>
      </c>
      <c r="E7229">
        <v>1</v>
      </c>
      <c r="F7229" s="7">
        <v>234527.64</v>
      </c>
      <c r="G7229">
        <v>0</v>
      </c>
      <c r="H7229" s="7">
        <v>0</v>
      </c>
    </row>
    <row r="7230" spans="1:8">
      <c r="A7230">
        <v>7</v>
      </c>
      <c r="B7230" t="s">
        <v>46</v>
      </c>
      <c r="C7230" t="s">
        <v>35</v>
      </c>
      <c r="D7230">
        <v>0</v>
      </c>
      <c r="E7230">
        <v>1</v>
      </c>
      <c r="F7230" s="7">
        <v>908091.47</v>
      </c>
      <c r="G7230">
        <v>0</v>
      </c>
      <c r="H7230" s="7">
        <v>0</v>
      </c>
    </row>
    <row r="7231" spans="1:8">
      <c r="A7231">
        <v>7</v>
      </c>
      <c r="B7231" t="s">
        <v>46</v>
      </c>
      <c r="C7231" t="s">
        <v>35</v>
      </c>
      <c r="D7231">
        <v>0</v>
      </c>
      <c r="E7231">
        <v>1</v>
      </c>
      <c r="F7231" s="7">
        <v>357932.51</v>
      </c>
      <c r="G7231">
        <v>0</v>
      </c>
      <c r="H7231" s="7">
        <v>0</v>
      </c>
    </row>
    <row r="7232" spans="1:8">
      <c r="A7232">
        <v>7</v>
      </c>
      <c r="B7232" t="s">
        <v>46</v>
      </c>
      <c r="C7232" t="s">
        <v>35</v>
      </c>
      <c r="D7232">
        <v>0</v>
      </c>
      <c r="E7232">
        <v>1</v>
      </c>
      <c r="F7232" s="7">
        <v>214662.24</v>
      </c>
      <c r="G7232">
        <v>0</v>
      </c>
      <c r="H7232" s="7">
        <v>0</v>
      </c>
    </row>
    <row r="7233" spans="1:8">
      <c r="A7233">
        <v>7</v>
      </c>
      <c r="B7233" t="s">
        <v>46</v>
      </c>
      <c r="C7233" t="s">
        <v>34</v>
      </c>
      <c r="D7233">
        <v>0</v>
      </c>
      <c r="E7233">
        <v>1</v>
      </c>
      <c r="F7233" s="7">
        <v>34511.23</v>
      </c>
      <c r="G7233">
        <v>0</v>
      </c>
      <c r="H7233" s="7">
        <v>0</v>
      </c>
    </row>
    <row r="7234" spans="1:8">
      <c r="A7234">
        <v>7</v>
      </c>
      <c r="B7234" t="s">
        <v>46</v>
      </c>
      <c r="C7234" t="s">
        <v>35</v>
      </c>
      <c r="D7234">
        <v>0</v>
      </c>
      <c r="E7234">
        <v>1</v>
      </c>
      <c r="F7234" s="7">
        <v>185741.02</v>
      </c>
      <c r="G7234">
        <v>0</v>
      </c>
      <c r="H7234" s="7">
        <v>0</v>
      </c>
    </row>
    <row r="7235" spans="1:8">
      <c r="A7235">
        <v>7</v>
      </c>
      <c r="B7235" t="s">
        <v>46</v>
      </c>
      <c r="C7235" t="s">
        <v>34</v>
      </c>
      <c r="D7235">
        <v>0</v>
      </c>
      <c r="E7235">
        <v>1</v>
      </c>
      <c r="F7235" s="7">
        <v>23303.97</v>
      </c>
      <c r="G7235">
        <v>0</v>
      </c>
      <c r="H7235" s="7">
        <v>0</v>
      </c>
    </row>
    <row r="7236" spans="1:8">
      <c r="A7236">
        <v>7</v>
      </c>
      <c r="B7236" t="s">
        <v>46</v>
      </c>
      <c r="C7236" t="s">
        <v>34</v>
      </c>
      <c r="D7236">
        <v>0</v>
      </c>
      <c r="E7236">
        <v>1</v>
      </c>
      <c r="F7236" s="7">
        <v>85766.59</v>
      </c>
      <c r="G7236">
        <v>0</v>
      </c>
      <c r="H7236" s="7">
        <v>0</v>
      </c>
    </row>
    <row r="7237" spans="1:8">
      <c r="A7237">
        <v>7</v>
      </c>
      <c r="B7237" t="s">
        <v>46</v>
      </c>
      <c r="C7237" t="s">
        <v>34</v>
      </c>
      <c r="D7237">
        <v>0</v>
      </c>
      <c r="E7237">
        <v>1</v>
      </c>
      <c r="F7237" s="7">
        <v>99504.49</v>
      </c>
      <c r="G7237">
        <v>0</v>
      </c>
      <c r="H7237" s="7">
        <v>0</v>
      </c>
    </row>
    <row r="7238" spans="1:8">
      <c r="A7238">
        <v>7</v>
      </c>
      <c r="B7238" t="s">
        <v>46</v>
      </c>
      <c r="C7238" t="s">
        <v>35</v>
      </c>
      <c r="D7238">
        <v>0</v>
      </c>
      <c r="E7238">
        <v>1</v>
      </c>
      <c r="F7238" s="7">
        <v>201011.68</v>
      </c>
      <c r="G7238">
        <v>0</v>
      </c>
      <c r="H7238" s="7">
        <v>0</v>
      </c>
    </row>
    <row r="7239" spans="1:8">
      <c r="A7239">
        <v>7</v>
      </c>
      <c r="B7239" t="s">
        <v>46</v>
      </c>
      <c r="C7239" t="s">
        <v>35</v>
      </c>
      <c r="D7239">
        <v>0</v>
      </c>
      <c r="E7239">
        <v>1</v>
      </c>
      <c r="F7239" s="7">
        <v>166686.78</v>
      </c>
      <c r="G7239">
        <v>0</v>
      </c>
      <c r="H7239" s="7">
        <v>0</v>
      </c>
    </row>
    <row r="7240" spans="1:8">
      <c r="A7240">
        <v>7</v>
      </c>
      <c r="B7240" t="s">
        <v>46</v>
      </c>
      <c r="C7240" t="s">
        <v>35</v>
      </c>
      <c r="D7240">
        <v>0</v>
      </c>
      <c r="E7240">
        <v>1</v>
      </c>
      <c r="F7240" s="7">
        <v>306426.01</v>
      </c>
      <c r="G7240">
        <v>0</v>
      </c>
      <c r="H7240" s="7">
        <v>0</v>
      </c>
    </row>
    <row r="7241" spans="1:8">
      <c r="A7241">
        <v>7</v>
      </c>
      <c r="B7241" t="s">
        <v>46</v>
      </c>
      <c r="C7241" t="s">
        <v>34</v>
      </c>
      <c r="D7241">
        <v>0</v>
      </c>
      <c r="E7241">
        <v>1</v>
      </c>
      <c r="F7241" s="7">
        <v>19247.53</v>
      </c>
      <c r="G7241">
        <v>0</v>
      </c>
      <c r="H7241" s="7">
        <v>0</v>
      </c>
    </row>
    <row r="7242" spans="1:8">
      <c r="A7242">
        <v>7</v>
      </c>
      <c r="B7242" t="s">
        <v>46</v>
      </c>
      <c r="C7242" t="s">
        <v>34</v>
      </c>
      <c r="D7242">
        <v>0</v>
      </c>
      <c r="E7242">
        <v>1</v>
      </c>
      <c r="F7242" s="7">
        <v>42025.29</v>
      </c>
      <c r="G7242">
        <v>0</v>
      </c>
      <c r="H7242" s="7">
        <v>0</v>
      </c>
    </row>
    <row r="7243" spans="1:8">
      <c r="A7243">
        <v>7</v>
      </c>
      <c r="B7243" t="s">
        <v>46</v>
      </c>
      <c r="C7243" t="s">
        <v>35</v>
      </c>
      <c r="D7243">
        <v>0</v>
      </c>
      <c r="E7243">
        <v>1</v>
      </c>
      <c r="F7243" s="7">
        <v>159171.56</v>
      </c>
      <c r="G7243">
        <v>0</v>
      </c>
      <c r="H7243" s="7">
        <v>0</v>
      </c>
    </row>
    <row r="7244" spans="1:8">
      <c r="A7244">
        <v>7</v>
      </c>
      <c r="B7244" t="s">
        <v>46</v>
      </c>
      <c r="C7244" t="s">
        <v>35</v>
      </c>
      <c r="D7244">
        <v>0</v>
      </c>
      <c r="E7244">
        <v>1</v>
      </c>
      <c r="F7244" s="7">
        <v>173928.45</v>
      </c>
      <c r="G7244">
        <v>0</v>
      </c>
      <c r="H7244" s="7">
        <v>0</v>
      </c>
    </row>
    <row r="7245" spans="1:8">
      <c r="A7245">
        <v>7</v>
      </c>
      <c r="B7245" t="s">
        <v>46</v>
      </c>
      <c r="C7245" t="s">
        <v>35</v>
      </c>
      <c r="D7245">
        <v>0</v>
      </c>
      <c r="E7245">
        <v>1</v>
      </c>
      <c r="F7245" s="7">
        <v>324145.15</v>
      </c>
      <c r="G7245">
        <v>0</v>
      </c>
      <c r="H7245" s="7">
        <v>0</v>
      </c>
    </row>
    <row r="7246" spans="1:8">
      <c r="A7246">
        <v>7</v>
      </c>
      <c r="B7246" t="s">
        <v>46</v>
      </c>
      <c r="C7246" t="s">
        <v>34</v>
      </c>
      <c r="D7246">
        <v>0</v>
      </c>
      <c r="E7246">
        <v>1</v>
      </c>
      <c r="F7246" s="7">
        <v>75247.56</v>
      </c>
      <c r="G7246">
        <v>0</v>
      </c>
      <c r="H7246" s="7">
        <v>0</v>
      </c>
    </row>
    <row r="7247" spans="1:8">
      <c r="A7247">
        <v>7</v>
      </c>
      <c r="B7247" t="s">
        <v>46</v>
      </c>
      <c r="C7247" t="s">
        <v>34</v>
      </c>
      <c r="D7247">
        <v>0</v>
      </c>
      <c r="E7247">
        <v>1</v>
      </c>
      <c r="F7247" s="7">
        <v>40765.68</v>
      </c>
      <c r="G7247">
        <v>0</v>
      </c>
      <c r="H7247" s="7">
        <v>0</v>
      </c>
    </row>
    <row r="7248" spans="1:8">
      <c r="A7248">
        <v>7</v>
      </c>
      <c r="B7248" t="s">
        <v>46</v>
      </c>
      <c r="C7248" t="s">
        <v>34</v>
      </c>
      <c r="D7248">
        <v>0</v>
      </c>
      <c r="E7248">
        <v>1</v>
      </c>
      <c r="F7248" s="7">
        <v>24638.55</v>
      </c>
      <c r="G7248">
        <v>0</v>
      </c>
      <c r="H7248" s="7">
        <v>0</v>
      </c>
    </row>
    <row r="7249" spans="1:8">
      <c r="A7249">
        <v>7</v>
      </c>
      <c r="B7249" t="s">
        <v>46</v>
      </c>
      <c r="C7249" t="s">
        <v>34</v>
      </c>
      <c r="D7249">
        <v>0</v>
      </c>
      <c r="E7249">
        <v>1</v>
      </c>
      <c r="F7249" s="7">
        <v>56289.54</v>
      </c>
      <c r="G7249">
        <v>0</v>
      </c>
      <c r="H7249" s="7">
        <v>0</v>
      </c>
    </row>
    <row r="7250" spans="1:8">
      <c r="A7250">
        <v>7</v>
      </c>
      <c r="B7250" t="s">
        <v>46</v>
      </c>
      <c r="C7250" t="s">
        <v>34</v>
      </c>
      <c r="D7250">
        <v>0</v>
      </c>
      <c r="E7250">
        <v>1</v>
      </c>
      <c r="F7250" s="7">
        <v>33919.56</v>
      </c>
      <c r="G7250">
        <v>0</v>
      </c>
      <c r="H7250" s="7">
        <v>0</v>
      </c>
    </row>
    <row r="7251" spans="1:8">
      <c r="A7251">
        <v>7</v>
      </c>
      <c r="B7251" t="s">
        <v>46</v>
      </c>
      <c r="C7251" t="s">
        <v>35</v>
      </c>
      <c r="D7251">
        <v>0</v>
      </c>
      <c r="E7251">
        <v>1</v>
      </c>
      <c r="F7251" s="7">
        <v>302915.15</v>
      </c>
      <c r="G7251">
        <v>0</v>
      </c>
      <c r="H7251" s="7">
        <v>0</v>
      </c>
    </row>
    <row r="7252" spans="1:8">
      <c r="A7252">
        <v>7</v>
      </c>
      <c r="B7252" t="s">
        <v>46</v>
      </c>
      <c r="C7252" t="s">
        <v>35</v>
      </c>
      <c r="D7252">
        <v>0</v>
      </c>
      <c r="E7252">
        <v>1</v>
      </c>
      <c r="F7252" s="7">
        <v>213765.78</v>
      </c>
      <c r="G7252">
        <v>0</v>
      </c>
      <c r="H7252" s="7">
        <v>0</v>
      </c>
    </row>
    <row r="7253" spans="1:8">
      <c r="A7253">
        <v>7</v>
      </c>
      <c r="B7253" t="s">
        <v>46</v>
      </c>
      <c r="C7253" t="s">
        <v>35</v>
      </c>
      <c r="D7253">
        <v>0</v>
      </c>
      <c r="E7253">
        <v>1</v>
      </c>
      <c r="F7253" s="7">
        <v>340505.75</v>
      </c>
      <c r="G7253">
        <v>0</v>
      </c>
      <c r="H7253" s="7">
        <v>0</v>
      </c>
    </row>
    <row r="7254" spans="1:8">
      <c r="A7254">
        <v>7</v>
      </c>
      <c r="B7254" t="s">
        <v>46</v>
      </c>
      <c r="C7254" t="s">
        <v>35</v>
      </c>
      <c r="D7254">
        <v>0</v>
      </c>
      <c r="E7254">
        <v>1</v>
      </c>
      <c r="F7254" s="7">
        <v>193558.01</v>
      </c>
      <c r="G7254">
        <v>0</v>
      </c>
      <c r="H7254" s="7">
        <v>0</v>
      </c>
    </row>
    <row r="7255" spans="1:8">
      <c r="A7255">
        <v>7</v>
      </c>
      <c r="B7255" t="s">
        <v>46</v>
      </c>
      <c r="C7255" t="s">
        <v>35</v>
      </c>
      <c r="D7255">
        <v>0</v>
      </c>
      <c r="E7255">
        <v>1</v>
      </c>
      <c r="F7255" s="7">
        <v>271866.95</v>
      </c>
      <c r="G7255">
        <v>0</v>
      </c>
      <c r="H7255" s="7">
        <v>0</v>
      </c>
    </row>
    <row r="7256" spans="1:8">
      <c r="A7256">
        <v>7</v>
      </c>
      <c r="B7256" t="s">
        <v>46</v>
      </c>
      <c r="C7256" t="s">
        <v>35</v>
      </c>
      <c r="D7256">
        <v>0</v>
      </c>
      <c r="E7256">
        <v>1</v>
      </c>
      <c r="F7256" s="7">
        <v>468052.79</v>
      </c>
      <c r="G7256">
        <v>0</v>
      </c>
      <c r="H7256" s="7">
        <v>0</v>
      </c>
    </row>
    <row r="7257" spans="1:8">
      <c r="A7257">
        <v>7</v>
      </c>
      <c r="B7257" t="s">
        <v>46</v>
      </c>
      <c r="C7257" t="s">
        <v>35</v>
      </c>
      <c r="D7257">
        <v>0</v>
      </c>
      <c r="E7257">
        <v>1</v>
      </c>
      <c r="F7257" s="7">
        <v>519071.69</v>
      </c>
      <c r="G7257">
        <v>0</v>
      </c>
      <c r="H7257" s="7">
        <v>0</v>
      </c>
    </row>
    <row r="7258" spans="1:8">
      <c r="A7258">
        <v>7</v>
      </c>
      <c r="B7258" t="s">
        <v>46</v>
      </c>
      <c r="C7258" t="s">
        <v>35</v>
      </c>
      <c r="D7258">
        <v>0</v>
      </c>
      <c r="E7258">
        <v>1</v>
      </c>
      <c r="F7258" s="7">
        <v>439105.26</v>
      </c>
      <c r="G7258">
        <v>0</v>
      </c>
      <c r="H7258" s="7">
        <v>0</v>
      </c>
    </row>
    <row r="7259" spans="1:8">
      <c r="A7259">
        <v>7</v>
      </c>
      <c r="B7259" t="s">
        <v>46</v>
      </c>
      <c r="C7259" t="s">
        <v>35</v>
      </c>
      <c r="D7259">
        <v>0</v>
      </c>
      <c r="E7259">
        <v>1</v>
      </c>
      <c r="F7259" s="7">
        <v>223666.66</v>
      </c>
      <c r="G7259">
        <v>0</v>
      </c>
      <c r="H7259" s="7">
        <v>0</v>
      </c>
    </row>
    <row r="7260" spans="1:8">
      <c r="A7260">
        <v>7</v>
      </c>
      <c r="B7260" t="s">
        <v>46</v>
      </c>
      <c r="C7260" t="s">
        <v>35</v>
      </c>
      <c r="D7260">
        <v>0</v>
      </c>
      <c r="E7260">
        <v>1</v>
      </c>
      <c r="F7260" s="7">
        <v>193318.64</v>
      </c>
      <c r="G7260">
        <v>0</v>
      </c>
      <c r="H7260" s="7">
        <v>0</v>
      </c>
    </row>
    <row r="7261" spans="1:8">
      <c r="A7261">
        <v>7</v>
      </c>
      <c r="B7261" t="s">
        <v>46</v>
      </c>
      <c r="C7261" t="s">
        <v>35</v>
      </c>
      <c r="D7261">
        <v>0</v>
      </c>
      <c r="E7261">
        <v>1</v>
      </c>
      <c r="F7261" s="7">
        <v>288038.89</v>
      </c>
      <c r="G7261">
        <v>0</v>
      </c>
      <c r="H7261" s="7">
        <v>0</v>
      </c>
    </row>
    <row r="7262" spans="1:8">
      <c r="A7262">
        <v>7</v>
      </c>
      <c r="B7262" t="s">
        <v>46</v>
      </c>
      <c r="C7262" t="s">
        <v>35</v>
      </c>
      <c r="D7262">
        <v>0</v>
      </c>
      <c r="E7262">
        <v>1</v>
      </c>
      <c r="F7262" s="7">
        <v>355458.78</v>
      </c>
      <c r="G7262">
        <v>0</v>
      </c>
      <c r="H7262" s="7">
        <v>0</v>
      </c>
    </row>
    <row r="7263" spans="1:8">
      <c r="A7263">
        <v>7</v>
      </c>
      <c r="B7263" t="s">
        <v>46</v>
      </c>
      <c r="C7263" t="s">
        <v>35</v>
      </c>
      <c r="D7263">
        <v>0</v>
      </c>
      <c r="E7263">
        <v>1</v>
      </c>
      <c r="F7263" s="7">
        <v>116884.29</v>
      </c>
      <c r="G7263">
        <v>0</v>
      </c>
      <c r="H7263" s="7">
        <v>0</v>
      </c>
    </row>
    <row r="7264" spans="1:8">
      <c r="A7264">
        <v>7</v>
      </c>
      <c r="B7264" t="s">
        <v>46</v>
      </c>
      <c r="C7264" t="s">
        <v>34</v>
      </c>
      <c r="D7264">
        <v>0</v>
      </c>
      <c r="E7264">
        <v>1</v>
      </c>
      <c r="F7264" s="7">
        <v>43698.21</v>
      </c>
      <c r="G7264">
        <v>0</v>
      </c>
      <c r="H7264" s="7">
        <v>0</v>
      </c>
    </row>
    <row r="7265" spans="1:8">
      <c r="A7265">
        <v>7</v>
      </c>
      <c r="B7265" t="s">
        <v>46</v>
      </c>
      <c r="C7265" t="s">
        <v>34</v>
      </c>
      <c r="D7265">
        <v>0</v>
      </c>
      <c r="E7265">
        <v>1</v>
      </c>
      <c r="F7265" s="7">
        <v>47369.84</v>
      </c>
      <c r="G7265">
        <v>0</v>
      </c>
      <c r="H7265" s="7">
        <v>0</v>
      </c>
    </row>
    <row r="7266" spans="1:8">
      <c r="A7266">
        <v>7</v>
      </c>
      <c r="B7266" t="s">
        <v>46</v>
      </c>
      <c r="C7266" t="s">
        <v>35</v>
      </c>
      <c r="D7266">
        <v>0</v>
      </c>
      <c r="E7266">
        <v>1</v>
      </c>
      <c r="F7266" s="7">
        <v>146117.38</v>
      </c>
      <c r="G7266">
        <v>0</v>
      </c>
      <c r="H7266" s="7">
        <v>0</v>
      </c>
    </row>
    <row r="7267" spans="1:8">
      <c r="A7267">
        <v>7</v>
      </c>
      <c r="B7267" t="s">
        <v>46</v>
      </c>
      <c r="C7267" t="s">
        <v>34</v>
      </c>
      <c r="D7267">
        <v>0</v>
      </c>
      <c r="E7267">
        <v>1</v>
      </c>
      <c r="F7267" s="7">
        <v>45157.63</v>
      </c>
      <c r="G7267">
        <v>0</v>
      </c>
      <c r="H7267" s="7">
        <v>0</v>
      </c>
    </row>
    <row r="7268" spans="1:8">
      <c r="A7268">
        <v>7</v>
      </c>
      <c r="B7268" t="s">
        <v>46</v>
      </c>
      <c r="C7268" t="s">
        <v>35</v>
      </c>
      <c r="D7268">
        <v>0</v>
      </c>
      <c r="E7268">
        <v>1</v>
      </c>
      <c r="F7268" s="7">
        <v>111430.78</v>
      </c>
      <c r="G7268">
        <v>0</v>
      </c>
      <c r="H7268" s="7">
        <v>0</v>
      </c>
    </row>
    <row r="7269" spans="1:8">
      <c r="A7269">
        <v>7</v>
      </c>
      <c r="B7269" t="s">
        <v>46</v>
      </c>
      <c r="C7269" t="s">
        <v>35</v>
      </c>
      <c r="D7269">
        <v>0</v>
      </c>
      <c r="E7269">
        <v>1</v>
      </c>
      <c r="F7269" s="7">
        <v>158274.46</v>
      </c>
      <c r="G7269">
        <v>0</v>
      </c>
      <c r="H7269" s="7">
        <v>0</v>
      </c>
    </row>
    <row r="7270" spans="1:8">
      <c r="A7270">
        <v>7</v>
      </c>
      <c r="B7270" t="s">
        <v>46</v>
      </c>
      <c r="C7270" t="s">
        <v>34</v>
      </c>
      <c r="D7270">
        <v>0</v>
      </c>
      <c r="E7270">
        <v>1</v>
      </c>
      <c r="F7270" s="7">
        <v>94712.61</v>
      </c>
      <c r="G7270">
        <v>0</v>
      </c>
      <c r="H7270" s="7">
        <v>0</v>
      </c>
    </row>
    <row r="7271" spans="1:8">
      <c r="A7271">
        <v>7</v>
      </c>
      <c r="B7271" t="s">
        <v>43</v>
      </c>
      <c r="C7271" t="s">
        <v>34</v>
      </c>
      <c r="D7271">
        <v>0</v>
      </c>
      <c r="E7271">
        <v>1</v>
      </c>
      <c r="F7271" s="7">
        <v>27609.08</v>
      </c>
      <c r="G7271">
        <v>0</v>
      </c>
      <c r="H7271" s="7">
        <v>0</v>
      </c>
    </row>
    <row r="7272" spans="1:8">
      <c r="A7272">
        <v>7</v>
      </c>
      <c r="B7272" t="s">
        <v>44</v>
      </c>
      <c r="C7272" t="s">
        <v>35</v>
      </c>
      <c r="D7272">
        <v>0</v>
      </c>
      <c r="E7272">
        <v>1</v>
      </c>
      <c r="F7272" s="7">
        <v>128549.2</v>
      </c>
      <c r="G7272">
        <v>0</v>
      </c>
      <c r="H7272" s="7">
        <v>0</v>
      </c>
    </row>
    <row r="7273" spans="1:8">
      <c r="A7273">
        <v>7</v>
      </c>
      <c r="B7273" t="s">
        <v>42</v>
      </c>
      <c r="C7273" t="s">
        <v>34</v>
      </c>
      <c r="D7273">
        <v>0</v>
      </c>
      <c r="E7273">
        <v>1</v>
      </c>
      <c r="F7273" s="7">
        <v>16906.09</v>
      </c>
      <c r="G7273">
        <v>0</v>
      </c>
      <c r="H7273" s="7">
        <v>0</v>
      </c>
    </row>
    <row r="7274" spans="1:8">
      <c r="A7274">
        <v>7</v>
      </c>
      <c r="B7274" t="s">
        <v>42</v>
      </c>
      <c r="C7274" t="s">
        <v>33</v>
      </c>
      <c r="D7274">
        <v>0</v>
      </c>
      <c r="E7274">
        <v>1</v>
      </c>
      <c r="F7274" s="7">
        <v>5689.82</v>
      </c>
      <c r="G7274">
        <v>0</v>
      </c>
      <c r="H7274" s="7">
        <v>0</v>
      </c>
    </row>
    <row r="7275" spans="1:8">
      <c r="A7275">
        <v>7</v>
      </c>
      <c r="B7275" t="s">
        <v>42</v>
      </c>
      <c r="C7275" t="s">
        <v>33</v>
      </c>
      <c r="D7275">
        <v>0</v>
      </c>
      <c r="E7275">
        <v>1</v>
      </c>
      <c r="F7275" s="7">
        <v>8309.37</v>
      </c>
      <c r="G7275">
        <v>0</v>
      </c>
      <c r="H7275" s="7">
        <v>0</v>
      </c>
    </row>
    <row r="7276" spans="1:8">
      <c r="A7276">
        <v>7</v>
      </c>
      <c r="B7276" t="s">
        <v>42</v>
      </c>
      <c r="C7276" t="s">
        <v>34</v>
      </c>
      <c r="D7276">
        <v>0</v>
      </c>
      <c r="E7276">
        <v>1</v>
      </c>
      <c r="F7276" s="7">
        <v>13870.79</v>
      </c>
      <c r="G7276">
        <v>0</v>
      </c>
      <c r="H7276" s="7">
        <v>0</v>
      </c>
    </row>
    <row r="7277" spans="1:8">
      <c r="A7277">
        <v>7</v>
      </c>
      <c r="B7277" t="s">
        <v>42</v>
      </c>
      <c r="C7277" t="s">
        <v>33</v>
      </c>
      <c r="D7277">
        <v>0</v>
      </c>
      <c r="E7277">
        <v>1</v>
      </c>
      <c r="F7277" s="7">
        <v>1149.98</v>
      </c>
      <c r="G7277">
        <v>0</v>
      </c>
      <c r="H7277" s="7">
        <v>0</v>
      </c>
    </row>
    <row r="7278" spans="1:8">
      <c r="A7278">
        <v>7</v>
      </c>
      <c r="B7278" t="s">
        <v>44</v>
      </c>
      <c r="C7278" t="s">
        <v>35</v>
      </c>
      <c r="D7278">
        <v>0</v>
      </c>
      <c r="E7278">
        <v>1</v>
      </c>
      <c r="F7278" s="7">
        <v>206659.26</v>
      </c>
      <c r="G7278">
        <v>0</v>
      </c>
      <c r="H7278" s="7">
        <v>0</v>
      </c>
    </row>
    <row r="7279" spans="1:8">
      <c r="A7279">
        <v>7</v>
      </c>
      <c r="B7279" t="s">
        <v>44</v>
      </c>
      <c r="C7279" t="s">
        <v>34</v>
      </c>
      <c r="D7279">
        <v>0</v>
      </c>
      <c r="E7279">
        <v>1</v>
      </c>
      <c r="F7279" s="7">
        <v>85736.76</v>
      </c>
      <c r="G7279">
        <v>0</v>
      </c>
      <c r="H7279" s="7">
        <v>0</v>
      </c>
    </row>
    <row r="7280" spans="1:8">
      <c r="A7280">
        <v>7</v>
      </c>
      <c r="B7280" t="s">
        <v>44</v>
      </c>
      <c r="C7280" t="s">
        <v>35</v>
      </c>
      <c r="D7280">
        <v>0</v>
      </c>
      <c r="E7280">
        <v>1</v>
      </c>
      <c r="F7280" s="7">
        <v>120817.37</v>
      </c>
      <c r="G7280">
        <v>0</v>
      </c>
      <c r="H7280" s="7">
        <v>0</v>
      </c>
    </row>
    <row r="7281" spans="1:8">
      <c r="A7281">
        <v>7</v>
      </c>
      <c r="B7281" t="s">
        <v>44</v>
      </c>
      <c r="C7281" t="s">
        <v>35</v>
      </c>
      <c r="D7281">
        <v>0</v>
      </c>
      <c r="E7281">
        <v>1</v>
      </c>
      <c r="F7281" s="7">
        <v>261651.77</v>
      </c>
      <c r="G7281">
        <v>0</v>
      </c>
      <c r="H7281" s="7">
        <v>0</v>
      </c>
    </row>
    <row r="7282" spans="1:8">
      <c r="A7282">
        <v>7</v>
      </c>
      <c r="B7282" t="s">
        <v>44</v>
      </c>
      <c r="C7282" t="s">
        <v>35</v>
      </c>
      <c r="D7282">
        <v>0</v>
      </c>
      <c r="E7282">
        <v>1</v>
      </c>
      <c r="F7282" s="7">
        <v>291944.52</v>
      </c>
      <c r="G7282">
        <v>0</v>
      </c>
      <c r="H7282" s="7">
        <v>0</v>
      </c>
    </row>
    <row r="7283" spans="1:8">
      <c r="A7283">
        <v>7</v>
      </c>
      <c r="B7283" t="s">
        <v>44</v>
      </c>
      <c r="C7283" t="s">
        <v>35</v>
      </c>
      <c r="D7283">
        <v>0</v>
      </c>
      <c r="E7283">
        <v>1</v>
      </c>
      <c r="F7283" s="7">
        <v>125312</v>
      </c>
      <c r="G7283">
        <v>0</v>
      </c>
      <c r="H7283" s="7">
        <v>0</v>
      </c>
    </row>
    <row r="7284" spans="1:8">
      <c r="A7284">
        <v>7</v>
      </c>
      <c r="B7284" t="s">
        <v>44</v>
      </c>
      <c r="C7284" t="s">
        <v>35</v>
      </c>
      <c r="D7284">
        <v>0</v>
      </c>
      <c r="E7284">
        <v>1</v>
      </c>
      <c r="F7284" s="7">
        <v>367180.86</v>
      </c>
      <c r="G7284">
        <v>0</v>
      </c>
      <c r="H7284" s="7">
        <v>0</v>
      </c>
    </row>
    <row r="7285" spans="1:8">
      <c r="A7285">
        <v>7</v>
      </c>
      <c r="B7285" t="s">
        <v>44</v>
      </c>
      <c r="C7285" t="s">
        <v>35</v>
      </c>
      <c r="D7285">
        <v>0</v>
      </c>
      <c r="E7285">
        <v>1</v>
      </c>
      <c r="F7285" s="7">
        <v>414678.51</v>
      </c>
      <c r="G7285">
        <v>0</v>
      </c>
      <c r="H7285" s="7">
        <v>0</v>
      </c>
    </row>
    <row r="7286" spans="1:8">
      <c r="A7286">
        <v>7</v>
      </c>
      <c r="B7286" t="s">
        <v>44</v>
      </c>
      <c r="C7286" t="s">
        <v>35</v>
      </c>
      <c r="D7286">
        <v>0</v>
      </c>
      <c r="E7286">
        <v>1</v>
      </c>
      <c r="F7286" s="7">
        <v>171810.63</v>
      </c>
      <c r="G7286">
        <v>0</v>
      </c>
      <c r="H7286" s="7">
        <v>0</v>
      </c>
    </row>
    <row r="7287" spans="1:8">
      <c r="A7287">
        <v>7</v>
      </c>
      <c r="B7287" t="s">
        <v>42</v>
      </c>
      <c r="C7287" t="s">
        <v>33</v>
      </c>
      <c r="D7287">
        <v>0</v>
      </c>
      <c r="E7287">
        <v>1</v>
      </c>
      <c r="F7287" s="7">
        <v>7863.57</v>
      </c>
      <c r="G7287">
        <v>0</v>
      </c>
      <c r="H7287" s="7">
        <v>0</v>
      </c>
    </row>
    <row r="7288" spans="1:8">
      <c r="A7288">
        <v>7</v>
      </c>
      <c r="B7288" t="s">
        <v>42</v>
      </c>
      <c r="C7288" t="s">
        <v>33</v>
      </c>
      <c r="D7288">
        <v>0</v>
      </c>
      <c r="E7288">
        <v>1</v>
      </c>
      <c r="F7288" s="7">
        <v>8818.98</v>
      </c>
      <c r="G7288">
        <v>0</v>
      </c>
      <c r="H7288" s="7">
        <v>0</v>
      </c>
    </row>
    <row r="7289" spans="1:8">
      <c r="A7289">
        <v>7</v>
      </c>
      <c r="B7289" t="s">
        <v>42</v>
      </c>
      <c r="C7289" t="s">
        <v>33</v>
      </c>
      <c r="D7289">
        <v>0</v>
      </c>
      <c r="E7289">
        <v>1</v>
      </c>
      <c r="F7289" s="7">
        <v>9769.56</v>
      </c>
      <c r="G7289">
        <v>0</v>
      </c>
      <c r="H7289" s="7">
        <v>0</v>
      </c>
    </row>
    <row r="7290" spans="1:8">
      <c r="A7290">
        <v>7</v>
      </c>
      <c r="B7290" t="s">
        <v>42</v>
      </c>
      <c r="C7290" t="s">
        <v>33</v>
      </c>
      <c r="D7290">
        <v>0</v>
      </c>
      <c r="E7290">
        <v>1</v>
      </c>
      <c r="F7290" s="7">
        <v>7590.75</v>
      </c>
      <c r="G7290">
        <v>0</v>
      </c>
      <c r="H7290" s="7">
        <v>0</v>
      </c>
    </row>
    <row r="7291" spans="1:8">
      <c r="A7291">
        <v>7</v>
      </c>
      <c r="B7291" t="s">
        <v>42</v>
      </c>
      <c r="C7291" t="s">
        <v>33</v>
      </c>
      <c r="D7291">
        <v>0</v>
      </c>
      <c r="E7291">
        <v>1</v>
      </c>
      <c r="F7291" s="7">
        <v>3153.75</v>
      </c>
      <c r="G7291">
        <v>0</v>
      </c>
      <c r="H7291" s="7">
        <v>0</v>
      </c>
    </row>
    <row r="7292" spans="1:8">
      <c r="A7292">
        <v>7</v>
      </c>
      <c r="B7292" t="s">
        <v>42</v>
      </c>
      <c r="C7292" t="s">
        <v>34</v>
      </c>
      <c r="D7292">
        <v>0</v>
      </c>
      <c r="E7292">
        <v>1</v>
      </c>
      <c r="F7292" s="7">
        <v>17951.43</v>
      </c>
      <c r="G7292">
        <v>0</v>
      </c>
      <c r="H7292" s="7">
        <v>0</v>
      </c>
    </row>
    <row r="7293" spans="1:8">
      <c r="A7293">
        <v>7</v>
      </c>
      <c r="B7293" t="s">
        <v>42</v>
      </c>
      <c r="C7293" t="s">
        <v>33</v>
      </c>
      <c r="D7293">
        <v>0</v>
      </c>
      <c r="E7293">
        <v>1</v>
      </c>
      <c r="F7293" s="7">
        <v>8711.52</v>
      </c>
      <c r="G7293">
        <v>0</v>
      </c>
      <c r="H7293" s="7">
        <v>0</v>
      </c>
    </row>
    <row r="7294" spans="1:8">
      <c r="A7294">
        <v>7</v>
      </c>
      <c r="B7294" t="s">
        <v>42</v>
      </c>
      <c r="C7294" t="s">
        <v>34</v>
      </c>
      <c r="D7294">
        <v>0</v>
      </c>
      <c r="E7294">
        <v>1</v>
      </c>
      <c r="F7294" s="7">
        <v>12616.4</v>
      </c>
      <c r="G7294">
        <v>0</v>
      </c>
      <c r="H7294" s="7">
        <v>0</v>
      </c>
    </row>
    <row r="7295" spans="1:8">
      <c r="A7295">
        <v>7</v>
      </c>
      <c r="B7295" t="s">
        <v>42</v>
      </c>
      <c r="C7295" t="s">
        <v>33</v>
      </c>
      <c r="D7295">
        <v>0</v>
      </c>
      <c r="E7295">
        <v>1</v>
      </c>
      <c r="F7295" s="7">
        <v>8235.45</v>
      </c>
      <c r="G7295">
        <v>0</v>
      </c>
      <c r="H7295" s="7">
        <v>0</v>
      </c>
    </row>
    <row r="7296" spans="1:8">
      <c r="A7296">
        <v>7</v>
      </c>
      <c r="B7296" t="s">
        <v>44</v>
      </c>
      <c r="C7296" t="s">
        <v>34</v>
      </c>
      <c r="D7296">
        <v>0</v>
      </c>
      <c r="E7296">
        <v>1</v>
      </c>
      <c r="F7296" s="7">
        <v>12375.97</v>
      </c>
      <c r="G7296">
        <v>0</v>
      </c>
      <c r="H7296" s="7">
        <v>0</v>
      </c>
    </row>
    <row r="7297" spans="1:8">
      <c r="A7297">
        <v>7</v>
      </c>
      <c r="B7297" t="s">
        <v>42</v>
      </c>
      <c r="C7297" t="s">
        <v>33</v>
      </c>
      <c r="D7297">
        <v>0</v>
      </c>
      <c r="E7297">
        <v>1</v>
      </c>
      <c r="F7297" s="7">
        <v>2328.84</v>
      </c>
      <c r="G7297">
        <v>0</v>
      </c>
      <c r="H7297" s="7">
        <v>0</v>
      </c>
    </row>
    <row r="7298" spans="1:8">
      <c r="A7298">
        <v>7</v>
      </c>
      <c r="B7298" t="s">
        <v>42</v>
      </c>
      <c r="C7298" t="s">
        <v>32</v>
      </c>
      <c r="D7298">
        <v>0</v>
      </c>
      <c r="E7298">
        <v>1</v>
      </c>
      <c r="F7298" s="7">
        <v>546.23</v>
      </c>
      <c r="G7298">
        <v>0</v>
      </c>
      <c r="H7298" s="7">
        <v>0</v>
      </c>
    </row>
    <row r="7299" spans="1:8">
      <c r="A7299">
        <v>7</v>
      </c>
      <c r="B7299" t="s">
        <v>42</v>
      </c>
      <c r="C7299" t="s">
        <v>34</v>
      </c>
      <c r="D7299">
        <v>0</v>
      </c>
      <c r="E7299">
        <v>1</v>
      </c>
      <c r="F7299" s="7">
        <v>17352.02</v>
      </c>
      <c r="G7299">
        <v>0</v>
      </c>
      <c r="H7299" s="7">
        <v>0</v>
      </c>
    </row>
    <row r="7300" spans="1:8">
      <c r="A7300">
        <v>7</v>
      </c>
      <c r="B7300" t="s">
        <v>42</v>
      </c>
      <c r="C7300" t="s">
        <v>33</v>
      </c>
      <c r="D7300">
        <v>0</v>
      </c>
      <c r="E7300">
        <v>1</v>
      </c>
      <c r="F7300" s="7">
        <v>6856.57</v>
      </c>
      <c r="G7300">
        <v>0</v>
      </c>
      <c r="H7300" s="7">
        <v>0</v>
      </c>
    </row>
    <row r="7301" spans="1:8">
      <c r="A7301">
        <v>7</v>
      </c>
      <c r="B7301" t="s">
        <v>42</v>
      </c>
      <c r="C7301" t="s">
        <v>33</v>
      </c>
      <c r="D7301">
        <v>0</v>
      </c>
      <c r="E7301">
        <v>1</v>
      </c>
      <c r="F7301" s="7">
        <v>1910.23</v>
      </c>
      <c r="G7301">
        <v>0</v>
      </c>
      <c r="H7301" s="7">
        <v>0</v>
      </c>
    </row>
    <row r="7302" spans="1:8">
      <c r="A7302">
        <v>7</v>
      </c>
      <c r="B7302" t="s">
        <v>43</v>
      </c>
      <c r="C7302" t="s">
        <v>34</v>
      </c>
      <c r="D7302">
        <v>0</v>
      </c>
      <c r="E7302">
        <v>1</v>
      </c>
      <c r="F7302" s="7">
        <v>41664.88</v>
      </c>
      <c r="G7302">
        <v>0</v>
      </c>
      <c r="H7302" s="7">
        <v>0</v>
      </c>
    </row>
    <row r="7303" spans="1:8">
      <c r="A7303">
        <v>7</v>
      </c>
      <c r="B7303" t="s">
        <v>43</v>
      </c>
      <c r="C7303" t="s">
        <v>33</v>
      </c>
      <c r="D7303">
        <v>0</v>
      </c>
      <c r="E7303">
        <v>1</v>
      </c>
      <c r="F7303" s="7">
        <v>7828.57</v>
      </c>
      <c r="G7303">
        <v>0</v>
      </c>
      <c r="H7303" s="7">
        <v>0</v>
      </c>
    </row>
    <row r="7304" spans="1:8">
      <c r="A7304">
        <v>7</v>
      </c>
      <c r="B7304" t="s">
        <v>44</v>
      </c>
      <c r="C7304" t="s">
        <v>35</v>
      </c>
      <c r="D7304">
        <v>0</v>
      </c>
      <c r="E7304">
        <v>1</v>
      </c>
      <c r="F7304" s="7">
        <v>462312.19</v>
      </c>
      <c r="G7304">
        <v>0</v>
      </c>
      <c r="H7304" s="7">
        <v>0</v>
      </c>
    </row>
    <row r="7305" spans="1:8">
      <c r="A7305">
        <v>7</v>
      </c>
      <c r="B7305" t="s">
        <v>42</v>
      </c>
      <c r="C7305" t="s">
        <v>33</v>
      </c>
      <c r="D7305">
        <v>0</v>
      </c>
      <c r="E7305">
        <v>1</v>
      </c>
      <c r="F7305" s="7">
        <v>5941.84</v>
      </c>
      <c r="G7305">
        <v>0</v>
      </c>
      <c r="H7305" s="7">
        <v>0</v>
      </c>
    </row>
    <row r="7306" spans="1:8">
      <c r="A7306">
        <v>7</v>
      </c>
      <c r="B7306" t="s">
        <v>44</v>
      </c>
      <c r="C7306" t="s">
        <v>35</v>
      </c>
      <c r="D7306">
        <v>0</v>
      </c>
      <c r="E7306">
        <v>1</v>
      </c>
      <c r="F7306" s="7">
        <v>207998.16</v>
      </c>
      <c r="G7306">
        <v>0</v>
      </c>
      <c r="H7306" s="7">
        <v>0</v>
      </c>
    </row>
    <row r="7307" spans="1:8">
      <c r="A7307">
        <v>7</v>
      </c>
      <c r="B7307" t="s">
        <v>42</v>
      </c>
      <c r="C7307" t="s">
        <v>33</v>
      </c>
      <c r="D7307">
        <v>0</v>
      </c>
      <c r="E7307">
        <v>1</v>
      </c>
      <c r="F7307" s="7">
        <v>5810.61</v>
      </c>
      <c r="G7307">
        <v>0</v>
      </c>
      <c r="H7307" s="7">
        <v>0</v>
      </c>
    </row>
    <row r="7308" spans="1:8">
      <c r="A7308">
        <v>7</v>
      </c>
      <c r="B7308" t="s">
        <v>44</v>
      </c>
      <c r="C7308" t="s">
        <v>35</v>
      </c>
      <c r="D7308">
        <v>0</v>
      </c>
      <c r="E7308">
        <v>1</v>
      </c>
      <c r="F7308" s="7">
        <v>192841.14</v>
      </c>
      <c r="G7308">
        <v>0</v>
      </c>
      <c r="H7308" s="7">
        <v>0</v>
      </c>
    </row>
    <row r="7309" spans="1:8">
      <c r="A7309">
        <v>7</v>
      </c>
      <c r="B7309" t="s">
        <v>44</v>
      </c>
      <c r="C7309" t="s">
        <v>33</v>
      </c>
      <c r="D7309">
        <v>0</v>
      </c>
      <c r="E7309">
        <v>1</v>
      </c>
      <c r="F7309" s="7">
        <v>5871.44</v>
      </c>
      <c r="G7309">
        <v>0</v>
      </c>
      <c r="H7309" s="7">
        <v>0</v>
      </c>
    </row>
    <row r="7310" spans="1:8">
      <c r="A7310">
        <v>7</v>
      </c>
      <c r="B7310" t="s">
        <v>42</v>
      </c>
      <c r="C7310" t="s">
        <v>33</v>
      </c>
      <c r="D7310">
        <v>0</v>
      </c>
      <c r="E7310">
        <v>1</v>
      </c>
      <c r="F7310" s="7">
        <v>6551.14</v>
      </c>
      <c r="G7310">
        <v>0</v>
      </c>
      <c r="H7310" s="7">
        <v>0</v>
      </c>
    </row>
    <row r="7311" spans="1:8">
      <c r="A7311">
        <v>7</v>
      </c>
      <c r="B7311" t="s">
        <v>42</v>
      </c>
      <c r="C7311" t="s">
        <v>33</v>
      </c>
      <c r="D7311">
        <v>0</v>
      </c>
      <c r="E7311">
        <v>1</v>
      </c>
      <c r="F7311" s="7">
        <v>1284.56</v>
      </c>
      <c r="G7311">
        <v>0</v>
      </c>
      <c r="H7311" s="7">
        <v>0</v>
      </c>
    </row>
    <row r="7312" spans="1:8">
      <c r="A7312">
        <v>7</v>
      </c>
      <c r="B7312" t="s">
        <v>43</v>
      </c>
      <c r="C7312" t="s">
        <v>35</v>
      </c>
      <c r="D7312">
        <v>0</v>
      </c>
      <c r="E7312">
        <v>1</v>
      </c>
      <c r="F7312" s="7">
        <v>329937.9</v>
      </c>
      <c r="G7312">
        <v>0</v>
      </c>
      <c r="H7312" s="7">
        <v>0</v>
      </c>
    </row>
    <row r="7313" spans="1:8">
      <c r="A7313">
        <v>7</v>
      </c>
      <c r="B7313" t="s">
        <v>42</v>
      </c>
      <c r="C7313" t="s">
        <v>33</v>
      </c>
      <c r="D7313">
        <v>0</v>
      </c>
      <c r="E7313">
        <v>1</v>
      </c>
      <c r="F7313" s="7">
        <v>9455.05</v>
      </c>
      <c r="G7313">
        <v>0</v>
      </c>
      <c r="H7313" s="7">
        <v>0</v>
      </c>
    </row>
    <row r="7314" spans="1:8">
      <c r="A7314">
        <v>7</v>
      </c>
      <c r="B7314" t="s">
        <v>42</v>
      </c>
      <c r="C7314" t="s">
        <v>33</v>
      </c>
      <c r="D7314">
        <v>0</v>
      </c>
      <c r="E7314">
        <v>1</v>
      </c>
      <c r="F7314" s="7">
        <v>3326.56</v>
      </c>
      <c r="G7314">
        <v>0</v>
      </c>
      <c r="H7314" s="7">
        <v>0</v>
      </c>
    </row>
    <row r="7315" spans="1:8">
      <c r="A7315">
        <v>7</v>
      </c>
      <c r="B7315" t="s">
        <v>42</v>
      </c>
      <c r="C7315" t="s">
        <v>33</v>
      </c>
      <c r="D7315">
        <v>0</v>
      </c>
      <c r="E7315">
        <v>1</v>
      </c>
      <c r="F7315" s="7">
        <v>2391.85</v>
      </c>
      <c r="G7315">
        <v>0</v>
      </c>
      <c r="H7315" s="7">
        <v>0</v>
      </c>
    </row>
    <row r="7316" spans="1:8">
      <c r="A7316">
        <v>7</v>
      </c>
      <c r="B7316" t="s">
        <v>42</v>
      </c>
      <c r="C7316" t="s">
        <v>33</v>
      </c>
      <c r="D7316">
        <v>0</v>
      </c>
      <c r="E7316">
        <v>1</v>
      </c>
      <c r="F7316" s="7">
        <v>1074.55</v>
      </c>
      <c r="G7316">
        <v>0</v>
      </c>
      <c r="H7316" s="7">
        <v>0</v>
      </c>
    </row>
    <row r="7317" spans="1:8">
      <c r="A7317">
        <v>7</v>
      </c>
      <c r="B7317" t="s">
        <v>45</v>
      </c>
      <c r="C7317" t="s">
        <v>33</v>
      </c>
      <c r="D7317">
        <v>0</v>
      </c>
      <c r="E7317">
        <v>1</v>
      </c>
      <c r="F7317" s="7">
        <v>5541.9</v>
      </c>
      <c r="G7317">
        <v>0</v>
      </c>
      <c r="H7317" s="7">
        <v>0</v>
      </c>
    </row>
    <row r="7318" spans="1:8">
      <c r="A7318">
        <v>7</v>
      </c>
      <c r="B7318" t="s">
        <v>42</v>
      </c>
      <c r="C7318" t="s">
        <v>33</v>
      </c>
      <c r="D7318">
        <v>0</v>
      </c>
      <c r="E7318">
        <v>1</v>
      </c>
      <c r="F7318" s="7">
        <v>5721.25</v>
      </c>
      <c r="G7318">
        <v>0</v>
      </c>
      <c r="H7318" s="7">
        <v>0</v>
      </c>
    </row>
    <row r="7319" spans="1:8">
      <c r="A7319">
        <v>7</v>
      </c>
      <c r="B7319" t="s">
        <v>42</v>
      </c>
      <c r="C7319" t="s">
        <v>32</v>
      </c>
      <c r="D7319">
        <v>0</v>
      </c>
      <c r="E7319">
        <v>1</v>
      </c>
      <c r="F7319" s="7">
        <v>553.84</v>
      </c>
      <c r="G7319">
        <v>0</v>
      </c>
      <c r="H7319" s="7">
        <v>0</v>
      </c>
    </row>
    <row r="7320" spans="1:8">
      <c r="A7320">
        <v>7</v>
      </c>
      <c r="B7320" t="s">
        <v>42</v>
      </c>
      <c r="C7320" t="s">
        <v>32</v>
      </c>
      <c r="D7320">
        <v>0</v>
      </c>
      <c r="E7320">
        <v>1</v>
      </c>
      <c r="F7320" s="7">
        <v>845.59</v>
      </c>
      <c r="G7320">
        <v>0</v>
      </c>
      <c r="H7320" s="7">
        <v>0</v>
      </c>
    </row>
    <row r="7321" spans="1:8">
      <c r="A7321">
        <v>7</v>
      </c>
      <c r="B7321" t="s">
        <v>42</v>
      </c>
      <c r="C7321" t="s">
        <v>34</v>
      </c>
      <c r="D7321">
        <v>0</v>
      </c>
      <c r="E7321">
        <v>1</v>
      </c>
      <c r="F7321" s="7">
        <v>11571.03</v>
      </c>
      <c r="G7321">
        <v>0</v>
      </c>
      <c r="H7321" s="7">
        <v>0</v>
      </c>
    </row>
    <row r="7322" spans="1:8">
      <c r="A7322">
        <v>7</v>
      </c>
      <c r="B7322" t="s">
        <v>42</v>
      </c>
      <c r="C7322" t="s">
        <v>33</v>
      </c>
      <c r="D7322">
        <v>0</v>
      </c>
      <c r="E7322">
        <v>1</v>
      </c>
      <c r="F7322" s="7">
        <v>6082.55</v>
      </c>
      <c r="G7322">
        <v>0</v>
      </c>
      <c r="H7322" s="7">
        <v>0</v>
      </c>
    </row>
    <row r="7323" spans="1:8">
      <c r="A7323">
        <v>7</v>
      </c>
      <c r="B7323" t="s">
        <v>42</v>
      </c>
      <c r="C7323" t="s">
        <v>34</v>
      </c>
      <c r="D7323">
        <v>0</v>
      </c>
      <c r="E7323">
        <v>1</v>
      </c>
      <c r="F7323" s="7">
        <v>15650.79</v>
      </c>
      <c r="G7323">
        <v>0</v>
      </c>
      <c r="H7323" s="7">
        <v>0</v>
      </c>
    </row>
    <row r="7324" spans="1:8">
      <c r="A7324">
        <v>7</v>
      </c>
      <c r="B7324" t="s">
        <v>43</v>
      </c>
      <c r="C7324" t="s">
        <v>35</v>
      </c>
      <c r="D7324">
        <v>0</v>
      </c>
      <c r="E7324">
        <v>1</v>
      </c>
      <c r="F7324" s="7">
        <v>159485.63</v>
      </c>
      <c r="G7324">
        <v>0</v>
      </c>
      <c r="H7324" s="7">
        <v>0</v>
      </c>
    </row>
    <row r="7325" spans="1:8">
      <c r="A7325">
        <v>7</v>
      </c>
      <c r="B7325" t="s">
        <v>44</v>
      </c>
      <c r="C7325" t="s">
        <v>35</v>
      </c>
      <c r="D7325">
        <v>0</v>
      </c>
      <c r="E7325">
        <v>1</v>
      </c>
      <c r="F7325" s="7">
        <v>304316.59</v>
      </c>
      <c r="G7325">
        <v>0</v>
      </c>
      <c r="H7325" s="7">
        <v>0</v>
      </c>
    </row>
    <row r="7326" spans="1:8">
      <c r="A7326">
        <v>7</v>
      </c>
      <c r="B7326" t="s">
        <v>44</v>
      </c>
      <c r="C7326" t="s">
        <v>35</v>
      </c>
      <c r="D7326">
        <v>0</v>
      </c>
      <c r="E7326">
        <v>1</v>
      </c>
      <c r="F7326" s="7">
        <v>103305.97</v>
      </c>
      <c r="G7326">
        <v>0</v>
      </c>
      <c r="H7326" s="7">
        <v>0</v>
      </c>
    </row>
    <row r="7327" spans="1:8">
      <c r="A7327">
        <v>7</v>
      </c>
      <c r="B7327" t="s">
        <v>42</v>
      </c>
      <c r="C7327" t="s">
        <v>32</v>
      </c>
      <c r="D7327">
        <v>0</v>
      </c>
      <c r="E7327">
        <v>1</v>
      </c>
      <c r="F7327" s="7">
        <v>632.88</v>
      </c>
      <c r="G7327">
        <v>0</v>
      </c>
      <c r="H7327" s="7">
        <v>0</v>
      </c>
    </row>
    <row r="7328" spans="1:8">
      <c r="A7328">
        <v>7</v>
      </c>
      <c r="B7328" t="s">
        <v>43</v>
      </c>
      <c r="C7328" t="s">
        <v>35</v>
      </c>
      <c r="D7328">
        <v>0</v>
      </c>
      <c r="E7328">
        <v>1</v>
      </c>
      <c r="F7328" s="7">
        <v>131062.59</v>
      </c>
      <c r="G7328">
        <v>0</v>
      </c>
      <c r="H7328" s="7">
        <v>0</v>
      </c>
    </row>
    <row r="7329" spans="1:8">
      <c r="A7329">
        <v>7</v>
      </c>
      <c r="B7329" t="s">
        <v>45</v>
      </c>
      <c r="C7329" t="s">
        <v>33</v>
      </c>
      <c r="D7329">
        <v>0</v>
      </c>
      <c r="E7329">
        <v>1</v>
      </c>
      <c r="F7329" s="7">
        <v>1167.94</v>
      </c>
      <c r="G7329">
        <v>0</v>
      </c>
      <c r="H7329" s="7">
        <v>0</v>
      </c>
    </row>
    <row r="7330" spans="1:8">
      <c r="A7330">
        <v>7</v>
      </c>
      <c r="B7330" t="s">
        <v>44</v>
      </c>
      <c r="C7330" t="s">
        <v>34</v>
      </c>
      <c r="D7330">
        <v>0</v>
      </c>
      <c r="E7330">
        <v>1</v>
      </c>
      <c r="F7330" s="7">
        <v>77235.45</v>
      </c>
      <c r="G7330">
        <v>0</v>
      </c>
      <c r="H7330" s="7">
        <v>0</v>
      </c>
    </row>
    <row r="7331" spans="1:8">
      <c r="A7331">
        <v>7</v>
      </c>
      <c r="B7331" t="s">
        <v>42</v>
      </c>
      <c r="C7331" t="s">
        <v>33</v>
      </c>
      <c r="D7331">
        <v>0</v>
      </c>
      <c r="E7331">
        <v>1</v>
      </c>
      <c r="F7331" s="7">
        <v>2211.07</v>
      </c>
      <c r="G7331">
        <v>0</v>
      </c>
      <c r="H7331" s="7">
        <v>0</v>
      </c>
    </row>
    <row r="7332" spans="1:8">
      <c r="A7332">
        <v>7</v>
      </c>
      <c r="B7332" t="s">
        <v>42</v>
      </c>
      <c r="C7332" t="s">
        <v>32</v>
      </c>
      <c r="D7332">
        <v>0</v>
      </c>
      <c r="E7332">
        <v>1</v>
      </c>
      <c r="F7332" s="7">
        <v>824.63</v>
      </c>
      <c r="G7332">
        <v>0</v>
      </c>
      <c r="H7332" s="7">
        <v>0</v>
      </c>
    </row>
    <row r="7333" spans="1:8">
      <c r="A7333">
        <v>7</v>
      </c>
      <c r="B7333" t="s">
        <v>44</v>
      </c>
      <c r="C7333" t="s">
        <v>34</v>
      </c>
      <c r="D7333">
        <v>0</v>
      </c>
      <c r="E7333">
        <v>1</v>
      </c>
      <c r="F7333" s="7">
        <v>86833.04</v>
      </c>
      <c r="G7333">
        <v>0</v>
      </c>
      <c r="H7333" s="7">
        <v>0</v>
      </c>
    </row>
    <row r="7334" spans="1:8">
      <c r="A7334">
        <v>7</v>
      </c>
      <c r="B7334" t="s">
        <v>43</v>
      </c>
      <c r="C7334" t="s">
        <v>34</v>
      </c>
      <c r="D7334">
        <v>0</v>
      </c>
      <c r="E7334">
        <v>1</v>
      </c>
      <c r="F7334" s="7">
        <v>38342.4</v>
      </c>
      <c r="G7334">
        <v>0</v>
      </c>
      <c r="H7334" s="7">
        <v>0</v>
      </c>
    </row>
    <row r="7335" spans="1:8">
      <c r="A7335">
        <v>7</v>
      </c>
      <c r="B7335" t="s">
        <v>42</v>
      </c>
      <c r="C7335" t="s">
        <v>33</v>
      </c>
      <c r="D7335">
        <v>0</v>
      </c>
      <c r="E7335">
        <v>1</v>
      </c>
      <c r="F7335" s="7">
        <v>8374.77</v>
      </c>
      <c r="G7335">
        <v>0</v>
      </c>
      <c r="H7335" s="7">
        <v>0</v>
      </c>
    </row>
    <row r="7336" spans="1:8">
      <c r="A7336">
        <v>7</v>
      </c>
      <c r="B7336" t="s">
        <v>44</v>
      </c>
      <c r="C7336" t="s">
        <v>35</v>
      </c>
      <c r="D7336">
        <v>0</v>
      </c>
      <c r="E7336">
        <v>1</v>
      </c>
      <c r="F7336" s="7">
        <v>121722.45</v>
      </c>
      <c r="G7336">
        <v>0</v>
      </c>
      <c r="H7336" s="7">
        <v>0</v>
      </c>
    </row>
    <row r="7337" spans="1:8">
      <c r="A7337">
        <v>7</v>
      </c>
      <c r="B7337" t="s">
        <v>42</v>
      </c>
      <c r="C7337" t="s">
        <v>33</v>
      </c>
      <c r="D7337">
        <v>0</v>
      </c>
      <c r="E7337">
        <v>1</v>
      </c>
      <c r="F7337" s="7">
        <v>7202.15</v>
      </c>
      <c r="G7337">
        <v>0</v>
      </c>
      <c r="H7337" s="7">
        <v>0</v>
      </c>
    </row>
    <row r="7338" spans="1:8">
      <c r="A7338">
        <v>7</v>
      </c>
      <c r="B7338" t="s">
        <v>42</v>
      </c>
      <c r="C7338" t="s">
        <v>34</v>
      </c>
      <c r="D7338">
        <v>0</v>
      </c>
      <c r="E7338">
        <v>1</v>
      </c>
      <c r="F7338" s="7">
        <v>10784.52</v>
      </c>
      <c r="G7338">
        <v>0</v>
      </c>
      <c r="H7338" s="7">
        <v>0</v>
      </c>
    </row>
    <row r="7339" spans="1:8">
      <c r="A7339">
        <v>7</v>
      </c>
      <c r="B7339" t="s">
        <v>42</v>
      </c>
      <c r="C7339" t="s">
        <v>33</v>
      </c>
      <c r="D7339">
        <v>0</v>
      </c>
      <c r="E7339">
        <v>1</v>
      </c>
      <c r="F7339" s="7">
        <v>4663.37</v>
      </c>
      <c r="G7339">
        <v>0</v>
      </c>
      <c r="H7339" s="7">
        <v>0</v>
      </c>
    </row>
    <row r="7340" spans="1:8">
      <c r="A7340">
        <v>7</v>
      </c>
      <c r="B7340" t="s">
        <v>45</v>
      </c>
      <c r="C7340" t="s">
        <v>33</v>
      </c>
      <c r="D7340">
        <v>0</v>
      </c>
      <c r="E7340">
        <v>1</v>
      </c>
      <c r="F7340" s="7">
        <v>2006.44</v>
      </c>
      <c r="G7340">
        <v>0</v>
      </c>
      <c r="H7340" s="7">
        <v>0</v>
      </c>
    </row>
    <row r="7341" spans="1:8">
      <c r="A7341">
        <v>7</v>
      </c>
      <c r="B7341" t="s">
        <v>43</v>
      </c>
      <c r="C7341" t="s">
        <v>35</v>
      </c>
      <c r="D7341">
        <v>0</v>
      </c>
      <c r="E7341">
        <v>1</v>
      </c>
      <c r="F7341" s="7">
        <v>234076.51</v>
      </c>
      <c r="G7341">
        <v>0</v>
      </c>
      <c r="H7341" s="7">
        <v>0</v>
      </c>
    </row>
    <row r="7342" spans="1:8">
      <c r="A7342">
        <v>7</v>
      </c>
      <c r="B7342" t="s">
        <v>42</v>
      </c>
      <c r="C7342" t="s">
        <v>34</v>
      </c>
      <c r="D7342">
        <v>0</v>
      </c>
      <c r="E7342">
        <v>1</v>
      </c>
      <c r="F7342" s="7">
        <v>10958.77</v>
      </c>
      <c r="G7342">
        <v>0</v>
      </c>
      <c r="H7342" s="7">
        <v>0</v>
      </c>
    </row>
    <row r="7343" spans="1:8">
      <c r="A7343">
        <v>7</v>
      </c>
      <c r="B7343" t="s">
        <v>44</v>
      </c>
      <c r="C7343" t="s">
        <v>35</v>
      </c>
      <c r="D7343">
        <v>0</v>
      </c>
      <c r="E7343">
        <v>1</v>
      </c>
      <c r="F7343" s="7">
        <v>429539.78</v>
      </c>
      <c r="G7343">
        <v>0</v>
      </c>
      <c r="H7343" s="7">
        <v>0</v>
      </c>
    </row>
    <row r="7344" spans="1:8">
      <c r="A7344">
        <v>7</v>
      </c>
      <c r="B7344" t="s">
        <v>44</v>
      </c>
      <c r="C7344" t="s">
        <v>35</v>
      </c>
      <c r="D7344">
        <v>0</v>
      </c>
      <c r="E7344">
        <v>1</v>
      </c>
      <c r="F7344" s="7">
        <v>117635.7</v>
      </c>
      <c r="G7344">
        <v>0</v>
      </c>
      <c r="H7344" s="7">
        <v>0</v>
      </c>
    </row>
    <row r="7345" spans="1:8">
      <c r="A7345">
        <v>7</v>
      </c>
      <c r="B7345" t="s">
        <v>44</v>
      </c>
      <c r="C7345" t="s">
        <v>35</v>
      </c>
      <c r="D7345">
        <v>0</v>
      </c>
      <c r="E7345">
        <v>1</v>
      </c>
      <c r="F7345" s="7">
        <v>207013.89</v>
      </c>
      <c r="G7345">
        <v>0</v>
      </c>
      <c r="H7345" s="7">
        <v>0</v>
      </c>
    </row>
    <row r="7346" spans="1:8">
      <c r="A7346">
        <v>7</v>
      </c>
      <c r="B7346" t="s">
        <v>44</v>
      </c>
      <c r="C7346" t="s">
        <v>35</v>
      </c>
      <c r="D7346">
        <v>0</v>
      </c>
      <c r="E7346">
        <v>1</v>
      </c>
      <c r="F7346" s="7">
        <v>116112.9</v>
      </c>
      <c r="G7346">
        <v>0</v>
      </c>
      <c r="H7346" s="7">
        <v>0</v>
      </c>
    </row>
    <row r="7347" spans="1:8">
      <c r="A7347">
        <v>7</v>
      </c>
      <c r="B7347" t="s">
        <v>44</v>
      </c>
      <c r="C7347" t="s">
        <v>34</v>
      </c>
      <c r="D7347">
        <v>0</v>
      </c>
      <c r="E7347">
        <v>1</v>
      </c>
      <c r="F7347" s="7">
        <v>52950.04</v>
      </c>
      <c r="G7347">
        <v>0</v>
      </c>
      <c r="H7347" s="7">
        <v>0</v>
      </c>
    </row>
    <row r="7348" spans="1:8">
      <c r="A7348">
        <v>7</v>
      </c>
      <c r="B7348" t="s">
        <v>44</v>
      </c>
      <c r="C7348" t="s">
        <v>35</v>
      </c>
      <c r="D7348">
        <v>0</v>
      </c>
      <c r="E7348">
        <v>1</v>
      </c>
      <c r="F7348" s="7">
        <v>254340.65</v>
      </c>
      <c r="G7348">
        <v>0</v>
      </c>
      <c r="H7348" s="7">
        <v>0</v>
      </c>
    </row>
    <row r="7349" spans="1:8">
      <c r="A7349">
        <v>7</v>
      </c>
      <c r="B7349" t="s">
        <v>44</v>
      </c>
      <c r="C7349" t="s">
        <v>35</v>
      </c>
      <c r="D7349">
        <v>0</v>
      </c>
      <c r="E7349">
        <v>1</v>
      </c>
      <c r="F7349" s="7">
        <v>444533.15</v>
      </c>
      <c r="G7349">
        <v>0</v>
      </c>
      <c r="H7349" s="7">
        <v>0</v>
      </c>
    </row>
    <row r="7350" spans="1:8">
      <c r="A7350">
        <v>7</v>
      </c>
      <c r="B7350" t="s">
        <v>44</v>
      </c>
      <c r="C7350" t="s">
        <v>35</v>
      </c>
      <c r="D7350">
        <v>0</v>
      </c>
      <c r="E7350">
        <v>1</v>
      </c>
      <c r="F7350" s="7">
        <v>180681.32</v>
      </c>
      <c r="G7350">
        <v>0</v>
      </c>
      <c r="H7350" s="7">
        <v>0</v>
      </c>
    </row>
    <row r="7351" spans="1:8">
      <c r="A7351">
        <v>7</v>
      </c>
      <c r="B7351" t="s">
        <v>44</v>
      </c>
      <c r="C7351" t="s">
        <v>34</v>
      </c>
      <c r="D7351">
        <v>0</v>
      </c>
      <c r="E7351">
        <v>1</v>
      </c>
      <c r="F7351" s="7">
        <v>65655.35</v>
      </c>
      <c r="G7351">
        <v>0</v>
      </c>
      <c r="H7351" s="7">
        <v>0</v>
      </c>
    </row>
    <row r="7352" spans="1:8">
      <c r="A7352">
        <v>7</v>
      </c>
      <c r="B7352" t="s">
        <v>44</v>
      </c>
      <c r="C7352" t="s">
        <v>35</v>
      </c>
      <c r="D7352">
        <v>0</v>
      </c>
      <c r="E7352">
        <v>1</v>
      </c>
      <c r="F7352" s="7">
        <v>231151.17</v>
      </c>
      <c r="G7352">
        <v>0</v>
      </c>
      <c r="H7352" s="7">
        <v>0</v>
      </c>
    </row>
    <row r="7353" spans="1:8">
      <c r="A7353">
        <v>7</v>
      </c>
      <c r="B7353" t="s">
        <v>44</v>
      </c>
      <c r="C7353" t="s">
        <v>34</v>
      </c>
      <c r="D7353">
        <v>0</v>
      </c>
      <c r="E7353">
        <v>1</v>
      </c>
      <c r="F7353" s="7">
        <v>58470.79</v>
      </c>
      <c r="G7353">
        <v>0</v>
      </c>
      <c r="H7353" s="7">
        <v>0</v>
      </c>
    </row>
    <row r="7354" spans="1:8">
      <c r="A7354">
        <v>7</v>
      </c>
      <c r="B7354" t="s">
        <v>44</v>
      </c>
      <c r="C7354" t="s">
        <v>34</v>
      </c>
      <c r="D7354">
        <v>0</v>
      </c>
      <c r="E7354">
        <v>1</v>
      </c>
      <c r="F7354" s="7">
        <v>42079.24</v>
      </c>
      <c r="G7354">
        <v>0</v>
      </c>
      <c r="H7354" s="7">
        <v>0</v>
      </c>
    </row>
    <row r="7355" spans="1:8">
      <c r="A7355">
        <v>7</v>
      </c>
      <c r="B7355" t="s">
        <v>44</v>
      </c>
      <c r="C7355" t="s">
        <v>35</v>
      </c>
      <c r="D7355">
        <v>0</v>
      </c>
      <c r="E7355">
        <v>1</v>
      </c>
      <c r="F7355" s="7">
        <v>173774.13</v>
      </c>
      <c r="G7355">
        <v>0</v>
      </c>
      <c r="H7355" s="7">
        <v>0</v>
      </c>
    </row>
    <row r="7356" spans="1:8">
      <c r="A7356">
        <v>7</v>
      </c>
      <c r="B7356" t="s">
        <v>44</v>
      </c>
      <c r="C7356" t="s">
        <v>34</v>
      </c>
      <c r="D7356">
        <v>0</v>
      </c>
      <c r="E7356">
        <v>1</v>
      </c>
      <c r="F7356" s="7">
        <v>79602.79</v>
      </c>
      <c r="G7356">
        <v>0</v>
      </c>
      <c r="H7356" s="7">
        <v>0</v>
      </c>
    </row>
    <row r="7357" spans="1:8">
      <c r="A7357">
        <v>7</v>
      </c>
      <c r="B7357" t="s">
        <v>44</v>
      </c>
      <c r="C7357" t="s">
        <v>34</v>
      </c>
      <c r="D7357">
        <v>0</v>
      </c>
      <c r="E7357">
        <v>1</v>
      </c>
      <c r="F7357" s="7">
        <v>70587.22</v>
      </c>
      <c r="G7357">
        <v>0</v>
      </c>
      <c r="H7357" s="7">
        <v>0</v>
      </c>
    </row>
    <row r="7358" spans="1:8">
      <c r="A7358">
        <v>7</v>
      </c>
      <c r="B7358" t="s">
        <v>44</v>
      </c>
      <c r="C7358" t="s">
        <v>35</v>
      </c>
      <c r="D7358">
        <v>0</v>
      </c>
      <c r="E7358">
        <v>1</v>
      </c>
      <c r="F7358" s="7">
        <v>278506.83</v>
      </c>
      <c r="G7358">
        <v>0</v>
      </c>
      <c r="H7358" s="7">
        <v>0</v>
      </c>
    </row>
    <row r="7359" spans="1:8">
      <c r="A7359">
        <v>7</v>
      </c>
      <c r="B7359" t="s">
        <v>44</v>
      </c>
      <c r="C7359" t="s">
        <v>35</v>
      </c>
      <c r="D7359">
        <v>0</v>
      </c>
      <c r="E7359">
        <v>1</v>
      </c>
      <c r="F7359" s="7">
        <v>138373.64</v>
      </c>
      <c r="G7359">
        <v>0</v>
      </c>
      <c r="H7359" s="7">
        <v>0</v>
      </c>
    </row>
    <row r="7360" spans="1:8">
      <c r="A7360">
        <v>7</v>
      </c>
      <c r="B7360" t="s">
        <v>42</v>
      </c>
      <c r="C7360" t="s">
        <v>33</v>
      </c>
      <c r="D7360">
        <v>0</v>
      </c>
      <c r="E7360">
        <v>1</v>
      </c>
      <c r="F7360" s="7">
        <v>3107.72</v>
      </c>
      <c r="G7360">
        <v>0</v>
      </c>
      <c r="H7360" s="7">
        <v>0</v>
      </c>
    </row>
    <row r="7361" spans="1:8">
      <c r="A7361">
        <v>7</v>
      </c>
      <c r="B7361" t="s">
        <v>44</v>
      </c>
      <c r="C7361" t="s">
        <v>35</v>
      </c>
      <c r="D7361">
        <v>0</v>
      </c>
      <c r="E7361">
        <v>1</v>
      </c>
      <c r="F7361" s="7">
        <v>359216.69</v>
      </c>
      <c r="G7361">
        <v>0</v>
      </c>
      <c r="H7361" s="7">
        <v>0</v>
      </c>
    </row>
    <row r="7362" spans="1:8">
      <c r="A7362">
        <v>7</v>
      </c>
      <c r="B7362" t="s">
        <v>46</v>
      </c>
      <c r="C7362" t="s">
        <v>35</v>
      </c>
      <c r="D7362">
        <v>0</v>
      </c>
      <c r="E7362">
        <v>1</v>
      </c>
      <c r="F7362" s="7">
        <v>103932.55</v>
      </c>
      <c r="G7362">
        <v>0</v>
      </c>
      <c r="H7362" s="7">
        <v>0</v>
      </c>
    </row>
    <row r="7363" spans="1:8">
      <c r="A7363">
        <v>7</v>
      </c>
      <c r="B7363" t="s">
        <v>42</v>
      </c>
      <c r="C7363" t="s">
        <v>32</v>
      </c>
      <c r="D7363">
        <v>0</v>
      </c>
      <c r="E7363">
        <v>1</v>
      </c>
      <c r="F7363" s="7">
        <v>971.73</v>
      </c>
      <c r="G7363">
        <v>0</v>
      </c>
      <c r="H7363" s="7">
        <v>0</v>
      </c>
    </row>
    <row r="7364" spans="1:8">
      <c r="A7364">
        <v>7</v>
      </c>
      <c r="B7364" t="s">
        <v>42</v>
      </c>
      <c r="C7364" t="s">
        <v>33</v>
      </c>
      <c r="D7364">
        <v>0</v>
      </c>
      <c r="E7364">
        <v>1</v>
      </c>
      <c r="F7364" s="7">
        <v>3544.17</v>
      </c>
      <c r="G7364">
        <v>0</v>
      </c>
      <c r="H7364" s="7">
        <v>0</v>
      </c>
    </row>
    <row r="7365" spans="1:8">
      <c r="A7365">
        <v>7</v>
      </c>
      <c r="B7365" t="s">
        <v>42</v>
      </c>
      <c r="C7365" t="s">
        <v>32</v>
      </c>
      <c r="D7365">
        <v>0</v>
      </c>
      <c r="E7365">
        <v>1</v>
      </c>
      <c r="F7365" s="7">
        <v>926.85</v>
      </c>
      <c r="G7365">
        <v>0</v>
      </c>
      <c r="H7365" s="7">
        <v>0</v>
      </c>
    </row>
    <row r="7366" spans="1:8">
      <c r="A7366">
        <v>7</v>
      </c>
      <c r="B7366" t="s">
        <v>42</v>
      </c>
      <c r="C7366" t="s">
        <v>34</v>
      </c>
      <c r="D7366">
        <v>0</v>
      </c>
      <c r="E7366">
        <v>1</v>
      </c>
      <c r="F7366" s="7">
        <v>31108.12</v>
      </c>
      <c r="G7366">
        <v>0</v>
      </c>
      <c r="H7366" s="7">
        <v>0</v>
      </c>
    </row>
    <row r="7367" spans="1:8">
      <c r="A7367">
        <v>7</v>
      </c>
      <c r="B7367" t="s">
        <v>42</v>
      </c>
      <c r="C7367" t="s">
        <v>33</v>
      </c>
      <c r="D7367">
        <v>0</v>
      </c>
      <c r="E7367">
        <v>1</v>
      </c>
      <c r="F7367" s="7">
        <v>1935.26</v>
      </c>
      <c r="G7367">
        <v>0</v>
      </c>
      <c r="H7367" s="7">
        <v>0</v>
      </c>
    </row>
    <row r="7368" spans="1:8">
      <c r="A7368">
        <v>7</v>
      </c>
      <c r="B7368" t="s">
        <v>42</v>
      </c>
      <c r="C7368" t="s">
        <v>34</v>
      </c>
      <c r="D7368">
        <v>0</v>
      </c>
      <c r="E7368">
        <v>1</v>
      </c>
      <c r="F7368" s="7">
        <v>27690.45</v>
      </c>
      <c r="G7368">
        <v>0</v>
      </c>
      <c r="H7368" s="7">
        <v>0</v>
      </c>
    </row>
    <row r="7369" spans="1:8">
      <c r="A7369">
        <v>7</v>
      </c>
      <c r="B7369" t="s">
        <v>42</v>
      </c>
      <c r="C7369" t="s">
        <v>34</v>
      </c>
      <c r="D7369">
        <v>0</v>
      </c>
      <c r="E7369">
        <v>1</v>
      </c>
      <c r="F7369" s="7">
        <v>11771.65</v>
      </c>
      <c r="G7369">
        <v>0</v>
      </c>
      <c r="H7369" s="7">
        <v>0</v>
      </c>
    </row>
    <row r="7370" spans="1:8">
      <c r="A7370">
        <v>7</v>
      </c>
      <c r="B7370" t="s">
        <v>42</v>
      </c>
      <c r="C7370" t="s">
        <v>34</v>
      </c>
      <c r="D7370">
        <v>0</v>
      </c>
      <c r="E7370">
        <v>1</v>
      </c>
      <c r="F7370" s="7">
        <v>18861.09</v>
      </c>
      <c r="G7370">
        <v>0</v>
      </c>
      <c r="H7370" s="7">
        <v>0</v>
      </c>
    </row>
    <row r="7371" spans="1:8">
      <c r="A7371">
        <v>7</v>
      </c>
      <c r="B7371" t="s">
        <v>42</v>
      </c>
      <c r="C7371" t="s">
        <v>33</v>
      </c>
      <c r="D7371">
        <v>0</v>
      </c>
      <c r="E7371">
        <v>1</v>
      </c>
      <c r="F7371" s="7">
        <v>2214.56</v>
      </c>
      <c r="G7371">
        <v>0</v>
      </c>
      <c r="H7371" s="7">
        <v>0</v>
      </c>
    </row>
    <row r="7372" spans="1:8">
      <c r="A7372">
        <v>7</v>
      </c>
      <c r="B7372" t="s">
        <v>42</v>
      </c>
      <c r="C7372" t="s">
        <v>33</v>
      </c>
      <c r="D7372">
        <v>0</v>
      </c>
      <c r="E7372">
        <v>1</v>
      </c>
      <c r="F7372" s="7">
        <v>1309.91</v>
      </c>
      <c r="G7372">
        <v>0</v>
      </c>
      <c r="H7372" s="7">
        <v>0</v>
      </c>
    </row>
    <row r="7373" spans="1:8">
      <c r="A7373">
        <v>7</v>
      </c>
      <c r="B7373" t="s">
        <v>42</v>
      </c>
      <c r="C7373" t="s">
        <v>33</v>
      </c>
      <c r="D7373">
        <v>0</v>
      </c>
      <c r="E7373">
        <v>1</v>
      </c>
      <c r="F7373" s="7">
        <v>9866.63</v>
      </c>
      <c r="G7373">
        <v>0</v>
      </c>
      <c r="H7373" s="7">
        <v>0</v>
      </c>
    </row>
    <row r="7374" spans="1:8">
      <c r="A7374">
        <v>7</v>
      </c>
      <c r="B7374" t="s">
        <v>42</v>
      </c>
      <c r="C7374" t="s">
        <v>34</v>
      </c>
      <c r="D7374">
        <v>0</v>
      </c>
      <c r="E7374">
        <v>1</v>
      </c>
      <c r="F7374" s="7">
        <v>10330.01</v>
      </c>
      <c r="G7374">
        <v>0</v>
      </c>
      <c r="H7374" s="7">
        <v>0</v>
      </c>
    </row>
    <row r="7375" spans="1:8">
      <c r="A7375">
        <v>7</v>
      </c>
      <c r="B7375" t="s">
        <v>42</v>
      </c>
      <c r="C7375" t="s">
        <v>34</v>
      </c>
      <c r="D7375">
        <v>0</v>
      </c>
      <c r="E7375">
        <v>1</v>
      </c>
      <c r="F7375" s="7">
        <v>10536.99</v>
      </c>
      <c r="G7375">
        <v>0</v>
      </c>
      <c r="H7375" s="7">
        <v>0</v>
      </c>
    </row>
    <row r="7376" spans="1:8">
      <c r="A7376">
        <v>7</v>
      </c>
      <c r="B7376" t="s">
        <v>42</v>
      </c>
      <c r="C7376" t="s">
        <v>34</v>
      </c>
      <c r="D7376">
        <v>0</v>
      </c>
      <c r="E7376">
        <v>1</v>
      </c>
      <c r="F7376" s="7">
        <v>12317.87</v>
      </c>
      <c r="G7376">
        <v>0</v>
      </c>
      <c r="H7376" s="7">
        <v>0</v>
      </c>
    </row>
    <row r="7377" spans="1:8">
      <c r="A7377">
        <v>7</v>
      </c>
      <c r="B7377" t="s">
        <v>42</v>
      </c>
      <c r="C7377" t="s">
        <v>33</v>
      </c>
      <c r="D7377">
        <v>0</v>
      </c>
      <c r="E7377">
        <v>1</v>
      </c>
      <c r="F7377" s="7">
        <v>9633.05</v>
      </c>
      <c r="G7377">
        <v>0</v>
      </c>
      <c r="H7377" s="7">
        <v>0</v>
      </c>
    </row>
    <row r="7378" spans="1:8">
      <c r="A7378">
        <v>7</v>
      </c>
      <c r="B7378" t="s">
        <v>42</v>
      </c>
      <c r="C7378" t="s">
        <v>33</v>
      </c>
      <c r="D7378">
        <v>0</v>
      </c>
      <c r="E7378">
        <v>1</v>
      </c>
      <c r="F7378" s="7">
        <v>2515.77</v>
      </c>
      <c r="G7378">
        <v>0</v>
      </c>
      <c r="H7378" s="7">
        <v>0</v>
      </c>
    </row>
    <row r="7379" spans="1:8">
      <c r="A7379">
        <v>7</v>
      </c>
      <c r="B7379" t="s">
        <v>42</v>
      </c>
      <c r="C7379" t="s">
        <v>33</v>
      </c>
      <c r="D7379">
        <v>0</v>
      </c>
      <c r="E7379">
        <v>1</v>
      </c>
      <c r="F7379" s="7">
        <v>7544.82</v>
      </c>
      <c r="G7379">
        <v>0</v>
      </c>
      <c r="H7379" s="7">
        <v>0</v>
      </c>
    </row>
    <row r="7380" spans="1:8">
      <c r="A7380">
        <v>7</v>
      </c>
      <c r="B7380" t="s">
        <v>42</v>
      </c>
      <c r="C7380" t="s">
        <v>34</v>
      </c>
      <c r="D7380">
        <v>0</v>
      </c>
      <c r="E7380">
        <v>1</v>
      </c>
      <c r="F7380" s="7">
        <v>12241.43</v>
      </c>
      <c r="G7380">
        <v>0</v>
      </c>
      <c r="H7380" s="7">
        <v>0</v>
      </c>
    </row>
    <row r="7381" spans="1:8">
      <c r="A7381">
        <v>7</v>
      </c>
      <c r="B7381" t="s">
        <v>44</v>
      </c>
      <c r="C7381" t="s">
        <v>35</v>
      </c>
      <c r="D7381">
        <v>0</v>
      </c>
      <c r="E7381">
        <v>1</v>
      </c>
      <c r="F7381" s="7">
        <v>105091.11</v>
      </c>
      <c r="G7381">
        <v>0</v>
      </c>
      <c r="H7381" s="7">
        <v>0</v>
      </c>
    </row>
    <row r="7382" spans="1:8">
      <c r="A7382">
        <v>7</v>
      </c>
      <c r="B7382" t="s">
        <v>42</v>
      </c>
      <c r="C7382" t="s">
        <v>33</v>
      </c>
      <c r="D7382">
        <v>0</v>
      </c>
      <c r="E7382">
        <v>1</v>
      </c>
      <c r="F7382" s="7">
        <v>6664.42</v>
      </c>
      <c r="G7382">
        <v>0</v>
      </c>
      <c r="H7382" s="7">
        <v>0</v>
      </c>
    </row>
    <row r="7383" spans="1:8">
      <c r="A7383">
        <v>7</v>
      </c>
      <c r="B7383" t="s">
        <v>42</v>
      </c>
      <c r="C7383" t="s">
        <v>33</v>
      </c>
      <c r="D7383">
        <v>0</v>
      </c>
      <c r="E7383">
        <v>1</v>
      </c>
      <c r="F7383" s="7">
        <v>6112.75</v>
      </c>
      <c r="G7383">
        <v>0</v>
      </c>
      <c r="H7383" s="7">
        <v>0</v>
      </c>
    </row>
    <row r="7384" spans="1:8">
      <c r="A7384">
        <v>7</v>
      </c>
      <c r="B7384" t="s">
        <v>42</v>
      </c>
      <c r="C7384" t="s">
        <v>33</v>
      </c>
      <c r="D7384">
        <v>0</v>
      </c>
      <c r="E7384">
        <v>1</v>
      </c>
      <c r="F7384" s="7">
        <v>1339.12</v>
      </c>
      <c r="G7384">
        <v>0</v>
      </c>
      <c r="H7384" s="7">
        <v>0</v>
      </c>
    </row>
    <row r="7385" spans="1:8">
      <c r="A7385">
        <v>7</v>
      </c>
      <c r="B7385" t="s">
        <v>46</v>
      </c>
      <c r="C7385" t="s">
        <v>35</v>
      </c>
      <c r="D7385">
        <v>0</v>
      </c>
      <c r="E7385">
        <v>1</v>
      </c>
      <c r="F7385" s="7">
        <v>227204.83</v>
      </c>
      <c r="G7385">
        <v>0</v>
      </c>
      <c r="H7385" s="7">
        <v>0</v>
      </c>
    </row>
    <row r="7386" spans="1:8">
      <c r="A7386">
        <v>7</v>
      </c>
      <c r="B7386" t="s">
        <v>46</v>
      </c>
      <c r="C7386" t="s">
        <v>35</v>
      </c>
      <c r="D7386">
        <v>0</v>
      </c>
      <c r="E7386">
        <v>1</v>
      </c>
      <c r="F7386" s="7">
        <v>213554.46</v>
      </c>
      <c r="G7386">
        <v>0</v>
      </c>
      <c r="H7386" s="7">
        <v>0</v>
      </c>
    </row>
    <row r="7387" spans="1:8">
      <c r="A7387">
        <v>7</v>
      </c>
      <c r="B7387" t="s">
        <v>46</v>
      </c>
      <c r="C7387" t="s">
        <v>35</v>
      </c>
      <c r="D7387">
        <v>0</v>
      </c>
      <c r="E7387">
        <v>1</v>
      </c>
      <c r="F7387" s="7">
        <v>153124.3</v>
      </c>
      <c r="G7387">
        <v>0</v>
      </c>
      <c r="H7387" s="7">
        <v>0</v>
      </c>
    </row>
    <row r="7388" spans="1:8">
      <c r="A7388">
        <v>7</v>
      </c>
      <c r="B7388" t="s">
        <v>46</v>
      </c>
      <c r="C7388" t="s">
        <v>35</v>
      </c>
      <c r="D7388">
        <v>0</v>
      </c>
      <c r="E7388">
        <v>1</v>
      </c>
      <c r="F7388" s="7">
        <v>162902.6</v>
      </c>
      <c r="G7388">
        <v>0</v>
      </c>
      <c r="H7388" s="7">
        <v>0</v>
      </c>
    </row>
    <row r="7389" spans="1:8">
      <c r="A7389">
        <v>7</v>
      </c>
      <c r="B7389" t="s">
        <v>46</v>
      </c>
      <c r="C7389" t="s">
        <v>35</v>
      </c>
      <c r="D7389">
        <v>0</v>
      </c>
      <c r="E7389">
        <v>1</v>
      </c>
      <c r="F7389" s="7">
        <v>193980.81</v>
      </c>
      <c r="G7389">
        <v>0</v>
      </c>
      <c r="H7389" s="7">
        <v>0</v>
      </c>
    </row>
    <row r="7390" spans="1:8">
      <c r="A7390">
        <v>7</v>
      </c>
      <c r="B7390" t="s">
        <v>46</v>
      </c>
      <c r="C7390" t="s">
        <v>35</v>
      </c>
      <c r="D7390">
        <v>0</v>
      </c>
      <c r="E7390">
        <v>1</v>
      </c>
      <c r="F7390" s="7">
        <v>115440.53</v>
      </c>
      <c r="G7390">
        <v>0</v>
      </c>
      <c r="H7390" s="7">
        <v>0</v>
      </c>
    </row>
    <row r="7391" spans="1:8">
      <c r="A7391">
        <v>7</v>
      </c>
      <c r="B7391" t="s">
        <v>46</v>
      </c>
      <c r="C7391" t="s">
        <v>35</v>
      </c>
      <c r="D7391">
        <v>0</v>
      </c>
      <c r="E7391">
        <v>1</v>
      </c>
      <c r="F7391" s="7">
        <v>315210.66</v>
      </c>
      <c r="G7391">
        <v>0</v>
      </c>
      <c r="H7391" s="7">
        <v>0</v>
      </c>
    </row>
    <row r="7392" spans="1:8">
      <c r="A7392">
        <v>7</v>
      </c>
      <c r="B7392" t="s">
        <v>46</v>
      </c>
      <c r="C7392" t="s">
        <v>35</v>
      </c>
      <c r="D7392">
        <v>0</v>
      </c>
      <c r="E7392">
        <v>1</v>
      </c>
      <c r="F7392" s="7">
        <v>121981.71</v>
      </c>
      <c r="G7392">
        <v>0</v>
      </c>
      <c r="H7392" s="7">
        <v>0</v>
      </c>
    </row>
    <row r="7393" spans="1:8">
      <c r="A7393">
        <v>7</v>
      </c>
      <c r="B7393" t="s">
        <v>46</v>
      </c>
      <c r="C7393" t="s">
        <v>35</v>
      </c>
      <c r="D7393">
        <v>0</v>
      </c>
      <c r="E7393">
        <v>1</v>
      </c>
      <c r="F7393" s="7">
        <v>336410.5</v>
      </c>
      <c r="G7393">
        <v>0</v>
      </c>
      <c r="H7393" s="7">
        <v>0</v>
      </c>
    </row>
    <row r="7394" spans="1:8">
      <c r="A7394">
        <v>7</v>
      </c>
      <c r="B7394" t="s">
        <v>46</v>
      </c>
      <c r="C7394" t="s">
        <v>35</v>
      </c>
      <c r="D7394">
        <v>0</v>
      </c>
      <c r="E7394">
        <v>1</v>
      </c>
      <c r="F7394" s="7">
        <v>274903.54</v>
      </c>
      <c r="G7394">
        <v>0</v>
      </c>
      <c r="H7394" s="7">
        <v>0</v>
      </c>
    </row>
    <row r="7395" spans="1:8">
      <c r="A7395">
        <v>7</v>
      </c>
      <c r="B7395" t="s">
        <v>46</v>
      </c>
      <c r="C7395" t="s">
        <v>33</v>
      </c>
      <c r="D7395">
        <v>0</v>
      </c>
      <c r="E7395">
        <v>1</v>
      </c>
      <c r="F7395" s="7">
        <v>7818.14</v>
      </c>
      <c r="G7395">
        <v>0</v>
      </c>
      <c r="H7395" s="7">
        <v>0</v>
      </c>
    </row>
    <row r="7396" spans="1:8">
      <c r="A7396">
        <v>7</v>
      </c>
      <c r="B7396" t="s">
        <v>46</v>
      </c>
      <c r="C7396" t="s">
        <v>34</v>
      </c>
      <c r="D7396">
        <v>0</v>
      </c>
      <c r="E7396">
        <v>1</v>
      </c>
      <c r="F7396" s="7">
        <v>70318.64</v>
      </c>
      <c r="G7396">
        <v>0</v>
      </c>
      <c r="H7396" s="7">
        <v>0</v>
      </c>
    </row>
    <row r="7397" spans="1:8">
      <c r="A7397">
        <v>7</v>
      </c>
      <c r="B7397" t="s">
        <v>46</v>
      </c>
      <c r="C7397" t="s">
        <v>35</v>
      </c>
      <c r="D7397">
        <v>0</v>
      </c>
      <c r="E7397">
        <v>1</v>
      </c>
      <c r="F7397" s="7">
        <v>395368.45</v>
      </c>
      <c r="G7397">
        <v>0</v>
      </c>
      <c r="H7397" s="7">
        <v>0</v>
      </c>
    </row>
    <row r="7398" spans="1:8">
      <c r="A7398">
        <v>7</v>
      </c>
      <c r="B7398" t="s">
        <v>46</v>
      </c>
      <c r="C7398" t="s">
        <v>34</v>
      </c>
      <c r="D7398">
        <v>0</v>
      </c>
      <c r="E7398">
        <v>1</v>
      </c>
      <c r="F7398" s="7">
        <v>35015.29</v>
      </c>
      <c r="G7398">
        <v>0</v>
      </c>
      <c r="H7398" s="7">
        <v>0</v>
      </c>
    </row>
    <row r="7399" spans="1:8">
      <c r="A7399">
        <v>7</v>
      </c>
      <c r="B7399" t="s">
        <v>46</v>
      </c>
      <c r="C7399" t="s">
        <v>35</v>
      </c>
      <c r="D7399">
        <v>0</v>
      </c>
      <c r="E7399">
        <v>1</v>
      </c>
      <c r="F7399" s="7">
        <v>140934.36</v>
      </c>
      <c r="G7399">
        <v>0</v>
      </c>
      <c r="H7399" s="7">
        <v>0</v>
      </c>
    </row>
    <row r="7400" spans="1:8">
      <c r="A7400">
        <v>7</v>
      </c>
      <c r="B7400" t="s">
        <v>46</v>
      </c>
      <c r="C7400" t="s">
        <v>34</v>
      </c>
      <c r="D7400">
        <v>0</v>
      </c>
      <c r="E7400">
        <v>1</v>
      </c>
      <c r="F7400" s="7">
        <v>80222.52</v>
      </c>
      <c r="G7400">
        <v>0</v>
      </c>
      <c r="H7400" s="7">
        <v>0</v>
      </c>
    </row>
    <row r="7401" spans="1:8">
      <c r="A7401">
        <v>7</v>
      </c>
      <c r="B7401" t="s">
        <v>46</v>
      </c>
      <c r="C7401" t="s">
        <v>35</v>
      </c>
      <c r="D7401">
        <v>0</v>
      </c>
      <c r="E7401">
        <v>1</v>
      </c>
      <c r="F7401" s="7">
        <v>439348.62</v>
      </c>
      <c r="G7401">
        <v>0</v>
      </c>
      <c r="H7401" s="7">
        <v>0</v>
      </c>
    </row>
    <row r="7402" spans="1:8">
      <c r="A7402">
        <v>7</v>
      </c>
      <c r="B7402" t="s">
        <v>46</v>
      </c>
      <c r="C7402" t="s">
        <v>35</v>
      </c>
      <c r="D7402">
        <v>0</v>
      </c>
      <c r="E7402">
        <v>1</v>
      </c>
      <c r="F7402" s="7">
        <v>182036.49</v>
      </c>
      <c r="G7402">
        <v>0</v>
      </c>
      <c r="H7402" s="7">
        <v>0</v>
      </c>
    </row>
    <row r="7403" spans="1:8">
      <c r="A7403">
        <v>7</v>
      </c>
      <c r="B7403" t="s">
        <v>46</v>
      </c>
      <c r="C7403" t="s">
        <v>34</v>
      </c>
      <c r="D7403">
        <v>0</v>
      </c>
      <c r="E7403">
        <v>1</v>
      </c>
      <c r="F7403" s="7">
        <v>77816.36</v>
      </c>
      <c r="G7403">
        <v>0</v>
      </c>
      <c r="H7403" s="7">
        <v>0</v>
      </c>
    </row>
    <row r="7404" spans="1:8">
      <c r="A7404">
        <v>7</v>
      </c>
      <c r="B7404" t="s">
        <v>46</v>
      </c>
      <c r="C7404" t="s">
        <v>34</v>
      </c>
      <c r="D7404">
        <v>0</v>
      </c>
      <c r="E7404">
        <v>1</v>
      </c>
      <c r="F7404" s="7">
        <v>78369.94</v>
      </c>
      <c r="G7404">
        <v>0</v>
      </c>
      <c r="H7404" s="7">
        <v>0</v>
      </c>
    </row>
    <row r="7405" spans="1:8">
      <c r="A7405">
        <v>7</v>
      </c>
      <c r="B7405" t="s">
        <v>46</v>
      </c>
      <c r="C7405" t="s">
        <v>34</v>
      </c>
      <c r="D7405">
        <v>0</v>
      </c>
      <c r="E7405">
        <v>1</v>
      </c>
      <c r="F7405" s="7">
        <v>51260.1</v>
      </c>
      <c r="G7405">
        <v>0</v>
      </c>
      <c r="H7405" s="7">
        <v>0</v>
      </c>
    </row>
    <row r="7406" spans="1:8">
      <c r="A7406">
        <v>7</v>
      </c>
      <c r="B7406" t="s">
        <v>46</v>
      </c>
      <c r="C7406" t="s">
        <v>35</v>
      </c>
      <c r="D7406">
        <v>0</v>
      </c>
      <c r="E7406">
        <v>1</v>
      </c>
      <c r="F7406" s="7">
        <v>124646.3</v>
      </c>
      <c r="G7406">
        <v>0</v>
      </c>
      <c r="H7406" s="7">
        <v>0</v>
      </c>
    </row>
    <row r="7407" spans="1:8">
      <c r="A7407">
        <v>7</v>
      </c>
      <c r="B7407" t="s">
        <v>42</v>
      </c>
      <c r="C7407" t="s">
        <v>33</v>
      </c>
      <c r="D7407">
        <v>0</v>
      </c>
      <c r="E7407">
        <v>1</v>
      </c>
      <c r="F7407" s="7">
        <v>2997.84</v>
      </c>
      <c r="G7407">
        <v>0</v>
      </c>
      <c r="H7407" s="7">
        <v>0</v>
      </c>
    </row>
    <row r="7408" spans="1:8">
      <c r="A7408">
        <v>7</v>
      </c>
      <c r="B7408" t="s">
        <v>44</v>
      </c>
      <c r="C7408" t="s">
        <v>35</v>
      </c>
      <c r="D7408">
        <v>0</v>
      </c>
      <c r="E7408">
        <v>1</v>
      </c>
      <c r="F7408" s="7">
        <v>123372.55</v>
      </c>
      <c r="G7408">
        <v>0</v>
      </c>
      <c r="H7408" s="7">
        <v>0</v>
      </c>
    </row>
    <row r="7409" spans="1:8">
      <c r="A7409">
        <v>7</v>
      </c>
      <c r="B7409" t="s">
        <v>42</v>
      </c>
      <c r="C7409" t="s">
        <v>33</v>
      </c>
      <c r="D7409">
        <v>0</v>
      </c>
      <c r="E7409">
        <v>1</v>
      </c>
      <c r="F7409" s="7">
        <v>2693.26</v>
      </c>
      <c r="G7409">
        <v>0</v>
      </c>
      <c r="H7409" s="7">
        <v>0</v>
      </c>
    </row>
    <row r="7410" spans="1:8">
      <c r="A7410">
        <v>7</v>
      </c>
      <c r="B7410" t="s">
        <v>42</v>
      </c>
      <c r="C7410" t="s">
        <v>33</v>
      </c>
      <c r="D7410">
        <v>0</v>
      </c>
      <c r="E7410">
        <v>1</v>
      </c>
      <c r="F7410" s="7">
        <v>4798.8</v>
      </c>
      <c r="G7410">
        <v>0</v>
      </c>
      <c r="H7410" s="7">
        <v>0</v>
      </c>
    </row>
    <row r="7411" spans="1:8">
      <c r="A7411">
        <v>7</v>
      </c>
      <c r="B7411" t="s">
        <v>42</v>
      </c>
      <c r="C7411" t="s">
        <v>33</v>
      </c>
      <c r="D7411">
        <v>0</v>
      </c>
      <c r="E7411">
        <v>1</v>
      </c>
      <c r="F7411" s="7">
        <v>5756.56</v>
      </c>
      <c r="G7411">
        <v>0</v>
      </c>
      <c r="H7411" s="7">
        <v>0</v>
      </c>
    </row>
    <row r="7412" spans="1:8">
      <c r="A7412">
        <v>7</v>
      </c>
      <c r="B7412" t="s">
        <v>42</v>
      </c>
      <c r="C7412" t="s">
        <v>34</v>
      </c>
      <c r="D7412">
        <v>0</v>
      </c>
      <c r="E7412">
        <v>1</v>
      </c>
      <c r="F7412" s="7">
        <v>25404.53</v>
      </c>
      <c r="G7412">
        <v>0</v>
      </c>
      <c r="H7412" s="7">
        <v>0</v>
      </c>
    </row>
    <row r="7413" spans="1:8">
      <c r="A7413">
        <v>7</v>
      </c>
      <c r="B7413" t="s">
        <v>42</v>
      </c>
      <c r="C7413" t="s">
        <v>32</v>
      </c>
      <c r="D7413">
        <v>0</v>
      </c>
      <c r="E7413">
        <v>1</v>
      </c>
      <c r="F7413" s="7">
        <v>827.69</v>
      </c>
      <c r="G7413">
        <v>0</v>
      </c>
      <c r="H7413" s="7">
        <v>0</v>
      </c>
    </row>
    <row r="7414" spans="1:8">
      <c r="A7414">
        <v>7</v>
      </c>
      <c r="B7414" t="s">
        <v>42</v>
      </c>
      <c r="C7414" t="s">
        <v>33</v>
      </c>
      <c r="D7414">
        <v>0</v>
      </c>
      <c r="E7414">
        <v>1</v>
      </c>
      <c r="F7414" s="7">
        <v>5501.2</v>
      </c>
      <c r="G7414">
        <v>0</v>
      </c>
      <c r="H7414" s="7">
        <v>0</v>
      </c>
    </row>
    <row r="7415" spans="1:8">
      <c r="A7415">
        <v>7</v>
      </c>
      <c r="B7415" t="s">
        <v>42</v>
      </c>
      <c r="C7415" t="s">
        <v>34</v>
      </c>
      <c r="D7415">
        <v>0</v>
      </c>
      <c r="E7415">
        <v>1</v>
      </c>
      <c r="F7415" s="7">
        <v>14766.83</v>
      </c>
      <c r="G7415">
        <v>0</v>
      </c>
      <c r="H7415" s="7">
        <v>0</v>
      </c>
    </row>
    <row r="7416" spans="1:8">
      <c r="A7416">
        <v>7</v>
      </c>
      <c r="B7416" t="s">
        <v>42</v>
      </c>
      <c r="C7416" t="s">
        <v>34</v>
      </c>
      <c r="D7416">
        <v>0</v>
      </c>
      <c r="E7416">
        <v>1</v>
      </c>
      <c r="F7416" s="7">
        <v>10382.73</v>
      </c>
      <c r="G7416">
        <v>0</v>
      </c>
      <c r="H7416" s="7">
        <v>0</v>
      </c>
    </row>
    <row r="7417" spans="1:8">
      <c r="A7417">
        <v>7</v>
      </c>
      <c r="B7417" t="s">
        <v>42</v>
      </c>
      <c r="C7417" t="s">
        <v>34</v>
      </c>
      <c r="D7417">
        <v>0</v>
      </c>
      <c r="E7417">
        <v>1</v>
      </c>
      <c r="F7417" s="7">
        <v>10469.87</v>
      </c>
      <c r="G7417">
        <v>0</v>
      </c>
      <c r="H7417" s="7">
        <v>0</v>
      </c>
    </row>
    <row r="7418" spans="1:8">
      <c r="A7418">
        <v>7</v>
      </c>
      <c r="B7418" t="s">
        <v>42</v>
      </c>
      <c r="C7418" t="s">
        <v>34</v>
      </c>
      <c r="D7418">
        <v>0</v>
      </c>
      <c r="E7418">
        <v>1</v>
      </c>
      <c r="F7418" s="7">
        <v>16319.94</v>
      </c>
      <c r="G7418">
        <v>0</v>
      </c>
      <c r="H7418" s="7">
        <v>0</v>
      </c>
    </row>
    <row r="7419" spans="1:8">
      <c r="A7419">
        <v>7</v>
      </c>
      <c r="B7419" t="s">
        <v>42</v>
      </c>
      <c r="C7419" t="s">
        <v>34</v>
      </c>
      <c r="D7419">
        <v>0</v>
      </c>
      <c r="E7419">
        <v>1</v>
      </c>
      <c r="F7419" s="7">
        <v>17978.68</v>
      </c>
      <c r="G7419">
        <v>0</v>
      </c>
      <c r="H7419" s="7">
        <v>0</v>
      </c>
    </row>
    <row r="7420" spans="1:8">
      <c r="A7420">
        <v>7</v>
      </c>
      <c r="B7420" t="s">
        <v>42</v>
      </c>
      <c r="C7420" t="s">
        <v>33</v>
      </c>
      <c r="D7420">
        <v>0</v>
      </c>
      <c r="E7420">
        <v>1</v>
      </c>
      <c r="F7420" s="7">
        <v>9230.32</v>
      </c>
      <c r="G7420">
        <v>0</v>
      </c>
      <c r="H7420" s="7">
        <v>0</v>
      </c>
    </row>
    <row r="7421" spans="1:8">
      <c r="A7421">
        <v>7</v>
      </c>
      <c r="B7421" t="s">
        <v>42</v>
      </c>
      <c r="C7421" t="s">
        <v>33</v>
      </c>
      <c r="D7421">
        <v>0</v>
      </c>
      <c r="E7421">
        <v>1</v>
      </c>
      <c r="F7421" s="7">
        <v>1370.69</v>
      </c>
      <c r="G7421">
        <v>0</v>
      </c>
      <c r="H7421" s="7">
        <v>0</v>
      </c>
    </row>
    <row r="7422" spans="1:8">
      <c r="A7422">
        <v>7</v>
      </c>
      <c r="B7422" t="s">
        <v>42</v>
      </c>
      <c r="C7422" t="s">
        <v>34</v>
      </c>
      <c r="D7422">
        <v>0</v>
      </c>
      <c r="E7422">
        <v>1</v>
      </c>
      <c r="F7422" s="7">
        <v>10533.04</v>
      </c>
      <c r="G7422">
        <v>0</v>
      </c>
      <c r="H7422" s="7">
        <v>0</v>
      </c>
    </row>
    <row r="7423" spans="1:8">
      <c r="A7423">
        <v>7</v>
      </c>
      <c r="B7423" t="s">
        <v>42</v>
      </c>
      <c r="C7423" t="s">
        <v>32</v>
      </c>
      <c r="D7423">
        <v>0</v>
      </c>
      <c r="E7423">
        <v>1</v>
      </c>
      <c r="F7423" s="7">
        <v>285.59</v>
      </c>
      <c r="G7423">
        <v>0</v>
      </c>
      <c r="H7423" s="7">
        <v>0</v>
      </c>
    </row>
    <row r="7424" spans="1:8">
      <c r="A7424">
        <v>7</v>
      </c>
      <c r="B7424" t="s">
        <v>42</v>
      </c>
      <c r="C7424" t="s">
        <v>33</v>
      </c>
      <c r="D7424">
        <v>0</v>
      </c>
      <c r="E7424">
        <v>1</v>
      </c>
      <c r="F7424" s="7">
        <v>4800.76</v>
      </c>
      <c r="G7424">
        <v>0</v>
      </c>
      <c r="H7424" s="7">
        <v>0</v>
      </c>
    </row>
    <row r="7425" spans="1:8">
      <c r="A7425">
        <v>7</v>
      </c>
      <c r="B7425" t="s">
        <v>42</v>
      </c>
      <c r="C7425" t="s">
        <v>34</v>
      </c>
      <c r="D7425">
        <v>0</v>
      </c>
      <c r="E7425">
        <v>1</v>
      </c>
      <c r="F7425" s="7">
        <v>10156</v>
      </c>
      <c r="G7425">
        <v>0</v>
      </c>
      <c r="H7425" s="7">
        <v>0</v>
      </c>
    </row>
    <row r="7426" spans="1:8">
      <c r="A7426">
        <v>7</v>
      </c>
      <c r="B7426" t="s">
        <v>42</v>
      </c>
      <c r="C7426" t="s">
        <v>33</v>
      </c>
      <c r="D7426">
        <v>0</v>
      </c>
      <c r="E7426">
        <v>1</v>
      </c>
      <c r="F7426" s="7">
        <v>9414.48</v>
      </c>
      <c r="G7426">
        <v>0</v>
      </c>
      <c r="H7426" s="7">
        <v>0</v>
      </c>
    </row>
    <row r="7427" spans="1:8">
      <c r="A7427">
        <v>7</v>
      </c>
      <c r="B7427" t="s">
        <v>42</v>
      </c>
      <c r="C7427" t="s">
        <v>33</v>
      </c>
      <c r="D7427">
        <v>0</v>
      </c>
      <c r="E7427">
        <v>1</v>
      </c>
      <c r="F7427" s="7">
        <v>2674.73</v>
      </c>
      <c r="G7427">
        <v>0</v>
      </c>
      <c r="H7427" s="7">
        <v>0</v>
      </c>
    </row>
    <row r="7428" spans="1:8">
      <c r="A7428">
        <v>7</v>
      </c>
      <c r="B7428" t="s">
        <v>42</v>
      </c>
      <c r="C7428" t="s">
        <v>33</v>
      </c>
      <c r="D7428">
        <v>0</v>
      </c>
      <c r="E7428">
        <v>1</v>
      </c>
      <c r="F7428" s="7">
        <v>1571.83</v>
      </c>
      <c r="G7428">
        <v>0</v>
      </c>
      <c r="H7428" s="7">
        <v>0</v>
      </c>
    </row>
    <row r="7429" spans="1:8">
      <c r="A7429">
        <v>7</v>
      </c>
      <c r="B7429" t="s">
        <v>42</v>
      </c>
      <c r="C7429" t="s">
        <v>33</v>
      </c>
      <c r="D7429">
        <v>0</v>
      </c>
      <c r="E7429">
        <v>1</v>
      </c>
      <c r="F7429" s="7">
        <v>1803.28</v>
      </c>
      <c r="G7429">
        <v>0</v>
      </c>
      <c r="H7429" s="7">
        <v>0</v>
      </c>
    </row>
    <row r="7430" spans="1:8">
      <c r="A7430">
        <v>7</v>
      </c>
      <c r="B7430" t="s">
        <v>42</v>
      </c>
      <c r="C7430" t="s">
        <v>33</v>
      </c>
      <c r="D7430">
        <v>0</v>
      </c>
      <c r="E7430">
        <v>1</v>
      </c>
      <c r="F7430" s="7">
        <v>3633.39</v>
      </c>
      <c r="G7430">
        <v>0</v>
      </c>
      <c r="H7430" s="7">
        <v>0</v>
      </c>
    </row>
    <row r="7431" spans="1:8">
      <c r="A7431">
        <v>7</v>
      </c>
      <c r="B7431" t="s">
        <v>42</v>
      </c>
      <c r="C7431" t="s">
        <v>33</v>
      </c>
      <c r="D7431">
        <v>0</v>
      </c>
      <c r="E7431">
        <v>1</v>
      </c>
      <c r="F7431" s="7">
        <v>4178.46</v>
      </c>
      <c r="G7431">
        <v>0</v>
      </c>
      <c r="H7431" s="7">
        <v>0</v>
      </c>
    </row>
    <row r="7432" spans="1:8">
      <c r="A7432">
        <v>7</v>
      </c>
      <c r="B7432" t="s">
        <v>42</v>
      </c>
      <c r="C7432" t="s">
        <v>33</v>
      </c>
      <c r="D7432">
        <v>0</v>
      </c>
      <c r="E7432">
        <v>1</v>
      </c>
      <c r="F7432" s="7">
        <v>4456.99</v>
      </c>
      <c r="G7432">
        <v>0</v>
      </c>
      <c r="H7432" s="7">
        <v>0</v>
      </c>
    </row>
    <row r="7433" spans="1:8">
      <c r="A7433">
        <v>7</v>
      </c>
      <c r="B7433" t="s">
        <v>43</v>
      </c>
      <c r="C7433" t="s">
        <v>35</v>
      </c>
      <c r="D7433">
        <v>0</v>
      </c>
      <c r="E7433">
        <v>1</v>
      </c>
      <c r="F7433" s="7">
        <v>400444.34</v>
      </c>
      <c r="G7433">
        <v>0</v>
      </c>
      <c r="H7433" s="7">
        <v>0</v>
      </c>
    </row>
    <row r="7434" spans="1:8">
      <c r="A7434">
        <v>7</v>
      </c>
      <c r="B7434" t="s">
        <v>42</v>
      </c>
      <c r="C7434" t="s">
        <v>32</v>
      </c>
      <c r="D7434">
        <v>0</v>
      </c>
      <c r="E7434">
        <v>1</v>
      </c>
      <c r="F7434" s="7">
        <v>930.18</v>
      </c>
      <c r="G7434">
        <v>0</v>
      </c>
      <c r="H7434" s="7">
        <v>0</v>
      </c>
    </row>
    <row r="7435" spans="1:8">
      <c r="A7435">
        <v>7</v>
      </c>
      <c r="B7435" t="s">
        <v>42</v>
      </c>
      <c r="C7435" t="s">
        <v>32</v>
      </c>
      <c r="D7435">
        <v>0</v>
      </c>
      <c r="E7435">
        <v>1</v>
      </c>
      <c r="F7435" s="7">
        <v>218.27</v>
      </c>
      <c r="G7435">
        <v>0</v>
      </c>
      <c r="H7435" s="7">
        <v>0</v>
      </c>
    </row>
    <row r="7436" spans="1:8">
      <c r="A7436">
        <v>7</v>
      </c>
      <c r="B7436" t="s">
        <v>42</v>
      </c>
      <c r="C7436" t="s">
        <v>33</v>
      </c>
      <c r="D7436">
        <v>0</v>
      </c>
      <c r="E7436">
        <v>1</v>
      </c>
      <c r="F7436" s="7">
        <v>1041.96</v>
      </c>
      <c r="G7436">
        <v>0</v>
      </c>
      <c r="H7436" s="7">
        <v>0</v>
      </c>
    </row>
    <row r="7437" spans="1:8">
      <c r="A7437">
        <v>7</v>
      </c>
      <c r="B7437" t="s">
        <v>43</v>
      </c>
      <c r="C7437" t="s">
        <v>35</v>
      </c>
      <c r="D7437">
        <v>0</v>
      </c>
      <c r="E7437">
        <v>1</v>
      </c>
      <c r="F7437" s="7">
        <v>451568.12</v>
      </c>
      <c r="G7437">
        <v>0</v>
      </c>
      <c r="H7437" s="7">
        <v>0</v>
      </c>
    </row>
    <row r="7438" spans="1:8">
      <c r="A7438">
        <v>7</v>
      </c>
      <c r="B7438" t="s">
        <v>43</v>
      </c>
      <c r="C7438" t="s">
        <v>35</v>
      </c>
      <c r="D7438">
        <v>0</v>
      </c>
      <c r="E7438">
        <v>1</v>
      </c>
      <c r="F7438" s="7">
        <v>104539.76</v>
      </c>
      <c r="G7438">
        <v>0</v>
      </c>
      <c r="H7438" s="7">
        <v>0</v>
      </c>
    </row>
    <row r="7439" spans="1:8">
      <c r="A7439">
        <v>7</v>
      </c>
      <c r="B7439" t="s">
        <v>42</v>
      </c>
      <c r="C7439" t="s">
        <v>33</v>
      </c>
      <c r="D7439">
        <v>0</v>
      </c>
      <c r="E7439">
        <v>1</v>
      </c>
      <c r="F7439" s="7">
        <v>8061.1</v>
      </c>
      <c r="G7439">
        <v>0</v>
      </c>
      <c r="H7439" s="7">
        <v>0</v>
      </c>
    </row>
    <row r="7440" spans="1:8">
      <c r="A7440">
        <v>7</v>
      </c>
      <c r="B7440" t="s">
        <v>42</v>
      </c>
      <c r="C7440" t="s">
        <v>33</v>
      </c>
      <c r="D7440">
        <v>0</v>
      </c>
      <c r="E7440">
        <v>1</v>
      </c>
      <c r="F7440" s="7">
        <v>3866.19</v>
      </c>
      <c r="G7440">
        <v>0</v>
      </c>
      <c r="H7440" s="7">
        <v>0</v>
      </c>
    </row>
    <row r="7441" spans="1:8">
      <c r="A7441">
        <v>7</v>
      </c>
      <c r="B7441" t="s">
        <v>42</v>
      </c>
      <c r="C7441" t="s">
        <v>33</v>
      </c>
      <c r="D7441">
        <v>0</v>
      </c>
      <c r="E7441">
        <v>1</v>
      </c>
      <c r="F7441" s="7">
        <v>2865.64</v>
      </c>
      <c r="G7441">
        <v>0</v>
      </c>
      <c r="H7441" s="7">
        <v>0</v>
      </c>
    </row>
    <row r="7442" spans="1:8">
      <c r="A7442">
        <v>7</v>
      </c>
      <c r="B7442" t="s">
        <v>45</v>
      </c>
      <c r="C7442" t="s">
        <v>33</v>
      </c>
      <c r="D7442">
        <v>0</v>
      </c>
      <c r="E7442">
        <v>1</v>
      </c>
      <c r="F7442" s="7">
        <v>5418.64</v>
      </c>
      <c r="G7442">
        <v>0</v>
      </c>
      <c r="H7442" s="7">
        <v>0</v>
      </c>
    </row>
    <row r="7443" spans="1:8">
      <c r="A7443">
        <v>7</v>
      </c>
      <c r="B7443" t="s">
        <v>43</v>
      </c>
      <c r="C7443" t="s">
        <v>35</v>
      </c>
      <c r="D7443">
        <v>0</v>
      </c>
      <c r="E7443">
        <v>1</v>
      </c>
      <c r="F7443" s="7">
        <v>632361.53</v>
      </c>
      <c r="G7443">
        <v>0</v>
      </c>
      <c r="H7443" s="7">
        <v>0</v>
      </c>
    </row>
    <row r="7444" spans="1:8">
      <c r="A7444">
        <v>7</v>
      </c>
      <c r="B7444" t="s">
        <v>42</v>
      </c>
      <c r="C7444" t="s">
        <v>34</v>
      </c>
      <c r="D7444">
        <v>0</v>
      </c>
      <c r="E7444">
        <v>1</v>
      </c>
      <c r="F7444" s="7">
        <v>10229.88</v>
      </c>
      <c r="G7444">
        <v>0</v>
      </c>
      <c r="H7444" s="7">
        <v>0</v>
      </c>
    </row>
    <row r="7445" spans="1:8">
      <c r="A7445">
        <v>7</v>
      </c>
      <c r="B7445" t="s">
        <v>43</v>
      </c>
      <c r="C7445" t="s">
        <v>35</v>
      </c>
      <c r="D7445">
        <v>0</v>
      </c>
      <c r="E7445">
        <v>1</v>
      </c>
      <c r="F7445" s="7">
        <v>469688.29</v>
      </c>
      <c r="G7445">
        <v>0</v>
      </c>
      <c r="H7445" s="7">
        <v>0</v>
      </c>
    </row>
    <row r="7446" spans="1:8">
      <c r="A7446">
        <v>7</v>
      </c>
      <c r="B7446" t="s">
        <v>43</v>
      </c>
      <c r="C7446" t="s">
        <v>35</v>
      </c>
      <c r="D7446">
        <v>0</v>
      </c>
      <c r="E7446">
        <v>1</v>
      </c>
      <c r="F7446" s="7">
        <v>591464.21</v>
      </c>
      <c r="G7446">
        <v>0</v>
      </c>
      <c r="H7446" s="7">
        <v>0</v>
      </c>
    </row>
    <row r="7447" spans="1:8">
      <c r="A7447">
        <v>7</v>
      </c>
      <c r="B7447" t="s">
        <v>46</v>
      </c>
      <c r="C7447" t="s">
        <v>35</v>
      </c>
      <c r="D7447">
        <v>0</v>
      </c>
      <c r="E7447">
        <v>1</v>
      </c>
      <c r="F7447" s="7">
        <v>105860.8</v>
      </c>
      <c r="G7447">
        <v>0</v>
      </c>
      <c r="H7447" s="7">
        <v>0</v>
      </c>
    </row>
    <row r="7448" spans="1:8">
      <c r="A7448">
        <v>7</v>
      </c>
      <c r="B7448" t="s">
        <v>42</v>
      </c>
      <c r="C7448" t="s">
        <v>33</v>
      </c>
      <c r="D7448">
        <v>0</v>
      </c>
      <c r="E7448">
        <v>1</v>
      </c>
      <c r="F7448" s="7">
        <v>3535.08</v>
      </c>
      <c r="G7448">
        <v>0</v>
      </c>
      <c r="H7448" s="7">
        <v>0</v>
      </c>
    </row>
    <row r="7449" spans="1:8">
      <c r="A7449">
        <v>7</v>
      </c>
      <c r="B7449" t="s">
        <v>42</v>
      </c>
      <c r="C7449" t="s">
        <v>33</v>
      </c>
      <c r="D7449">
        <v>0</v>
      </c>
      <c r="E7449">
        <v>1</v>
      </c>
      <c r="F7449" s="7">
        <v>5565.73</v>
      </c>
      <c r="G7449">
        <v>0</v>
      </c>
      <c r="H7449" s="7">
        <v>0</v>
      </c>
    </row>
    <row r="7450" spans="1:8">
      <c r="A7450">
        <v>7</v>
      </c>
      <c r="B7450" t="s">
        <v>42</v>
      </c>
      <c r="C7450" t="s">
        <v>33</v>
      </c>
      <c r="D7450">
        <v>0</v>
      </c>
      <c r="E7450">
        <v>1</v>
      </c>
      <c r="F7450" s="7">
        <v>2513.17</v>
      </c>
      <c r="G7450">
        <v>0</v>
      </c>
      <c r="H7450" s="7">
        <v>0</v>
      </c>
    </row>
    <row r="7451" spans="1:8">
      <c r="A7451">
        <v>7</v>
      </c>
      <c r="B7451" t="s">
        <v>42</v>
      </c>
      <c r="C7451" t="s">
        <v>34</v>
      </c>
      <c r="D7451">
        <v>0</v>
      </c>
      <c r="E7451">
        <v>1</v>
      </c>
      <c r="F7451" s="7">
        <v>24324.01</v>
      </c>
      <c r="G7451">
        <v>0</v>
      </c>
      <c r="H7451" s="7">
        <v>0</v>
      </c>
    </row>
    <row r="7452" spans="1:8">
      <c r="A7452">
        <v>7</v>
      </c>
      <c r="B7452" t="s">
        <v>42</v>
      </c>
      <c r="C7452" t="s">
        <v>34</v>
      </c>
      <c r="D7452">
        <v>0</v>
      </c>
      <c r="E7452">
        <v>1</v>
      </c>
      <c r="F7452" s="7">
        <v>10620.41</v>
      </c>
      <c r="G7452">
        <v>0</v>
      </c>
      <c r="H7452" s="7">
        <v>0</v>
      </c>
    </row>
    <row r="7453" spans="1:8">
      <c r="A7453">
        <v>7</v>
      </c>
      <c r="B7453" t="s">
        <v>42</v>
      </c>
      <c r="C7453" t="s">
        <v>33</v>
      </c>
      <c r="D7453">
        <v>0</v>
      </c>
      <c r="E7453">
        <v>1</v>
      </c>
      <c r="F7453" s="7">
        <v>4996.41</v>
      </c>
      <c r="G7453">
        <v>0</v>
      </c>
      <c r="H7453" s="7">
        <v>0</v>
      </c>
    </row>
    <row r="7454" spans="1:8">
      <c r="A7454">
        <v>7</v>
      </c>
      <c r="B7454" t="s">
        <v>42</v>
      </c>
      <c r="C7454" t="s">
        <v>34</v>
      </c>
      <c r="D7454">
        <v>0</v>
      </c>
      <c r="E7454">
        <v>1</v>
      </c>
      <c r="F7454" s="7">
        <v>20328.6</v>
      </c>
      <c r="G7454">
        <v>0</v>
      </c>
      <c r="H7454" s="7">
        <v>0</v>
      </c>
    </row>
    <row r="7455" spans="1:8">
      <c r="A7455">
        <v>7</v>
      </c>
      <c r="B7455" t="s">
        <v>42</v>
      </c>
      <c r="C7455" t="s">
        <v>34</v>
      </c>
      <c r="D7455">
        <v>0</v>
      </c>
      <c r="E7455">
        <v>1</v>
      </c>
      <c r="F7455" s="7">
        <v>35279.33</v>
      </c>
      <c r="G7455">
        <v>0</v>
      </c>
      <c r="H7455" s="7">
        <v>0</v>
      </c>
    </row>
    <row r="7456" spans="1:8">
      <c r="A7456">
        <v>7</v>
      </c>
      <c r="B7456" t="s">
        <v>42</v>
      </c>
      <c r="C7456" t="s">
        <v>33</v>
      </c>
      <c r="D7456">
        <v>0</v>
      </c>
      <c r="E7456">
        <v>1</v>
      </c>
      <c r="F7456" s="7">
        <v>3169.16</v>
      </c>
      <c r="G7456">
        <v>0</v>
      </c>
      <c r="H7456" s="7">
        <v>0</v>
      </c>
    </row>
    <row r="7457" spans="1:8">
      <c r="A7457">
        <v>7</v>
      </c>
      <c r="B7457" t="s">
        <v>42</v>
      </c>
      <c r="C7457" t="s">
        <v>33</v>
      </c>
      <c r="D7457">
        <v>0</v>
      </c>
      <c r="E7457">
        <v>1</v>
      </c>
      <c r="F7457" s="7">
        <v>8358.83</v>
      </c>
      <c r="G7457">
        <v>0</v>
      </c>
      <c r="H7457" s="7">
        <v>0</v>
      </c>
    </row>
    <row r="7458" spans="1:8">
      <c r="A7458">
        <v>7</v>
      </c>
      <c r="B7458" t="s">
        <v>42</v>
      </c>
      <c r="C7458" t="s">
        <v>33</v>
      </c>
      <c r="D7458">
        <v>0</v>
      </c>
      <c r="E7458">
        <v>1</v>
      </c>
      <c r="F7458" s="7">
        <v>2320.65</v>
      </c>
      <c r="G7458">
        <v>0</v>
      </c>
      <c r="H7458" s="7">
        <v>0</v>
      </c>
    </row>
    <row r="7459" spans="1:8">
      <c r="A7459">
        <v>7</v>
      </c>
      <c r="B7459" t="s">
        <v>42</v>
      </c>
      <c r="C7459" t="s">
        <v>33</v>
      </c>
      <c r="D7459">
        <v>0</v>
      </c>
      <c r="E7459">
        <v>1</v>
      </c>
      <c r="F7459" s="7">
        <v>5733.09</v>
      </c>
      <c r="G7459">
        <v>0</v>
      </c>
      <c r="H7459" s="7">
        <v>0</v>
      </c>
    </row>
    <row r="7460" spans="1:8">
      <c r="A7460">
        <v>7</v>
      </c>
      <c r="B7460" t="s">
        <v>42</v>
      </c>
      <c r="C7460" t="s">
        <v>34</v>
      </c>
      <c r="D7460">
        <v>0</v>
      </c>
      <c r="E7460">
        <v>1</v>
      </c>
      <c r="F7460" s="7">
        <v>14441.29</v>
      </c>
      <c r="G7460">
        <v>0</v>
      </c>
      <c r="H7460" s="7">
        <v>0</v>
      </c>
    </row>
    <row r="7461" spans="1:8">
      <c r="A7461">
        <v>7</v>
      </c>
      <c r="B7461" t="s">
        <v>42</v>
      </c>
      <c r="C7461" t="s">
        <v>33</v>
      </c>
      <c r="D7461">
        <v>0</v>
      </c>
      <c r="E7461">
        <v>1</v>
      </c>
      <c r="F7461" s="7">
        <v>2518.63</v>
      </c>
      <c r="G7461">
        <v>0</v>
      </c>
      <c r="H7461" s="7">
        <v>0</v>
      </c>
    </row>
    <row r="7462" spans="1:8">
      <c r="A7462">
        <v>7</v>
      </c>
      <c r="B7462" t="s">
        <v>42</v>
      </c>
      <c r="C7462" t="s">
        <v>34</v>
      </c>
      <c r="D7462">
        <v>0</v>
      </c>
      <c r="E7462">
        <v>1</v>
      </c>
      <c r="F7462" s="7">
        <v>13517.94</v>
      </c>
      <c r="G7462">
        <v>0</v>
      </c>
      <c r="H7462" s="7">
        <v>0</v>
      </c>
    </row>
    <row r="7463" spans="1:8">
      <c r="A7463">
        <v>7</v>
      </c>
      <c r="B7463" t="s">
        <v>42</v>
      </c>
      <c r="C7463" t="s">
        <v>33</v>
      </c>
      <c r="D7463">
        <v>0</v>
      </c>
      <c r="E7463">
        <v>1</v>
      </c>
      <c r="F7463" s="7">
        <v>7925.72</v>
      </c>
      <c r="G7463">
        <v>0</v>
      </c>
      <c r="H7463" s="7">
        <v>0</v>
      </c>
    </row>
    <row r="7464" spans="1:8">
      <c r="A7464">
        <v>7</v>
      </c>
      <c r="B7464" t="s">
        <v>42</v>
      </c>
      <c r="C7464" t="s">
        <v>34</v>
      </c>
      <c r="D7464">
        <v>0</v>
      </c>
      <c r="E7464">
        <v>1</v>
      </c>
      <c r="F7464" s="7">
        <v>24034.28</v>
      </c>
      <c r="G7464">
        <v>0</v>
      </c>
      <c r="H7464" s="7">
        <v>0</v>
      </c>
    </row>
    <row r="7465" spans="1:8">
      <c r="A7465">
        <v>7</v>
      </c>
      <c r="B7465" t="s">
        <v>42</v>
      </c>
      <c r="C7465" t="s">
        <v>34</v>
      </c>
      <c r="D7465">
        <v>0</v>
      </c>
      <c r="E7465">
        <v>1</v>
      </c>
      <c r="F7465" s="7">
        <v>17036.48</v>
      </c>
      <c r="G7465">
        <v>0</v>
      </c>
      <c r="H7465" s="7">
        <v>0</v>
      </c>
    </row>
    <row r="7466" spans="1:8">
      <c r="A7466">
        <v>7</v>
      </c>
      <c r="B7466" t="s">
        <v>42</v>
      </c>
      <c r="C7466" t="s">
        <v>34</v>
      </c>
      <c r="D7466">
        <v>0</v>
      </c>
      <c r="E7466">
        <v>1</v>
      </c>
      <c r="F7466" s="7">
        <v>27888.72</v>
      </c>
      <c r="G7466">
        <v>0</v>
      </c>
      <c r="H7466" s="7">
        <v>0</v>
      </c>
    </row>
    <row r="7467" spans="1:8">
      <c r="A7467">
        <v>7</v>
      </c>
      <c r="B7467" t="s">
        <v>42</v>
      </c>
      <c r="C7467" t="s">
        <v>33</v>
      </c>
      <c r="D7467">
        <v>0</v>
      </c>
      <c r="E7467">
        <v>1</v>
      </c>
      <c r="F7467" s="7">
        <v>3417.61</v>
      </c>
      <c r="G7467">
        <v>0</v>
      </c>
      <c r="H7467" s="7">
        <v>0</v>
      </c>
    </row>
    <row r="7468" spans="1:8">
      <c r="A7468">
        <v>7</v>
      </c>
      <c r="B7468" t="s">
        <v>42</v>
      </c>
      <c r="C7468" t="s">
        <v>34</v>
      </c>
      <c r="D7468">
        <v>0</v>
      </c>
      <c r="E7468">
        <v>1</v>
      </c>
      <c r="F7468" s="7">
        <v>10558.24</v>
      </c>
      <c r="G7468">
        <v>0</v>
      </c>
      <c r="H7468" s="7">
        <v>0</v>
      </c>
    </row>
    <row r="7469" spans="1:8">
      <c r="A7469">
        <v>7</v>
      </c>
      <c r="B7469" t="s">
        <v>42</v>
      </c>
      <c r="C7469" t="s">
        <v>33</v>
      </c>
      <c r="D7469">
        <v>0</v>
      </c>
      <c r="E7469">
        <v>1</v>
      </c>
      <c r="F7469" s="7">
        <v>1847.37</v>
      </c>
      <c r="G7469">
        <v>0</v>
      </c>
      <c r="H7469" s="7">
        <v>0</v>
      </c>
    </row>
    <row r="7470" spans="1:8">
      <c r="A7470">
        <v>7</v>
      </c>
      <c r="B7470" t="s">
        <v>43</v>
      </c>
      <c r="C7470" t="s">
        <v>35</v>
      </c>
      <c r="D7470">
        <v>0</v>
      </c>
      <c r="E7470">
        <v>1</v>
      </c>
      <c r="F7470" s="7">
        <v>411399.71</v>
      </c>
      <c r="G7470">
        <v>0</v>
      </c>
      <c r="H7470" s="7">
        <v>0</v>
      </c>
    </row>
    <row r="7471" spans="1:8">
      <c r="A7471">
        <v>7</v>
      </c>
      <c r="B7471" t="s">
        <v>43</v>
      </c>
      <c r="C7471" t="s">
        <v>35</v>
      </c>
      <c r="D7471">
        <v>0</v>
      </c>
      <c r="E7471">
        <v>1</v>
      </c>
      <c r="F7471" s="7">
        <v>121362.51</v>
      </c>
      <c r="G7471">
        <v>0</v>
      </c>
      <c r="H7471" s="7">
        <v>0</v>
      </c>
    </row>
    <row r="7472" spans="1:8">
      <c r="A7472">
        <v>7</v>
      </c>
      <c r="B7472" t="s">
        <v>44</v>
      </c>
      <c r="C7472" t="s">
        <v>34</v>
      </c>
      <c r="D7472">
        <v>0</v>
      </c>
      <c r="E7472">
        <v>1</v>
      </c>
      <c r="F7472" s="7">
        <v>54395.2</v>
      </c>
      <c r="G7472">
        <v>0</v>
      </c>
      <c r="H7472" s="7">
        <v>0</v>
      </c>
    </row>
    <row r="7473" spans="1:8">
      <c r="A7473">
        <v>7</v>
      </c>
      <c r="B7473" t="s">
        <v>44</v>
      </c>
      <c r="C7473" t="s">
        <v>34</v>
      </c>
      <c r="D7473">
        <v>0</v>
      </c>
      <c r="E7473">
        <v>1</v>
      </c>
      <c r="F7473" s="7">
        <v>59416.73</v>
      </c>
      <c r="G7473">
        <v>0</v>
      </c>
      <c r="H7473" s="7">
        <v>0</v>
      </c>
    </row>
    <row r="7474" spans="1:8">
      <c r="A7474">
        <v>7</v>
      </c>
      <c r="B7474" t="s">
        <v>42</v>
      </c>
      <c r="C7474" t="s">
        <v>32</v>
      </c>
      <c r="D7474">
        <v>0</v>
      </c>
      <c r="E7474">
        <v>1</v>
      </c>
      <c r="F7474" s="7">
        <v>565.49</v>
      </c>
      <c r="G7474">
        <v>0</v>
      </c>
      <c r="H7474" s="7">
        <v>0</v>
      </c>
    </row>
    <row r="7475" spans="1:8">
      <c r="A7475">
        <v>7</v>
      </c>
      <c r="B7475" t="s">
        <v>42</v>
      </c>
      <c r="C7475" t="s">
        <v>33</v>
      </c>
      <c r="D7475">
        <v>0</v>
      </c>
      <c r="E7475">
        <v>1</v>
      </c>
      <c r="F7475" s="7">
        <v>2395.77</v>
      </c>
      <c r="G7475">
        <v>0</v>
      </c>
      <c r="H7475" s="7">
        <v>0</v>
      </c>
    </row>
    <row r="7476" spans="1:8">
      <c r="A7476">
        <v>7</v>
      </c>
      <c r="B7476" t="s">
        <v>42</v>
      </c>
      <c r="C7476" t="s">
        <v>33</v>
      </c>
      <c r="D7476">
        <v>0</v>
      </c>
      <c r="E7476">
        <v>1</v>
      </c>
      <c r="F7476" s="7">
        <v>6864.68</v>
      </c>
      <c r="G7476">
        <v>0</v>
      </c>
      <c r="H7476" s="7">
        <v>0</v>
      </c>
    </row>
    <row r="7477" spans="1:8">
      <c r="A7477">
        <v>7</v>
      </c>
      <c r="B7477" t="s">
        <v>42</v>
      </c>
      <c r="C7477" t="s">
        <v>34</v>
      </c>
      <c r="D7477">
        <v>0</v>
      </c>
      <c r="E7477">
        <v>1</v>
      </c>
      <c r="F7477" s="7">
        <v>19551.26</v>
      </c>
      <c r="G7477">
        <v>0</v>
      </c>
      <c r="H7477" s="7">
        <v>0</v>
      </c>
    </row>
    <row r="7478" spans="1:8">
      <c r="A7478">
        <v>7</v>
      </c>
      <c r="B7478" t="s">
        <v>44</v>
      </c>
      <c r="C7478" t="s">
        <v>35</v>
      </c>
      <c r="D7478">
        <v>0</v>
      </c>
      <c r="E7478">
        <v>1</v>
      </c>
      <c r="F7478" s="7">
        <v>197648.26</v>
      </c>
      <c r="G7478">
        <v>0</v>
      </c>
      <c r="H7478" s="7">
        <v>0</v>
      </c>
    </row>
    <row r="7479" spans="1:8">
      <c r="A7479">
        <v>7</v>
      </c>
      <c r="B7479" t="s">
        <v>42</v>
      </c>
      <c r="C7479" t="s">
        <v>33</v>
      </c>
      <c r="D7479">
        <v>0</v>
      </c>
      <c r="E7479">
        <v>1</v>
      </c>
      <c r="F7479" s="7">
        <v>6779.67</v>
      </c>
      <c r="G7479">
        <v>0</v>
      </c>
      <c r="H7479" s="7">
        <v>0</v>
      </c>
    </row>
    <row r="7480" spans="1:8">
      <c r="A7480">
        <v>7</v>
      </c>
      <c r="B7480" t="s">
        <v>42</v>
      </c>
      <c r="C7480" t="s">
        <v>32</v>
      </c>
      <c r="D7480">
        <v>0</v>
      </c>
      <c r="E7480">
        <v>1</v>
      </c>
      <c r="F7480" s="7">
        <v>412.18</v>
      </c>
      <c r="G7480">
        <v>0</v>
      </c>
      <c r="H7480" s="7">
        <v>0</v>
      </c>
    </row>
    <row r="7481" spans="1:8">
      <c r="A7481">
        <v>7</v>
      </c>
      <c r="B7481" t="s">
        <v>42</v>
      </c>
      <c r="C7481" t="s">
        <v>33</v>
      </c>
      <c r="D7481">
        <v>0</v>
      </c>
      <c r="E7481">
        <v>1</v>
      </c>
      <c r="F7481" s="7">
        <v>2780.75</v>
      </c>
      <c r="G7481">
        <v>0</v>
      </c>
      <c r="H7481" s="7">
        <v>0</v>
      </c>
    </row>
    <row r="7482" spans="1:8">
      <c r="A7482">
        <v>7</v>
      </c>
      <c r="B7482" t="s">
        <v>42</v>
      </c>
      <c r="C7482" t="s">
        <v>33</v>
      </c>
      <c r="D7482">
        <v>0</v>
      </c>
      <c r="E7482">
        <v>1</v>
      </c>
      <c r="F7482" s="7">
        <v>7466.06</v>
      </c>
      <c r="G7482">
        <v>0</v>
      </c>
      <c r="H7482" s="7">
        <v>0</v>
      </c>
    </row>
    <row r="7483" spans="1:8">
      <c r="A7483">
        <v>7</v>
      </c>
      <c r="B7483" t="s">
        <v>42</v>
      </c>
      <c r="C7483" t="s">
        <v>33</v>
      </c>
      <c r="D7483">
        <v>0</v>
      </c>
      <c r="E7483">
        <v>1</v>
      </c>
      <c r="F7483" s="7">
        <v>7769.72</v>
      </c>
      <c r="G7483">
        <v>0</v>
      </c>
      <c r="H7483" s="7">
        <v>0</v>
      </c>
    </row>
    <row r="7484" spans="1:8">
      <c r="A7484">
        <v>7</v>
      </c>
      <c r="B7484" t="s">
        <v>46</v>
      </c>
      <c r="C7484" t="s">
        <v>34</v>
      </c>
      <c r="D7484">
        <v>0</v>
      </c>
      <c r="E7484">
        <v>1</v>
      </c>
      <c r="F7484" s="7">
        <v>37603.83</v>
      </c>
      <c r="G7484">
        <v>0</v>
      </c>
      <c r="H7484" s="7">
        <v>0</v>
      </c>
    </row>
    <row r="7485" spans="1:8">
      <c r="A7485">
        <v>7</v>
      </c>
      <c r="B7485" t="s">
        <v>42</v>
      </c>
      <c r="C7485" t="s">
        <v>33</v>
      </c>
      <c r="D7485">
        <v>0</v>
      </c>
      <c r="E7485">
        <v>1</v>
      </c>
      <c r="F7485" s="7">
        <v>9173.09</v>
      </c>
      <c r="G7485">
        <v>0</v>
      </c>
      <c r="H7485" s="7">
        <v>0</v>
      </c>
    </row>
    <row r="7486" spans="1:8">
      <c r="A7486">
        <v>7</v>
      </c>
      <c r="B7486" t="s">
        <v>43</v>
      </c>
      <c r="C7486" t="s">
        <v>36</v>
      </c>
      <c r="D7486">
        <v>0</v>
      </c>
      <c r="E7486">
        <v>1</v>
      </c>
      <c r="F7486" s="7">
        <v>1242030.96</v>
      </c>
      <c r="G7486">
        <v>0</v>
      </c>
      <c r="H7486" s="7">
        <v>0</v>
      </c>
    </row>
    <row r="7487" spans="1:8">
      <c r="A7487">
        <v>7</v>
      </c>
      <c r="B7487" t="s">
        <v>42</v>
      </c>
      <c r="C7487" t="s">
        <v>32</v>
      </c>
      <c r="D7487">
        <v>0</v>
      </c>
      <c r="E7487">
        <v>1</v>
      </c>
      <c r="F7487" s="7">
        <v>883.88</v>
      </c>
      <c r="G7487">
        <v>0</v>
      </c>
      <c r="H7487" s="7">
        <v>0</v>
      </c>
    </row>
    <row r="7488" spans="1:8">
      <c r="A7488">
        <v>7</v>
      </c>
      <c r="B7488" t="s">
        <v>44</v>
      </c>
      <c r="C7488" t="s">
        <v>35</v>
      </c>
      <c r="D7488">
        <v>0</v>
      </c>
      <c r="E7488">
        <v>1</v>
      </c>
      <c r="F7488" s="7">
        <v>268049.77</v>
      </c>
      <c r="G7488">
        <v>0</v>
      </c>
      <c r="H7488" s="7">
        <v>0</v>
      </c>
    </row>
    <row r="7489" spans="1:8">
      <c r="A7489">
        <v>7</v>
      </c>
      <c r="B7489" t="s">
        <v>44</v>
      </c>
      <c r="C7489" t="s">
        <v>35</v>
      </c>
      <c r="D7489">
        <v>0</v>
      </c>
      <c r="E7489">
        <v>1</v>
      </c>
      <c r="F7489" s="7">
        <v>157442.78</v>
      </c>
      <c r="G7489">
        <v>0</v>
      </c>
      <c r="H7489" s="7">
        <v>0</v>
      </c>
    </row>
    <row r="7490" spans="1:8">
      <c r="A7490">
        <v>7</v>
      </c>
      <c r="B7490" t="s">
        <v>42</v>
      </c>
      <c r="C7490" t="s">
        <v>33</v>
      </c>
      <c r="D7490">
        <v>0</v>
      </c>
      <c r="E7490">
        <v>1</v>
      </c>
      <c r="F7490" s="7">
        <v>1593.64</v>
      </c>
      <c r="G7490">
        <v>0</v>
      </c>
      <c r="H7490" s="7">
        <v>0</v>
      </c>
    </row>
    <row r="7491" spans="1:8">
      <c r="A7491">
        <v>7</v>
      </c>
      <c r="B7491" t="s">
        <v>44</v>
      </c>
      <c r="C7491" t="s">
        <v>35</v>
      </c>
      <c r="D7491">
        <v>0</v>
      </c>
      <c r="E7491">
        <v>1</v>
      </c>
      <c r="F7491" s="7">
        <v>158333.5</v>
      </c>
      <c r="G7491">
        <v>0</v>
      </c>
      <c r="H7491" s="7">
        <v>0</v>
      </c>
    </row>
    <row r="7492" spans="1:8">
      <c r="A7492">
        <v>7</v>
      </c>
      <c r="B7492" t="s">
        <v>42</v>
      </c>
      <c r="C7492" t="s">
        <v>34</v>
      </c>
      <c r="D7492">
        <v>0</v>
      </c>
      <c r="E7492">
        <v>1</v>
      </c>
      <c r="F7492" s="7">
        <v>10808.4</v>
      </c>
      <c r="G7492">
        <v>0</v>
      </c>
      <c r="H7492" s="7">
        <v>0</v>
      </c>
    </row>
    <row r="7493" spans="1:8">
      <c r="A7493">
        <v>7</v>
      </c>
      <c r="B7493" t="s">
        <v>42</v>
      </c>
      <c r="C7493" t="s">
        <v>33</v>
      </c>
      <c r="D7493">
        <v>0</v>
      </c>
      <c r="E7493">
        <v>1</v>
      </c>
      <c r="F7493" s="7">
        <v>3439.96</v>
      </c>
      <c r="G7493">
        <v>0</v>
      </c>
      <c r="H7493" s="7">
        <v>0</v>
      </c>
    </row>
    <row r="7494" spans="1:8">
      <c r="A7494">
        <v>7</v>
      </c>
      <c r="B7494" t="s">
        <v>42</v>
      </c>
      <c r="C7494" t="s">
        <v>33</v>
      </c>
      <c r="D7494">
        <v>0</v>
      </c>
      <c r="E7494">
        <v>1</v>
      </c>
      <c r="F7494" s="7">
        <v>2322.82</v>
      </c>
      <c r="G7494">
        <v>0</v>
      </c>
      <c r="H7494" s="7">
        <v>0</v>
      </c>
    </row>
    <row r="7495" spans="1:8">
      <c r="A7495">
        <v>7</v>
      </c>
      <c r="B7495" t="s">
        <v>42</v>
      </c>
      <c r="C7495" t="s">
        <v>33</v>
      </c>
      <c r="D7495">
        <v>0</v>
      </c>
      <c r="E7495">
        <v>1</v>
      </c>
      <c r="F7495" s="7">
        <v>6585.38</v>
      </c>
      <c r="G7495">
        <v>0</v>
      </c>
      <c r="H7495" s="7">
        <v>0</v>
      </c>
    </row>
    <row r="7496" spans="1:8">
      <c r="A7496">
        <v>7</v>
      </c>
      <c r="B7496" t="s">
        <v>42</v>
      </c>
      <c r="C7496" t="s">
        <v>34</v>
      </c>
      <c r="D7496">
        <v>0</v>
      </c>
      <c r="E7496">
        <v>1</v>
      </c>
      <c r="F7496" s="7">
        <v>23513.69</v>
      </c>
      <c r="G7496">
        <v>0</v>
      </c>
      <c r="H7496" s="7">
        <v>0</v>
      </c>
    </row>
    <row r="7497" spans="1:8">
      <c r="A7497">
        <v>7</v>
      </c>
      <c r="B7497" t="s">
        <v>42</v>
      </c>
      <c r="C7497" t="s">
        <v>33</v>
      </c>
      <c r="D7497">
        <v>0</v>
      </c>
      <c r="E7497">
        <v>1</v>
      </c>
      <c r="F7497" s="7">
        <v>4095.71</v>
      </c>
      <c r="G7497">
        <v>0</v>
      </c>
      <c r="H7497" s="7">
        <v>0</v>
      </c>
    </row>
    <row r="7498" spans="1:8">
      <c r="A7498">
        <v>7</v>
      </c>
      <c r="B7498" t="s">
        <v>42</v>
      </c>
      <c r="C7498" t="s">
        <v>34</v>
      </c>
      <c r="D7498">
        <v>0</v>
      </c>
      <c r="E7498">
        <v>1</v>
      </c>
      <c r="F7498" s="7">
        <v>15006.45</v>
      </c>
      <c r="G7498">
        <v>0</v>
      </c>
      <c r="H7498" s="7">
        <v>0</v>
      </c>
    </row>
    <row r="7499" spans="1:8">
      <c r="A7499">
        <v>7</v>
      </c>
      <c r="B7499" t="s">
        <v>43</v>
      </c>
      <c r="C7499" t="s">
        <v>35</v>
      </c>
      <c r="D7499">
        <v>0</v>
      </c>
      <c r="E7499">
        <v>1</v>
      </c>
      <c r="F7499" s="7">
        <v>129859.44</v>
      </c>
      <c r="G7499">
        <v>0</v>
      </c>
      <c r="H7499" s="7">
        <v>0</v>
      </c>
    </row>
    <row r="7500" spans="1:8">
      <c r="A7500">
        <v>7</v>
      </c>
      <c r="B7500" t="s">
        <v>42</v>
      </c>
      <c r="C7500" t="s">
        <v>33</v>
      </c>
      <c r="D7500">
        <v>0</v>
      </c>
      <c r="E7500">
        <v>1</v>
      </c>
      <c r="F7500" s="7">
        <v>2570.96</v>
      </c>
      <c r="G7500">
        <v>0</v>
      </c>
      <c r="H7500" s="7">
        <v>0</v>
      </c>
    </row>
    <row r="7501" spans="1:8">
      <c r="A7501">
        <v>7</v>
      </c>
      <c r="B7501" t="s">
        <v>45</v>
      </c>
      <c r="C7501" t="s">
        <v>33</v>
      </c>
      <c r="D7501">
        <v>0</v>
      </c>
      <c r="E7501">
        <v>1</v>
      </c>
      <c r="F7501" s="7">
        <v>4163.28</v>
      </c>
      <c r="G7501">
        <v>0</v>
      </c>
      <c r="H7501" s="7">
        <v>0</v>
      </c>
    </row>
    <row r="7502" spans="1:8">
      <c r="A7502">
        <v>7</v>
      </c>
      <c r="B7502" t="s">
        <v>46</v>
      </c>
      <c r="C7502" t="s">
        <v>35</v>
      </c>
      <c r="D7502">
        <v>0</v>
      </c>
      <c r="E7502">
        <v>1</v>
      </c>
      <c r="F7502" s="7">
        <v>314929.23</v>
      </c>
      <c r="G7502">
        <v>0</v>
      </c>
      <c r="H7502" s="7">
        <v>0</v>
      </c>
    </row>
    <row r="7503" spans="1:8">
      <c r="A7503">
        <v>7</v>
      </c>
      <c r="B7503" t="s">
        <v>42</v>
      </c>
      <c r="C7503" t="s">
        <v>34</v>
      </c>
      <c r="D7503">
        <v>0</v>
      </c>
      <c r="E7503">
        <v>1</v>
      </c>
      <c r="F7503" s="7">
        <v>23492.26</v>
      </c>
      <c r="G7503">
        <v>0</v>
      </c>
      <c r="H7503" s="7">
        <v>0</v>
      </c>
    </row>
    <row r="7504" spans="1:8">
      <c r="A7504">
        <v>7</v>
      </c>
      <c r="B7504" t="s">
        <v>43</v>
      </c>
      <c r="C7504" t="s">
        <v>35</v>
      </c>
      <c r="D7504">
        <v>0</v>
      </c>
      <c r="E7504">
        <v>1</v>
      </c>
      <c r="F7504" s="7">
        <v>599342.88</v>
      </c>
      <c r="G7504">
        <v>0</v>
      </c>
      <c r="H7504" s="7">
        <v>0</v>
      </c>
    </row>
    <row r="7505" spans="1:8">
      <c r="A7505">
        <v>7</v>
      </c>
      <c r="B7505" t="s">
        <v>42</v>
      </c>
      <c r="C7505" t="s">
        <v>33</v>
      </c>
      <c r="D7505">
        <v>0</v>
      </c>
      <c r="E7505">
        <v>1</v>
      </c>
      <c r="F7505" s="7">
        <v>4607.26</v>
      </c>
      <c r="G7505">
        <v>0</v>
      </c>
      <c r="H7505" s="7">
        <v>0</v>
      </c>
    </row>
    <row r="7506" spans="1:8">
      <c r="A7506">
        <v>7</v>
      </c>
      <c r="B7506" t="s">
        <v>42</v>
      </c>
      <c r="C7506" t="s">
        <v>34</v>
      </c>
      <c r="D7506">
        <v>0</v>
      </c>
      <c r="E7506">
        <v>1</v>
      </c>
      <c r="F7506" s="7">
        <v>15973.19</v>
      </c>
      <c r="G7506">
        <v>0</v>
      </c>
      <c r="H7506" s="7">
        <v>0</v>
      </c>
    </row>
    <row r="7507" spans="1:8">
      <c r="A7507">
        <v>7</v>
      </c>
      <c r="B7507" t="s">
        <v>43</v>
      </c>
      <c r="C7507" t="s">
        <v>33</v>
      </c>
      <c r="D7507">
        <v>0</v>
      </c>
      <c r="E7507">
        <v>1</v>
      </c>
      <c r="F7507" s="7">
        <v>9738.48</v>
      </c>
      <c r="G7507">
        <v>0</v>
      </c>
      <c r="H7507" s="7">
        <v>0</v>
      </c>
    </row>
    <row r="7508" spans="1:8">
      <c r="A7508">
        <v>7</v>
      </c>
      <c r="B7508" t="s">
        <v>42</v>
      </c>
      <c r="C7508" t="s">
        <v>33</v>
      </c>
      <c r="D7508">
        <v>0</v>
      </c>
      <c r="E7508">
        <v>1</v>
      </c>
      <c r="F7508" s="7">
        <v>8500.77</v>
      </c>
      <c r="G7508">
        <v>0</v>
      </c>
      <c r="H7508" s="7">
        <v>0</v>
      </c>
    </row>
    <row r="7509" spans="1:8">
      <c r="A7509">
        <v>7</v>
      </c>
      <c r="B7509" t="s">
        <v>42</v>
      </c>
      <c r="C7509" t="s">
        <v>32</v>
      </c>
      <c r="D7509">
        <v>0</v>
      </c>
      <c r="E7509">
        <v>1</v>
      </c>
      <c r="F7509" s="7">
        <v>309.78</v>
      </c>
      <c r="G7509">
        <v>0</v>
      </c>
      <c r="H7509" s="7">
        <v>0</v>
      </c>
    </row>
    <row r="7510" spans="1:8">
      <c r="A7510">
        <v>7</v>
      </c>
      <c r="B7510" t="s">
        <v>42</v>
      </c>
      <c r="C7510" t="s">
        <v>34</v>
      </c>
      <c r="D7510">
        <v>0</v>
      </c>
      <c r="E7510">
        <v>1</v>
      </c>
      <c r="F7510" s="7">
        <v>13239.13</v>
      </c>
      <c r="G7510">
        <v>0</v>
      </c>
      <c r="H7510" s="7">
        <v>0</v>
      </c>
    </row>
    <row r="7511" spans="1:8">
      <c r="A7511">
        <v>7</v>
      </c>
      <c r="B7511" t="s">
        <v>42</v>
      </c>
      <c r="C7511" t="s">
        <v>33</v>
      </c>
      <c r="D7511">
        <v>0</v>
      </c>
      <c r="E7511">
        <v>1</v>
      </c>
      <c r="F7511" s="7">
        <v>1557.36</v>
      </c>
      <c r="G7511">
        <v>0</v>
      </c>
      <c r="H7511" s="7">
        <v>0</v>
      </c>
    </row>
    <row r="7512" spans="1:8">
      <c r="A7512">
        <v>7</v>
      </c>
      <c r="B7512" t="s">
        <v>42</v>
      </c>
      <c r="C7512" t="s">
        <v>33</v>
      </c>
      <c r="D7512">
        <v>0</v>
      </c>
      <c r="E7512">
        <v>1</v>
      </c>
      <c r="F7512" s="7">
        <v>9801.45</v>
      </c>
      <c r="G7512">
        <v>0</v>
      </c>
      <c r="H7512" s="7">
        <v>0</v>
      </c>
    </row>
    <row r="7513" spans="1:8">
      <c r="A7513">
        <v>7</v>
      </c>
      <c r="B7513" t="s">
        <v>42</v>
      </c>
      <c r="C7513" t="s">
        <v>33</v>
      </c>
      <c r="D7513">
        <v>0</v>
      </c>
      <c r="E7513">
        <v>1</v>
      </c>
      <c r="F7513" s="7">
        <v>3984.14</v>
      </c>
      <c r="G7513">
        <v>0</v>
      </c>
      <c r="H7513" s="7">
        <v>0</v>
      </c>
    </row>
    <row r="7514" spans="1:8">
      <c r="A7514">
        <v>7</v>
      </c>
      <c r="B7514" t="s">
        <v>42</v>
      </c>
      <c r="C7514" t="s">
        <v>33</v>
      </c>
      <c r="D7514">
        <v>0</v>
      </c>
      <c r="E7514">
        <v>1</v>
      </c>
      <c r="F7514" s="7">
        <v>2410.67</v>
      </c>
      <c r="G7514">
        <v>0</v>
      </c>
      <c r="H7514" s="7">
        <v>0</v>
      </c>
    </row>
    <row r="7515" spans="1:8">
      <c r="A7515">
        <v>7</v>
      </c>
      <c r="B7515" t="s">
        <v>42</v>
      </c>
      <c r="C7515" t="s">
        <v>33</v>
      </c>
      <c r="D7515">
        <v>0</v>
      </c>
      <c r="E7515">
        <v>1</v>
      </c>
      <c r="F7515" s="7">
        <v>5078.24</v>
      </c>
      <c r="G7515">
        <v>0</v>
      </c>
      <c r="H7515" s="7">
        <v>0</v>
      </c>
    </row>
    <row r="7516" spans="1:8">
      <c r="A7516">
        <v>7</v>
      </c>
      <c r="B7516" t="s">
        <v>42</v>
      </c>
      <c r="C7516" t="s">
        <v>34</v>
      </c>
      <c r="D7516">
        <v>0</v>
      </c>
      <c r="E7516">
        <v>1</v>
      </c>
      <c r="F7516" s="7">
        <v>17126.04</v>
      </c>
      <c r="G7516">
        <v>0</v>
      </c>
      <c r="H7516" s="7">
        <v>0</v>
      </c>
    </row>
    <row r="7517" spans="1:8">
      <c r="A7517">
        <v>7</v>
      </c>
      <c r="B7517" t="s">
        <v>44</v>
      </c>
      <c r="C7517" t="s">
        <v>35</v>
      </c>
      <c r="D7517">
        <v>0</v>
      </c>
      <c r="E7517">
        <v>1</v>
      </c>
      <c r="F7517" s="7">
        <v>141917.76</v>
      </c>
      <c r="G7517">
        <v>0</v>
      </c>
      <c r="H7517" s="7">
        <v>0</v>
      </c>
    </row>
    <row r="7518" spans="1:8">
      <c r="A7518">
        <v>7</v>
      </c>
      <c r="B7518" t="s">
        <v>42</v>
      </c>
      <c r="C7518" t="s">
        <v>33</v>
      </c>
      <c r="D7518">
        <v>0</v>
      </c>
      <c r="E7518">
        <v>1</v>
      </c>
      <c r="F7518" s="7">
        <v>6624.39</v>
      </c>
      <c r="G7518">
        <v>0</v>
      </c>
      <c r="H7518" s="7">
        <v>0</v>
      </c>
    </row>
    <row r="7519" spans="1:8">
      <c r="A7519">
        <v>7</v>
      </c>
      <c r="B7519" t="s">
        <v>42</v>
      </c>
      <c r="C7519" t="s">
        <v>33</v>
      </c>
      <c r="D7519">
        <v>0</v>
      </c>
      <c r="E7519">
        <v>1</v>
      </c>
      <c r="F7519" s="7">
        <v>1194.51</v>
      </c>
      <c r="G7519">
        <v>0</v>
      </c>
      <c r="H7519" s="7">
        <v>0</v>
      </c>
    </row>
    <row r="7520" spans="1:8">
      <c r="A7520">
        <v>7</v>
      </c>
      <c r="B7520" t="s">
        <v>43</v>
      </c>
      <c r="C7520" t="s">
        <v>35</v>
      </c>
      <c r="D7520">
        <v>0</v>
      </c>
      <c r="E7520">
        <v>1</v>
      </c>
      <c r="F7520" s="7">
        <v>118404.75</v>
      </c>
      <c r="G7520">
        <v>0</v>
      </c>
      <c r="H7520" s="7">
        <v>0</v>
      </c>
    </row>
    <row r="7521" spans="1:8">
      <c r="A7521">
        <v>7</v>
      </c>
      <c r="B7521" t="s">
        <v>46</v>
      </c>
      <c r="C7521" t="s">
        <v>34</v>
      </c>
      <c r="D7521">
        <v>0</v>
      </c>
      <c r="E7521">
        <v>1</v>
      </c>
      <c r="F7521" s="7">
        <v>10781.11</v>
      </c>
      <c r="G7521">
        <v>0</v>
      </c>
      <c r="H7521" s="7">
        <v>0</v>
      </c>
    </row>
    <row r="7522" spans="1:8">
      <c r="A7522">
        <v>7</v>
      </c>
      <c r="B7522" t="s">
        <v>44</v>
      </c>
      <c r="C7522" t="s">
        <v>35</v>
      </c>
      <c r="D7522">
        <v>0</v>
      </c>
      <c r="E7522">
        <v>1</v>
      </c>
      <c r="F7522" s="7">
        <v>217460.33</v>
      </c>
      <c r="G7522">
        <v>0</v>
      </c>
      <c r="H7522" s="7">
        <v>0</v>
      </c>
    </row>
    <row r="7523" spans="1:8">
      <c r="A7523">
        <v>7</v>
      </c>
      <c r="B7523" t="s">
        <v>42</v>
      </c>
      <c r="C7523" t="s">
        <v>33</v>
      </c>
      <c r="D7523">
        <v>0</v>
      </c>
      <c r="E7523">
        <v>1</v>
      </c>
      <c r="F7523" s="7">
        <v>9773.88</v>
      </c>
      <c r="G7523">
        <v>0</v>
      </c>
      <c r="H7523" s="7">
        <v>0</v>
      </c>
    </row>
    <row r="7524" spans="1:8">
      <c r="A7524">
        <v>7</v>
      </c>
      <c r="B7524" t="s">
        <v>42</v>
      </c>
      <c r="C7524" t="s">
        <v>33</v>
      </c>
      <c r="D7524">
        <v>0</v>
      </c>
      <c r="E7524">
        <v>1</v>
      </c>
      <c r="F7524" s="7">
        <v>7826.37</v>
      </c>
      <c r="G7524">
        <v>0</v>
      </c>
      <c r="H7524" s="7">
        <v>0</v>
      </c>
    </row>
    <row r="7525" spans="1:8">
      <c r="A7525">
        <v>7</v>
      </c>
      <c r="B7525" t="s">
        <v>46</v>
      </c>
      <c r="C7525" t="s">
        <v>35</v>
      </c>
      <c r="D7525">
        <v>0</v>
      </c>
      <c r="E7525">
        <v>1</v>
      </c>
      <c r="F7525" s="7">
        <v>173696.06</v>
      </c>
      <c r="G7525">
        <v>0</v>
      </c>
      <c r="H7525" s="7">
        <v>0</v>
      </c>
    </row>
    <row r="7526" spans="1:8">
      <c r="A7526">
        <v>7</v>
      </c>
      <c r="B7526" t="s">
        <v>42</v>
      </c>
      <c r="C7526" t="s">
        <v>34</v>
      </c>
      <c r="D7526">
        <v>0</v>
      </c>
      <c r="E7526">
        <v>1</v>
      </c>
      <c r="F7526" s="7">
        <v>15258.14</v>
      </c>
      <c r="G7526">
        <v>0</v>
      </c>
      <c r="H7526" s="7">
        <v>0</v>
      </c>
    </row>
    <row r="7527" spans="1:8">
      <c r="A7527">
        <v>7</v>
      </c>
      <c r="B7527" t="s">
        <v>42</v>
      </c>
      <c r="C7527" t="s">
        <v>33</v>
      </c>
      <c r="D7527">
        <v>0</v>
      </c>
      <c r="E7527">
        <v>1</v>
      </c>
      <c r="F7527" s="7">
        <v>6356.01</v>
      </c>
      <c r="G7527">
        <v>0</v>
      </c>
      <c r="H7527" s="7">
        <v>0</v>
      </c>
    </row>
    <row r="7528" spans="1:8">
      <c r="A7528">
        <v>7</v>
      </c>
      <c r="B7528" t="s">
        <v>42</v>
      </c>
      <c r="C7528" t="s">
        <v>32</v>
      </c>
      <c r="D7528">
        <v>0</v>
      </c>
      <c r="E7528">
        <v>1</v>
      </c>
      <c r="F7528" s="7">
        <v>480.03</v>
      </c>
      <c r="G7528">
        <v>0</v>
      </c>
      <c r="H7528" s="7">
        <v>0</v>
      </c>
    </row>
    <row r="7529" spans="1:8">
      <c r="A7529">
        <v>7</v>
      </c>
      <c r="B7529" t="s">
        <v>44</v>
      </c>
      <c r="C7529" t="s">
        <v>35</v>
      </c>
      <c r="D7529">
        <v>0</v>
      </c>
      <c r="E7529">
        <v>1</v>
      </c>
      <c r="F7529" s="7">
        <v>141289.74</v>
      </c>
      <c r="G7529">
        <v>0</v>
      </c>
      <c r="H7529" s="7">
        <v>0</v>
      </c>
    </row>
    <row r="7530" spans="1:8">
      <c r="A7530">
        <v>7</v>
      </c>
      <c r="B7530" t="s">
        <v>42</v>
      </c>
      <c r="C7530" t="s">
        <v>34</v>
      </c>
      <c r="D7530">
        <v>0</v>
      </c>
      <c r="E7530">
        <v>1</v>
      </c>
      <c r="F7530" s="7">
        <v>10200.43</v>
      </c>
      <c r="G7530">
        <v>0</v>
      </c>
      <c r="H7530" s="7">
        <v>0</v>
      </c>
    </row>
    <row r="7531" spans="1:8">
      <c r="A7531">
        <v>7</v>
      </c>
      <c r="B7531" t="s">
        <v>42</v>
      </c>
      <c r="C7531" t="s">
        <v>33</v>
      </c>
      <c r="D7531">
        <v>0</v>
      </c>
      <c r="E7531">
        <v>1</v>
      </c>
      <c r="F7531" s="7">
        <v>9802.73</v>
      </c>
      <c r="G7531">
        <v>0</v>
      </c>
      <c r="H7531" s="7">
        <v>0</v>
      </c>
    </row>
    <row r="7532" spans="1:8">
      <c r="A7532">
        <v>7</v>
      </c>
      <c r="B7532" t="s">
        <v>42</v>
      </c>
      <c r="C7532" t="s">
        <v>33</v>
      </c>
      <c r="D7532">
        <v>0</v>
      </c>
      <c r="E7532">
        <v>1</v>
      </c>
      <c r="F7532" s="7">
        <v>9383.43</v>
      </c>
      <c r="G7532">
        <v>0</v>
      </c>
      <c r="H7532" s="7">
        <v>0</v>
      </c>
    </row>
    <row r="7533" spans="1:8">
      <c r="A7533">
        <v>7</v>
      </c>
      <c r="B7533" t="s">
        <v>42</v>
      </c>
      <c r="C7533" t="s">
        <v>33</v>
      </c>
      <c r="D7533">
        <v>0</v>
      </c>
      <c r="E7533">
        <v>1</v>
      </c>
      <c r="F7533" s="7">
        <v>5123.99</v>
      </c>
      <c r="G7533">
        <v>0</v>
      </c>
      <c r="H7533" s="7">
        <v>0</v>
      </c>
    </row>
    <row r="7534" spans="1:8">
      <c r="A7534">
        <v>7</v>
      </c>
      <c r="B7534" t="s">
        <v>42</v>
      </c>
      <c r="C7534" t="s">
        <v>33</v>
      </c>
      <c r="D7534">
        <v>0</v>
      </c>
      <c r="E7534">
        <v>1</v>
      </c>
      <c r="F7534" s="7">
        <v>5422.72</v>
      </c>
      <c r="G7534">
        <v>0</v>
      </c>
      <c r="H7534" s="7">
        <v>0</v>
      </c>
    </row>
    <row r="7535" spans="1:8">
      <c r="A7535">
        <v>7</v>
      </c>
      <c r="B7535" t="s">
        <v>42</v>
      </c>
      <c r="C7535" t="s">
        <v>34</v>
      </c>
      <c r="D7535">
        <v>0</v>
      </c>
      <c r="E7535">
        <v>1</v>
      </c>
      <c r="F7535" s="7">
        <v>34866.59</v>
      </c>
      <c r="G7535">
        <v>0</v>
      </c>
      <c r="H7535" s="7">
        <v>0</v>
      </c>
    </row>
    <row r="7536" spans="1:8">
      <c r="A7536">
        <v>7</v>
      </c>
      <c r="B7536" t="s">
        <v>42</v>
      </c>
      <c r="C7536" t="s">
        <v>33</v>
      </c>
      <c r="D7536">
        <v>0</v>
      </c>
      <c r="E7536">
        <v>1</v>
      </c>
      <c r="F7536" s="7">
        <v>3679.63</v>
      </c>
      <c r="G7536">
        <v>0</v>
      </c>
      <c r="H7536" s="7">
        <v>0</v>
      </c>
    </row>
    <row r="7537" spans="1:8">
      <c r="A7537">
        <v>7</v>
      </c>
      <c r="B7537" t="s">
        <v>44</v>
      </c>
      <c r="C7537" t="s">
        <v>35</v>
      </c>
      <c r="D7537">
        <v>0</v>
      </c>
      <c r="E7537">
        <v>1</v>
      </c>
      <c r="F7537" s="7">
        <v>259743.76</v>
      </c>
      <c r="G7537">
        <v>0</v>
      </c>
      <c r="H7537" s="7">
        <v>0</v>
      </c>
    </row>
    <row r="7538" spans="1:8">
      <c r="A7538">
        <v>7</v>
      </c>
      <c r="B7538" t="s">
        <v>42</v>
      </c>
      <c r="C7538" t="s">
        <v>34</v>
      </c>
      <c r="D7538">
        <v>0</v>
      </c>
      <c r="E7538">
        <v>1</v>
      </c>
      <c r="F7538" s="7">
        <v>12835.96</v>
      </c>
      <c r="G7538">
        <v>0</v>
      </c>
      <c r="H7538" s="7">
        <v>0</v>
      </c>
    </row>
    <row r="7539" spans="1:8">
      <c r="A7539">
        <v>7</v>
      </c>
      <c r="B7539" t="s">
        <v>42</v>
      </c>
      <c r="C7539" t="s">
        <v>33</v>
      </c>
      <c r="D7539">
        <v>0</v>
      </c>
      <c r="E7539">
        <v>1</v>
      </c>
      <c r="F7539" s="7">
        <v>1062.06</v>
      </c>
      <c r="G7539">
        <v>0</v>
      </c>
      <c r="H7539" s="7">
        <v>0</v>
      </c>
    </row>
    <row r="7540" spans="1:8">
      <c r="A7540">
        <v>7</v>
      </c>
      <c r="B7540" t="s">
        <v>46</v>
      </c>
      <c r="C7540" t="s">
        <v>35</v>
      </c>
      <c r="D7540">
        <v>0</v>
      </c>
      <c r="E7540">
        <v>1</v>
      </c>
      <c r="F7540" s="7">
        <v>182452.71</v>
      </c>
      <c r="G7540">
        <v>0</v>
      </c>
      <c r="H7540" s="7">
        <v>0</v>
      </c>
    </row>
    <row r="7541" spans="1:8">
      <c r="A7541">
        <v>7</v>
      </c>
      <c r="B7541" t="s">
        <v>46</v>
      </c>
      <c r="C7541" t="s">
        <v>35</v>
      </c>
      <c r="D7541">
        <v>0</v>
      </c>
      <c r="E7541">
        <v>1</v>
      </c>
      <c r="F7541" s="7">
        <v>172588.84</v>
      </c>
      <c r="G7541">
        <v>0</v>
      </c>
      <c r="H7541" s="7">
        <v>0</v>
      </c>
    </row>
    <row r="7542" spans="1:8">
      <c r="A7542">
        <v>7</v>
      </c>
      <c r="B7542" t="s">
        <v>46</v>
      </c>
      <c r="C7542" t="s">
        <v>35</v>
      </c>
      <c r="D7542">
        <v>0</v>
      </c>
      <c r="E7542">
        <v>1</v>
      </c>
      <c r="F7542" s="7">
        <v>212127.94</v>
      </c>
      <c r="G7542">
        <v>0</v>
      </c>
      <c r="H7542" s="7">
        <v>0</v>
      </c>
    </row>
    <row r="7543" spans="1:8">
      <c r="A7543">
        <v>7</v>
      </c>
      <c r="B7543" t="s">
        <v>46</v>
      </c>
      <c r="C7543" t="s">
        <v>35</v>
      </c>
      <c r="D7543">
        <v>0</v>
      </c>
      <c r="E7543">
        <v>1</v>
      </c>
      <c r="F7543" s="7">
        <v>267716.65</v>
      </c>
      <c r="G7543">
        <v>0</v>
      </c>
      <c r="H7543" s="7">
        <v>0</v>
      </c>
    </row>
    <row r="7544" spans="1:8">
      <c r="A7544">
        <v>7</v>
      </c>
      <c r="B7544" t="s">
        <v>46</v>
      </c>
      <c r="C7544" t="s">
        <v>35</v>
      </c>
      <c r="D7544">
        <v>0</v>
      </c>
      <c r="E7544">
        <v>1</v>
      </c>
      <c r="F7544" s="7">
        <v>140852.52</v>
      </c>
      <c r="G7544">
        <v>0</v>
      </c>
      <c r="H7544" s="7">
        <v>0</v>
      </c>
    </row>
    <row r="7545" spans="1:8">
      <c r="A7545">
        <v>7</v>
      </c>
      <c r="B7545" t="s">
        <v>46</v>
      </c>
      <c r="C7545" t="s">
        <v>34</v>
      </c>
      <c r="D7545">
        <v>0</v>
      </c>
      <c r="E7545">
        <v>1</v>
      </c>
      <c r="F7545" s="7">
        <v>23966.48</v>
      </c>
      <c r="G7545">
        <v>0</v>
      </c>
      <c r="H7545" s="7">
        <v>0</v>
      </c>
    </row>
    <row r="7546" spans="1:8">
      <c r="A7546">
        <v>7</v>
      </c>
      <c r="B7546" t="s">
        <v>46</v>
      </c>
      <c r="C7546" t="s">
        <v>35</v>
      </c>
      <c r="D7546">
        <v>0</v>
      </c>
      <c r="E7546">
        <v>1</v>
      </c>
      <c r="F7546" s="7">
        <v>137985.07</v>
      </c>
      <c r="G7546">
        <v>0</v>
      </c>
      <c r="H7546" s="7">
        <v>0</v>
      </c>
    </row>
    <row r="7547" spans="1:8">
      <c r="A7547">
        <v>7</v>
      </c>
      <c r="B7547" t="s">
        <v>46</v>
      </c>
      <c r="C7547" t="s">
        <v>35</v>
      </c>
      <c r="D7547">
        <v>0</v>
      </c>
      <c r="E7547">
        <v>1</v>
      </c>
      <c r="F7547" s="7">
        <v>207762.47</v>
      </c>
      <c r="G7547">
        <v>0</v>
      </c>
      <c r="H7547" s="7">
        <v>0</v>
      </c>
    </row>
    <row r="7548" spans="1:8">
      <c r="A7548">
        <v>7</v>
      </c>
      <c r="B7548" t="s">
        <v>46</v>
      </c>
      <c r="C7548" t="s">
        <v>35</v>
      </c>
      <c r="D7548">
        <v>0</v>
      </c>
      <c r="E7548">
        <v>1</v>
      </c>
      <c r="F7548" s="7">
        <v>101075.48</v>
      </c>
      <c r="G7548">
        <v>0</v>
      </c>
      <c r="H7548" s="7">
        <v>0</v>
      </c>
    </row>
    <row r="7549" spans="1:8">
      <c r="A7549">
        <v>7</v>
      </c>
      <c r="B7549" t="s">
        <v>46</v>
      </c>
      <c r="C7549" t="s">
        <v>35</v>
      </c>
      <c r="D7549">
        <v>0</v>
      </c>
      <c r="E7549">
        <v>1</v>
      </c>
      <c r="F7549" s="7">
        <v>282150.32</v>
      </c>
      <c r="G7549">
        <v>0</v>
      </c>
      <c r="H7549" s="7">
        <v>0</v>
      </c>
    </row>
    <row r="7550" spans="1:8">
      <c r="A7550">
        <v>7</v>
      </c>
      <c r="B7550" t="s">
        <v>46</v>
      </c>
      <c r="C7550" t="s">
        <v>35</v>
      </c>
      <c r="D7550">
        <v>0</v>
      </c>
      <c r="E7550">
        <v>1</v>
      </c>
      <c r="F7550" s="7">
        <v>245256.44</v>
      </c>
      <c r="G7550">
        <v>0</v>
      </c>
      <c r="H7550" s="7">
        <v>0</v>
      </c>
    </row>
    <row r="7551" spans="1:8">
      <c r="A7551">
        <v>7</v>
      </c>
      <c r="B7551" t="s">
        <v>46</v>
      </c>
      <c r="C7551" t="s">
        <v>34</v>
      </c>
      <c r="D7551">
        <v>0</v>
      </c>
      <c r="E7551">
        <v>1</v>
      </c>
      <c r="F7551" s="7">
        <v>26884.31</v>
      </c>
      <c r="G7551">
        <v>0</v>
      </c>
      <c r="H7551" s="7">
        <v>0</v>
      </c>
    </row>
    <row r="7552" spans="1:8">
      <c r="A7552">
        <v>7</v>
      </c>
      <c r="B7552" t="s">
        <v>46</v>
      </c>
      <c r="C7552" t="s">
        <v>34</v>
      </c>
      <c r="D7552">
        <v>0</v>
      </c>
      <c r="E7552">
        <v>1</v>
      </c>
      <c r="F7552" s="7">
        <v>33051.37</v>
      </c>
      <c r="G7552">
        <v>0</v>
      </c>
      <c r="H7552" s="7">
        <v>0</v>
      </c>
    </row>
    <row r="7553" spans="1:8">
      <c r="A7553">
        <v>7</v>
      </c>
      <c r="B7553" t="s">
        <v>46</v>
      </c>
      <c r="C7553" t="s">
        <v>34</v>
      </c>
      <c r="D7553">
        <v>0</v>
      </c>
      <c r="E7553">
        <v>1</v>
      </c>
      <c r="F7553" s="7">
        <v>64525.15</v>
      </c>
      <c r="G7553">
        <v>0</v>
      </c>
      <c r="H7553" s="7">
        <v>0</v>
      </c>
    </row>
    <row r="7554" spans="1:8">
      <c r="A7554">
        <v>7</v>
      </c>
      <c r="B7554" t="s">
        <v>46</v>
      </c>
      <c r="C7554" t="s">
        <v>35</v>
      </c>
      <c r="D7554">
        <v>0</v>
      </c>
      <c r="E7554">
        <v>1</v>
      </c>
      <c r="F7554" s="7">
        <v>185113.63</v>
      </c>
      <c r="G7554">
        <v>0</v>
      </c>
      <c r="H7554" s="7">
        <v>0</v>
      </c>
    </row>
    <row r="7555" spans="1:8">
      <c r="A7555">
        <v>7</v>
      </c>
      <c r="B7555" t="s">
        <v>46</v>
      </c>
      <c r="C7555" t="s">
        <v>34</v>
      </c>
      <c r="D7555">
        <v>0</v>
      </c>
      <c r="E7555">
        <v>1</v>
      </c>
      <c r="F7555" s="7">
        <v>39244.81</v>
      </c>
      <c r="G7555">
        <v>0</v>
      </c>
      <c r="H7555" s="7">
        <v>0</v>
      </c>
    </row>
    <row r="7556" spans="1:8">
      <c r="A7556">
        <v>7</v>
      </c>
      <c r="B7556" t="s">
        <v>46</v>
      </c>
      <c r="C7556" t="s">
        <v>35</v>
      </c>
      <c r="D7556">
        <v>0</v>
      </c>
      <c r="E7556">
        <v>1</v>
      </c>
      <c r="F7556" s="7">
        <v>250578.65</v>
      </c>
      <c r="G7556">
        <v>0</v>
      </c>
      <c r="H7556" s="7">
        <v>0</v>
      </c>
    </row>
    <row r="7557" spans="1:8">
      <c r="A7557">
        <v>7</v>
      </c>
      <c r="B7557" t="s">
        <v>46</v>
      </c>
      <c r="C7557" t="s">
        <v>35</v>
      </c>
      <c r="D7557">
        <v>0</v>
      </c>
      <c r="E7557">
        <v>1</v>
      </c>
      <c r="F7557" s="7">
        <v>374031.59</v>
      </c>
      <c r="G7557">
        <v>0</v>
      </c>
      <c r="H7557" s="7">
        <v>0</v>
      </c>
    </row>
    <row r="7558" spans="1:8">
      <c r="A7558">
        <v>7</v>
      </c>
      <c r="B7558" t="s">
        <v>42</v>
      </c>
      <c r="C7558" t="s">
        <v>33</v>
      </c>
      <c r="D7558">
        <v>0</v>
      </c>
      <c r="E7558">
        <v>1</v>
      </c>
      <c r="F7558" s="7">
        <v>4435.37</v>
      </c>
      <c r="G7558">
        <v>0</v>
      </c>
      <c r="H7558" s="7">
        <v>0</v>
      </c>
    </row>
    <row r="7559" spans="1:8">
      <c r="A7559">
        <v>7</v>
      </c>
      <c r="B7559" t="s">
        <v>42</v>
      </c>
      <c r="C7559" t="s">
        <v>34</v>
      </c>
      <c r="D7559">
        <v>0</v>
      </c>
      <c r="E7559">
        <v>1</v>
      </c>
      <c r="F7559" s="7">
        <v>10903.02</v>
      </c>
      <c r="G7559">
        <v>0</v>
      </c>
      <c r="H7559" s="7">
        <v>0</v>
      </c>
    </row>
    <row r="7560" spans="1:8">
      <c r="A7560">
        <v>7</v>
      </c>
      <c r="B7560" t="s">
        <v>42</v>
      </c>
      <c r="C7560" t="s">
        <v>33</v>
      </c>
      <c r="D7560">
        <v>0</v>
      </c>
      <c r="E7560">
        <v>1</v>
      </c>
      <c r="F7560" s="7">
        <v>6291.23</v>
      </c>
      <c r="G7560">
        <v>0</v>
      </c>
      <c r="H7560" s="7">
        <v>0</v>
      </c>
    </row>
    <row r="7561" spans="1:8">
      <c r="A7561">
        <v>7</v>
      </c>
      <c r="B7561" t="s">
        <v>42</v>
      </c>
      <c r="C7561" t="s">
        <v>33</v>
      </c>
      <c r="D7561">
        <v>0</v>
      </c>
      <c r="E7561">
        <v>1</v>
      </c>
      <c r="F7561" s="7">
        <v>2206.56</v>
      </c>
      <c r="G7561">
        <v>0</v>
      </c>
      <c r="H7561" s="7">
        <v>0</v>
      </c>
    </row>
    <row r="7562" spans="1:8">
      <c r="A7562">
        <v>7</v>
      </c>
      <c r="B7562" t="s">
        <v>42</v>
      </c>
      <c r="C7562" t="s">
        <v>33</v>
      </c>
      <c r="D7562">
        <v>0</v>
      </c>
      <c r="E7562">
        <v>1</v>
      </c>
      <c r="F7562" s="7">
        <v>5370.06</v>
      </c>
      <c r="G7562">
        <v>0</v>
      </c>
      <c r="H7562" s="7">
        <v>0</v>
      </c>
    </row>
    <row r="7563" spans="1:8">
      <c r="A7563">
        <v>7</v>
      </c>
      <c r="B7563" t="s">
        <v>42</v>
      </c>
      <c r="C7563" t="s">
        <v>33</v>
      </c>
      <c r="D7563">
        <v>0</v>
      </c>
      <c r="E7563">
        <v>1</v>
      </c>
      <c r="F7563" s="7">
        <v>3136.92</v>
      </c>
      <c r="G7563">
        <v>0</v>
      </c>
      <c r="H7563" s="7">
        <v>0</v>
      </c>
    </row>
    <row r="7564" spans="1:8">
      <c r="A7564">
        <v>7</v>
      </c>
      <c r="B7564" t="s">
        <v>45</v>
      </c>
      <c r="C7564" t="s">
        <v>32</v>
      </c>
      <c r="D7564">
        <v>0</v>
      </c>
      <c r="E7564">
        <v>1</v>
      </c>
      <c r="F7564" s="7">
        <v>499.86</v>
      </c>
      <c r="G7564">
        <v>0</v>
      </c>
      <c r="H7564" s="7">
        <v>0</v>
      </c>
    </row>
    <row r="7565" spans="1:8">
      <c r="A7565">
        <v>7</v>
      </c>
      <c r="B7565" t="s">
        <v>42</v>
      </c>
      <c r="C7565" t="s">
        <v>33</v>
      </c>
      <c r="D7565">
        <v>0</v>
      </c>
      <c r="E7565">
        <v>1</v>
      </c>
      <c r="F7565" s="7">
        <v>7706.46</v>
      </c>
      <c r="G7565">
        <v>0</v>
      </c>
      <c r="H7565" s="7">
        <v>0</v>
      </c>
    </row>
    <row r="7566" spans="1:8">
      <c r="A7566">
        <v>7</v>
      </c>
      <c r="B7566" t="s">
        <v>42</v>
      </c>
      <c r="C7566" t="s">
        <v>33</v>
      </c>
      <c r="D7566">
        <v>0</v>
      </c>
      <c r="E7566">
        <v>1</v>
      </c>
      <c r="F7566" s="7">
        <v>4411.68</v>
      </c>
      <c r="G7566">
        <v>0</v>
      </c>
      <c r="H7566" s="7">
        <v>0</v>
      </c>
    </row>
    <row r="7567" spans="1:8">
      <c r="A7567">
        <v>7</v>
      </c>
      <c r="B7567" t="s">
        <v>42</v>
      </c>
      <c r="C7567" t="s">
        <v>33</v>
      </c>
      <c r="D7567">
        <v>0</v>
      </c>
      <c r="E7567">
        <v>1</v>
      </c>
      <c r="F7567" s="7">
        <v>7939.48</v>
      </c>
      <c r="G7567">
        <v>0</v>
      </c>
      <c r="H7567" s="7">
        <v>0</v>
      </c>
    </row>
    <row r="7568" spans="1:8">
      <c r="A7568">
        <v>7</v>
      </c>
      <c r="B7568" t="s">
        <v>42</v>
      </c>
      <c r="C7568" t="s">
        <v>33</v>
      </c>
      <c r="D7568">
        <v>0</v>
      </c>
      <c r="E7568">
        <v>1</v>
      </c>
      <c r="F7568" s="7">
        <v>7548.35</v>
      </c>
      <c r="G7568">
        <v>0</v>
      </c>
      <c r="H7568" s="7">
        <v>0</v>
      </c>
    </row>
    <row r="7569" spans="1:8">
      <c r="A7569">
        <v>7</v>
      </c>
      <c r="B7569" t="s">
        <v>42</v>
      </c>
      <c r="C7569" t="s">
        <v>32</v>
      </c>
      <c r="D7569">
        <v>0</v>
      </c>
      <c r="E7569">
        <v>1</v>
      </c>
      <c r="F7569" s="7">
        <v>967.31</v>
      </c>
      <c r="G7569">
        <v>0</v>
      </c>
      <c r="H7569" s="7">
        <v>0</v>
      </c>
    </row>
    <row r="7570" spans="1:8">
      <c r="A7570">
        <v>7</v>
      </c>
      <c r="B7570" t="s">
        <v>43</v>
      </c>
      <c r="C7570" t="s">
        <v>34</v>
      </c>
      <c r="D7570">
        <v>0</v>
      </c>
      <c r="E7570">
        <v>1</v>
      </c>
      <c r="F7570" s="7">
        <v>10594.26</v>
      </c>
      <c r="G7570">
        <v>0</v>
      </c>
      <c r="H7570" s="7">
        <v>0</v>
      </c>
    </row>
    <row r="7571" spans="1:8">
      <c r="A7571">
        <v>7</v>
      </c>
      <c r="B7571" t="s">
        <v>42</v>
      </c>
      <c r="C7571" t="s">
        <v>33</v>
      </c>
      <c r="D7571">
        <v>0</v>
      </c>
      <c r="E7571">
        <v>1</v>
      </c>
      <c r="F7571" s="7">
        <v>5368.23</v>
      </c>
      <c r="G7571">
        <v>0</v>
      </c>
      <c r="H7571" s="7">
        <v>0</v>
      </c>
    </row>
    <row r="7572" spans="1:8">
      <c r="A7572">
        <v>7</v>
      </c>
      <c r="B7572" t="s">
        <v>42</v>
      </c>
      <c r="C7572" t="s">
        <v>33</v>
      </c>
      <c r="D7572">
        <v>0</v>
      </c>
      <c r="E7572">
        <v>1</v>
      </c>
      <c r="F7572" s="7">
        <v>7533.07</v>
      </c>
      <c r="G7572">
        <v>0</v>
      </c>
      <c r="H7572" s="7">
        <v>0</v>
      </c>
    </row>
    <row r="7573" spans="1:8">
      <c r="A7573">
        <v>7</v>
      </c>
      <c r="B7573" t="s">
        <v>42</v>
      </c>
      <c r="C7573" t="s">
        <v>32</v>
      </c>
      <c r="D7573">
        <v>0</v>
      </c>
      <c r="E7573">
        <v>1</v>
      </c>
      <c r="F7573" s="7">
        <v>651.54</v>
      </c>
      <c r="G7573">
        <v>0</v>
      </c>
      <c r="H7573" s="7">
        <v>0</v>
      </c>
    </row>
    <row r="7574" spans="1:8">
      <c r="A7574">
        <v>7</v>
      </c>
      <c r="B7574" t="s">
        <v>42</v>
      </c>
      <c r="C7574" t="s">
        <v>33</v>
      </c>
      <c r="D7574">
        <v>0</v>
      </c>
      <c r="E7574">
        <v>1</v>
      </c>
      <c r="F7574" s="7">
        <v>5585.31</v>
      </c>
      <c r="G7574">
        <v>0</v>
      </c>
      <c r="H7574" s="7">
        <v>0</v>
      </c>
    </row>
    <row r="7575" spans="1:8">
      <c r="A7575">
        <v>7</v>
      </c>
      <c r="B7575" t="s">
        <v>42</v>
      </c>
      <c r="C7575" t="s">
        <v>33</v>
      </c>
      <c r="D7575">
        <v>0</v>
      </c>
      <c r="E7575">
        <v>1</v>
      </c>
      <c r="F7575" s="7">
        <v>3397.33</v>
      </c>
      <c r="G7575">
        <v>0</v>
      </c>
      <c r="H7575" s="7">
        <v>0</v>
      </c>
    </row>
    <row r="7576" spans="1:8">
      <c r="A7576">
        <v>7</v>
      </c>
      <c r="B7576" t="s">
        <v>42</v>
      </c>
      <c r="C7576" t="s">
        <v>32</v>
      </c>
      <c r="D7576">
        <v>0</v>
      </c>
      <c r="E7576">
        <v>1</v>
      </c>
      <c r="F7576" s="7">
        <v>276.04</v>
      </c>
      <c r="G7576">
        <v>0</v>
      </c>
      <c r="H7576" s="7">
        <v>0</v>
      </c>
    </row>
    <row r="7577" spans="1:8">
      <c r="A7577">
        <v>7</v>
      </c>
      <c r="B7577" t="s">
        <v>43</v>
      </c>
      <c r="C7577" t="s">
        <v>35</v>
      </c>
      <c r="D7577">
        <v>0</v>
      </c>
      <c r="E7577">
        <v>1</v>
      </c>
      <c r="F7577" s="7">
        <v>363063.88</v>
      </c>
      <c r="G7577">
        <v>0</v>
      </c>
      <c r="H7577" s="7">
        <v>0</v>
      </c>
    </row>
    <row r="7578" spans="1:8">
      <c r="A7578">
        <v>7</v>
      </c>
      <c r="B7578" t="s">
        <v>42</v>
      </c>
      <c r="C7578" t="s">
        <v>33</v>
      </c>
      <c r="D7578">
        <v>0</v>
      </c>
      <c r="E7578">
        <v>1</v>
      </c>
      <c r="F7578" s="7">
        <v>2605.08</v>
      </c>
      <c r="G7578">
        <v>0</v>
      </c>
      <c r="H7578" s="7">
        <v>0</v>
      </c>
    </row>
    <row r="7579" spans="1:8">
      <c r="A7579">
        <v>7</v>
      </c>
      <c r="B7579" t="s">
        <v>42</v>
      </c>
      <c r="C7579" t="s">
        <v>33</v>
      </c>
      <c r="D7579">
        <v>0</v>
      </c>
      <c r="E7579">
        <v>1</v>
      </c>
      <c r="F7579" s="7">
        <v>4908.85</v>
      </c>
      <c r="G7579">
        <v>0</v>
      </c>
      <c r="H7579" s="7">
        <v>0</v>
      </c>
    </row>
    <row r="7580" spans="1:8">
      <c r="A7580">
        <v>7</v>
      </c>
      <c r="B7580" t="s">
        <v>42</v>
      </c>
      <c r="C7580" t="s">
        <v>34</v>
      </c>
      <c r="D7580">
        <v>0</v>
      </c>
      <c r="E7580">
        <v>1</v>
      </c>
      <c r="F7580" s="7">
        <v>15969.13</v>
      </c>
      <c r="G7580">
        <v>0</v>
      </c>
      <c r="H7580" s="7">
        <v>0</v>
      </c>
    </row>
    <row r="7581" spans="1:8">
      <c r="A7581">
        <v>7</v>
      </c>
      <c r="B7581" t="s">
        <v>44</v>
      </c>
      <c r="C7581" t="s">
        <v>34</v>
      </c>
      <c r="D7581">
        <v>0</v>
      </c>
      <c r="E7581">
        <v>1</v>
      </c>
      <c r="F7581" s="7">
        <v>38323.66</v>
      </c>
      <c r="G7581">
        <v>0</v>
      </c>
      <c r="H7581" s="7">
        <v>0</v>
      </c>
    </row>
    <row r="7582" spans="1:8">
      <c r="A7582">
        <v>7</v>
      </c>
      <c r="B7582" t="s">
        <v>42</v>
      </c>
      <c r="C7582" t="s">
        <v>34</v>
      </c>
      <c r="D7582">
        <v>0</v>
      </c>
      <c r="E7582">
        <v>1</v>
      </c>
      <c r="F7582" s="7">
        <v>10476.7</v>
      </c>
      <c r="G7582">
        <v>0</v>
      </c>
      <c r="H7582" s="7">
        <v>0</v>
      </c>
    </row>
    <row r="7583" spans="1:8">
      <c r="A7583">
        <v>7</v>
      </c>
      <c r="B7583" t="s">
        <v>44</v>
      </c>
      <c r="C7583" t="s">
        <v>34</v>
      </c>
      <c r="D7583">
        <v>0</v>
      </c>
      <c r="E7583">
        <v>1</v>
      </c>
      <c r="F7583" s="7">
        <v>61922.54</v>
      </c>
      <c r="G7583">
        <v>0</v>
      </c>
      <c r="H7583" s="7">
        <v>0</v>
      </c>
    </row>
    <row r="7584" spans="1:8">
      <c r="A7584">
        <v>7</v>
      </c>
      <c r="B7584" t="s">
        <v>42</v>
      </c>
      <c r="C7584" t="s">
        <v>33</v>
      </c>
      <c r="D7584">
        <v>0</v>
      </c>
      <c r="E7584">
        <v>1</v>
      </c>
      <c r="F7584" s="7">
        <v>4603.71</v>
      </c>
      <c r="G7584">
        <v>0</v>
      </c>
      <c r="H7584" s="7">
        <v>0</v>
      </c>
    </row>
    <row r="7585" spans="1:8">
      <c r="A7585">
        <v>7</v>
      </c>
      <c r="B7585" t="s">
        <v>42</v>
      </c>
      <c r="C7585" t="s">
        <v>33</v>
      </c>
      <c r="D7585">
        <v>0</v>
      </c>
      <c r="E7585">
        <v>1</v>
      </c>
      <c r="F7585" s="7">
        <v>6163.43</v>
      </c>
      <c r="G7585">
        <v>0</v>
      </c>
      <c r="H7585" s="7">
        <v>0</v>
      </c>
    </row>
    <row r="7586" spans="1:8">
      <c r="A7586">
        <v>7</v>
      </c>
      <c r="B7586" t="s">
        <v>42</v>
      </c>
      <c r="C7586" t="s">
        <v>33</v>
      </c>
      <c r="D7586">
        <v>0</v>
      </c>
      <c r="E7586">
        <v>1</v>
      </c>
      <c r="F7586" s="7">
        <v>6951.07</v>
      </c>
      <c r="G7586">
        <v>0</v>
      </c>
      <c r="H7586" s="7">
        <v>0</v>
      </c>
    </row>
    <row r="7587" spans="1:8">
      <c r="A7587">
        <v>7</v>
      </c>
      <c r="B7587" t="s">
        <v>42</v>
      </c>
      <c r="C7587" t="s">
        <v>33</v>
      </c>
      <c r="D7587">
        <v>0</v>
      </c>
      <c r="E7587">
        <v>1</v>
      </c>
      <c r="F7587" s="7">
        <v>4630.4</v>
      </c>
      <c r="G7587">
        <v>0</v>
      </c>
      <c r="H7587" s="7">
        <v>0</v>
      </c>
    </row>
    <row r="7588" spans="1:8">
      <c r="A7588">
        <v>7</v>
      </c>
      <c r="B7588" t="s">
        <v>44</v>
      </c>
      <c r="C7588" t="s">
        <v>34</v>
      </c>
      <c r="D7588">
        <v>0</v>
      </c>
      <c r="E7588">
        <v>1</v>
      </c>
      <c r="F7588" s="7">
        <v>47779.84</v>
      </c>
      <c r="G7588">
        <v>0</v>
      </c>
      <c r="H7588" s="7">
        <v>0</v>
      </c>
    </row>
    <row r="7589" spans="1:8">
      <c r="A7589">
        <v>7</v>
      </c>
      <c r="B7589" t="s">
        <v>46</v>
      </c>
      <c r="C7589" t="s">
        <v>35</v>
      </c>
      <c r="D7589">
        <v>0</v>
      </c>
      <c r="E7589">
        <v>1</v>
      </c>
      <c r="F7589" s="7">
        <v>197390.5</v>
      </c>
      <c r="G7589">
        <v>0</v>
      </c>
      <c r="H7589" s="7">
        <v>0</v>
      </c>
    </row>
    <row r="7590" spans="1:8">
      <c r="A7590">
        <v>7</v>
      </c>
      <c r="B7590" t="s">
        <v>42</v>
      </c>
      <c r="C7590" t="s">
        <v>33</v>
      </c>
      <c r="D7590">
        <v>0</v>
      </c>
      <c r="E7590">
        <v>1</v>
      </c>
      <c r="F7590" s="7">
        <v>4355.69</v>
      </c>
      <c r="G7590">
        <v>0</v>
      </c>
      <c r="H7590" s="7">
        <v>0</v>
      </c>
    </row>
    <row r="7591" spans="1:8">
      <c r="A7591">
        <v>7</v>
      </c>
      <c r="B7591" t="s">
        <v>42</v>
      </c>
      <c r="C7591" t="s">
        <v>33</v>
      </c>
      <c r="D7591">
        <v>0</v>
      </c>
      <c r="E7591">
        <v>1</v>
      </c>
      <c r="F7591" s="7">
        <v>3643.48</v>
      </c>
      <c r="G7591">
        <v>0</v>
      </c>
      <c r="H7591" s="7">
        <v>0</v>
      </c>
    </row>
    <row r="7592" spans="1:8">
      <c r="A7592">
        <v>7</v>
      </c>
      <c r="B7592" t="s">
        <v>44</v>
      </c>
      <c r="C7592" t="s">
        <v>35</v>
      </c>
      <c r="D7592">
        <v>0</v>
      </c>
      <c r="E7592">
        <v>1</v>
      </c>
      <c r="F7592" s="7">
        <v>209202.05</v>
      </c>
      <c r="G7592">
        <v>0</v>
      </c>
      <c r="H7592" s="7">
        <v>0</v>
      </c>
    </row>
    <row r="7593" spans="1:8">
      <c r="A7593">
        <v>7</v>
      </c>
      <c r="B7593" t="s">
        <v>42</v>
      </c>
      <c r="C7593" t="s">
        <v>32</v>
      </c>
      <c r="D7593">
        <v>0</v>
      </c>
      <c r="E7593">
        <v>1</v>
      </c>
      <c r="F7593" s="7">
        <v>483.98</v>
      </c>
      <c r="G7593">
        <v>0</v>
      </c>
      <c r="H7593" s="7">
        <v>0</v>
      </c>
    </row>
    <row r="7594" spans="1:8">
      <c r="A7594">
        <v>7</v>
      </c>
      <c r="B7594" t="s">
        <v>42</v>
      </c>
      <c r="C7594" t="s">
        <v>33</v>
      </c>
      <c r="D7594">
        <v>0</v>
      </c>
      <c r="E7594">
        <v>1</v>
      </c>
      <c r="F7594" s="7">
        <v>3214.67</v>
      </c>
      <c r="G7594">
        <v>0</v>
      </c>
      <c r="H7594" s="7">
        <v>0</v>
      </c>
    </row>
    <row r="7595" spans="1:8">
      <c r="A7595">
        <v>7</v>
      </c>
      <c r="B7595" t="s">
        <v>42</v>
      </c>
      <c r="C7595" t="s">
        <v>34</v>
      </c>
      <c r="D7595">
        <v>0</v>
      </c>
      <c r="E7595">
        <v>1</v>
      </c>
      <c r="F7595" s="7">
        <v>11611.66</v>
      </c>
      <c r="G7595">
        <v>0</v>
      </c>
      <c r="H7595" s="7">
        <v>0</v>
      </c>
    </row>
    <row r="7596" spans="1:8">
      <c r="A7596">
        <v>7</v>
      </c>
      <c r="B7596" t="s">
        <v>42</v>
      </c>
      <c r="C7596" t="s">
        <v>34</v>
      </c>
      <c r="D7596">
        <v>0</v>
      </c>
      <c r="E7596">
        <v>1</v>
      </c>
      <c r="F7596" s="7">
        <v>15116.37</v>
      </c>
      <c r="G7596">
        <v>0</v>
      </c>
      <c r="H7596" s="7">
        <v>0</v>
      </c>
    </row>
    <row r="7597" spans="1:8">
      <c r="A7597">
        <v>7</v>
      </c>
      <c r="B7597" t="s">
        <v>42</v>
      </c>
      <c r="C7597" t="s">
        <v>33</v>
      </c>
      <c r="D7597">
        <v>0</v>
      </c>
      <c r="E7597">
        <v>1</v>
      </c>
      <c r="F7597" s="7">
        <v>2878.68</v>
      </c>
      <c r="G7597">
        <v>0</v>
      </c>
      <c r="H7597" s="7">
        <v>0</v>
      </c>
    </row>
    <row r="7598" spans="1:8">
      <c r="A7598">
        <v>7</v>
      </c>
      <c r="B7598" t="s">
        <v>42</v>
      </c>
      <c r="C7598" t="s">
        <v>33</v>
      </c>
      <c r="D7598">
        <v>0</v>
      </c>
      <c r="E7598">
        <v>1</v>
      </c>
      <c r="F7598" s="7">
        <v>6849.71</v>
      </c>
      <c r="G7598">
        <v>0</v>
      </c>
      <c r="H7598" s="7">
        <v>0</v>
      </c>
    </row>
    <row r="7599" spans="1:8">
      <c r="A7599">
        <v>7</v>
      </c>
      <c r="B7599" t="s">
        <v>43</v>
      </c>
      <c r="C7599" t="s">
        <v>35</v>
      </c>
      <c r="D7599">
        <v>0</v>
      </c>
      <c r="E7599">
        <v>1</v>
      </c>
      <c r="F7599" s="7">
        <v>668885.18</v>
      </c>
      <c r="G7599">
        <v>0</v>
      </c>
      <c r="H7599" s="7">
        <v>0</v>
      </c>
    </row>
    <row r="7600" spans="1:8">
      <c r="A7600">
        <v>7</v>
      </c>
      <c r="B7600" t="s">
        <v>44</v>
      </c>
      <c r="C7600" t="s">
        <v>35</v>
      </c>
      <c r="D7600">
        <v>0</v>
      </c>
      <c r="E7600">
        <v>1</v>
      </c>
      <c r="F7600" s="7">
        <v>105124.6</v>
      </c>
      <c r="G7600">
        <v>0</v>
      </c>
      <c r="H7600" s="7">
        <v>0</v>
      </c>
    </row>
    <row r="7601" spans="1:8">
      <c r="A7601">
        <v>7</v>
      </c>
      <c r="B7601" t="s">
        <v>42</v>
      </c>
      <c r="C7601" t="s">
        <v>34</v>
      </c>
      <c r="D7601">
        <v>0</v>
      </c>
      <c r="E7601">
        <v>1</v>
      </c>
      <c r="F7601" s="7">
        <v>15036.18</v>
      </c>
      <c r="G7601">
        <v>0</v>
      </c>
      <c r="H7601" s="7">
        <v>0</v>
      </c>
    </row>
    <row r="7602" spans="1:8">
      <c r="A7602">
        <v>7</v>
      </c>
      <c r="B7602" t="s">
        <v>42</v>
      </c>
      <c r="C7602" t="s">
        <v>33</v>
      </c>
      <c r="D7602">
        <v>0</v>
      </c>
      <c r="E7602">
        <v>1</v>
      </c>
      <c r="F7602" s="7">
        <v>5070.28</v>
      </c>
      <c r="G7602">
        <v>0</v>
      </c>
      <c r="H7602" s="7">
        <v>0</v>
      </c>
    </row>
    <row r="7603" spans="1:8">
      <c r="A7603">
        <v>7</v>
      </c>
      <c r="B7603" t="s">
        <v>42</v>
      </c>
      <c r="C7603" t="s">
        <v>33</v>
      </c>
      <c r="D7603">
        <v>0</v>
      </c>
      <c r="E7603">
        <v>1</v>
      </c>
      <c r="F7603" s="7">
        <v>6821.43</v>
      </c>
      <c r="G7603">
        <v>0</v>
      </c>
      <c r="H7603" s="7">
        <v>0</v>
      </c>
    </row>
    <row r="7604" spans="1:8">
      <c r="A7604">
        <v>7</v>
      </c>
      <c r="B7604" t="s">
        <v>42</v>
      </c>
      <c r="C7604" t="s">
        <v>33</v>
      </c>
      <c r="D7604">
        <v>0</v>
      </c>
      <c r="E7604">
        <v>1</v>
      </c>
      <c r="F7604" s="7">
        <v>2928.73</v>
      </c>
      <c r="G7604">
        <v>0</v>
      </c>
      <c r="H7604" s="7">
        <v>0</v>
      </c>
    </row>
    <row r="7605" spans="1:8">
      <c r="A7605">
        <v>7</v>
      </c>
      <c r="B7605" t="s">
        <v>43</v>
      </c>
      <c r="C7605" t="s">
        <v>35</v>
      </c>
      <c r="D7605">
        <v>0</v>
      </c>
      <c r="E7605">
        <v>1</v>
      </c>
      <c r="F7605" s="7">
        <v>328175.59</v>
      </c>
      <c r="G7605">
        <v>0</v>
      </c>
      <c r="H7605" s="7">
        <v>0</v>
      </c>
    </row>
    <row r="7606" spans="1:8">
      <c r="A7606">
        <v>7</v>
      </c>
      <c r="B7606" t="s">
        <v>42</v>
      </c>
      <c r="C7606" t="s">
        <v>33</v>
      </c>
      <c r="D7606">
        <v>0</v>
      </c>
      <c r="E7606">
        <v>1</v>
      </c>
      <c r="F7606" s="7">
        <v>3946.88</v>
      </c>
      <c r="G7606">
        <v>0</v>
      </c>
      <c r="H7606" s="7">
        <v>0</v>
      </c>
    </row>
    <row r="7607" spans="1:8">
      <c r="A7607">
        <v>7</v>
      </c>
      <c r="B7607" t="s">
        <v>42</v>
      </c>
      <c r="C7607" t="s">
        <v>33</v>
      </c>
      <c r="D7607">
        <v>0</v>
      </c>
      <c r="E7607">
        <v>1</v>
      </c>
      <c r="F7607" s="7">
        <v>2910.53</v>
      </c>
      <c r="G7607">
        <v>0</v>
      </c>
      <c r="H7607" s="7">
        <v>0</v>
      </c>
    </row>
    <row r="7608" spans="1:8">
      <c r="A7608">
        <v>7</v>
      </c>
      <c r="B7608" t="s">
        <v>42</v>
      </c>
      <c r="C7608" t="s">
        <v>34</v>
      </c>
      <c r="D7608">
        <v>0</v>
      </c>
      <c r="E7608">
        <v>1</v>
      </c>
      <c r="F7608" s="7">
        <v>12650.89</v>
      </c>
      <c r="G7608">
        <v>0</v>
      </c>
      <c r="H7608" s="7">
        <v>0</v>
      </c>
    </row>
    <row r="7609" spans="1:8">
      <c r="A7609">
        <v>7</v>
      </c>
      <c r="B7609" t="s">
        <v>42</v>
      </c>
      <c r="C7609" t="s">
        <v>33</v>
      </c>
      <c r="D7609">
        <v>0</v>
      </c>
      <c r="E7609">
        <v>1</v>
      </c>
      <c r="F7609" s="7">
        <v>2519.4</v>
      </c>
      <c r="G7609">
        <v>0</v>
      </c>
      <c r="H7609" s="7">
        <v>0</v>
      </c>
    </row>
    <row r="7610" spans="1:8">
      <c r="A7610">
        <v>7</v>
      </c>
      <c r="B7610" t="s">
        <v>42</v>
      </c>
      <c r="C7610" t="s">
        <v>34</v>
      </c>
      <c r="D7610">
        <v>0</v>
      </c>
      <c r="E7610">
        <v>1</v>
      </c>
      <c r="F7610" s="7">
        <v>14021.39</v>
      </c>
      <c r="G7610">
        <v>0</v>
      </c>
      <c r="H7610" s="7">
        <v>0</v>
      </c>
    </row>
    <row r="7611" spans="1:8">
      <c r="A7611">
        <v>7</v>
      </c>
      <c r="B7611" t="s">
        <v>42</v>
      </c>
      <c r="C7611" t="s">
        <v>33</v>
      </c>
      <c r="D7611">
        <v>0</v>
      </c>
      <c r="E7611">
        <v>1</v>
      </c>
      <c r="F7611" s="7">
        <v>9138.62</v>
      </c>
      <c r="G7611">
        <v>0</v>
      </c>
      <c r="H7611" s="7">
        <v>0</v>
      </c>
    </row>
    <row r="7612" spans="1:8">
      <c r="A7612">
        <v>7</v>
      </c>
      <c r="B7612" t="s">
        <v>42</v>
      </c>
      <c r="C7612" t="s">
        <v>33</v>
      </c>
      <c r="D7612">
        <v>0</v>
      </c>
      <c r="E7612">
        <v>1</v>
      </c>
      <c r="F7612" s="7">
        <v>8166.04</v>
      </c>
      <c r="G7612">
        <v>0</v>
      </c>
      <c r="H7612" s="7">
        <v>0</v>
      </c>
    </row>
    <row r="7613" spans="1:8">
      <c r="A7613">
        <v>7</v>
      </c>
      <c r="B7613" t="s">
        <v>42</v>
      </c>
      <c r="C7613" t="s">
        <v>33</v>
      </c>
      <c r="D7613">
        <v>0</v>
      </c>
      <c r="E7613">
        <v>1</v>
      </c>
      <c r="F7613" s="7">
        <v>4796.19</v>
      </c>
      <c r="G7613">
        <v>0</v>
      </c>
      <c r="H7613" s="7">
        <v>0</v>
      </c>
    </row>
    <row r="7614" spans="1:8">
      <c r="A7614">
        <v>7</v>
      </c>
      <c r="B7614" t="s">
        <v>42</v>
      </c>
      <c r="C7614" t="s">
        <v>33</v>
      </c>
      <c r="D7614">
        <v>0</v>
      </c>
      <c r="E7614">
        <v>1</v>
      </c>
      <c r="F7614" s="7">
        <v>9682</v>
      </c>
      <c r="G7614">
        <v>0</v>
      </c>
      <c r="H7614" s="7">
        <v>0</v>
      </c>
    </row>
    <row r="7615" spans="1:8">
      <c r="A7615">
        <v>7</v>
      </c>
      <c r="B7615" t="s">
        <v>42</v>
      </c>
      <c r="C7615" t="s">
        <v>33</v>
      </c>
      <c r="D7615">
        <v>0</v>
      </c>
      <c r="E7615">
        <v>1</v>
      </c>
      <c r="F7615" s="7">
        <v>3567.99</v>
      </c>
      <c r="G7615">
        <v>0</v>
      </c>
      <c r="H7615" s="7">
        <v>0</v>
      </c>
    </row>
    <row r="7616" spans="1:8">
      <c r="A7616">
        <v>7</v>
      </c>
      <c r="B7616" t="s">
        <v>42</v>
      </c>
      <c r="C7616" t="s">
        <v>34</v>
      </c>
      <c r="D7616">
        <v>0</v>
      </c>
      <c r="E7616">
        <v>1</v>
      </c>
      <c r="F7616" s="7">
        <v>15974.63</v>
      </c>
      <c r="G7616">
        <v>0</v>
      </c>
      <c r="H7616" s="7">
        <v>0</v>
      </c>
    </row>
    <row r="7617" spans="1:8">
      <c r="A7617">
        <v>7</v>
      </c>
      <c r="B7617" t="s">
        <v>42</v>
      </c>
      <c r="C7617" t="s">
        <v>33</v>
      </c>
      <c r="D7617">
        <v>0</v>
      </c>
      <c r="E7617">
        <v>1</v>
      </c>
      <c r="F7617" s="7">
        <v>1538.51</v>
      </c>
      <c r="G7617">
        <v>0</v>
      </c>
      <c r="H7617" s="7">
        <v>0</v>
      </c>
    </row>
    <row r="7618" spans="1:8">
      <c r="A7618">
        <v>7</v>
      </c>
      <c r="B7618" t="s">
        <v>42</v>
      </c>
      <c r="C7618" t="s">
        <v>33</v>
      </c>
      <c r="D7618">
        <v>0</v>
      </c>
      <c r="E7618">
        <v>1</v>
      </c>
      <c r="F7618" s="7">
        <v>8987.61</v>
      </c>
      <c r="G7618">
        <v>0</v>
      </c>
      <c r="H7618" s="7">
        <v>0</v>
      </c>
    </row>
    <row r="7619" spans="1:8">
      <c r="A7619">
        <v>7</v>
      </c>
      <c r="B7619" t="s">
        <v>42</v>
      </c>
      <c r="C7619" t="s">
        <v>34</v>
      </c>
      <c r="D7619">
        <v>0</v>
      </c>
      <c r="E7619">
        <v>1</v>
      </c>
      <c r="F7619" s="7">
        <v>35532.03</v>
      </c>
      <c r="G7619">
        <v>0</v>
      </c>
      <c r="H7619" s="7">
        <v>0</v>
      </c>
    </row>
    <row r="7620" spans="1:8">
      <c r="A7620">
        <v>7</v>
      </c>
      <c r="B7620" t="s">
        <v>42</v>
      </c>
      <c r="C7620" t="s">
        <v>34</v>
      </c>
      <c r="D7620">
        <v>0</v>
      </c>
      <c r="E7620">
        <v>1</v>
      </c>
      <c r="F7620" s="7">
        <v>16034.17</v>
      </c>
      <c r="G7620">
        <v>0</v>
      </c>
      <c r="H7620" s="7">
        <v>0</v>
      </c>
    </row>
    <row r="7621" spans="1:8">
      <c r="A7621">
        <v>7</v>
      </c>
      <c r="B7621" t="s">
        <v>42</v>
      </c>
      <c r="C7621" t="s">
        <v>34</v>
      </c>
      <c r="D7621">
        <v>0</v>
      </c>
      <c r="E7621">
        <v>1</v>
      </c>
      <c r="F7621" s="7">
        <v>13204.3</v>
      </c>
      <c r="G7621">
        <v>0</v>
      </c>
      <c r="H7621" s="7">
        <v>0</v>
      </c>
    </row>
    <row r="7622" spans="1:8">
      <c r="A7622">
        <v>7</v>
      </c>
      <c r="B7622" t="s">
        <v>42</v>
      </c>
      <c r="C7622" t="s">
        <v>34</v>
      </c>
      <c r="D7622">
        <v>0</v>
      </c>
      <c r="E7622">
        <v>1</v>
      </c>
      <c r="F7622" s="7">
        <v>21131.52</v>
      </c>
      <c r="G7622">
        <v>0</v>
      </c>
      <c r="H7622" s="7">
        <v>0</v>
      </c>
    </row>
    <row r="7623" spans="1:8">
      <c r="A7623">
        <v>7</v>
      </c>
      <c r="B7623" t="s">
        <v>42</v>
      </c>
      <c r="C7623" t="s">
        <v>33</v>
      </c>
      <c r="D7623">
        <v>0</v>
      </c>
      <c r="E7623">
        <v>1</v>
      </c>
      <c r="F7623" s="7">
        <v>5874.22</v>
      </c>
      <c r="G7623">
        <v>0</v>
      </c>
      <c r="H7623" s="7">
        <v>0</v>
      </c>
    </row>
    <row r="7624" spans="1:8">
      <c r="A7624">
        <v>7</v>
      </c>
      <c r="B7624" t="s">
        <v>42</v>
      </c>
      <c r="C7624" t="s">
        <v>33</v>
      </c>
      <c r="D7624">
        <v>0</v>
      </c>
      <c r="E7624">
        <v>1</v>
      </c>
      <c r="F7624" s="7">
        <v>4854.86</v>
      </c>
      <c r="G7624">
        <v>0</v>
      </c>
      <c r="H7624" s="7">
        <v>0</v>
      </c>
    </row>
    <row r="7625" spans="1:8">
      <c r="A7625">
        <v>7</v>
      </c>
      <c r="B7625" t="s">
        <v>42</v>
      </c>
      <c r="C7625" t="s">
        <v>33</v>
      </c>
      <c r="D7625">
        <v>0</v>
      </c>
      <c r="E7625">
        <v>1</v>
      </c>
      <c r="F7625" s="7">
        <v>5238.34</v>
      </c>
      <c r="G7625">
        <v>0</v>
      </c>
      <c r="H7625" s="7">
        <v>0</v>
      </c>
    </row>
    <row r="7626" spans="1:8">
      <c r="A7626">
        <v>7</v>
      </c>
      <c r="B7626" t="s">
        <v>42</v>
      </c>
      <c r="C7626" t="s">
        <v>33</v>
      </c>
      <c r="D7626">
        <v>0</v>
      </c>
      <c r="E7626">
        <v>1</v>
      </c>
      <c r="F7626" s="7">
        <v>2337.09</v>
      </c>
      <c r="G7626">
        <v>0</v>
      </c>
      <c r="H7626" s="7">
        <v>0</v>
      </c>
    </row>
    <row r="7627" spans="1:8">
      <c r="A7627">
        <v>7</v>
      </c>
      <c r="B7627" t="s">
        <v>46</v>
      </c>
      <c r="C7627" t="s">
        <v>35</v>
      </c>
      <c r="D7627">
        <v>0</v>
      </c>
      <c r="E7627">
        <v>1</v>
      </c>
      <c r="F7627" s="7">
        <v>135364.07</v>
      </c>
      <c r="G7627">
        <v>0</v>
      </c>
      <c r="H7627" s="7">
        <v>0</v>
      </c>
    </row>
    <row r="7628" spans="1:8">
      <c r="A7628">
        <v>7</v>
      </c>
      <c r="B7628" t="s">
        <v>46</v>
      </c>
      <c r="C7628" t="s">
        <v>35</v>
      </c>
      <c r="D7628">
        <v>0</v>
      </c>
      <c r="E7628">
        <v>1</v>
      </c>
      <c r="F7628" s="7">
        <v>372848.83</v>
      </c>
      <c r="G7628">
        <v>0</v>
      </c>
      <c r="H7628" s="7">
        <v>0</v>
      </c>
    </row>
    <row r="7629" spans="1:8">
      <c r="A7629">
        <v>7</v>
      </c>
      <c r="B7629" t="s">
        <v>46</v>
      </c>
      <c r="C7629" t="s">
        <v>34</v>
      </c>
      <c r="D7629">
        <v>0</v>
      </c>
      <c r="E7629">
        <v>1</v>
      </c>
      <c r="F7629" s="7">
        <v>66732.14</v>
      </c>
      <c r="G7629">
        <v>0</v>
      </c>
      <c r="H7629" s="7">
        <v>0</v>
      </c>
    </row>
    <row r="7630" spans="1:8">
      <c r="A7630">
        <v>7</v>
      </c>
      <c r="B7630" t="s">
        <v>46</v>
      </c>
      <c r="C7630" t="s">
        <v>35</v>
      </c>
      <c r="D7630">
        <v>0</v>
      </c>
      <c r="E7630">
        <v>1</v>
      </c>
      <c r="F7630" s="7">
        <v>273499.22</v>
      </c>
      <c r="G7630">
        <v>0</v>
      </c>
      <c r="H7630" s="7">
        <v>0</v>
      </c>
    </row>
    <row r="7631" spans="1:8">
      <c r="A7631">
        <v>7</v>
      </c>
      <c r="B7631" t="s">
        <v>46</v>
      </c>
      <c r="C7631" t="s">
        <v>35</v>
      </c>
      <c r="D7631">
        <v>0</v>
      </c>
      <c r="E7631">
        <v>1</v>
      </c>
      <c r="F7631" s="7">
        <v>529190.35</v>
      </c>
      <c r="G7631">
        <v>0</v>
      </c>
      <c r="H7631" s="7">
        <v>0</v>
      </c>
    </row>
    <row r="7632" spans="1:8">
      <c r="A7632">
        <v>7</v>
      </c>
      <c r="B7632" t="s">
        <v>46</v>
      </c>
      <c r="C7632" t="s">
        <v>35</v>
      </c>
      <c r="D7632">
        <v>0</v>
      </c>
      <c r="E7632">
        <v>1</v>
      </c>
      <c r="F7632" s="7">
        <v>193934.58</v>
      </c>
      <c r="G7632">
        <v>0</v>
      </c>
      <c r="H7632" s="7">
        <v>0</v>
      </c>
    </row>
    <row r="7633" spans="1:8">
      <c r="A7633">
        <v>7</v>
      </c>
      <c r="B7633" t="s">
        <v>46</v>
      </c>
      <c r="C7633" t="s">
        <v>35</v>
      </c>
      <c r="D7633">
        <v>0</v>
      </c>
      <c r="E7633">
        <v>1</v>
      </c>
      <c r="F7633" s="7">
        <v>186699.23</v>
      </c>
      <c r="G7633">
        <v>0</v>
      </c>
      <c r="H7633" s="7">
        <v>0</v>
      </c>
    </row>
    <row r="7634" spans="1:8">
      <c r="A7634">
        <v>7</v>
      </c>
      <c r="B7634" t="s">
        <v>46</v>
      </c>
      <c r="C7634" t="s">
        <v>35</v>
      </c>
      <c r="D7634">
        <v>0</v>
      </c>
      <c r="E7634">
        <v>1</v>
      </c>
      <c r="F7634" s="7">
        <v>276651.07</v>
      </c>
      <c r="G7634">
        <v>0</v>
      </c>
      <c r="H7634" s="7">
        <v>0</v>
      </c>
    </row>
    <row r="7635" spans="1:8">
      <c r="A7635">
        <v>7</v>
      </c>
      <c r="B7635" t="s">
        <v>46</v>
      </c>
      <c r="C7635" t="s">
        <v>35</v>
      </c>
      <c r="D7635">
        <v>0</v>
      </c>
      <c r="E7635">
        <v>1</v>
      </c>
      <c r="F7635" s="7">
        <v>231126.61</v>
      </c>
      <c r="G7635">
        <v>0</v>
      </c>
      <c r="H7635" s="7">
        <v>0</v>
      </c>
    </row>
    <row r="7636" spans="1:8">
      <c r="A7636">
        <v>7</v>
      </c>
      <c r="B7636" t="s">
        <v>46</v>
      </c>
      <c r="C7636" t="s">
        <v>35</v>
      </c>
      <c r="D7636">
        <v>0</v>
      </c>
      <c r="E7636">
        <v>1</v>
      </c>
      <c r="F7636" s="7">
        <v>249233.37</v>
      </c>
      <c r="G7636">
        <v>0</v>
      </c>
      <c r="H7636" s="7">
        <v>0</v>
      </c>
    </row>
    <row r="7637" spans="1:8">
      <c r="A7637">
        <v>7</v>
      </c>
      <c r="B7637" t="s">
        <v>46</v>
      </c>
      <c r="C7637" t="s">
        <v>34</v>
      </c>
      <c r="D7637">
        <v>0</v>
      </c>
      <c r="E7637">
        <v>1</v>
      </c>
      <c r="F7637" s="7">
        <v>44453.81</v>
      </c>
      <c r="G7637">
        <v>0</v>
      </c>
      <c r="H7637" s="7">
        <v>0</v>
      </c>
    </row>
    <row r="7638" spans="1:8">
      <c r="A7638">
        <v>7</v>
      </c>
      <c r="B7638" t="s">
        <v>46</v>
      </c>
      <c r="C7638" t="s">
        <v>35</v>
      </c>
      <c r="D7638">
        <v>0</v>
      </c>
      <c r="E7638">
        <v>1</v>
      </c>
      <c r="F7638" s="7">
        <v>154228.23</v>
      </c>
      <c r="G7638">
        <v>0</v>
      </c>
      <c r="H7638" s="7">
        <v>0</v>
      </c>
    </row>
    <row r="7639" spans="1:8">
      <c r="A7639">
        <v>7</v>
      </c>
      <c r="B7639" t="s">
        <v>46</v>
      </c>
      <c r="C7639" t="s">
        <v>35</v>
      </c>
      <c r="D7639">
        <v>0</v>
      </c>
      <c r="E7639">
        <v>1</v>
      </c>
      <c r="F7639" s="7">
        <v>225798.64</v>
      </c>
      <c r="G7639">
        <v>0</v>
      </c>
      <c r="H7639" s="7">
        <v>0</v>
      </c>
    </row>
    <row r="7640" spans="1:8">
      <c r="A7640">
        <v>7</v>
      </c>
      <c r="B7640" t="s">
        <v>46</v>
      </c>
      <c r="C7640" t="s">
        <v>35</v>
      </c>
      <c r="D7640">
        <v>0</v>
      </c>
      <c r="E7640">
        <v>1</v>
      </c>
      <c r="F7640" s="7">
        <v>194451.87</v>
      </c>
      <c r="G7640">
        <v>0</v>
      </c>
      <c r="H7640" s="7">
        <v>0</v>
      </c>
    </row>
    <row r="7641" spans="1:8">
      <c r="A7641">
        <v>7</v>
      </c>
      <c r="B7641" t="s">
        <v>46</v>
      </c>
      <c r="C7641" t="s">
        <v>34</v>
      </c>
      <c r="D7641">
        <v>0</v>
      </c>
      <c r="E7641">
        <v>1</v>
      </c>
      <c r="F7641" s="7">
        <v>49431.49</v>
      </c>
      <c r="G7641">
        <v>0</v>
      </c>
      <c r="H7641" s="7">
        <v>0</v>
      </c>
    </row>
    <row r="7642" spans="1:8">
      <c r="A7642">
        <v>7</v>
      </c>
      <c r="B7642" t="s">
        <v>46</v>
      </c>
      <c r="C7642" t="s">
        <v>35</v>
      </c>
      <c r="D7642">
        <v>0</v>
      </c>
      <c r="E7642">
        <v>1</v>
      </c>
      <c r="F7642" s="7">
        <v>245484.78</v>
      </c>
      <c r="G7642">
        <v>0</v>
      </c>
      <c r="H7642" s="7">
        <v>0</v>
      </c>
    </row>
    <row r="7643" spans="1:8">
      <c r="A7643">
        <v>7</v>
      </c>
      <c r="B7643" t="s">
        <v>46</v>
      </c>
      <c r="C7643" t="s">
        <v>34</v>
      </c>
      <c r="D7643">
        <v>0</v>
      </c>
      <c r="E7643">
        <v>1</v>
      </c>
      <c r="F7643" s="7">
        <v>21954.96</v>
      </c>
      <c r="G7643">
        <v>0</v>
      </c>
      <c r="H7643" s="7">
        <v>0</v>
      </c>
    </row>
    <row r="7644" spans="1:8">
      <c r="A7644">
        <v>7</v>
      </c>
      <c r="B7644" t="s">
        <v>46</v>
      </c>
      <c r="C7644" t="s">
        <v>35</v>
      </c>
      <c r="D7644">
        <v>0</v>
      </c>
      <c r="E7644">
        <v>1</v>
      </c>
      <c r="F7644" s="7">
        <v>868684.99</v>
      </c>
      <c r="G7644">
        <v>0</v>
      </c>
      <c r="H7644" s="7">
        <v>0</v>
      </c>
    </row>
    <row r="7645" spans="1:8">
      <c r="A7645">
        <v>7</v>
      </c>
      <c r="B7645" t="s">
        <v>46</v>
      </c>
      <c r="C7645" t="s">
        <v>34</v>
      </c>
      <c r="D7645">
        <v>0</v>
      </c>
      <c r="E7645">
        <v>1</v>
      </c>
      <c r="F7645" s="7">
        <v>29010.6</v>
      </c>
      <c r="G7645">
        <v>0</v>
      </c>
      <c r="H7645" s="7">
        <v>0</v>
      </c>
    </row>
    <row r="7646" spans="1:8">
      <c r="A7646">
        <v>7</v>
      </c>
      <c r="B7646" t="s">
        <v>46</v>
      </c>
      <c r="C7646" t="s">
        <v>34</v>
      </c>
      <c r="D7646">
        <v>0</v>
      </c>
      <c r="E7646">
        <v>1</v>
      </c>
      <c r="F7646" s="7">
        <v>14809.24</v>
      </c>
      <c r="G7646">
        <v>0</v>
      </c>
      <c r="H7646" s="7">
        <v>0</v>
      </c>
    </row>
    <row r="7647" spans="1:8">
      <c r="A7647">
        <v>7</v>
      </c>
      <c r="B7647" t="s">
        <v>46</v>
      </c>
      <c r="C7647" t="s">
        <v>34</v>
      </c>
      <c r="D7647">
        <v>0</v>
      </c>
      <c r="E7647">
        <v>1</v>
      </c>
      <c r="F7647" s="7">
        <v>97806.47</v>
      </c>
      <c r="G7647">
        <v>0</v>
      </c>
      <c r="H7647" s="7">
        <v>0</v>
      </c>
    </row>
    <row r="7648" spans="1:8">
      <c r="A7648">
        <v>7</v>
      </c>
      <c r="B7648" t="s">
        <v>42</v>
      </c>
      <c r="C7648" t="s">
        <v>33</v>
      </c>
      <c r="D7648">
        <v>0</v>
      </c>
      <c r="E7648">
        <v>1</v>
      </c>
      <c r="F7648" s="7">
        <v>5385.54</v>
      </c>
      <c r="G7648">
        <v>0</v>
      </c>
      <c r="H7648" s="7">
        <v>0</v>
      </c>
    </row>
    <row r="7649" spans="1:8">
      <c r="A7649">
        <v>7</v>
      </c>
      <c r="B7649" t="s">
        <v>42</v>
      </c>
      <c r="C7649" t="s">
        <v>34</v>
      </c>
      <c r="D7649">
        <v>0</v>
      </c>
      <c r="E7649">
        <v>1</v>
      </c>
      <c r="F7649" s="7">
        <v>14439.4</v>
      </c>
      <c r="G7649">
        <v>0</v>
      </c>
      <c r="H7649" s="7">
        <v>0</v>
      </c>
    </row>
    <row r="7650" spans="1:8">
      <c r="A7650">
        <v>7</v>
      </c>
      <c r="B7650" t="s">
        <v>44</v>
      </c>
      <c r="C7650" t="s">
        <v>35</v>
      </c>
      <c r="D7650">
        <v>0</v>
      </c>
      <c r="E7650">
        <v>1</v>
      </c>
      <c r="F7650" s="7">
        <v>178514.46</v>
      </c>
      <c r="G7650">
        <v>0</v>
      </c>
      <c r="H7650" s="7">
        <v>0</v>
      </c>
    </row>
    <row r="7651" spans="1:8">
      <c r="A7651">
        <v>7</v>
      </c>
      <c r="B7651" t="s">
        <v>42</v>
      </c>
      <c r="C7651" t="s">
        <v>32</v>
      </c>
      <c r="D7651">
        <v>0</v>
      </c>
      <c r="E7651">
        <v>1</v>
      </c>
      <c r="F7651" s="7">
        <v>599</v>
      </c>
      <c r="G7651">
        <v>0</v>
      </c>
      <c r="H7651" s="7">
        <v>0</v>
      </c>
    </row>
    <row r="7652" spans="1:8">
      <c r="A7652">
        <v>7</v>
      </c>
      <c r="B7652" t="s">
        <v>46</v>
      </c>
      <c r="C7652" t="s">
        <v>35</v>
      </c>
      <c r="D7652">
        <v>0</v>
      </c>
      <c r="E7652">
        <v>1</v>
      </c>
      <c r="F7652" s="7">
        <v>131892.09</v>
      </c>
      <c r="G7652">
        <v>0</v>
      </c>
      <c r="H7652" s="7">
        <v>0</v>
      </c>
    </row>
    <row r="7653" spans="1:8">
      <c r="A7653">
        <v>7</v>
      </c>
      <c r="B7653" t="s">
        <v>43</v>
      </c>
      <c r="C7653" t="s">
        <v>35</v>
      </c>
      <c r="D7653">
        <v>0</v>
      </c>
      <c r="E7653">
        <v>1</v>
      </c>
      <c r="F7653" s="7">
        <v>585116.33</v>
      </c>
      <c r="G7653">
        <v>0</v>
      </c>
      <c r="H7653" s="7">
        <v>0</v>
      </c>
    </row>
    <row r="7654" spans="1:8">
      <c r="A7654">
        <v>7</v>
      </c>
      <c r="B7654" t="s">
        <v>42</v>
      </c>
      <c r="C7654" t="s">
        <v>33</v>
      </c>
      <c r="D7654">
        <v>0</v>
      </c>
      <c r="E7654">
        <v>1</v>
      </c>
      <c r="F7654" s="7">
        <v>2136.5</v>
      </c>
      <c r="G7654">
        <v>0</v>
      </c>
      <c r="H7654" s="7">
        <v>0</v>
      </c>
    </row>
    <row r="7655" spans="1:8">
      <c r="A7655">
        <v>7</v>
      </c>
      <c r="B7655" t="s">
        <v>43</v>
      </c>
      <c r="C7655" t="s">
        <v>35</v>
      </c>
      <c r="D7655">
        <v>0</v>
      </c>
      <c r="E7655">
        <v>1</v>
      </c>
      <c r="F7655" s="7">
        <v>914938.38</v>
      </c>
      <c r="G7655">
        <v>0</v>
      </c>
      <c r="H7655" s="7">
        <v>0</v>
      </c>
    </row>
    <row r="7656" spans="1:8">
      <c r="A7656">
        <v>7</v>
      </c>
      <c r="B7656" t="s">
        <v>42</v>
      </c>
      <c r="C7656" t="s">
        <v>33</v>
      </c>
      <c r="D7656">
        <v>0</v>
      </c>
      <c r="E7656">
        <v>1</v>
      </c>
      <c r="F7656" s="7">
        <v>3005.72</v>
      </c>
      <c r="G7656">
        <v>0</v>
      </c>
      <c r="H7656" s="7">
        <v>0</v>
      </c>
    </row>
    <row r="7657" spans="1:8">
      <c r="A7657">
        <v>7</v>
      </c>
      <c r="B7657" t="s">
        <v>46</v>
      </c>
      <c r="C7657" t="s">
        <v>35</v>
      </c>
      <c r="D7657">
        <v>0</v>
      </c>
      <c r="E7657">
        <v>1</v>
      </c>
      <c r="F7657" s="7">
        <v>132499.75</v>
      </c>
      <c r="G7657">
        <v>0</v>
      </c>
      <c r="H7657" s="7">
        <v>0</v>
      </c>
    </row>
    <row r="7658" spans="1:8">
      <c r="A7658">
        <v>7</v>
      </c>
      <c r="B7658" t="s">
        <v>42</v>
      </c>
      <c r="C7658" t="s">
        <v>32</v>
      </c>
      <c r="D7658">
        <v>0</v>
      </c>
      <c r="E7658">
        <v>1</v>
      </c>
      <c r="F7658" s="7">
        <v>203.52</v>
      </c>
      <c r="G7658">
        <v>0</v>
      </c>
      <c r="H7658" s="7">
        <v>0</v>
      </c>
    </row>
    <row r="7659" spans="1:8">
      <c r="A7659">
        <v>7</v>
      </c>
      <c r="B7659" t="s">
        <v>43</v>
      </c>
      <c r="C7659" t="s">
        <v>35</v>
      </c>
      <c r="D7659">
        <v>0</v>
      </c>
      <c r="E7659">
        <v>1</v>
      </c>
      <c r="F7659" s="7">
        <v>547982.86</v>
      </c>
      <c r="G7659">
        <v>0</v>
      </c>
      <c r="H7659" s="7">
        <v>0</v>
      </c>
    </row>
    <row r="7660" spans="1:8">
      <c r="A7660">
        <v>7</v>
      </c>
      <c r="B7660" t="s">
        <v>42</v>
      </c>
      <c r="C7660" t="s">
        <v>33</v>
      </c>
      <c r="D7660">
        <v>0</v>
      </c>
      <c r="E7660">
        <v>1</v>
      </c>
      <c r="F7660" s="7">
        <v>5610.22</v>
      </c>
      <c r="G7660">
        <v>0</v>
      </c>
      <c r="H7660" s="7">
        <v>0</v>
      </c>
    </row>
    <row r="7661" spans="1:8">
      <c r="A7661">
        <v>7</v>
      </c>
      <c r="B7661" t="s">
        <v>45</v>
      </c>
      <c r="C7661" t="s">
        <v>33</v>
      </c>
      <c r="D7661">
        <v>0</v>
      </c>
      <c r="E7661">
        <v>1</v>
      </c>
      <c r="F7661" s="7">
        <v>1839.45</v>
      </c>
      <c r="G7661">
        <v>0</v>
      </c>
      <c r="H7661" s="7">
        <v>0</v>
      </c>
    </row>
    <row r="7662" spans="1:8">
      <c r="A7662">
        <v>7</v>
      </c>
      <c r="B7662" t="s">
        <v>42</v>
      </c>
      <c r="C7662" t="s">
        <v>33</v>
      </c>
      <c r="D7662">
        <v>0</v>
      </c>
      <c r="E7662">
        <v>1</v>
      </c>
      <c r="F7662" s="7">
        <v>7162.79</v>
      </c>
      <c r="G7662">
        <v>0</v>
      </c>
      <c r="H7662" s="7">
        <v>0</v>
      </c>
    </row>
    <row r="7663" spans="1:8">
      <c r="A7663">
        <v>7</v>
      </c>
      <c r="B7663" t="s">
        <v>42</v>
      </c>
      <c r="C7663" t="s">
        <v>34</v>
      </c>
      <c r="D7663">
        <v>0</v>
      </c>
      <c r="E7663">
        <v>1</v>
      </c>
      <c r="F7663" s="7">
        <v>14060.49</v>
      </c>
      <c r="G7663">
        <v>0</v>
      </c>
      <c r="H7663" s="7">
        <v>0</v>
      </c>
    </row>
    <row r="7664" spans="1:8">
      <c r="A7664">
        <v>7</v>
      </c>
      <c r="B7664" t="s">
        <v>43</v>
      </c>
      <c r="C7664" t="s">
        <v>35</v>
      </c>
      <c r="D7664">
        <v>0</v>
      </c>
      <c r="E7664">
        <v>1</v>
      </c>
      <c r="F7664" s="7">
        <v>740455.48</v>
      </c>
      <c r="G7664">
        <v>0</v>
      </c>
      <c r="H7664" s="7">
        <v>0</v>
      </c>
    </row>
    <row r="7665" spans="1:8">
      <c r="A7665">
        <v>7</v>
      </c>
      <c r="B7665" t="s">
        <v>42</v>
      </c>
      <c r="C7665" t="s">
        <v>34</v>
      </c>
      <c r="D7665">
        <v>0</v>
      </c>
      <c r="E7665">
        <v>1</v>
      </c>
      <c r="F7665" s="7">
        <v>12880.69</v>
      </c>
      <c r="G7665">
        <v>0</v>
      </c>
      <c r="H7665" s="7">
        <v>0</v>
      </c>
    </row>
    <row r="7666" spans="1:8">
      <c r="A7666">
        <v>7</v>
      </c>
      <c r="B7666" t="s">
        <v>42</v>
      </c>
      <c r="C7666" t="s">
        <v>33</v>
      </c>
      <c r="D7666">
        <v>0</v>
      </c>
      <c r="E7666">
        <v>1</v>
      </c>
      <c r="F7666" s="7">
        <v>8282.81</v>
      </c>
      <c r="G7666">
        <v>0</v>
      </c>
      <c r="H7666" s="7">
        <v>0</v>
      </c>
    </row>
    <row r="7667" spans="1:8">
      <c r="A7667">
        <v>7</v>
      </c>
      <c r="B7667" t="s">
        <v>44</v>
      </c>
      <c r="C7667" t="s">
        <v>35</v>
      </c>
      <c r="D7667">
        <v>0</v>
      </c>
      <c r="E7667">
        <v>1</v>
      </c>
      <c r="F7667" s="7">
        <v>239692.36</v>
      </c>
      <c r="G7667">
        <v>0</v>
      </c>
      <c r="H7667" s="7">
        <v>0</v>
      </c>
    </row>
    <row r="7668" spans="1:8">
      <c r="A7668">
        <v>7</v>
      </c>
      <c r="B7668" t="s">
        <v>43</v>
      </c>
      <c r="C7668" t="s">
        <v>34</v>
      </c>
      <c r="D7668">
        <v>0</v>
      </c>
      <c r="E7668">
        <v>1</v>
      </c>
      <c r="F7668" s="7">
        <v>77606.35</v>
      </c>
      <c r="G7668">
        <v>0</v>
      </c>
      <c r="H7668" s="7">
        <v>0</v>
      </c>
    </row>
    <row r="7669" spans="1:8">
      <c r="A7669">
        <v>7</v>
      </c>
      <c r="B7669" t="s">
        <v>42</v>
      </c>
      <c r="C7669" t="s">
        <v>33</v>
      </c>
      <c r="D7669">
        <v>0</v>
      </c>
      <c r="E7669">
        <v>1</v>
      </c>
      <c r="F7669" s="7">
        <v>7054.83</v>
      </c>
      <c r="G7669">
        <v>0</v>
      </c>
      <c r="H7669" s="7">
        <v>0</v>
      </c>
    </row>
    <row r="7670" spans="1:8">
      <c r="A7670">
        <v>7</v>
      </c>
      <c r="B7670" t="s">
        <v>43</v>
      </c>
      <c r="C7670" t="s">
        <v>34</v>
      </c>
      <c r="D7670">
        <v>0</v>
      </c>
      <c r="E7670">
        <v>1</v>
      </c>
      <c r="F7670" s="7">
        <v>85459.53</v>
      </c>
      <c r="G7670">
        <v>0</v>
      </c>
      <c r="H7670" s="7">
        <v>0</v>
      </c>
    </row>
    <row r="7671" spans="1:8">
      <c r="A7671">
        <v>7</v>
      </c>
      <c r="B7671" t="s">
        <v>45</v>
      </c>
      <c r="C7671" t="s">
        <v>33</v>
      </c>
      <c r="D7671">
        <v>0</v>
      </c>
      <c r="E7671">
        <v>1</v>
      </c>
      <c r="F7671" s="7">
        <v>4270.25</v>
      </c>
      <c r="G7671">
        <v>0</v>
      </c>
      <c r="H7671" s="7">
        <v>0</v>
      </c>
    </row>
    <row r="7672" spans="1:8">
      <c r="A7672">
        <v>7</v>
      </c>
      <c r="B7672" t="s">
        <v>42</v>
      </c>
      <c r="C7672" t="s">
        <v>33</v>
      </c>
      <c r="D7672">
        <v>0</v>
      </c>
      <c r="E7672">
        <v>1</v>
      </c>
      <c r="F7672" s="7">
        <v>7624.65</v>
      </c>
      <c r="G7672">
        <v>0</v>
      </c>
      <c r="H7672" s="7">
        <v>0</v>
      </c>
    </row>
    <row r="7673" spans="1:8">
      <c r="A7673">
        <v>7</v>
      </c>
      <c r="B7673" t="s">
        <v>42</v>
      </c>
      <c r="C7673" t="s">
        <v>33</v>
      </c>
      <c r="D7673">
        <v>0</v>
      </c>
      <c r="E7673">
        <v>1</v>
      </c>
      <c r="F7673" s="7">
        <v>2375.97</v>
      </c>
      <c r="G7673">
        <v>0</v>
      </c>
      <c r="H7673" s="7">
        <v>0</v>
      </c>
    </row>
    <row r="7674" spans="1:8">
      <c r="A7674">
        <v>7</v>
      </c>
      <c r="B7674" t="s">
        <v>42</v>
      </c>
      <c r="C7674" t="s">
        <v>33</v>
      </c>
      <c r="D7674">
        <v>0</v>
      </c>
      <c r="E7674">
        <v>1</v>
      </c>
      <c r="F7674" s="7">
        <v>4270.36</v>
      </c>
      <c r="G7674">
        <v>0</v>
      </c>
      <c r="H7674" s="7">
        <v>0</v>
      </c>
    </row>
    <row r="7675" spans="1:8">
      <c r="A7675">
        <v>7</v>
      </c>
      <c r="B7675" t="s">
        <v>42</v>
      </c>
      <c r="C7675" t="s">
        <v>34</v>
      </c>
      <c r="D7675">
        <v>0</v>
      </c>
      <c r="E7675">
        <v>1</v>
      </c>
      <c r="F7675" s="7">
        <v>41749.41</v>
      </c>
      <c r="G7675">
        <v>0</v>
      </c>
      <c r="H7675" s="7">
        <v>0</v>
      </c>
    </row>
    <row r="7676" spans="1:8">
      <c r="A7676">
        <v>7</v>
      </c>
      <c r="B7676" t="s">
        <v>42</v>
      </c>
      <c r="C7676" t="s">
        <v>33</v>
      </c>
      <c r="D7676">
        <v>0</v>
      </c>
      <c r="E7676">
        <v>1</v>
      </c>
      <c r="F7676" s="7">
        <v>1561.11</v>
      </c>
      <c r="G7676">
        <v>0</v>
      </c>
      <c r="H7676" s="7">
        <v>0</v>
      </c>
    </row>
    <row r="7677" spans="1:8">
      <c r="A7677">
        <v>7</v>
      </c>
      <c r="B7677" t="s">
        <v>42</v>
      </c>
      <c r="C7677" t="s">
        <v>34</v>
      </c>
      <c r="D7677">
        <v>0</v>
      </c>
      <c r="E7677">
        <v>1</v>
      </c>
      <c r="F7677" s="7">
        <v>14734.61</v>
      </c>
      <c r="G7677">
        <v>0</v>
      </c>
      <c r="H7677" s="7">
        <v>0</v>
      </c>
    </row>
    <row r="7678" spans="1:8">
      <c r="A7678">
        <v>7</v>
      </c>
      <c r="B7678" t="s">
        <v>42</v>
      </c>
      <c r="C7678" t="s">
        <v>34</v>
      </c>
      <c r="D7678">
        <v>0</v>
      </c>
      <c r="E7678">
        <v>1</v>
      </c>
      <c r="F7678" s="7">
        <v>12443.21</v>
      </c>
      <c r="G7678">
        <v>0</v>
      </c>
      <c r="H7678" s="7">
        <v>0</v>
      </c>
    </row>
    <row r="7679" spans="1:8">
      <c r="A7679">
        <v>7</v>
      </c>
      <c r="B7679" t="s">
        <v>42</v>
      </c>
      <c r="C7679" t="s">
        <v>33</v>
      </c>
      <c r="D7679">
        <v>0</v>
      </c>
      <c r="E7679">
        <v>1</v>
      </c>
      <c r="F7679" s="7">
        <v>3727.23</v>
      </c>
      <c r="G7679">
        <v>0</v>
      </c>
      <c r="H7679" s="7">
        <v>0</v>
      </c>
    </row>
    <row r="7680" spans="1:8">
      <c r="A7680">
        <v>7</v>
      </c>
      <c r="B7680" t="s">
        <v>42</v>
      </c>
      <c r="C7680" t="s">
        <v>32</v>
      </c>
      <c r="D7680">
        <v>0</v>
      </c>
      <c r="E7680">
        <v>1</v>
      </c>
      <c r="F7680" s="7">
        <v>10.48</v>
      </c>
      <c r="G7680">
        <v>0</v>
      </c>
      <c r="H7680" s="7">
        <v>0</v>
      </c>
    </row>
    <row r="7681" spans="1:8">
      <c r="A7681">
        <v>7</v>
      </c>
      <c r="B7681" t="s">
        <v>42</v>
      </c>
      <c r="C7681" t="s">
        <v>34</v>
      </c>
      <c r="D7681">
        <v>0</v>
      </c>
      <c r="E7681">
        <v>1</v>
      </c>
      <c r="F7681" s="7">
        <v>10131.78</v>
      </c>
      <c r="G7681">
        <v>0</v>
      </c>
      <c r="H7681" s="7">
        <v>0</v>
      </c>
    </row>
    <row r="7682" spans="1:8">
      <c r="A7682">
        <v>7</v>
      </c>
      <c r="B7682" t="s">
        <v>42</v>
      </c>
      <c r="C7682" t="s">
        <v>33</v>
      </c>
      <c r="D7682">
        <v>0</v>
      </c>
      <c r="E7682">
        <v>1</v>
      </c>
      <c r="F7682" s="7">
        <v>1713.7</v>
      </c>
      <c r="G7682">
        <v>0</v>
      </c>
      <c r="H7682" s="7">
        <v>0</v>
      </c>
    </row>
    <row r="7683" spans="1:8">
      <c r="A7683">
        <v>7</v>
      </c>
      <c r="B7683" t="s">
        <v>43</v>
      </c>
      <c r="C7683" t="s">
        <v>35</v>
      </c>
      <c r="D7683">
        <v>0</v>
      </c>
      <c r="E7683">
        <v>1</v>
      </c>
      <c r="F7683" s="7">
        <v>287284.26</v>
      </c>
      <c r="G7683">
        <v>0</v>
      </c>
      <c r="H7683" s="7">
        <v>0</v>
      </c>
    </row>
    <row r="7684" spans="1:8">
      <c r="A7684">
        <v>7</v>
      </c>
      <c r="B7684" t="s">
        <v>42</v>
      </c>
      <c r="C7684" t="s">
        <v>33</v>
      </c>
      <c r="D7684">
        <v>0</v>
      </c>
      <c r="E7684">
        <v>1</v>
      </c>
      <c r="F7684" s="7">
        <v>8170.1</v>
      </c>
      <c r="G7684">
        <v>0</v>
      </c>
      <c r="H7684" s="7">
        <v>0</v>
      </c>
    </row>
    <row r="7685" spans="1:8">
      <c r="A7685">
        <v>7</v>
      </c>
      <c r="B7685" t="s">
        <v>42</v>
      </c>
      <c r="C7685" t="s">
        <v>33</v>
      </c>
      <c r="D7685">
        <v>0</v>
      </c>
      <c r="E7685">
        <v>1</v>
      </c>
      <c r="F7685" s="7">
        <v>4702.01</v>
      </c>
      <c r="G7685">
        <v>0</v>
      </c>
      <c r="H7685" s="7">
        <v>0</v>
      </c>
    </row>
    <row r="7686" spans="1:8">
      <c r="A7686">
        <v>7</v>
      </c>
      <c r="B7686" t="s">
        <v>42</v>
      </c>
      <c r="C7686" t="s">
        <v>33</v>
      </c>
      <c r="D7686">
        <v>0</v>
      </c>
      <c r="E7686">
        <v>1</v>
      </c>
      <c r="F7686" s="7">
        <v>1519.45</v>
      </c>
      <c r="G7686">
        <v>0</v>
      </c>
      <c r="H7686" s="7">
        <v>0</v>
      </c>
    </row>
    <row r="7687" spans="1:8">
      <c r="A7687">
        <v>7</v>
      </c>
      <c r="B7687" t="s">
        <v>42</v>
      </c>
      <c r="C7687" t="s">
        <v>33</v>
      </c>
      <c r="D7687">
        <v>0</v>
      </c>
      <c r="E7687">
        <v>1</v>
      </c>
      <c r="F7687" s="7">
        <v>3036.06</v>
      </c>
      <c r="G7687">
        <v>0</v>
      </c>
      <c r="H7687" s="7">
        <v>0</v>
      </c>
    </row>
    <row r="7688" spans="1:8">
      <c r="A7688">
        <v>7</v>
      </c>
      <c r="B7688" t="s">
        <v>42</v>
      </c>
      <c r="C7688" t="s">
        <v>33</v>
      </c>
      <c r="D7688">
        <v>0</v>
      </c>
      <c r="E7688">
        <v>1</v>
      </c>
      <c r="F7688" s="7">
        <v>4259.68</v>
      </c>
      <c r="G7688">
        <v>0</v>
      </c>
      <c r="H7688" s="7">
        <v>0</v>
      </c>
    </row>
    <row r="7689" spans="1:8">
      <c r="A7689">
        <v>7</v>
      </c>
      <c r="B7689" t="s">
        <v>42</v>
      </c>
      <c r="C7689" t="s">
        <v>33</v>
      </c>
      <c r="D7689">
        <v>0</v>
      </c>
      <c r="E7689">
        <v>1</v>
      </c>
      <c r="F7689" s="7">
        <v>5435.84</v>
      </c>
      <c r="G7689">
        <v>0</v>
      </c>
      <c r="H7689" s="7">
        <v>0</v>
      </c>
    </row>
    <row r="7690" spans="1:8">
      <c r="A7690">
        <v>7</v>
      </c>
      <c r="B7690" t="s">
        <v>42</v>
      </c>
      <c r="C7690" t="s">
        <v>33</v>
      </c>
      <c r="D7690">
        <v>0</v>
      </c>
      <c r="E7690">
        <v>1</v>
      </c>
      <c r="F7690" s="7">
        <v>3232.99</v>
      </c>
      <c r="G7690">
        <v>0</v>
      </c>
      <c r="H7690" s="7">
        <v>0</v>
      </c>
    </row>
    <row r="7691" spans="1:8">
      <c r="A7691">
        <v>7</v>
      </c>
      <c r="B7691" t="s">
        <v>42</v>
      </c>
      <c r="C7691" t="s">
        <v>34</v>
      </c>
      <c r="D7691">
        <v>0</v>
      </c>
      <c r="E7691">
        <v>1</v>
      </c>
      <c r="F7691" s="7">
        <v>10110.26</v>
      </c>
      <c r="G7691">
        <v>0</v>
      </c>
      <c r="H7691" s="7">
        <v>0</v>
      </c>
    </row>
    <row r="7692" spans="1:8">
      <c r="A7692">
        <v>7</v>
      </c>
      <c r="B7692" t="s">
        <v>42</v>
      </c>
      <c r="C7692" t="s">
        <v>34</v>
      </c>
      <c r="D7692">
        <v>0</v>
      </c>
      <c r="E7692">
        <v>1</v>
      </c>
      <c r="F7692" s="7">
        <v>16807.66</v>
      </c>
      <c r="G7692">
        <v>0</v>
      </c>
      <c r="H7692" s="7">
        <v>0</v>
      </c>
    </row>
    <row r="7693" spans="1:8">
      <c r="A7693">
        <v>7</v>
      </c>
      <c r="B7693" t="s">
        <v>42</v>
      </c>
      <c r="C7693" t="s">
        <v>33</v>
      </c>
      <c r="D7693">
        <v>0</v>
      </c>
      <c r="E7693">
        <v>1</v>
      </c>
      <c r="F7693" s="7">
        <v>7670.1</v>
      </c>
      <c r="G7693">
        <v>0</v>
      </c>
      <c r="H7693" s="7">
        <v>0</v>
      </c>
    </row>
    <row r="7694" spans="1:8">
      <c r="A7694">
        <v>7</v>
      </c>
      <c r="B7694" t="s">
        <v>42</v>
      </c>
      <c r="C7694" t="s">
        <v>34</v>
      </c>
      <c r="D7694">
        <v>0</v>
      </c>
      <c r="E7694">
        <v>1</v>
      </c>
      <c r="F7694" s="7">
        <v>16913.76</v>
      </c>
      <c r="G7694">
        <v>0</v>
      </c>
      <c r="H7694" s="7">
        <v>0</v>
      </c>
    </row>
    <row r="7695" spans="1:8">
      <c r="A7695">
        <v>7</v>
      </c>
      <c r="B7695" t="s">
        <v>42</v>
      </c>
      <c r="C7695" t="s">
        <v>33</v>
      </c>
      <c r="D7695">
        <v>0</v>
      </c>
      <c r="E7695">
        <v>1</v>
      </c>
      <c r="F7695" s="7">
        <v>2077.39</v>
      </c>
      <c r="G7695">
        <v>0</v>
      </c>
      <c r="H7695" s="7">
        <v>0</v>
      </c>
    </row>
    <row r="7696" spans="1:8">
      <c r="A7696">
        <v>7</v>
      </c>
      <c r="B7696" t="s">
        <v>42</v>
      </c>
      <c r="C7696" t="s">
        <v>34</v>
      </c>
      <c r="D7696">
        <v>0</v>
      </c>
      <c r="E7696">
        <v>1</v>
      </c>
      <c r="F7696" s="7">
        <v>12917.05</v>
      </c>
      <c r="G7696">
        <v>0</v>
      </c>
      <c r="H7696" s="7">
        <v>0</v>
      </c>
    </row>
    <row r="7697" spans="1:8">
      <c r="A7697">
        <v>7</v>
      </c>
      <c r="B7697" t="s">
        <v>42</v>
      </c>
      <c r="C7697" t="s">
        <v>34</v>
      </c>
      <c r="D7697">
        <v>0</v>
      </c>
      <c r="E7697">
        <v>1</v>
      </c>
      <c r="F7697" s="7">
        <v>10752.66</v>
      </c>
      <c r="G7697">
        <v>0</v>
      </c>
      <c r="H7697" s="7">
        <v>0</v>
      </c>
    </row>
    <row r="7698" spans="1:8">
      <c r="A7698">
        <v>7</v>
      </c>
      <c r="B7698" t="s">
        <v>42</v>
      </c>
      <c r="C7698" t="s">
        <v>33</v>
      </c>
      <c r="D7698">
        <v>0</v>
      </c>
      <c r="E7698">
        <v>1</v>
      </c>
      <c r="F7698" s="7">
        <v>6069.86</v>
      </c>
      <c r="G7698">
        <v>0</v>
      </c>
      <c r="H7698" s="7">
        <v>0</v>
      </c>
    </row>
    <row r="7699" spans="1:8">
      <c r="A7699">
        <v>7</v>
      </c>
      <c r="B7699" t="s">
        <v>46</v>
      </c>
      <c r="C7699" t="s">
        <v>35</v>
      </c>
      <c r="D7699">
        <v>0</v>
      </c>
      <c r="E7699">
        <v>1</v>
      </c>
      <c r="F7699" s="7">
        <v>141256.14</v>
      </c>
      <c r="G7699">
        <v>0</v>
      </c>
      <c r="H7699" s="7">
        <v>0</v>
      </c>
    </row>
    <row r="7700" spans="1:8">
      <c r="A7700">
        <v>7</v>
      </c>
      <c r="B7700" t="s">
        <v>42</v>
      </c>
      <c r="C7700" t="s">
        <v>33</v>
      </c>
      <c r="D7700">
        <v>0</v>
      </c>
      <c r="E7700">
        <v>1</v>
      </c>
      <c r="F7700" s="7">
        <v>2402.8</v>
      </c>
      <c r="G7700">
        <v>0</v>
      </c>
      <c r="H7700" s="7">
        <v>0</v>
      </c>
    </row>
    <row r="7701" spans="1:8">
      <c r="A7701">
        <v>7</v>
      </c>
      <c r="B7701" t="s">
        <v>42</v>
      </c>
      <c r="C7701" t="s">
        <v>33</v>
      </c>
      <c r="D7701">
        <v>0</v>
      </c>
      <c r="E7701">
        <v>1</v>
      </c>
      <c r="F7701" s="7">
        <v>2826.25</v>
      </c>
      <c r="G7701">
        <v>0</v>
      </c>
      <c r="H7701" s="7">
        <v>0</v>
      </c>
    </row>
    <row r="7702" spans="1:8">
      <c r="A7702">
        <v>7</v>
      </c>
      <c r="B7702" t="s">
        <v>44</v>
      </c>
      <c r="C7702" t="s">
        <v>35</v>
      </c>
      <c r="D7702">
        <v>0</v>
      </c>
      <c r="E7702">
        <v>1</v>
      </c>
      <c r="F7702" s="7">
        <v>193646.29</v>
      </c>
      <c r="G7702">
        <v>0</v>
      </c>
      <c r="H7702" s="7">
        <v>0</v>
      </c>
    </row>
    <row r="7703" spans="1:8">
      <c r="A7703">
        <v>7</v>
      </c>
      <c r="B7703" t="s">
        <v>42</v>
      </c>
      <c r="C7703" t="s">
        <v>33</v>
      </c>
      <c r="D7703">
        <v>0</v>
      </c>
      <c r="E7703">
        <v>1</v>
      </c>
      <c r="F7703" s="7">
        <v>6314.93</v>
      </c>
      <c r="G7703">
        <v>0</v>
      </c>
      <c r="H7703" s="7">
        <v>0</v>
      </c>
    </row>
    <row r="7704" spans="1:8">
      <c r="A7704">
        <v>7</v>
      </c>
      <c r="B7704" t="s">
        <v>43</v>
      </c>
      <c r="C7704" t="s">
        <v>36</v>
      </c>
      <c r="D7704">
        <v>0</v>
      </c>
      <c r="E7704">
        <v>1</v>
      </c>
      <c r="F7704" s="7">
        <v>1306489.06</v>
      </c>
      <c r="G7704">
        <v>0</v>
      </c>
      <c r="H7704" s="7">
        <v>0</v>
      </c>
    </row>
    <row r="7705" spans="1:8">
      <c r="A7705">
        <v>7</v>
      </c>
      <c r="B7705" t="s">
        <v>43</v>
      </c>
      <c r="C7705" t="s">
        <v>36</v>
      </c>
      <c r="D7705">
        <v>0</v>
      </c>
      <c r="E7705">
        <v>1</v>
      </c>
      <c r="F7705" s="7">
        <v>2576294.8</v>
      </c>
      <c r="G7705">
        <v>0</v>
      </c>
      <c r="H7705" s="7">
        <v>0</v>
      </c>
    </row>
    <row r="7706" spans="1:8">
      <c r="A7706">
        <v>7</v>
      </c>
      <c r="B7706" t="s">
        <v>43</v>
      </c>
      <c r="C7706" t="s">
        <v>36</v>
      </c>
      <c r="D7706">
        <v>0</v>
      </c>
      <c r="E7706">
        <v>1</v>
      </c>
      <c r="F7706" s="7">
        <v>1675530.06</v>
      </c>
      <c r="G7706">
        <v>0</v>
      </c>
      <c r="H7706" s="7">
        <v>0</v>
      </c>
    </row>
    <row r="7707" spans="1:8">
      <c r="A7707">
        <v>7</v>
      </c>
      <c r="B7707" t="s">
        <v>43</v>
      </c>
      <c r="C7707" t="s">
        <v>36</v>
      </c>
      <c r="D7707">
        <v>0</v>
      </c>
      <c r="E7707">
        <v>1</v>
      </c>
      <c r="F7707" s="7">
        <v>1757588</v>
      </c>
      <c r="G7707">
        <v>0</v>
      </c>
      <c r="H7707" s="7">
        <v>0</v>
      </c>
    </row>
    <row r="7708" spans="1:8">
      <c r="A7708">
        <v>7</v>
      </c>
      <c r="B7708" t="s">
        <v>43</v>
      </c>
      <c r="C7708" t="s">
        <v>34</v>
      </c>
      <c r="D7708">
        <v>0</v>
      </c>
      <c r="E7708">
        <v>1</v>
      </c>
      <c r="F7708" s="7">
        <v>12717.38</v>
      </c>
      <c r="G7708">
        <v>0</v>
      </c>
      <c r="H7708" s="7">
        <v>0</v>
      </c>
    </row>
    <row r="7709" spans="1:8">
      <c r="A7709">
        <v>7</v>
      </c>
      <c r="B7709" t="s">
        <v>43</v>
      </c>
      <c r="C7709" t="s">
        <v>35</v>
      </c>
      <c r="D7709">
        <v>0</v>
      </c>
      <c r="E7709">
        <v>1</v>
      </c>
      <c r="F7709" s="7">
        <v>553290</v>
      </c>
      <c r="G7709">
        <v>0</v>
      </c>
      <c r="H7709" s="7">
        <v>0</v>
      </c>
    </row>
    <row r="7710" spans="1:8">
      <c r="A7710">
        <v>7</v>
      </c>
      <c r="B7710" t="s">
        <v>43</v>
      </c>
      <c r="C7710" t="s">
        <v>35</v>
      </c>
      <c r="D7710">
        <v>0</v>
      </c>
      <c r="E7710">
        <v>1</v>
      </c>
      <c r="F7710" s="7">
        <v>323892.84</v>
      </c>
      <c r="G7710">
        <v>0</v>
      </c>
      <c r="H7710" s="7">
        <v>0</v>
      </c>
    </row>
    <row r="7711" spans="1:8">
      <c r="A7711">
        <v>7</v>
      </c>
      <c r="B7711" t="s">
        <v>43</v>
      </c>
      <c r="C7711" t="s">
        <v>36</v>
      </c>
      <c r="D7711">
        <v>0</v>
      </c>
      <c r="E7711">
        <v>1</v>
      </c>
      <c r="F7711" s="7">
        <v>1632164.9</v>
      </c>
      <c r="G7711">
        <v>0</v>
      </c>
      <c r="H7711" s="7">
        <v>0</v>
      </c>
    </row>
    <row r="7712" spans="1:8">
      <c r="A7712">
        <v>7</v>
      </c>
      <c r="B7712" t="s">
        <v>42</v>
      </c>
      <c r="C7712" t="s">
        <v>33</v>
      </c>
      <c r="D7712">
        <v>0</v>
      </c>
      <c r="E7712">
        <v>1</v>
      </c>
      <c r="F7712" s="7">
        <v>3814.15</v>
      </c>
      <c r="G7712">
        <v>0</v>
      </c>
      <c r="H7712" s="7">
        <v>0</v>
      </c>
    </row>
    <row r="7713" spans="1:8">
      <c r="A7713">
        <v>7</v>
      </c>
      <c r="B7713" t="s">
        <v>42</v>
      </c>
      <c r="C7713" t="s">
        <v>34</v>
      </c>
      <c r="D7713">
        <v>0</v>
      </c>
      <c r="E7713">
        <v>1</v>
      </c>
      <c r="F7713" s="7">
        <v>11887.32</v>
      </c>
      <c r="G7713">
        <v>0</v>
      </c>
      <c r="H7713" s="7">
        <v>0</v>
      </c>
    </row>
    <row r="7714" spans="1:8">
      <c r="A7714">
        <v>7</v>
      </c>
      <c r="B7714" t="s">
        <v>43</v>
      </c>
      <c r="C7714" t="s">
        <v>35</v>
      </c>
      <c r="D7714">
        <v>0</v>
      </c>
      <c r="E7714">
        <v>1</v>
      </c>
      <c r="F7714" s="7">
        <v>334334.42</v>
      </c>
      <c r="G7714">
        <v>0</v>
      </c>
      <c r="H7714" s="7">
        <v>0</v>
      </c>
    </row>
    <row r="7715" spans="1:8">
      <c r="A7715">
        <v>7</v>
      </c>
      <c r="B7715" t="s">
        <v>42</v>
      </c>
      <c r="C7715" t="s">
        <v>32</v>
      </c>
      <c r="D7715">
        <v>0</v>
      </c>
      <c r="E7715">
        <v>1</v>
      </c>
      <c r="F7715" s="7">
        <v>215.05</v>
      </c>
      <c r="G7715">
        <v>0</v>
      </c>
      <c r="H7715" s="7">
        <v>0</v>
      </c>
    </row>
    <row r="7716" spans="1:8">
      <c r="A7716">
        <v>7</v>
      </c>
      <c r="B7716" t="s">
        <v>42</v>
      </c>
      <c r="C7716" t="s">
        <v>33</v>
      </c>
      <c r="D7716">
        <v>0</v>
      </c>
      <c r="E7716">
        <v>1</v>
      </c>
      <c r="F7716" s="7">
        <v>6382.19</v>
      </c>
      <c r="G7716">
        <v>0</v>
      </c>
      <c r="H7716" s="7">
        <v>0</v>
      </c>
    </row>
    <row r="7717" spans="1:8">
      <c r="A7717">
        <v>7</v>
      </c>
      <c r="B7717" t="s">
        <v>43</v>
      </c>
      <c r="C7717" t="s">
        <v>35</v>
      </c>
      <c r="D7717">
        <v>0</v>
      </c>
      <c r="E7717">
        <v>1</v>
      </c>
      <c r="F7717" s="7">
        <v>498910.36</v>
      </c>
      <c r="G7717">
        <v>0</v>
      </c>
      <c r="H7717" s="7">
        <v>0</v>
      </c>
    </row>
    <row r="7718" spans="1:8">
      <c r="A7718">
        <v>7</v>
      </c>
      <c r="B7718" t="s">
        <v>43</v>
      </c>
      <c r="C7718" t="s">
        <v>36</v>
      </c>
      <c r="D7718">
        <v>0</v>
      </c>
      <c r="E7718">
        <v>1</v>
      </c>
      <c r="F7718" s="7">
        <v>1322921.3</v>
      </c>
      <c r="G7718">
        <v>0</v>
      </c>
      <c r="H7718" s="7">
        <v>0</v>
      </c>
    </row>
    <row r="7719" spans="1:8">
      <c r="A7719">
        <v>7</v>
      </c>
      <c r="B7719" t="s">
        <v>43</v>
      </c>
      <c r="C7719" t="s">
        <v>36</v>
      </c>
      <c r="D7719">
        <v>0</v>
      </c>
      <c r="E7719">
        <v>1</v>
      </c>
      <c r="F7719" s="7">
        <v>1168723.46</v>
      </c>
      <c r="G7719">
        <v>0</v>
      </c>
      <c r="H7719" s="7">
        <v>0</v>
      </c>
    </row>
    <row r="7720" spans="1:8">
      <c r="A7720">
        <v>7</v>
      </c>
      <c r="B7720" t="s">
        <v>43</v>
      </c>
      <c r="C7720" t="s">
        <v>35</v>
      </c>
      <c r="D7720">
        <v>0</v>
      </c>
      <c r="E7720">
        <v>1</v>
      </c>
      <c r="F7720" s="7">
        <v>423316.32</v>
      </c>
      <c r="G7720">
        <v>0</v>
      </c>
      <c r="H7720" s="7">
        <v>0</v>
      </c>
    </row>
    <row r="7721" spans="1:8">
      <c r="A7721">
        <v>7</v>
      </c>
      <c r="B7721" t="s">
        <v>43</v>
      </c>
      <c r="C7721" t="s">
        <v>35</v>
      </c>
      <c r="D7721">
        <v>0</v>
      </c>
      <c r="E7721">
        <v>1</v>
      </c>
      <c r="F7721" s="7">
        <v>428331.88</v>
      </c>
      <c r="G7721">
        <v>0</v>
      </c>
      <c r="H7721" s="7">
        <v>0</v>
      </c>
    </row>
    <row r="7722" spans="1:8">
      <c r="A7722">
        <v>7</v>
      </c>
      <c r="B7722" t="s">
        <v>43</v>
      </c>
      <c r="C7722" t="s">
        <v>35</v>
      </c>
      <c r="D7722">
        <v>0</v>
      </c>
      <c r="E7722">
        <v>1</v>
      </c>
      <c r="F7722" s="7">
        <v>913805.64</v>
      </c>
      <c r="G7722">
        <v>0</v>
      </c>
      <c r="H7722" s="7">
        <v>0</v>
      </c>
    </row>
    <row r="7723" spans="1:8">
      <c r="A7723">
        <v>7</v>
      </c>
      <c r="B7723" t="s">
        <v>43</v>
      </c>
      <c r="C7723" t="s">
        <v>35</v>
      </c>
      <c r="D7723">
        <v>0</v>
      </c>
      <c r="E7723">
        <v>1</v>
      </c>
      <c r="F7723" s="7">
        <v>792727.79</v>
      </c>
      <c r="G7723">
        <v>0</v>
      </c>
      <c r="H7723" s="7">
        <v>0</v>
      </c>
    </row>
    <row r="7724" spans="1:8">
      <c r="A7724">
        <v>7</v>
      </c>
      <c r="B7724" t="s">
        <v>43</v>
      </c>
      <c r="C7724" t="s">
        <v>35</v>
      </c>
      <c r="D7724">
        <v>0</v>
      </c>
      <c r="E7724">
        <v>1</v>
      </c>
      <c r="F7724" s="7">
        <v>997659.79</v>
      </c>
      <c r="G7724">
        <v>0</v>
      </c>
      <c r="H7724" s="7">
        <v>0</v>
      </c>
    </row>
    <row r="7725" spans="1:8">
      <c r="A7725">
        <v>7</v>
      </c>
      <c r="B7725" t="s">
        <v>43</v>
      </c>
      <c r="C7725" t="s">
        <v>35</v>
      </c>
      <c r="D7725">
        <v>0</v>
      </c>
      <c r="E7725">
        <v>1</v>
      </c>
      <c r="F7725" s="7">
        <v>152351.18</v>
      </c>
      <c r="G7725">
        <v>0</v>
      </c>
      <c r="H7725" s="7">
        <v>0</v>
      </c>
    </row>
    <row r="7726" spans="1:8">
      <c r="A7726">
        <v>7</v>
      </c>
      <c r="B7726" t="s">
        <v>43</v>
      </c>
      <c r="C7726" t="s">
        <v>35</v>
      </c>
      <c r="D7726">
        <v>0</v>
      </c>
      <c r="E7726">
        <v>1</v>
      </c>
      <c r="F7726" s="7">
        <v>611874.69</v>
      </c>
      <c r="G7726">
        <v>0</v>
      </c>
      <c r="H7726" s="7">
        <v>0</v>
      </c>
    </row>
    <row r="7727" spans="1:8">
      <c r="A7727">
        <v>7</v>
      </c>
      <c r="B7727" t="s">
        <v>43</v>
      </c>
      <c r="C7727" t="s">
        <v>35</v>
      </c>
      <c r="D7727">
        <v>0</v>
      </c>
      <c r="E7727">
        <v>1</v>
      </c>
      <c r="F7727" s="7">
        <v>391868.6</v>
      </c>
      <c r="G7727">
        <v>0</v>
      </c>
      <c r="H7727" s="7">
        <v>0</v>
      </c>
    </row>
    <row r="7728" spans="1:8">
      <c r="A7728">
        <v>7</v>
      </c>
      <c r="B7728" t="s">
        <v>42</v>
      </c>
      <c r="C7728" t="s">
        <v>33</v>
      </c>
      <c r="D7728">
        <v>0</v>
      </c>
      <c r="E7728">
        <v>1</v>
      </c>
      <c r="F7728" s="7">
        <v>1376.57</v>
      </c>
      <c r="G7728">
        <v>0</v>
      </c>
      <c r="H7728" s="7">
        <v>0</v>
      </c>
    </row>
    <row r="7729" spans="1:8">
      <c r="A7729">
        <v>7</v>
      </c>
      <c r="B7729" t="s">
        <v>42</v>
      </c>
      <c r="C7729" t="s">
        <v>33</v>
      </c>
      <c r="D7729">
        <v>0</v>
      </c>
      <c r="E7729">
        <v>1</v>
      </c>
      <c r="F7729" s="7">
        <v>1434.08</v>
      </c>
      <c r="G7729">
        <v>0</v>
      </c>
      <c r="H7729" s="7">
        <v>0</v>
      </c>
    </row>
    <row r="7730" spans="1:8">
      <c r="A7730">
        <v>7</v>
      </c>
      <c r="B7730" t="s">
        <v>44</v>
      </c>
      <c r="C7730" t="s">
        <v>35</v>
      </c>
      <c r="D7730">
        <v>0</v>
      </c>
      <c r="E7730">
        <v>1</v>
      </c>
      <c r="F7730" s="7">
        <v>248605.85</v>
      </c>
      <c r="G7730">
        <v>0</v>
      </c>
      <c r="H7730" s="7">
        <v>0</v>
      </c>
    </row>
    <row r="7731" spans="1:8">
      <c r="A7731">
        <v>7</v>
      </c>
      <c r="B7731" t="s">
        <v>42</v>
      </c>
      <c r="C7731" t="s">
        <v>33</v>
      </c>
      <c r="D7731">
        <v>0</v>
      </c>
      <c r="E7731">
        <v>1</v>
      </c>
      <c r="F7731" s="7">
        <v>4566.06</v>
      </c>
      <c r="G7731">
        <v>0</v>
      </c>
      <c r="H7731" s="7">
        <v>0</v>
      </c>
    </row>
    <row r="7732" spans="1:8">
      <c r="A7732">
        <v>7</v>
      </c>
      <c r="B7732" t="s">
        <v>42</v>
      </c>
      <c r="C7732" t="s">
        <v>33</v>
      </c>
      <c r="D7732">
        <v>0</v>
      </c>
      <c r="E7732">
        <v>1</v>
      </c>
      <c r="F7732" s="7">
        <v>4734.66</v>
      </c>
      <c r="G7732">
        <v>0</v>
      </c>
      <c r="H7732" s="7">
        <v>0</v>
      </c>
    </row>
    <row r="7733" spans="1:8">
      <c r="A7733">
        <v>7</v>
      </c>
      <c r="B7733" t="s">
        <v>42</v>
      </c>
      <c r="C7733" t="s">
        <v>33</v>
      </c>
      <c r="D7733">
        <v>0</v>
      </c>
      <c r="E7733">
        <v>1</v>
      </c>
      <c r="F7733" s="7">
        <v>6228.16</v>
      </c>
      <c r="G7733">
        <v>0</v>
      </c>
      <c r="H7733" s="7">
        <v>0</v>
      </c>
    </row>
    <row r="7734" spans="1:8">
      <c r="A7734">
        <v>7</v>
      </c>
      <c r="B7734" t="s">
        <v>42</v>
      </c>
      <c r="C7734" t="s">
        <v>34</v>
      </c>
      <c r="D7734">
        <v>0</v>
      </c>
      <c r="E7734">
        <v>1</v>
      </c>
      <c r="F7734" s="7">
        <v>10283.64</v>
      </c>
      <c r="G7734">
        <v>0</v>
      </c>
      <c r="H7734" s="7">
        <v>0</v>
      </c>
    </row>
    <row r="7735" spans="1:8">
      <c r="A7735">
        <v>7</v>
      </c>
      <c r="B7735" t="s">
        <v>42</v>
      </c>
      <c r="C7735" t="s">
        <v>33</v>
      </c>
      <c r="D7735">
        <v>0</v>
      </c>
      <c r="E7735">
        <v>1</v>
      </c>
      <c r="F7735" s="7">
        <v>3905.77</v>
      </c>
      <c r="G7735">
        <v>0</v>
      </c>
      <c r="H7735" s="7">
        <v>0</v>
      </c>
    </row>
    <row r="7736" spans="1:8">
      <c r="A7736">
        <v>7</v>
      </c>
      <c r="B7736" t="s">
        <v>42</v>
      </c>
      <c r="C7736" t="s">
        <v>33</v>
      </c>
      <c r="D7736">
        <v>0</v>
      </c>
      <c r="E7736">
        <v>1</v>
      </c>
      <c r="F7736" s="7">
        <v>4079.46</v>
      </c>
      <c r="G7736">
        <v>0</v>
      </c>
      <c r="H7736" s="7">
        <v>0</v>
      </c>
    </row>
    <row r="7737" spans="1:8">
      <c r="A7737">
        <v>7</v>
      </c>
      <c r="B7737" t="s">
        <v>44</v>
      </c>
      <c r="C7737" t="s">
        <v>35</v>
      </c>
      <c r="D7737">
        <v>0</v>
      </c>
      <c r="E7737">
        <v>1</v>
      </c>
      <c r="F7737" s="7">
        <v>138456.64</v>
      </c>
      <c r="G7737">
        <v>0</v>
      </c>
      <c r="H7737" s="7">
        <v>0</v>
      </c>
    </row>
    <row r="7738" spans="1:8">
      <c r="A7738">
        <v>7</v>
      </c>
      <c r="B7738" t="s">
        <v>42</v>
      </c>
      <c r="C7738" t="s">
        <v>33</v>
      </c>
      <c r="D7738">
        <v>0</v>
      </c>
      <c r="E7738">
        <v>1</v>
      </c>
      <c r="F7738" s="7">
        <v>6072.7</v>
      </c>
      <c r="G7738">
        <v>0</v>
      </c>
      <c r="H7738" s="7">
        <v>0</v>
      </c>
    </row>
    <row r="7739" spans="1:8">
      <c r="A7739">
        <v>7</v>
      </c>
      <c r="B7739" t="s">
        <v>42</v>
      </c>
      <c r="C7739" t="s">
        <v>34</v>
      </c>
      <c r="D7739">
        <v>0</v>
      </c>
      <c r="E7739">
        <v>1</v>
      </c>
      <c r="F7739" s="7">
        <v>10777.16</v>
      </c>
      <c r="G7739">
        <v>0</v>
      </c>
      <c r="H7739" s="7">
        <v>0</v>
      </c>
    </row>
    <row r="7740" spans="1:8">
      <c r="A7740">
        <v>7</v>
      </c>
      <c r="B7740" t="s">
        <v>42</v>
      </c>
      <c r="C7740" t="s">
        <v>34</v>
      </c>
      <c r="D7740">
        <v>0</v>
      </c>
      <c r="E7740">
        <v>1</v>
      </c>
      <c r="F7740" s="7">
        <v>19591.87</v>
      </c>
      <c r="G7740">
        <v>0</v>
      </c>
      <c r="H7740" s="7">
        <v>0</v>
      </c>
    </row>
    <row r="7741" spans="1:8">
      <c r="A7741">
        <v>7</v>
      </c>
      <c r="B7741" t="s">
        <v>43</v>
      </c>
      <c r="C7741" t="s">
        <v>35</v>
      </c>
      <c r="D7741">
        <v>0</v>
      </c>
      <c r="E7741">
        <v>1</v>
      </c>
      <c r="F7741" s="7">
        <v>518041.64</v>
      </c>
      <c r="G7741">
        <v>0</v>
      </c>
      <c r="H7741" s="7">
        <v>0</v>
      </c>
    </row>
    <row r="7742" spans="1:8">
      <c r="A7742">
        <v>7</v>
      </c>
      <c r="B7742" t="s">
        <v>42</v>
      </c>
      <c r="C7742" t="s">
        <v>34</v>
      </c>
      <c r="D7742">
        <v>0</v>
      </c>
      <c r="E7742">
        <v>1</v>
      </c>
      <c r="F7742" s="7">
        <v>14851.49</v>
      </c>
      <c r="G7742">
        <v>0</v>
      </c>
      <c r="H7742" s="7">
        <v>0</v>
      </c>
    </row>
    <row r="7743" spans="1:8">
      <c r="A7743">
        <v>7</v>
      </c>
      <c r="B7743" t="s">
        <v>42</v>
      </c>
      <c r="C7743" t="s">
        <v>34</v>
      </c>
      <c r="D7743">
        <v>0</v>
      </c>
      <c r="E7743">
        <v>1</v>
      </c>
      <c r="F7743" s="7">
        <v>15915.1</v>
      </c>
      <c r="G7743">
        <v>0</v>
      </c>
      <c r="H7743" s="7">
        <v>0</v>
      </c>
    </row>
    <row r="7744" spans="1:8">
      <c r="A7744">
        <v>7</v>
      </c>
      <c r="B7744" t="s">
        <v>42</v>
      </c>
      <c r="C7744" t="s">
        <v>34</v>
      </c>
      <c r="D7744">
        <v>0</v>
      </c>
      <c r="E7744">
        <v>1</v>
      </c>
      <c r="F7744" s="7">
        <v>12887.33</v>
      </c>
      <c r="G7744">
        <v>0</v>
      </c>
      <c r="H7744" s="7">
        <v>0</v>
      </c>
    </row>
    <row r="7745" spans="1:8">
      <c r="A7745">
        <v>7</v>
      </c>
      <c r="B7745" t="s">
        <v>42</v>
      </c>
      <c r="C7745" t="s">
        <v>33</v>
      </c>
      <c r="D7745">
        <v>0</v>
      </c>
      <c r="E7745">
        <v>1</v>
      </c>
      <c r="F7745" s="7">
        <v>3182.69</v>
      </c>
      <c r="G7745">
        <v>0</v>
      </c>
      <c r="H7745" s="7">
        <v>0</v>
      </c>
    </row>
    <row r="7746" spans="1:8">
      <c r="A7746">
        <v>7</v>
      </c>
      <c r="B7746" t="s">
        <v>42</v>
      </c>
      <c r="C7746" t="s">
        <v>33</v>
      </c>
      <c r="D7746">
        <v>0</v>
      </c>
      <c r="E7746">
        <v>1</v>
      </c>
      <c r="F7746" s="7">
        <v>3656.12</v>
      </c>
      <c r="G7746">
        <v>0</v>
      </c>
      <c r="H7746" s="7">
        <v>0</v>
      </c>
    </row>
    <row r="7747" spans="1:8">
      <c r="A7747">
        <v>7</v>
      </c>
      <c r="B7747" t="s">
        <v>42</v>
      </c>
      <c r="C7747" t="s">
        <v>33</v>
      </c>
      <c r="D7747">
        <v>0</v>
      </c>
      <c r="E7747">
        <v>1</v>
      </c>
      <c r="F7747" s="7">
        <v>9311.9</v>
      </c>
      <c r="G7747">
        <v>0</v>
      </c>
      <c r="H7747" s="7">
        <v>0</v>
      </c>
    </row>
    <row r="7748" spans="1:8">
      <c r="A7748">
        <v>7</v>
      </c>
      <c r="B7748" t="s">
        <v>42</v>
      </c>
      <c r="C7748" t="s">
        <v>33</v>
      </c>
      <c r="D7748">
        <v>0</v>
      </c>
      <c r="E7748">
        <v>1</v>
      </c>
      <c r="F7748" s="7">
        <v>6205.12</v>
      </c>
      <c r="G7748">
        <v>0</v>
      </c>
      <c r="H7748" s="7">
        <v>0</v>
      </c>
    </row>
    <row r="7749" spans="1:8">
      <c r="A7749">
        <v>7</v>
      </c>
      <c r="B7749" t="s">
        <v>42</v>
      </c>
      <c r="C7749" t="s">
        <v>33</v>
      </c>
      <c r="D7749">
        <v>0</v>
      </c>
      <c r="E7749">
        <v>1</v>
      </c>
      <c r="F7749" s="7">
        <v>3393.07</v>
      </c>
      <c r="G7749">
        <v>0</v>
      </c>
      <c r="H7749" s="7">
        <v>0</v>
      </c>
    </row>
    <row r="7750" spans="1:8">
      <c r="A7750">
        <v>7</v>
      </c>
      <c r="B7750" t="s">
        <v>42</v>
      </c>
      <c r="C7750" t="s">
        <v>33</v>
      </c>
      <c r="D7750">
        <v>0</v>
      </c>
      <c r="E7750">
        <v>1</v>
      </c>
      <c r="F7750" s="7">
        <v>8071.86</v>
      </c>
      <c r="G7750">
        <v>0</v>
      </c>
      <c r="H7750" s="7">
        <v>0</v>
      </c>
    </row>
    <row r="7751" spans="1:8">
      <c r="A7751">
        <v>7</v>
      </c>
      <c r="B7751" t="s">
        <v>42</v>
      </c>
      <c r="C7751" t="s">
        <v>33</v>
      </c>
      <c r="D7751">
        <v>0</v>
      </c>
      <c r="E7751">
        <v>1</v>
      </c>
      <c r="F7751" s="7">
        <v>7550.59</v>
      </c>
      <c r="G7751">
        <v>0</v>
      </c>
      <c r="H7751" s="7">
        <v>0</v>
      </c>
    </row>
    <row r="7752" spans="1:8">
      <c r="A7752">
        <v>7</v>
      </c>
      <c r="B7752" t="s">
        <v>42</v>
      </c>
      <c r="C7752" t="s">
        <v>32</v>
      </c>
      <c r="D7752">
        <v>0</v>
      </c>
      <c r="E7752">
        <v>1</v>
      </c>
      <c r="F7752" s="7">
        <v>665.74</v>
      </c>
      <c r="G7752">
        <v>0</v>
      </c>
      <c r="H7752" s="7">
        <v>0</v>
      </c>
    </row>
    <row r="7753" spans="1:8">
      <c r="A7753">
        <v>7</v>
      </c>
      <c r="B7753" t="s">
        <v>44</v>
      </c>
      <c r="C7753" t="s">
        <v>34</v>
      </c>
      <c r="D7753">
        <v>0</v>
      </c>
      <c r="E7753">
        <v>1</v>
      </c>
      <c r="F7753" s="7">
        <v>84096.66</v>
      </c>
      <c r="G7753">
        <v>0</v>
      </c>
      <c r="H7753" s="7">
        <v>0</v>
      </c>
    </row>
    <row r="7754" spans="1:8">
      <c r="A7754">
        <v>7</v>
      </c>
      <c r="B7754" t="s">
        <v>44</v>
      </c>
      <c r="C7754" t="s">
        <v>35</v>
      </c>
      <c r="D7754">
        <v>0</v>
      </c>
      <c r="E7754">
        <v>1</v>
      </c>
      <c r="F7754" s="7">
        <v>200773.62</v>
      </c>
      <c r="G7754">
        <v>0</v>
      </c>
      <c r="H7754" s="7">
        <v>0</v>
      </c>
    </row>
    <row r="7755" spans="1:8">
      <c r="A7755">
        <v>7</v>
      </c>
      <c r="B7755" t="s">
        <v>44</v>
      </c>
      <c r="C7755" t="s">
        <v>35</v>
      </c>
      <c r="D7755">
        <v>0</v>
      </c>
      <c r="E7755">
        <v>1</v>
      </c>
      <c r="F7755" s="7">
        <v>113261.2</v>
      </c>
      <c r="G7755">
        <v>0</v>
      </c>
      <c r="H7755" s="7">
        <v>0</v>
      </c>
    </row>
    <row r="7756" spans="1:8">
      <c r="A7756">
        <v>7</v>
      </c>
      <c r="B7756" t="s">
        <v>44</v>
      </c>
      <c r="C7756" t="s">
        <v>34</v>
      </c>
      <c r="D7756">
        <v>0</v>
      </c>
      <c r="E7756">
        <v>1</v>
      </c>
      <c r="F7756" s="7">
        <v>60467.94</v>
      </c>
      <c r="G7756">
        <v>0</v>
      </c>
      <c r="H7756" s="7">
        <v>0</v>
      </c>
    </row>
    <row r="7757" spans="1:8">
      <c r="A7757">
        <v>7</v>
      </c>
      <c r="B7757" t="s">
        <v>44</v>
      </c>
      <c r="C7757" t="s">
        <v>35</v>
      </c>
      <c r="D7757">
        <v>0</v>
      </c>
      <c r="E7757">
        <v>1</v>
      </c>
      <c r="F7757" s="7">
        <v>133988.46</v>
      </c>
      <c r="G7757">
        <v>0</v>
      </c>
      <c r="H7757" s="7">
        <v>0</v>
      </c>
    </row>
    <row r="7758" spans="1:8">
      <c r="A7758">
        <v>7</v>
      </c>
      <c r="B7758" t="s">
        <v>44</v>
      </c>
      <c r="C7758" t="s">
        <v>34</v>
      </c>
      <c r="D7758">
        <v>0</v>
      </c>
      <c r="E7758">
        <v>1</v>
      </c>
      <c r="F7758" s="7">
        <v>75157.07</v>
      </c>
      <c r="G7758">
        <v>0</v>
      </c>
      <c r="H7758" s="7">
        <v>0</v>
      </c>
    </row>
    <row r="7759" spans="1:8">
      <c r="A7759">
        <v>7</v>
      </c>
      <c r="B7759" t="s">
        <v>44</v>
      </c>
      <c r="C7759" t="s">
        <v>35</v>
      </c>
      <c r="D7759">
        <v>0</v>
      </c>
      <c r="E7759">
        <v>1</v>
      </c>
      <c r="F7759" s="7">
        <v>114482.31</v>
      </c>
      <c r="G7759">
        <v>0</v>
      </c>
      <c r="H7759" s="7">
        <v>0</v>
      </c>
    </row>
    <row r="7760" spans="1:8">
      <c r="A7760">
        <v>7</v>
      </c>
      <c r="B7760" t="s">
        <v>44</v>
      </c>
      <c r="C7760" t="s">
        <v>35</v>
      </c>
      <c r="D7760">
        <v>0</v>
      </c>
      <c r="E7760">
        <v>1</v>
      </c>
      <c r="F7760" s="7">
        <v>578580.68</v>
      </c>
      <c r="G7760">
        <v>0</v>
      </c>
      <c r="H7760" s="7">
        <v>0</v>
      </c>
    </row>
    <row r="7761" spans="1:8">
      <c r="A7761">
        <v>7</v>
      </c>
      <c r="B7761" t="s">
        <v>44</v>
      </c>
      <c r="C7761" t="s">
        <v>33</v>
      </c>
      <c r="D7761">
        <v>0</v>
      </c>
      <c r="E7761">
        <v>1</v>
      </c>
      <c r="F7761" s="7">
        <v>4036.83</v>
      </c>
      <c r="G7761">
        <v>0</v>
      </c>
      <c r="H7761" s="7">
        <v>0</v>
      </c>
    </row>
    <row r="7762" spans="1:8">
      <c r="A7762">
        <v>7</v>
      </c>
      <c r="B7762" t="s">
        <v>44</v>
      </c>
      <c r="C7762" t="s">
        <v>35</v>
      </c>
      <c r="D7762">
        <v>0</v>
      </c>
      <c r="E7762">
        <v>1</v>
      </c>
      <c r="F7762" s="7">
        <v>109261.69</v>
      </c>
      <c r="G7762">
        <v>0</v>
      </c>
      <c r="H7762" s="7">
        <v>0</v>
      </c>
    </row>
    <row r="7763" spans="1:8">
      <c r="A7763">
        <v>7</v>
      </c>
      <c r="B7763" t="s">
        <v>44</v>
      </c>
      <c r="C7763" t="s">
        <v>33</v>
      </c>
      <c r="D7763">
        <v>0</v>
      </c>
      <c r="E7763">
        <v>1</v>
      </c>
      <c r="F7763" s="7">
        <v>5746.92</v>
      </c>
      <c r="G7763">
        <v>0</v>
      </c>
      <c r="H7763" s="7">
        <v>0</v>
      </c>
    </row>
    <row r="7764" spans="1:8">
      <c r="A7764">
        <v>7</v>
      </c>
      <c r="B7764" t="s">
        <v>44</v>
      </c>
      <c r="C7764" t="s">
        <v>35</v>
      </c>
      <c r="D7764">
        <v>0</v>
      </c>
      <c r="E7764">
        <v>1</v>
      </c>
      <c r="F7764" s="7">
        <v>296590.49</v>
      </c>
      <c r="G7764">
        <v>0</v>
      </c>
      <c r="H7764" s="7">
        <v>0</v>
      </c>
    </row>
    <row r="7765" spans="1:8">
      <c r="A7765">
        <v>7</v>
      </c>
      <c r="B7765" t="s">
        <v>44</v>
      </c>
      <c r="C7765" t="s">
        <v>34</v>
      </c>
      <c r="D7765">
        <v>0</v>
      </c>
      <c r="E7765">
        <v>1</v>
      </c>
      <c r="F7765" s="7">
        <v>62068.94</v>
      </c>
      <c r="G7765">
        <v>0</v>
      </c>
      <c r="H7765" s="7">
        <v>0</v>
      </c>
    </row>
    <row r="7766" spans="1:8">
      <c r="A7766">
        <v>7</v>
      </c>
      <c r="B7766" t="s">
        <v>44</v>
      </c>
      <c r="C7766" t="s">
        <v>35</v>
      </c>
      <c r="D7766">
        <v>0</v>
      </c>
      <c r="E7766">
        <v>1</v>
      </c>
      <c r="F7766" s="7">
        <v>132361.54</v>
      </c>
      <c r="G7766">
        <v>0</v>
      </c>
      <c r="H7766" s="7">
        <v>0</v>
      </c>
    </row>
    <row r="7767" spans="1:8">
      <c r="A7767">
        <v>7</v>
      </c>
      <c r="B7767" t="s">
        <v>44</v>
      </c>
      <c r="C7767" t="s">
        <v>35</v>
      </c>
      <c r="D7767">
        <v>0</v>
      </c>
      <c r="E7767">
        <v>1</v>
      </c>
      <c r="F7767" s="7">
        <v>150082.76</v>
      </c>
      <c r="G7767">
        <v>0</v>
      </c>
      <c r="H7767" s="7">
        <v>0</v>
      </c>
    </row>
    <row r="7768" spans="1:8">
      <c r="A7768">
        <v>7</v>
      </c>
      <c r="B7768" t="s">
        <v>44</v>
      </c>
      <c r="C7768" t="s">
        <v>35</v>
      </c>
      <c r="D7768">
        <v>0</v>
      </c>
      <c r="E7768">
        <v>1</v>
      </c>
      <c r="F7768" s="7">
        <v>156103.3</v>
      </c>
      <c r="G7768">
        <v>0</v>
      </c>
      <c r="H7768" s="7">
        <v>0</v>
      </c>
    </row>
    <row r="7769" spans="1:8">
      <c r="A7769">
        <v>7</v>
      </c>
      <c r="B7769" t="s">
        <v>44</v>
      </c>
      <c r="C7769" t="s">
        <v>34</v>
      </c>
      <c r="D7769">
        <v>0</v>
      </c>
      <c r="E7769">
        <v>1</v>
      </c>
      <c r="F7769" s="7">
        <v>65619.81</v>
      </c>
      <c r="G7769">
        <v>0</v>
      </c>
      <c r="H7769" s="7">
        <v>0</v>
      </c>
    </row>
    <row r="7770" spans="1:8">
      <c r="A7770">
        <v>7</v>
      </c>
      <c r="B7770" t="s">
        <v>44</v>
      </c>
      <c r="C7770" t="s">
        <v>35</v>
      </c>
      <c r="D7770">
        <v>0</v>
      </c>
      <c r="E7770">
        <v>1</v>
      </c>
      <c r="F7770" s="7">
        <v>123472</v>
      </c>
      <c r="G7770">
        <v>0</v>
      </c>
      <c r="H7770" s="7">
        <v>0</v>
      </c>
    </row>
    <row r="7771" spans="1:8">
      <c r="A7771">
        <v>7</v>
      </c>
      <c r="B7771" t="s">
        <v>44</v>
      </c>
      <c r="C7771" t="s">
        <v>34</v>
      </c>
      <c r="D7771">
        <v>0</v>
      </c>
      <c r="E7771">
        <v>1</v>
      </c>
      <c r="F7771" s="7">
        <v>32123.83</v>
      </c>
      <c r="G7771">
        <v>0</v>
      </c>
      <c r="H7771" s="7">
        <v>0</v>
      </c>
    </row>
    <row r="7772" spans="1:8">
      <c r="A7772">
        <v>7</v>
      </c>
      <c r="B7772" t="s">
        <v>44</v>
      </c>
      <c r="C7772" t="s">
        <v>34</v>
      </c>
      <c r="D7772">
        <v>0</v>
      </c>
      <c r="E7772">
        <v>1</v>
      </c>
      <c r="F7772" s="7">
        <v>37027.98</v>
      </c>
      <c r="G7772">
        <v>0</v>
      </c>
      <c r="H7772" s="7">
        <v>0</v>
      </c>
    </row>
    <row r="7773" spans="1:8">
      <c r="A7773">
        <v>7</v>
      </c>
      <c r="B7773" t="s">
        <v>44</v>
      </c>
      <c r="C7773" t="s">
        <v>35</v>
      </c>
      <c r="D7773">
        <v>0</v>
      </c>
      <c r="E7773">
        <v>1</v>
      </c>
      <c r="F7773" s="7">
        <v>125535.62</v>
      </c>
      <c r="G7773">
        <v>0</v>
      </c>
      <c r="H7773" s="7">
        <v>0</v>
      </c>
    </row>
    <row r="7774" spans="1:8">
      <c r="A7774">
        <v>7</v>
      </c>
      <c r="B7774" t="s">
        <v>44</v>
      </c>
      <c r="C7774" t="s">
        <v>35</v>
      </c>
      <c r="D7774">
        <v>0</v>
      </c>
      <c r="E7774">
        <v>1</v>
      </c>
      <c r="F7774" s="7">
        <v>114355.57</v>
      </c>
      <c r="G7774">
        <v>0</v>
      </c>
      <c r="H7774" s="7">
        <v>0</v>
      </c>
    </row>
    <row r="7775" spans="1:8">
      <c r="A7775">
        <v>7</v>
      </c>
      <c r="B7775" t="s">
        <v>44</v>
      </c>
      <c r="C7775" t="s">
        <v>35</v>
      </c>
      <c r="D7775">
        <v>0</v>
      </c>
      <c r="E7775">
        <v>1</v>
      </c>
      <c r="F7775" s="7">
        <v>227897.04</v>
      </c>
      <c r="G7775">
        <v>0</v>
      </c>
      <c r="H7775" s="7">
        <v>0</v>
      </c>
    </row>
    <row r="7776" spans="1:8">
      <c r="A7776">
        <v>7</v>
      </c>
      <c r="B7776" t="s">
        <v>44</v>
      </c>
      <c r="C7776" t="s">
        <v>35</v>
      </c>
      <c r="D7776">
        <v>0</v>
      </c>
      <c r="E7776">
        <v>1</v>
      </c>
      <c r="F7776" s="7">
        <v>303393.13</v>
      </c>
      <c r="G7776">
        <v>0</v>
      </c>
      <c r="H7776" s="7">
        <v>0</v>
      </c>
    </row>
    <row r="7777" spans="1:8">
      <c r="A7777">
        <v>7</v>
      </c>
      <c r="B7777" t="s">
        <v>44</v>
      </c>
      <c r="C7777" t="s">
        <v>34</v>
      </c>
      <c r="D7777">
        <v>0</v>
      </c>
      <c r="E7777">
        <v>1</v>
      </c>
      <c r="F7777" s="7">
        <v>50090.81</v>
      </c>
      <c r="G7777">
        <v>0</v>
      </c>
      <c r="H7777" s="7">
        <v>0</v>
      </c>
    </row>
    <row r="7778" spans="1:8">
      <c r="A7778">
        <v>7</v>
      </c>
      <c r="B7778" t="s">
        <v>44</v>
      </c>
      <c r="C7778" t="s">
        <v>35</v>
      </c>
      <c r="D7778">
        <v>0</v>
      </c>
      <c r="E7778">
        <v>1</v>
      </c>
      <c r="F7778" s="7">
        <v>128353.55</v>
      </c>
      <c r="G7778">
        <v>0</v>
      </c>
      <c r="H7778" s="7">
        <v>0</v>
      </c>
    </row>
    <row r="7779" spans="1:8">
      <c r="A7779">
        <v>7</v>
      </c>
      <c r="B7779" t="s">
        <v>44</v>
      </c>
      <c r="C7779" t="s">
        <v>35</v>
      </c>
      <c r="D7779">
        <v>0</v>
      </c>
      <c r="E7779">
        <v>1</v>
      </c>
      <c r="F7779" s="7">
        <v>191484.93</v>
      </c>
      <c r="G7779">
        <v>0</v>
      </c>
      <c r="H7779" s="7">
        <v>0</v>
      </c>
    </row>
    <row r="7780" spans="1:8">
      <c r="A7780">
        <v>7</v>
      </c>
      <c r="B7780" t="s">
        <v>44</v>
      </c>
      <c r="C7780" t="s">
        <v>35</v>
      </c>
      <c r="D7780">
        <v>0</v>
      </c>
      <c r="E7780">
        <v>1</v>
      </c>
      <c r="F7780" s="7">
        <v>183655.61</v>
      </c>
      <c r="G7780">
        <v>0</v>
      </c>
      <c r="H7780" s="7">
        <v>0</v>
      </c>
    </row>
    <row r="7781" spans="1:8">
      <c r="A7781">
        <v>7</v>
      </c>
      <c r="B7781" t="s">
        <v>44</v>
      </c>
      <c r="C7781" t="s">
        <v>35</v>
      </c>
      <c r="D7781">
        <v>0</v>
      </c>
      <c r="E7781">
        <v>1</v>
      </c>
      <c r="F7781" s="7">
        <v>290908.18</v>
      </c>
      <c r="G7781">
        <v>0</v>
      </c>
      <c r="H7781" s="7">
        <v>0</v>
      </c>
    </row>
    <row r="7782" spans="1:8">
      <c r="A7782">
        <v>7</v>
      </c>
      <c r="B7782" t="s">
        <v>44</v>
      </c>
      <c r="C7782" t="s">
        <v>35</v>
      </c>
      <c r="D7782">
        <v>0</v>
      </c>
      <c r="E7782">
        <v>1</v>
      </c>
      <c r="F7782" s="7">
        <v>474349.67</v>
      </c>
      <c r="G7782">
        <v>0</v>
      </c>
      <c r="H7782" s="7">
        <v>0</v>
      </c>
    </row>
    <row r="7783" spans="1:8">
      <c r="A7783">
        <v>7</v>
      </c>
      <c r="B7783" t="s">
        <v>44</v>
      </c>
      <c r="C7783" t="s">
        <v>35</v>
      </c>
      <c r="D7783">
        <v>0</v>
      </c>
      <c r="E7783">
        <v>1</v>
      </c>
      <c r="F7783" s="7">
        <v>249361.32</v>
      </c>
      <c r="G7783">
        <v>0</v>
      </c>
      <c r="H7783" s="7">
        <v>0</v>
      </c>
    </row>
    <row r="7784" spans="1:8">
      <c r="A7784">
        <v>7</v>
      </c>
      <c r="B7784" t="s">
        <v>44</v>
      </c>
      <c r="C7784" t="s">
        <v>35</v>
      </c>
      <c r="D7784">
        <v>0</v>
      </c>
      <c r="E7784">
        <v>1</v>
      </c>
      <c r="F7784" s="7">
        <v>140215.27</v>
      </c>
      <c r="G7784">
        <v>0</v>
      </c>
      <c r="H7784" s="7">
        <v>0</v>
      </c>
    </row>
    <row r="7785" spans="1:8">
      <c r="A7785">
        <v>7</v>
      </c>
      <c r="B7785" t="s">
        <v>44</v>
      </c>
      <c r="C7785" t="s">
        <v>34</v>
      </c>
      <c r="D7785">
        <v>0</v>
      </c>
      <c r="E7785">
        <v>1</v>
      </c>
      <c r="F7785" s="7">
        <v>44265.45</v>
      </c>
      <c r="G7785">
        <v>0</v>
      </c>
      <c r="H7785" s="7">
        <v>0</v>
      </c>
    </row>
    <row r="7786" spans="1:8">
      <c r="A7786">
        <v>7</v>
      </c>
      <c r="B7786" t="s">
        <v>44</v>
      </c>
      <c r="C7786" t="s">
        <v>35</v>
      </c>
      <c r="D7786">
        <v>0</v>
      </c>
      <c r="E7786">
        <v>1</v>
      </c>
      <c r="F7786" s="7">
        <v>328596.61</v>
      </c>
      <c r="G7786">
        <v>0</v>
      </c>
      <c r="H7786" s="7">
        <v>0</v>
      </c>
    </row>
    <row r="7787" spans="1:8">
      <c r="A7787">
        <v>7</v>
      </c>
      <c r="B7787" t="s">
        <v>44</v>
      </c>
      <c r="C7787" t="s">
        <v>33</v>
      </c>
      <c r="D7787">
        <v>0</v>
      </c>
      <c r="E7787">
        <v>1</v>
      </c>
      <c r="F7787" s="7">
        <v>7203.57</v>
      </c>
      <c r="G7787">
        <v>0</v>
      </c>
      <c r="H7787" s="7">
        <v>0</v>
      </c>
    </row>
    <row r="7788" spans="1:8">
      <c r="A7788">
        <v>7</v>
      </c>
      <c r="B7788" t="s">
        <v>44</v>
      </c>
      <c r="C7788" t="s">
        <v>35</v>
      </c>
      <c r="D7788">
        <v>0</v>
      </c>
      <c r="E7788">
        <v>1</v>
      </c>
      <c r="F7788" s="7">
        <v>139237.68</v>
      </c>
      <c r="G7788">
        <v>0</v>
      </c>
      <c r="H7788" s="7">
        <v>0</v>
      </c>
    </row>
    <row r="7789" spans="1:8">
      <c r="A7789">
        <v>7</v>
      </c>
      <c r="B7789" t="s">
        <v>44</v>
      </c>
      <c r="C7789" t="s">
        <v>35</v>
      </c>
      <c r="D7789">
        <v>0</v>
      </c>
      <c r="E7789">
        <v>1</v>
      </c>
      <c r="F7789" s="7">
        <v>164890.89</v>
      </c>
      <c r="G7789">
        <v>0</v>
      </c>
      <c r="H7789" s="7">
        <v>0</v>
      </c>
    </row>
    <row r="7790" spans="1:8">
      <c r="A7790">
        <v>7</v>
      </c>
      <c r="B7790" t="s">
        <v>44</v>
      </c>
      <c r="C7790" t="s">
        <v>34</v>
      </c>
      <c r="D7790">
        <v>0</v>
      </c>
      <c r="E7790">
        <v>1</v>
      </c>
      <c r="F7790" s="7">
        <v>16181.01</v>
      </c>
      <c r="G7790">
        <v>0</v>
      </c>
      <c r="H7790" s="7">
        <v>0</v>
      </c>
    </row>
    <row r="7791" spans="1:8">
      <c r="A7791">
        <v>7</v>
      </c>
      <c r="B7791" t="s">
        <v>44</v>
      </c>
      <c r="C7791" t="s">
        <v>34</v>
      </c>
      <c r="D7791">
        <v>0</v>
      </c>
      <c r="E7791">
        <v>1</v>
      </c>
      <c r="F7791" s="7">
        <v>13305.52</v>
      </c>
      <c r="G7791">
        <v>0</v>
      </c>
      <c r="H7791" s="7">
        <v>0</v>
      </c>
    </row>
    <row r="7792" spans="1:8">
      <c r="A7792">
        <v>7</v>
      </c>
      <c r="B7792" t="s">
        <v>44</v>
      </c>
      <c r="C7792" t="s">
        <v>35</v>
      </c>
      <c r="D7792">
        <v>0</v>
      </c>
      <c r="E7792">
        <v>1</v>
      </c>
      <c r="F7792" s="7">
        <v>132516.81</v>
      </c>
      <c r="G7792">
        <v>0</v>
      </c>
      <c r="H7792" s="7">
        <v>0</v>
      </c>
    </row>
    <row r="7793" spans="1:8">
      <c r="A7793">
        <v>7</v>
      </c>
      <c r="B7793" t="s">
        <v>44</v>
      </c>
      <c r="C7793" t="s">
        <v>35</v>
      </c>
      <c r="D7793">
        <v>0</v>
      </c>
      <c r="E7793">
        <v>1</v>
      </c>
      <c r="F7793" s="7">
        <v>208855.95</v>
      </c>
      <c r="G7793">
        <v>0</v>
      </c>
      <c r="H7793" s="7">
        <v>0</v>
      </c>
    </row>
    <row r="7794" spans="1:8">
      <c r="A7794">
        <v>7</v>
      </c>
      <c r="B7794" t="s">
        <v>44</v>
      </c>
      <c r="C7794" t="s">
        <v>35</v>
      </c>
      <c r="D7794">
        <v>0</v>
      </c>
      <c r="E7794">
        <v>1</v>
      </c>
      <c r="F7794" s="7">
        <v>129635.19</v>
      </c>
      <c r="G7794">
        <v>0</v>
      </c>
      <c r="H7794" s="7">
        <v>0</v>
      </c>
    </row>
    <row r="7795" spans="1:8">
      <c r="A7795">
        <v>7</v>
      </c>
      <c r="B7795" t="s">
        <v>44</v>
      </c>
      <c r="C7795" t="s">
        <v>35</v>
      </c>
      <c r="D7795">
        <v>0</v>
      </c>
      <c r="E7795">
        <v>1</v>
      </c>
      <c r="F7795" s="7">
        <v>174535.28</v>
      </c>
      <c r="G7795">
        <v>0</v>
      </c>
      <c r="H7795" s="7">
        <v>0</v>
      </c>
    </row>
    <row r="7796" spans="1:8">
      <c r="A7796">
        <v>7</v>
      </c>
      <c r="B7796" t="s">
        <v>44</v>
      </c>
      <c r="C7796" t="s">
        <v>34</v>
      </c>
      <c r="D7796">
        <v>0</v>
      </c>
      <c r="E7796">
        <v>1</v>
      </c>
      <c r="F7796" s="7">
        <v>14863.78</v>
      </c>
      <c r="G7796">
        <v>0</v>
      </c>
      <c r="H7796" s="7">
        <v>0</v>
      </c>
    </row>
    <row r="7797" spans="1:8">
      <c r="A7797">
        <v>7</v>
      </c>
      <c r="B7797" t="s">
        <v>44</v>
      </c>
      <c r="C7797" t="s">
        <v>34</v>
      </c>
      <c r="D7797">
        <v>0</v>
      </c>
      <c r="E7797">
        <v>1</v>
      </c>
      <c r="F7797" s="7">
        <v>54504.93</v>
      </c>
      <c r="G7797">
        <v>0</v>
      </c>
      <c r="H7797" s="7">
        <v>0</v>
      </c>
    </row>
    <row r="7798" spans="1:8">
      <c r="A7798">
        <v>7</v>
      </c>
      <c r="B7798" t="s">
        <v>44</v>
      </c>
      <c r="C7798" t="s">
        <v>34</v>
      </c>
      <c r="D7798">
        <v>0</v>
      </c>
      <c r="E7798">
        <v>1</v>
      </c>
      <c r="F7798" s="7">
        <v>90208.77</v>
      </c>
      <c r="G7798">
        <v>0</v>
      </c>
      <c r="H7798" s="7">
        <v>0</v>
      </c>
    </row>
    <row r="7799" spans="1:8">
      <c r="A7799">
        <v>7</v>
      </c>
      <c r="B7799" t="s">
        <v>43</v>
      </c>
      <c r="C7799" t="s">
        <v>35</v>
      </c>
      <c r="D7799">
        <v>0</v>
      </c>
      <c r="E7799">
        <v>1</v>
      </c>
      <c r="F7799" s="7">
        <v>161885.95</v>
      </c>
      <c r="G7799">
        <v>0</v>
      </c>
      <c r="H7799" s="7">
        <v>0</v>
      </c>
    </row>
    <row r="7800" spans="1:8">
      <c r="A7800">
        <v>7</v>
      </c>
      <c r="B7800" t="s">
        <v>42</v>
      </c>
      <c r="C7800" t="s">
        <v>32</v>
      </c>
      <c r="D7800">
        <v>0</v>
      </c>
      <c r="E7800">
        <v>1</v>
      </c>
      <c r="F7800" s="7">
        <v>777.86</v>
      </c>
      <c r="G7800">
        <v>0</v>
      </c>
      <c r="H7800" s="7">
        <v>0</v>
      </c>
    </row>
    <row r="7801" spans="1:8">
      <c r="A7801">
        <v>7</v>
      </c>
      <c r="B7801" t="s">
        <v>42</v>
      </c>
      <c r="C7801" t="s">
        <v>34</v>
      </c>
      <c r="D7801">
        <v>0</v>
      </c>
      <c r="E7801">
        <v>1</v>
      </c>
      <c r="F7801" s="7">
        <v>11375.84</v>
      </c>
      <c r="G7801">
        <v>0</v>
      </c>
      <c r="H7801" s="7">
        <v>0</v>
      </c>
    </row>
    <row r="7802" spans="1:8">
      <c r="A7802">
        <v>7</v>
      </c>
      <c r="B7802" t="s">
        <v>42</v>
      </c>
      <c r="C7802" t="s">
        <v>32</v>
      </c>
      <c r="D7802">
        <v>0</v>
      </c>
      <c r="E7802">
        <v>1</v>
      </c>
      <c r="F7802" s="7">
        <v>53.51</v>
      </c>
      <c r="G7802">
        <v>0</v>
      </c>
      <c r="H7802" s="7">
        <v>0</v>
      </c>
    </row>
    <row r="7803" spans="1:8">
      <c r="A7803">
        <v>7</v>
      </c>
      <c r="B7803" t="s">
        <v>42</v>
      </c>
      <c r="C7803" t="s">
        <v>33</v>
      </c>
      <c r="D7803">
        <v>0</v>
      </c>
      <c r="E7803">
        <v>1</v>
      </c>
      <c r="F7803" s="7">
        <v>9215.58</v>
      </c>
      <c r="G7803">
        <v>0</v>
      </c>
      <c r="H7803" s="7">
        <v>0</v>
      </c>
    </row>
    <row r="7804" spans="1:8">
      <c r="A7804">
        <v>7</v>
      </c>
      <c r="B7804" t="s">
        <v>42</v>
      </c>
      <c r="C7804" t="s">
        <v>33</v>
      </c>
      <c r="D7804">
        <v>0</v>
      </c>
      <c r="E7804">
        <v>1</v>
      </c>
      <c r="F7804" s="7">
        <v>9459.33</v>
      </c>
      <c r="G7804">
        <v>0</v>
      </c>
      <c r="H7804" s="7">
        <v>0</v>
      </c>
    </row>
    <row r="7805" spans="1:8">
      <c r="A7805">
        <v>7</v>
      </c>
      <c r="B7805" t="s">
        <v>42</v>
      </c>
      <c r="C7805" t="s">
        <v>33</v>
      </c>
      <c r="D7805">
        <v>0</v>
      </c>
      <c r="E7805">
        <v>1</v>
      </c>
      <c r="F7805" s="7">
        <v>8894.1</v>
      </c>
      <c r="G7805">
        <v>0</v>
      </c>
      <c r="H7805" s="7">
        <v>0</v>
      </c>
    </row>
    <row r="7806" spans="1:8">
      <c r="A7806">
        <v>7</v>
      </c>
      <c r="B7806" t="s">
        <v>42</v>
      </c>
      <c r="C7806" t="s">
        <v>33</v>
      </c>
      <c r="D7806">
        <v>0</v>
      </c>
      <c r="E7806">
        <v>1</v>
      </c>
      <c r="F7806" s="7">
        <v>1470.5</v>
      </c>
      <c r="G7806">
        <v>0</v>
      </c>
      <c r="H7806" s="7">
        <v>0</v>
      </c>
    </row>
    <row r="7807" spans="1:8">
      <c r="A7807">
        <v>7</v>
      </c>
      <c r="B7807" t="s">
        <v>42</v>
      </c>
      <c r="C7807" t="s">
        <v>33</v>
      </c>
      <c r="D7807">
        <v>0</v>
      </c>
      <c r="E7807">
        <v>1</v>
      </c>
      <c r="F7807" s="7">
        <v>2701.58</v>
      </c>
      <c r="G7807">
        <v>0</v>
      </c>
      <c r="H7807" s="7">
        <v>0</v>
      </c>
    </row>
    <row r="7808" spans="1:8">
      <c r="A7808">
        <v>7</v>
      </c>
      <c r="B7808" t="s">
        <v>42</v>
      </c>
      <c r="C7808" t="s">
        <v>33</v>
      </c>
      <c r="D7808">
        <v>0</v>
      </c>
      <c r="E7808">
        <v>1</v>
      </c>
      <c r="F7808" s="7">
        <v>8368.62</v>
      </c>
      <c r="G7808">
        <v>0</v>
      </c>
      <c r="H7808" s="7">
        <v>0</v>
      </c>
    </row>
    <row r="7809" spans="1:8">
      <c r="A7809">
        <v>7</v>
      </c>
      <c r="B7809" t="s">
        <v>42</v>
      </c>
      <c r="C7809" t="s">
        <v>34</v>
      </c>
      <c r="D7809">
        <v>0</v>
      </c>
      <c r="E7809">
        <v>1</v>
      </c>
      <c r="F7809" s="7">
        <v>11493.55</v>
      </c>
      <c r="G7809">
        <v>0</v>
      </c>
      <c r="H7809" s="7">
        <v>0</v>
      </c>
    </row>
    <row r="7810" spans="1:8">
      <c r="A7810">
        <v>7</v>
      </c>
      <c r="B7810" t="s">
        <v>42</v>
      </c>
      <c r="C7810" t="s">
        <v>33</v>
      </c>
      <c r="D7810">
        <v>0</v>
      </c>
      <c r="E7810">
        <v>1</v>
      </c>
      <c r="F7810" s="7">
        <v>9155.27</v>
      </c>
      <c r="G7810">
        <v>0</v>
      </c>
      <c r="H7810" s="7">
        <v>0</v>
      </c>
    </row>
    <row r="7811" spans="1:8">
      <c r="A7811">
        <v>7</v>
      </c>
      <c r="B7811" t="s">
        <v>44</v>
      </c>
      <c r="C7811" t="s">
        <v>35</v>
      </c>
      <c r="D7811">
        <v>0</v>
      </c>
      <c r="E7811">
        <v>1</v>
      </c>
      <c r="F7811" s="7">
        <v>217084.88</v>
      </c>
      <c r="G7811">
        <v>0</v>
      </c>
      <c r="H7811" s="7">
        <v>0</v>
      </c>
    </row>
    <row r="7812" spans="1:8">
      <c r="A7812">
        <v>7</v>
      </c>
      <c r="B7812" t="s">
        <v>45</v>
      </c>
      <c r="C7812" t="s">
        <v>33</v>
      </c>
      <c r="D7812">
        <v>0</v>
      </c>
      <c r="E7812">
        <v>1</v>
      </c>
      <c r="F7812" s="7">
        <v>3878.71</v>
      </c>
      <c r="G7812">
        <v>0</v>
      </c>
      <c r="H7812" s="7">
        <v>0</v>
      </c>
    </row>
    <row r="7813" spans="1:8">
      <c r="A7813">
        <v>7</v>
      </c>
      <c r="B7813" t="s">
        <v>46</v>
      </c>
      <c r="C7813" t="s">
        <v>34</v>
      </c>
      <c r="D7813">
        <v>0</v>
      </c>
      <c r="E7813">
        <v>1</v>
      </c>
      <c r="F7813" s="7">
        <v>23557.42</v>
      </c>
      <c r="G7813">
        <v>0</v>
      </c>
      <c r="H7813" s="7">
        <v>0</v>
      </c>
    </row>
    <row r="7814" spans="1:8">
      <c r="A7814">
        <v>7</v>
      </c>
      <c r="B7814" t="s">
        <v>46</v>
      </c>
      <c r="C7814" t="s">
        <v>35</v>
      </c>
      <c r="D7814">
        <v>0</v>
      </c>
      <c r="E7814">
        <v>1</v>
      </c>
      <c r="F7814" s="7">
        <v>240477.96</v>
      </c>
      <c r="G7814">
        <v>0</v>
      </c>
      <c r="H7814" s="7">
        <v>0</v>
      </c>
    </row>
    <row r="7815" spans="1:8">
      <c r="A7815">
        <v>7</v>
      </c>
      <c r="B7815" t="s">
        <v>46</v>
      </c>
      <c r="C7815" t="s">
        <v>35</v>
      </c>
      <c r="D7815">
        <v>0</v>
      </c>
      <c r="E7815">
        <v>1</v>
      </c>
      <c r="F7815" s="7">
        <v>123295.69</v>
      </c>
      <c r="G7815">
        <v>0</v>
      </c>
      <c r="H7815" s="7">
        <v>0</v>
      </c>
    </row>
    <row r="7816" spans="1:8">
      <c r="A7816">
        <v>7</v>
      </c>
      <c r="B7816" t="s">
        <v>46</v>
      </c>
      <c r="C7816" t="s">
        <v>34</v>
      </c>
      <c r="D7816">
        <v>0</v>
      </c>
      <c r="E7816">
        <v>1</v>
      </c>
      <c r="F7816" s="7">
        <v>75237.76</v>
      </c>
      <c r="G7816">
        <v>0</v>
      </c>
      <c r="H7816" s="7">
        <v>0</v>
      </c>
    </row>
    <row r="7817" spans="1:8">
      <c r="A7817">
        <v>7</v>
      </c>
      <c r="B7817" t="s">
        <v>46</v>
      </c>
      <c r="C7817" t="s">
        <v>34</v>
      </c>
      <c r="D7817">
        <v>0</v>
      </c>
      <c r="E7817">
        <v>1</v>
      </c>
      <c r="F7817" s="7">
        <v>32728.22</v>
      </c>
      <c r="G7817">
        <v>0</v>
      </c>
      <c r="H7817" s="7">
        <v>0</v>
      </c>
    </row>
    <row r="7818" spans="1:8">
      <c r="A7818">
        <v>7</v>
      </c>
      <c r="B7818" t="s">
        <v>46</v>
      </c>
      <c r="C7818" t="s">
        <v>35</v>
      </c>
      <c r="D7818">
        <v>0</v>
      </c>
      <c r="E7818">
        <v>1</v>
      </c>
      <c r="F7818" s="7">
        <v>611448.91</v>
      </c>
      <c r="G7818">
        <v>0</v>
      </c>
      <c r="H7818" s="7">
        <v>0</v>
      </c>
    </row>
    <row r="7819" spans="1:8">
      <c r="A7819">
        <v>7</v>
      </c>
      <c r="B7819" t="s">
        <v>46</v>
      </c>
      <c r="C7819" t="s">
        <v>34</v>
      </c>
      <c r="D7819">
        <v>0</v>
      </c>
      <c r="E7819">
        <v>1</v>
      </c>
      <c r="F7819" s="7">
        <v>17824.23</v>
      </c>
      <c r="G7819">
        <v>0</v>
      </c>
      <c r="H7819" s="7">
        <v>0</v>
      </c>
    </row>
    <row r="7820" spans="1:8">
      <c r="A7820">
        <v>7</v>
      </c>
      <c r="B7820" t="s">
        <v>46</v>
      </c>
      <c r="C7820" t="s">
        <v>35</v>
      </c>
      <c r="D7820">
        <v>0</v>
      </c>
      <c r="E7820">
        <v>1</v>
      </c>
      <c r="F7820" s="7">
        <v>469475.38</v>
      </c>
      <c r="G7820">
        <v>0</v>
      </c>
      <c r="H7820" s="7">
        <v>0</v>
      </c>
    </row>
    <row r="7821" spans="1:8">
      <c r="A7821">
        <v>7</v>
      </c>
      <c r="B7821" t="s">
        <v>46</v>
      </c>
      <c r="C7821" t="s">
        <v>34</v>
      </c>
      <c r="D7821">
        <v>0</v>
      </c>
      <c r="E7821">
        <v>1</v>
      </c>
      <c r="F7821" s="7">
        <v>31609.95</v>
      </c>
      <c r="G7821">
        <v>0</v>
      </c>
      <c r="H7821" s="7">
        <v>0</v>
      </c>
    </row>
    <row r="7822" spans="1:8">
      <c r="A7822">
        <v>7</v>
      </c>
      <c r="B7822" t="s">
        <v>42</v>
      </c>
      <c r="C7822" t="s">
        <v>33</v>
      </c>
      <c r="D7822">
        <v>0</v>
      </c>
      <c r="E7822">
        <v>1</v>
      </c>
      <c r="F7822" s="7">
        <v>8311.17</v>
      </c>
      <c r="G7822">
        <v>0</v>
      </c>
      <c r="H7822" s="7">
        <v>0</v>
      </c>
    </row>
    <row r="7823" spans="1:8">
      <c r="A7823">
        <v>7</v>
      </c>
      <c r="B7823" t="s">
        <v>44</v>
      </c>
      <c r="C7823" t="s">
        <v>35</v>
      </c>
      <c r="D7823">
        <v>0</v>
      </c>
      <c r="E7823">
        <v>1</v>
      </c>
      <c r="F7823" s="7">
        <v>302560.42</v>
      </c>
      <c r="G7823">
        <v>0</v>
      </c>
      <c r="H7823" s="7">
        <v>0</v>
      </c>
    </row>
    <row r="7824" spans="1:8">
      <c r="A7824">
        <v>7</v>
      </c>
      <c r="B7824" t="s">
        <v>42</v>
      </c>
      <c r="C7824" t="s">
        <v>34</v>
      </c>
      <c r="D7824">
        <v>0</v>
      </c>
      <c r="E7824">
        <v>1</v>
      </c>
      <c r="F7824" s="7">
        <v>12731.99</v>
      </c>
      <c r="G7824">
        <v>0</v>
      </c>
      <c r="H7824" s="7">
        <v>0</v>
      </c>
    </row>
    <row r="7825" spans="1:8">
      <c r="A7825">
        <v>7</v>
      </c>
      <c r="B7825" t="s">
        <v>42</v>
      </c>
      <c r="C7825" t="s">
        <v>33</v>
      </c>
      <c r="D7825">
        <v>0</v>
      </c>
      <c r="E7825">
        <v>1</v>
      </c>
      <c r="F7825" s="7">
        <v>3807.3</v>
      </c>
      <c r="G7825">
        <v>0</v>
      </c>
      <c r="H7825" s="7">
        <v>0</v>
      </c>
    </row>
    <row r="7826" spans="1:8">
      <c r="A7826">
        <v>7</v>
      </c>
      <c r="B7826" t="s">
        <v>43</v>
      </c>
      <c r="C7826" t="s">
        <v>36</v>
      </c>
      <c r="D7826">
        <v>0</v>
      </c>
      <c r="E7826">
        <v>1</v>
      </c>
      <c r="F7826" s="7">
        <v>1685701.48</v>
      </c>
      <c r="G7826">
        <v>0</v>
      </c>
      <c r="H7826" s="7">
        <v>0</v>
      </c>
    </row>
    <row r="7827" spans="1:8">
      <c r="A7827">
        <v>7</v>
      </c>
      <c r="B7827" t="s">
        <v>42</v>
      </c>
      <c r="C7827" t="s">
        <v>33</v>
      </c>
      <c r="D7827">
        <v>0</v>
      </c>
      <c r="E7827">
        <v>1</v>
      </c>
      <c r="F7827" s="7">
        <v>9069.93</v>
      </c>
      <c r="G7827">
        <v>0</v>
      </c>
      <c r="H7827" s="7">
        <v>0</v>
      </c>
    </row>
    <row r="7828" spans="1:8">
      <c r="A7828">
        <v>7</v>
      </c>
      <c r="B7828" t="s">
        <v>42</v>
      </c>
      <c r="C7828" t="s">
        <v>33</v>
      </c>
      <c r="D7828">
        <v>0</v>
      </c>
      <c r="E7828">
        <v>1</v>
      </c>
      <c r="F7828" s="7">
        <v>3115.71</v>
      </c>
      <c r="G7828">
        <v>0</v>
      </c>
      <c r="H7828" s="7">
        <v>0</v>
      </c>
    </row>
    <row r="7829" spans="1:8">
      <c r="A7829">
        <v>7</v>
      </c>
      <c r="B7829" t="s">
        <v>42</v>
      </c>
      <c r="C7829" t="s">
        <v>33</v>
      </c>
      <c r="D7829">
        <v>0</v>
      </c>
      <c r="E7829">
        <v>1</v>
      </c>
      <c r="F7829" s="7">
        <v>8955.81</v>
      </c>
      <c r="G7829">
        <v>0</v>
      </c>
      <c r="H7829" s="7">
        <v>0</v>
      </c>
    </row>
    <row r="7830" spans="1:8">
      <c r="A7830">
        <v>7</v>
      </c>
      <c r="B7830" t="s">
        <v>43</v>
      </c>
      <c r="C7830" t="s">
        <v>35</v>
      </c>
      <c r="D7830">
        <v>0</v>
      </c>
      <c r="E7830">
        <v>1</v>
      </c>
      <c r="F7830" s="7">
        <v>232400.67</v>
      </c>
      <c r="G7830">
        <v>0</v>
      </c>
      <c r="H7830" s="7">
        <v>0</v>
      </c>
    </row>
    <row r="7831" spans="1:8">
      <c r="A7831">
        <v>7</v>
      </c>
      <c r="B7831" t="s">
        <v>45</v>
      </c>
      <c r="C7831" t="s">
        <v>33</v>
      </c>
      <c r="D7831">
        <v>0</v>
      </c>
      <c r="E7831">
        <v>1</v>
      </c>
      <c r="F7831" s="7">
        <v>1847.63</v>
      </c>
      <c r="G7831">
        <v>0</v>
      </c>
      <c r="H7831" s="7">
        <v>0</v>
      </c>
    </row>
    <row r="7832" spans="1:8">
      <c r="A7832">
        <v>7</v>
      </c>
      <c r="B7832" t="s">
        <v>44</v>
      </c>
      <c r="C7832" t="s">
        <v>35</v>
      </c>
      <c r="D7832">
        <v>0</v>
      </c>
      <c r="E7832">
        <v>1</v>
      </c>
      <c r="F7832" s="7">
        <v>134024.22</v>
      </c>
      <c r="G7832">
        <v>0</v>
      </c>
      <c r="H7832" s="7">
        <v>0</v>
      </c>
    </row>
    <row r="7833" spans="1:8">
      <c r="A7833">
        <v>7</v>
      </c>
      <c r="B7833" t="s">
        <v>44</v>
      </c>
      <c r="C7833" t="s">
        <v>35</v>
      </c>
      <c r="D7833">
        <v>0</v>
      </c>
      <c r="E7833">
        <v>1</v>
      </c>
      <c r="F7833" s="7">
        <v>226287.19</v>
      </c>
      <c r="G7833">
        <v>0</v>
      </c>
      <c r="H7833" s="7">
        <v>0</v>
      </c>
    </row>
    <row r="7834" spans="1:8">
      <c r="A7834">
        <v>7</v>
      </c>
      <c r="B7834" t="s">
        <v>42</v>
      </c>
      <c r="C7834" t="s">
        <v>33</v>
      </c>
      <c r="D7834">
        <v>0</v>
      </c>
      <c r="E7834">
        <v>1</v>
      </c>
      <c r="F7834" s="7">
        <v>8152.06</v>
      </c>
      <c r="G7834">
        <v>0</v>
      </c>
      <c r="H7834" s="7">
        <v>0</v>
      </c>
    </row>
    <row r="7835" spans="1:8">
      <c r="A7835">
        <v>7</v>
      </c>
      <c r="B7835" t="s">
        <v>42</v>
      </c>
      <c r="C7835" t="s">
        <v>33</v>
      </c>
      <c r="D7835">
        <v>0</v>
      </c>
      <c r="E7835">
        <v>1</v>
      </c>
      <c r="F7835" s="7">
        <v>3751.13</v>
      </c>
      <c r="G7835">
        <v>0</v>
      </c>
      <c r="H7835" s="7">
        <v>0</v>
      </c>
    </row>
    <row r="7836" spans="1:8">
      <c r="A7836">
        <v>7</v>
      </c>
      <c r="B7836" t="s">
        <v>42</v>
      </c>
      <c r="C7836" t="s">
        <v>34</v>
      </c>
      <c r="D7836">
        <v>0</v>
      </c>
      <c r="E7836">
        <v>1</v>
      </c>
      <c r="F7836" s="7">
        <v>11085.06</v>
      </c>
      <c r="G7836">
        <v>0</v>
      </c>
      <c r="H7836" s="7">
        <v>0</v>
      </c>
    </row>
    <row r="7837" spans="1:8">
      <c r="A7837">
        <v>7</v>
      </c>
      <c r="B7837" t="s">
        <v>44</v>
      </c>
      <c r="C7837" t="s">
        <v>35</v>
      </c>
      <c r="D7837">
        <v>0</v>
      </c>
      <c r="E7837">
        <v>1</v>
      </c>
      <c r="F7837" s="7">
        <v>259134.71</v>
      </c>
      <c r="G7837">
        <v>0</v>
      </c>
      <c r="H7837" s="7">
        <v>0</v>
      </c>
    </row>
    <row r="7838" spans="1:8">
      <c r="A7838">
        <v>7</v>
      </c>
      <c r="B7838" t="s">
        <v>44</v>
      </c>
      <c r="C7838" t="s">
        <v>35</v>
      </c>
      <c r="D7838">
        <v>0</v>
      </c>
      <c r="E7838">
        <v>1</v>
      </c>
      <c r="F7838" s="7">
        <v>201063.22</v>
      </c>
      <c r="G7838">
        <v>0</v>
      </c>
      <c r="H7838" s="7">
        <v>0</v>
      </c>
    </row>
    <row r="7839" spans="1:8">
      <c r="A7839">
        <v>7</v>
      </c>
      <c r="B7839" t="s">
        <v>42</v>
      </c>
      <c r="C7839" t="s">
        <v>33</v>
      </c>
      <c r="D7839">
        <v>0</v>
      </c>
      <c r="E7839">
        <v>1</v>
      </c>
      <c r="F7839" s="7">
        <v>2973.89</v>
      </c>
      <c r="G7839">
        <v>0</v>
      </c>
      <c r="H7839" s="7">
        <v>0</v>
      </c>
    </row>
    <row r="7840" spans="1:8">
      <c r="A7840">
        <v>7</v>
      </c>
      <c r="B7840" t="s">
        <v>42</v>
      </c>
      <c r="C7840" t="s">
        <v>33</v>
      </c>
      <c r="D7840">
        <v>0</v>
      </c>
      <c r="E7840">
        <v>1</v>
      </c>
      <c r="F7840" s="7">
        <v>4947.12</v>
      </c>
      <c r="G7840">
        <v>0</v>
      </c>
      <c r="H7840" s="7">
        <v>0</v>
      </c>
    </row>
    <row r="7841" spans="1:8">
      <c r="A7841">
        <v>7</v>
      </c>
      <c r="B7841" t="s">
        <v>42</v>
      </c>
      <c r="C7841" t="s">
        <v>33</v>
      </c>
      <c r="D7841">
        <v>0</v>
      </c>
      <c r="E7841">
        <v>1</v>
      </c>
      <c r="F7841" s="7">
        <v>4379.29</v>
      </c>
      <c r="G7841">
        <v>0</v>
      </c>
      <c r="H7841" s="7">
        <v>0</v>
      </c>
    </row>
    <row r="7842" spans="1:8">
      <c r="A7842">
        <v>7</v>
      </c>
      <c r="B7842" t="s">
        <v>42</v>
      </c>
      <c r="C7842" t="s">
        <v>33</v>
      </c>
      <c r="D7842">
        <v>0</v>
      </c>
      <c r="E7842">
        <v>1</v>
      </c>
      <c r="F7842" s="7">
        <v>8333.67</v>
      </c>
      <c r="G7842">
        <v>0</v>
      </c>
      <c r="H7842" s="7">
        <v>0</v>
      </c>
    </row>
    <row r="7843" spans="1:8">
      <c r="A7843">
        <v>7</v>
      </c>
      <c r="B7843" t="s">
        <v>42</v>
      </c>
      <c r="C7843" t="s">
        <v>34</v>
      </c>
      <c r="D7843">
        <v>0</v>
      </c>
      <c r="E7843">
        <v>1</v>
      </c>
      <c r="F7843" s="7">
        <v>10757.28</v>
      </c>
      <c r="G7843">
        <v>0</v>
      </c>
      <c r="H7843" s="7">
        <v>0</v>
      </c>
    </row>
    <row r="7844" spans="1:8">
      <c r="A7844">
        <v>7</v>
      </c>
      <c r="B7844" t="s">
        <v>43</v>
      </c>
      <c r="C7844" t="s">
        <v>35</v>
      </c>
      <c r="D7844">
        <v>0</v>
      </c>
      <c r="E7844">
        <v>1</v>
      </c>
      <c r="F7844" s="7">
        <v>817307.46</v>
      </c>
      <c r="G7844">
        <v>0</v>
      </c>
      <c r="H7844" s="7">
        <v>0</v>
      </c>
    </row>
    <row r="7845" spans="1:8">
      <c r="A7845">
        <v>7</v>
      </c>
      <c r="B7845" t="s">
        <v>42</v>
      </c>
      <c r="C7845" t="s">
        <v>33</v>
      </c>
      <c r="D7845">
        <v>0</v>
      </c>
      <c r="E7845">
        <v>1</v>
      </c>
      <c r="F7845" s="7">
        <v>4658.88</v>
      </c>
      <c r="G7845">
        <v>0</v>
      </c>
      <c r="H7845" s="7">
        <v>0</v>
      </c>
    </row>
    <row r="7846" spans="1:8">
      <c r="A7846">
        <v>7</v>
      </c>
      <c r="B7846" t="s">
        <v>44</v>
      </c>
      <c r="C7846" t="s">
        <v>35</v>
      </c>
      <c r="D7846">
        <v>0</v>
      </c>
      <c r="E7846">
        <v>1</v>
      </c>
      <c r="F7846" s="7">
        <v>331229.81</v>
      </c>
      <c r="G7846">
        <v>0</v>
      </c>
      <c r="H7846" s="7">
        <v>0</v>
      </c>
    </row>
    <row r="7847" spans="1:8">
      <c r="A7847">
        <v>7</v>
      </c>
      <c r="B7847" t="s">
        <v>42</v>
      </c>
      <c r="C7847" t="s">
        <v>33</v>
      </c>
      <c r="D7847">
        <v>0</v>
      </c>
      <c r="E7847">
        <v>1</v>
      </c>
      <c r="F7847" s="7">
        <v>4708.6</v>
      </c>
      <c r="G7847">
        <v>0</v>
      </c>
      <c r="H7847" s="7">
        <v>0</v>
      </c>
    </row>
    <row r="7848" spans="1:8">
      <c r="A7848">
        <v>7</v>
      </c>
      <c r="B7848" t="s">
        <v>43</v>
      </c>
      <c r="C7848" t="s">
        <v>35</v>
      </c>
      <c r="D7848">
        <v>0</v>
      </c>
      <c r="E7848">
        <v>1</v>
      </c>
      <c r="F7848" s="7">
        <v>160710.01</v>
      </c>
      <c r="G7848">
        <v>0</v>
      </c>
      <c r="H7848" s="7">
        <v>0</v>
      </c>
    </row>
    <row r="7849" spans="1:8">
      <c r="A7849">
        <v>7</v>
      </c>
      <c r="B7849" t="s">
        <v>42</v>
      </c>
      <c r="C7849" t="s">
        <v>33</v>
      </c>
      <c r="D7849">
        <v>0</v>
      </c>
      <c r="E7849">
        <v>1</v>
      </c>
      <c r="F7849" s="7">
        <v>7440.6</v>
      </c>
      <c r="G7849">
        <v>0</v>
      </c>
      <c r="H7849" s="7">
        <v>0</v>
      </c>
    </row>
    <row r="7850" spans="1:8">
      <c r="A7850">
        <v>7</v>
      </c>
      <c r="B7850" t="s">
        <v>42</v>
      </c>
      <c r="C7850" t="s">
        <v>33</v>
      </c>
      <c r="D7850">
        <v>0</v>
      </c>
      <c r="E7850">
        <v>1</v>
      </c>
      <c r="F7850" s="7">
        <v>1874.02</v>
      </c>
      <c r="G7850">
        <v>0</v>
      </c>
      <c r="H7850" s="7">
        <v>0</v>
      </c>
    </row>
    <row r="7851" spans="1:8">
      <c r="A7851">
        <v>7</v>
      </c>
      <c r="B7851" t="s">
        <v>46</v>
      </c>
      <c r="C7851" t="s">
        <v>35</v>
      </c>
      <c r="D7851">
        <v>0</v>
      </c>
      <c r="E7851">
        <v>1</v>
      </c>
      <c r="F7851" s="7">
        <v>283263.79</v>
      </c>
      <c r="G7851">
        <v>0</v>
      </c>
      <c r="H7851" s="7">
        <v>0</v>
      </c>
    </row>
    <row r="7852" spans="1:8">
      <c r="A7852">
        <v>7</v>
      </c>
      <c r="B7852" t="s">
        <v>42</v>
      </c>
      <c r="C7852" t="s">
        <v>33</v>
      </c>
      <c r="D7852">
        <v>0</v>
      </c>
      <c r="E7852">
        <v>1</v>
      </c>
      <c r="F7852" s="7">
        <v>1952.41</v>
      </c>
      <c r="G7852">
        <v>0</v>
      </c>
      <c r="H7852" s="7">
        <v>0</v>
      </c>
    </row>
    <row r="7853" spans="1:8">
      <c r="A7853">
        <v>7</v>
      </c>
      <c r="B7853" t="s">
        <v>42</v>
      </c>
      <c r="C7853" t="s">
        <v>32</v>
      </c>
      <c r="D7853">
        <v>0</v>
      </c>
      <c r="E7853">
        <v>1</v>
      </c>
      <c r="F7853" s="7">
        <v>2.39</v>
      </c>
      <c r="G7853">
        <v>0</v>
      </c>
      <c r="H7853" s="7">
        <v>0</v>
      </c>
    </row>
    <row r="7854" spans="1:8">
      <c r="A7854">
        <v>7</v>
      </c>
      <c r="B7854" t="s">
        <v>42</v>
      </c>
      <c r="C7854" t="s">
        <v>33</v>
      </c>
      <c r="D7854">
        <v>0</v>
      </c>
      <c r="E7854">
        <v>1</v>
      </c>
      <c r="F7854" s="7">
        <v>6772.71</v>
      </c>
      <c r="G7854">
        <v>0</v>
      </c>
      <c r="H7854" s="7">
        <v>0</v>
      </c>
    </row>
    <row r="7855" spans="1:8">
      <c r="A7855">
        <v>7</v>
      </c>
      <c r="B7855" t="s">
        <v>42</v>
      </c>
      <c r="C7855" t="s">
        <v>33</v>
      </c>
      <c r="D7855">
        <v>0</v>
      </c>
      <c r="E7855">
        <v>1</v>
      </c>
      <c r="F7855" s="7">
        <v>8065.93</v>
      </c>
      <c r="G7855">
        <v>0</v>
      </c>
      <c r="H7855" s="7">
        <v>0</v>
      </c>
    </row>
    <row r="7856" spans="1:8">
      <c r="A7856">
        <v>7</v>
      </c>
      <c r="B7856" t="s">
        <v>43</v>
      </c>
      <c r="C7856" t="s">
        <v>35</v>
      </c>
      <c r="D7856">
        <v>0</v>
      </c>
      <c r="E7856">
        <v>1</v>
      </c>
      <c r="F7856" s="7">
        <v>226837.37</v>
      </c>
      <c r="G7856">
        <v>0</v>
      </c>
      <c r="H7856" s="7">
        <v>0</v>
      </c>
    </row>
    <row r="7857" spans="1:8">
      <c r="A7857">
        <v>7</v>
      </c>
      <c r="B7857" t="s">
        <v>42</v>
      </c>
      <c r="C7857" t="s">
        <v>33</v>
      </c>
      <c r="D7857">
        <v>0</v>
      </c>
      <c r="E7857">
        <v>1</v>
      </c>
      <c r="F7857" s="7">
        <v>6183.38</v>
      </c>
      <c r="G7857">
        <v>0</v>
      </c>
      <c r="H7857" s="7">
        <v>0</v>
      </c>
    </row>
    <row r="7858" spans="1:8">
      <c r="A7858">
        <v>7</v>
      </c>
      <c r="B7858" t="s">
        <v>42</v>
      </c>
      <c r="C7858" t="s">
        <v>33</v>
      </c>
      <c r="D7858">
        <v>0</v>
      </c>
      <c r="E7858">
        <v>1</v>
      </c>
      <c r="F7858" s="7">
        <v>2366.88</v>
      </c>
      <c r="G7858">
        <v>0</v>
      </c>
      <c r="H7858" s="7">
        <v>0</v>
      </c>
    </row>
    <row r="7859" spans="1:8">
      <c r="A7859">
        <v>7</v>
      </c>
      <c r="B7859" t="s">
        <v>42</v>
      </c>
      <c r="C7859" t="s">
        <v>33</v>
      </c>
      <c r="D7859">
        <v>0</v>
      </c>
      <c r="E7859">
        <v>1</v>
      </c>
      <c r="F7859" s="7">
        <v>6746.37</v>
      </c>
      <c r="G7859">
        <v>0</v>
      </c>
      <c r="H7859" s="7">
        <v>0</v>
      </c>
    </row>
    <row r="7860" spans="1:8">
      <c r="A7860">
        <v>7</v>
      </c>
      <c r="B7860" t="s">
        <v>43</v>
      </c>
      <c r="C7860" t="s">
        <v>35</v>
      </c>
      <c r="D7860">
        <v>0</v>
      </c>
      <c r="E7860">
        <v>1</v>
      </c>
      <c r="F7860" s="7">
        <v>420976.7</v>
      </c>
      <c r="G7860">
        <v>0</v>
      </c>
      <c r="H7860" s="7">
        <v>0</v>
      </c>
    </row>
    <row r="7861" spans="1:8">
      <c r="A7861">
        <v>7</v>
      </c>
      <c r="B7861" t="s">
        <v>42</v>
      </c>
      <c r="C7861" t="s">
        <v>32</v>
      </c>
      <c r="D7861">
        <v>0</v>
      </c>
      <c r="E7861">
        <v>1</v>
      </c>
      <c r="F7861" s="7">
        <v>219.68</v>
      </c>
      <c r="G7861">
        <v>0</v>
      </c>
      <c r="H7861" s="7">
        <v>0</v>
      </c>
    </row>
    <row r="7862" spans="1:8">
      <c r="A7862">
        <v>7</v>
      </c>
      <c r="B7862" t="s">
        <v>46</v>
      </c>
      <c r="C7862" t="s">
        <v>35</v>
      </c>
      <c r="D7862">
        <v>0</v>
      </c>
      <c r="E7862">
        <v>1</v>
      </c>
      <c r="F7862" s="7">
        <v>281620.9</v>
      </c>
      <c r="G7862">
        <v>0</v>
      </c>
      <c r="H7862" s="7">
        <v>0</v>
      </c>
    </row>
    <row r="7863" spans="1:8">
      <c r="A7863">
        <v>7</v>
      </c>
      <c r="B7863" t="s">
        <v>42</v>
      </c>
      <c r="C7863" t="s">
        <v>34</v>
      </c>
      <c r="D7863">
        <v>0</v>
      </c>
      <c r="E7863">
        <v>1</v>
      </c>
      <c r="F7863" s="7">
        <v>10937.55</v>
      </c>
      <c r="G7863">
        <v>0</v>
      </c>
      <c r="H7863" s="7">
        <v>0</v>
      </c>
    </row>
    <row r="7864" spans="1:8">
      <c r="A7864">
        <v>7</v>
      </c>
      <c r="B7864" t="s">
        <v>46</v>
      </c>
      <c r="C7864" t="s">
        <v>35</v>
      </c>
      <c r="D7864">
        <v>0</v>
      </c>
      <c r="E7864">
        <v>1</v>
      </c>
      <c r="F7864" s="7">
        <v>165049.65</v>
      </c>
      <c r="G7864">
        <v>0</v>
      </c>
      <c r="H7864" s="7">
        <v>0</v>
      </c>
    </row>
    <row r="7865" spans="1:8">
      <c r="A7865">
        <v>7</v>
      </c>
      <c r="B7865" t="s">
        <v>42</v>
      </c>
      <c r="C7865" t="s">
        <v>33</v>
      </c>
      <c r="D7865">
        <v>0</v>
      </c>
      <c r="E7865">
        <v>1</v>
      </c>
      <c r="F7865" s="7">
        <v>4322.08</v>
      </c>
      <c r="G7865">
        <v>0</v>
      </c>
      <c r="H7865" s="7">
        <v>0</v>
      </c>
    </row>
    <row r="7866" spans="1:8">
      <c r="A7866">
        <v>7</v>
      </c>
      <c r="B7866" t="s">
        <v>42</v>
      </c>
      <c r="C7866" t="s">
        <v>33</v>
      </c>
      <c r="D7866">
        <v>0</v>
      </c>
      <c r="E7866">
        <v>1</v>
      </c>
      <c r="F7866" s="7">
        <v>4672.36</v>
      </c>
      <c r="G7866">
        <v>0</v>
      </c>
      <c r="H7866" s="7">
        <v>0</v>
      </c>
    </row>
    <row r="7867" spans="1:8">
      <c r="A7867">
        <v>7</v>
      </c>
      <c r="B7867" t="s">
        <v>46</v>
      </c>
      <c r="C7867" t="s">
        <v>35</v>
      </c>
      <c r="D7867">
        <v>0</v>
      </c>
      <c r="E7867">
        <v>1</v>
      </c>
      <c r="F7867" s="7">
        <v>130597.52</v>
      </c>
      <c r="G7867">
        <v>0</v>
      </c>
      <c r="H7867" s="7">
        <v>0</v>
      </c>
    </row>
    <row r="7868" spans="1:8">
      <c r="A7868">
        <v>7</v>
      </c>
      <c r="B7868" t="s">
        <v>42</v>
      </c>
      <c r="C7868" t="s">
        <v>33</v>
      </c>
      <c r="D7868">
        <v>0</v>
      </c>
      <c r="E7868">
        <v>1</v>
      </c>
      <c r="F7868" s="7">
        <v>1294.8</v>
      </c>
      <c r="G7868">
        <v>0</v>
      </c>
      <c r="H7868" s="7">
        <v>0</v>
      </c>
    </row>
    <row r="7869" spans="1:8">
      <c r="A7869">
        <v>7</v>
      </c>
      <c r="B7869" t="s">
        <v>46</v>
      </c>
      <c r="C7869" t="s">
        <v>35</v>
      </c>
      <c r="D7869">
        <v>0</v>
      </c>
      <c r="E7869">
        <v>1</v>
      </c>
      <c r="F7869" s="7">
        <v>143860.77</v>
      </c>
      <c r="G7869">
        <v>0</v>
      </c>
      <c r="H7869" s="7">
        <v>0</v>
      </c>
    </row>
    <row r="7870" spans="1:8">
      <c r="A7870">
        <v>7</v>
      </c>
      <c r="B7870" t="s">
        <v>44</v>
      </c>
      <c r="C7870" t="s">
        <v>35</v>
      </c>
      <c r="D7870">
        <v>0</v>
      </c>
      <c r="E7870">
        <v>1</v>
      </c>
      <c r="F7870" s="7">
        <v>151940.71</v>
      </c>
      <c r="G7870">
        <v>0</v>
      </c>
      <c r="H7870" s="7">
        <v>0</v>
      </c>
    </row>
    <row r="7871" spans="1:8">
      <c r="A7871">
        <v>7</v>
      </c>
      <c r="B7871" t="s">
        <v>42</v>
      </c>
      <c r="C7871" t="s">
        <v>33</v>
      </c>
      <c r="D7871">
        <v>0</v>
      </c>
      <c r="E7871">
        <v>1</v>
      </c>
      <c r="F7871" s="7">
        <v>8869.78</v>
      </c>
      <c r="G7871">
        <v>0</v>
      </c>
      <c r="H7871" s="7">
        <v>0</v>
      </c>
    </row>
    <row r="7872" spans="1:8">
      <c r="A7872">
        <v>7</v>
      </c>
      <c r="B7872" t="s">
        <v>42</v>
      </c>
      <c r="C7872" t="s">
        <v>33</v>
      </c>
      <c r="D7872">
        <v>0</v>
      </c>
      <c r="E7872">
        <v>1</v>
      </c>
      <c r="F7872" s="7">
        <v>4041.77</v>
      </c>
      <c r="G7872">
        <v>0</v>
      </c>
      <c r="H7872" s="7">
        <v>0</v>
      </c>
    </row>
    <row r="7873" spans="1:8">
      <c r="A7873">
        <v>7</v>
      </c>
      <c r="B7873" t="s">
        <v>42</v>
      </c>
      <c r="C7873" t="s">
        <v>33</v>
      </c>
      <c r="D7873">
        <v>0</v>
      </c>
      <c r="E7873">
        <v>1</v>
      </c>
      <c r="F7873" s="7">
        <v>2018.64</v>
      </c>
      <c r="G7873">
        <v>0</v>
      </c>
      <c r="H7873" s="7">
        <v>0</v>
      </c>
    </row>
    <row r="7874" spans="1:8">
      <c r="A7874">
        <v>7</v>
      </c>
      <c r="B7874" t="s">
        <v>42</v>
      </c>
      <c r="C7874" t="s">
        <v>34</v>
      </c>
      <c r="D7874">
        <v>0</v>
      </c>
      <c r="E7874">
        <v>1</v>
      </c>
      <c r="F7874" s="7">
        <v>15933.16</v>
      </c>
      <c r="G7874">
        <v>0</v>
      </c>
      <c r="H7874" s="7">
        <v>0</v>
      </c>
    </row>
    <row r="7875" spans="1:8">
      <c r="A7875">
        <v>7</v>
      </c>
      <c r="B7875" t="s">
        <v>43</v>
      </c>
      <c r="C7875" t="s">
        <v>34</v>
      </c>
      <c r="D7875">
        <v>0</v>
      </c>
      <c r="E7875">
        <v>1</v>
      </c>
      <c r="F7875" s="7">
        <v>77911.42</v>
      </c>
      <c r="G7875">
        <v>0</v>
      </c>
      <c r="H7875" s="7">
        <v>0</v>
      </c>
    </row>
    <row r="7876" spans="1:8">
      <c r="A7876">
        <v>7</v>
      </c>
      <c r="B7876" t="s">
        <v>42</v>
      </c>
      <c r="C7876" t="s">
        <v>33</v>
      </c>
      <c r="D7876">
        <v>0</v>
      </c>
      <c r="E7876">
        <v>1</v>
      </c>
      <c r="F7876" s="7">
        <v>6094.01</v>
      </c>
      <c r="G7876">
        <v>0</v>
      </c>
      <c r="H7876" s="7">
        <v>0</v>
      </c>
    </row>
    <row r="7877" spans="1:8">
      <c r="A7877">
        <v>7</v>
      </c>
      <c r="B7877" t="s">
        <v>44</v>
      </c>
      <c r="C7877" t="s">
        <v>34</v>
      </c>
      <c r="D7877">
        <v>0</v>
      </c>
      <c r="E7877">
        <v>1</v>
      </c>
      <c r="F7877" s="7">
        <v>47317.52</v>
      </c>
      <c r="G7877">
        <v>0</v>
      </c>
      <c r="H7877" s="7">
        <v>0</v>
      </c>
    </row>
    <row r="7878" spans="1:8">
      <c r="A7878">
        <v>7</v>
      </c>
      <c r="B7878" t="s">
        <v>42</v>
      </c>
      <c r="C7878" t="s">
        <v>33</v>
      </c>
      <c r="D7878">
        <v>0</v>
      </c>
      <c r="E7878">
        <v>1</v>
      </c>
      <c r="F7878" s="7">
        <v>8249.72</v>
      </c>
      <c r="G7878">
        <v>0</v>
      </c>
      <c r="H7878" s="7">
        <v>0</v>
      </c>
    </row>
    <row r="7879" spans="1:8">
      <c r="A7879">
        <v>7</v>
      </c>
      <c r="B7879" t="s">
        <v>44</v>
      </c>
      <c r="C7879" t="s">
        <v>34</v>
      </c>
      <c r="D7879">
        <v>0</v>
      </c>
      <c r="E7879">
        <v>1</v>
      </c>
      <c r="F7879" s="7">
        <v>69954.85</v>
      </c>
      <c r="G7879">
        <v>0</v>
      </c>
      <c r="H7879" s="7">
        <v>0</v>
      </c>
    </row>
    <row r="7880" spans="1:8">
      <c r="A7880">
        <v>7</v>
      </c>
      <c r="B7880" t="s">
        <v>44</v>
      </c>
      <c r="C7880" t="s">
        <v>35</v>
      </c>
      <c r="D7880">
        <v>0</v>
      </c>
      <c r="E7880">
        <v>1</v>
      </c>
      <c r="F7880" s="7">
        <v>233539.88</v>
      </c>
      <c r="G7880">
        <v>0</v>
      </c>
      <c r="H7880" s="7">
        <v>0</v>
      </c>
    </row>
    <row r="7881" spans="1:8">
      <c r="A7881">
        <v>7</v>
      </c>
      <c r="B7881" t="s">
        <v>42</v>
      </c>
      <c r="C7881" t="s">
        <v>33</v>
      </c>
      <c r="D7881">
        <v>0</v>
      </c>
      <c r="E7881">
        <v>1</v>
      </c>
      <c r="F7881" s="7">
        <v>4314.27</v>
      </c>
      <c r="G7881">
        <v>0</v>
      </c>
      <c r="H7881" s="7">
        <v>0</v>
      </c>
    </row>
    <row r="7882" spans="1:8">
      <c r="A7882">
        <v>7</v>
      </c>
      <c r="B7882" t="s">
        <v>43</v>
      </c>
      <c r="C7882" t="s">
        <v>35</v>
      </c>
      <c r="D7882">
        <v>0</v>
      </c>
      <c r="E7882">
        <v>1</v>
      </c>
      <c r="F7882" s="7">
        <v>328026.09</v>
      </c>
      <c r="G7882">
        <v>0</v>
      </c>
      <c r="H7882" s="7">
        <v>0</v>
      </c>
    </row>
    <row r="7883" spans="1:8">
      <c r="A7883">
        <v>7</v>
      </c>
      <c r="B7883" t="s">
        <v>42</v>
      </c>
      <c r="C7883" t="s">
        <v>33</v>
      </c>
      <c r="D7883">
        <v>0</v>
      </c>
      <c r="E7883">
        <v>1</v>
      </c>
      <c r="F7883" s="7">
        <v>5276.97</v>
      </c>
      <c r="G7883">
        <v>0</v>
      </c>
      <c r="H7883" s="7">
        <v>0</v>
      </c>
    </row>
    <row r="7884" spans="1:8">
      <c r="A7884">
        <v>7</v>
      </c>
      <c r="B7884" t="s">
        <v>42</v>
      </c>
      <c r="C7884" t="s">
        <v>33</v>
      </c>
      <c r="D7884">
        <v>0</v>
      </c>
      <c r="E7884">
        <v>1</v>
      </c>
      <c r="F7884" s="7">
        <v>6112.72</v>
      </c>
      <c r="G7884">
        <v>0</v>
      </c>
      <c r="H7884" s="7">
        <v>0</v>
      </c>
    </row>
    <row r="7885" spans="1:8">
      <c r="A7885">
        <v>7</v>
      </c>
      <c r="B7885" t="s">
        <v>42</v>
      </c>
      <c r="C7885" t="s">
        <v>33</v>
      </c>
      <c r="D7885">
        <v>0</v>
      </c>
      <c r="E7885">
        <v>1</v>
      </c>
      <c r="F7885" s="7">
        <v>4736.45</v>
      </c>
      <c r="G7885">
        <v>0</v>
      </c>
      <c r="H7885" s="7">
        <v>0</v>
      </c>
    </row>
    <row r="7886" spans="1:8">
      <c r="A7886">
        <v>7</v>
      </c>
      <c r="B7886" t="s">
        <v>42</v>
      </c>
      <c r="C7886" t="s">
        <v>33</v>
      </c>
      <c r="D7886">
        <v>0</v>
      </c>
      <c r="E7886">
        <v>1</v>
      </c>
      <c r="F7886" s="7">
        <v>5111.64</v>
      </c>
      <c r="G7886">
        <v>0</v>
      </c>
      <c r="H7886" s="7">
        <v>0</v>
      </c>
    </row>
    <row r="7887" spans="1:8">
      <c r="A7887">
        <v>7</v>
      </c>
      <c r="B7887" t="s">
        <v>42</v>
      </c>
      <c r="C7887" t="s">
        <v>33</v>
      </c>
      <c r="D7887">
        <v>0</v>
      </c>
      <c r="E7887">
        <v>1</v>
      </c>
      <c r="F7887" s="7">
        <v>6799.88</v>
      </c>
      <c r="G7887">
        <v>0</v>
      </c>
      <c r="H7887" s="7">
        <v>0</v>
      </c>
    </row>
    <row r="7888" spans="1:8">
      <c r="A7888">
        <v>7</v>
      </c>
      <c r="B7888" t="s">
        <v>43</v>
      </c>
      <c r="C7888" t="s">
        <v>35</v>
      </c>
      <c r="D7888">
        <v>0</v>
      </c>
      <c r="E7888">
        <v>1</v>
      </c>
      <c r="F7888" s="7">
        <v>221158.99</v>
      </c>
      <c r="G7888">
        <v>0</v>
      </c>
      <c r="H7888" s="7">
        <v>0</v>
      </c>
    </row>
    <row r="7889" spans="1:8">
      <c r="A7889">
        <v>7</v>
      </c>
      <c r="B7889" t="s">
        <v>46</v>
      </c>
      <c r="C7889" t="s">
        <v>34</v>
      </c>
      <c r="D7889">
        <v>0</v>
      </c>
      <c r="E7889">
        <v>1</v>
      </c>
      <c r="F7889" s="7">
        <v>93081.43</v>
      </c>
      <c r="G7889">
        <v>0</v>
      </c>
      <c r="H7889" s="7">
        <v>0</v>
      </c>
    </row>
    <row r="7890" spans="1:8">
      <c r="A7890">
        <v>7</v>
      </c>
      <c r="B7890" t="s">
        <v>46</v>
      </c>
      <c r="C7890" t="s">
        <v>34</v>
      </c>
      <c r="D7890">
        <v>0</v>
      </c>
      <c r="E7890">
        <v>1</v>
      </c>
      <c r="F7890" s="7">
        <v>39336.08</v>
      </c>
      <c r="G7890">
        <v>0</v>
      </c>
      <c r="H7890" s="7">
        <v>0</v>
      </c>
    </row>
    <row r="7891" spans="1:8">
      <c r="A7891">
        <v>7</v>
      </c>
      <c r="B7891" t="s">
        <v>46</v>
      </c>
      <c r="C7891" t="s">
        <v>35</v>
      </c>
      <c r="D7891">
        <v>0</v>
      </c>
      <c r="E7891">
        <v>1</v>
      </c>
      <c r="F7891" s="7">
        <v>201289.94</v>
      </c>
      <c r="G7891">
        <v>0</v>
      </c>
      <c r="H7891" s="7">
        <v>0</v>
      </c>
    </row>
    <row r="7892" spans="1:8">
      <c r="A7892">
        <v>7</v>
      </c>
      <c r="B7892" t="s">
        <v>46</v>
      </c>
      <c r="C7892" t="s">
        <v>35</v>
      </c>
      <c r="D7892">
        <v>0</v>
      </c>
      <c r="E7892">
        <v>1</v>
      </c>
      <c r="F7892" s="7">
        <v>225438.37</v>
      </c>
      <c r="G7892">
        <v>0</v>
      </c>
      <c r="H7892" s="7">
        <v>0</v>
      </c>
    </row>
    <row r="7893" spans="1:8">
      <c r="A7893">
        <v>7</v>
      </c>
      <c r="B7893" t="s">
        <v>46</v>
      </c>
      <c r="C7893" t="s">
        <v>35</v>
      </c>
      <c r="D7893">
        <v>0</v>
      </c>
      <c r="E7893">
        <v>1</v>
      </c>
      <c r="F7893" s="7">
        <v>387222.06</v>
      </c>
      <c r="G7893">
        <v>0</v>
      </c>
      <c r="H7893" s="7">
        <v>0</v>
      </c>
    </row>
    <row r="7894" spans="1:8">
      <c r="A7894">
        <v>7</v>
      </c>
      <c r="B7894" t="s">
        <v>46</v>
      </c>
      <c r="C7894" t="s">
        <v>34</v>
      </c>
      <c r="D7894">
        <v>0</v>
      </c>
      <c r="E7894">
        <v>1</v>
      </c>
      <c r="F7894" s="7">
        <v>84367.69</v>
      </c>
      <c r="G7894">
        <v>0</v>
      </c>
      <c r="H7894" s="7">
        <v>0</v>
      </c>
    </row>
    <row r="7895" spans="1:8">
      <c r="A7895">
        <v>7</v>
      </c>
      <c r="B7895" t="s">
        <v>46</v>
      </c>
      <c r="C7895" t="s">
        <v>35</v>
      </c>
      <c r="D7895">
        <v>0</v>
      </c>
      <c r="E7895">
        <v>1</v>
      </c>
      <c r="F7895" s="7">
        <v>521813.61</v>
      </c>
      <c r="G7895">
        <v>0</v>
      </c>
      <c r="H7895" s="7">
        <v>0</v>
      </c>
    </row>
    <row r="7896" spans="1:8">
      <c r="A7896">
        <v>7</v>
      </c>
      <c r="B7896" t="s">
        <v>46</v>
      </c>
      <c r="C7896" t="s">
        <v>35</v>
      </c>
      <c r="D7896">
        <v>0</v>
      </c>
      <c r="E7896">
        <v>1</v>
      </c>
      <c r="F7896" s="7">
        <v>217950.88</v>
      </c>
      <c r="G7896">
        <v>0</v>
      </c>
      <c r="H7896" s="7">
        <v>0</v>
      </c>
    </row>
    <row r="7897" spans="1:8">
      <c r="A7897">
        <v>7</v>
      </c>
      <c r="B7897" t="s">
        <v>46</v>
      </c>
      <c r="C7897" t="s">
        <v>35</v>
      </c>
      <c r="D7897">
        <v>0</v>
      </c>
      <c r="E7897">
        <v>1</v>
      </c>
      <c r="F7897" s="7">
        <v>133997.01</v>
      </c>
      <c r="G7897">
        <v>0</v>
      </c>
      <c r="H7897" s="7">
        <v>0</v>
      </c>
    </row>
    <row r="7898" spans="1:8">
      <c r="A7898">
        <v>7</v>
      </c>
      <c r="B7898" t="s">
        <v>46</v>
      </c>
      <c r="C7898" t="s">
        <v>35</v>
      </c>
      <c r="D7898">
        <v>0</v>
      </c>
      <c r="E7898">
        <v>1</v>
      </c>
      <c r="F7898" s="7">
        <v>474739.89</v>
      </c>
      <c r="G7898">
        <v>0</v>
      </c>
      <c r="H7898" s="7">
        <v>0</v>
      </c>
    </row>
    <row r="7899" spans="1:8">
      <c r="A7899">
        <v>7</v>
      </c>
      <c r="B7899" t="s">
        <v>46</v>
      </c>
      <c r="C7899" t="s">
        <v>35</v>
      </c>
      <c r="D7899">
        <v>0</v>
      </c>
      <c r="E7899">
        <v>1</v>
      </c>
      <c r="F7899" s="7">
        <v>332258.01</v>
      </c>
      <c r="G7899">
        <v>0</v>
      </c>
      <c r="H7899" s="7">
        <v>0</v>
      </c>
    </row>
    <row r="7900" spans="1:8">
      <c r="A7900">
        <v>7</v>
      </c>
      <c r="B7900" t="s">
        <v>46</v>
      </c>
      <c r="C7900" t="s">
        <v>34</v>
      </c>
      <c r="D7900">
        <v>0</v>
      </c>
      <c r="E7900">
        <v>1</v>
      </c>
      <c r="F7900" s="7">
        <v>85034.63</v>
      </c>
      <c r="G7900">
        <v>0</v>
      </c>
      <c r="H7900" s="7">
        <v>0</v>
      </c>
    </row>
    <row r="7901" spans="1:8">
      <c r="A7901">
        <v>7</v>
      </c>
      <c r="B7901" t="s">
        <v>46</v>
      </c>
      <c r="C7901" t="s">
        <v>34</v>
      </c>
      <c r="D7901">
        <v>0</v>
      </c>
      <c r="E7901">
        <v>1</v>
      </c>
      <c r="F7901" s="7">
        <v>19080.47</v>
      </c>
      <c r="G7901">
        <v>0</v>
      </c>
      <c r="H7901" s="7">
        <v>0</v>
      </c>
    </row>
    <row r="7902" spans="1:8">
      <c r="A7902">
        <v>7</v>
      </c>
      <c r="B7902" t="s">
        <v>46</v>
      </c>
      <c r="C7902" t="s">
        <v>35</v>
      </c>
      <c r="D7902">
        <v>0</v>
      </c>
      <c r="E7902">
        <v>1</v>
      </c>
      <c r="F7902" s="7">
        <v>104427.87</v>
      </c>
      <c r="G7902">
        <v>0</v>
      </c>
      <c r="H7902" s="7">
        <v>0</v>
      </c>
    </row>
    <row r="7903" spans="1:8">
      <c r="A7903">
        <v>7</v>
      </c>
      <c r="B7903" t="s">
        <v>46</v>
      </c>
      <c r="C7903" t="s">
        <v>35</v>
      </c>
      <c r="D7903">
        <v>0</v>
      </c>
      <c r="E7903">
        <v>1</v>
      </c>
      <c r="F7903" s="7">
        <v>183861.9</v>
      </c>
      <c r="G7903">
        <v>0</v>
      </c>
      <c r="H7903" s="7">
        <v>0</v>
      </c>
    </row>
    <row r="7904" spans="1:8">
      <c r="A7904">
        <v>7</v>
      </c>
      <c r="B7904" t="s">
        <v>46</v>
      </c>
      <c r="C7904" t="s">
        <v>34</v>
      </c>
      <c r="D7904">
        <v>0</v>
      </c>
      <c r="E7904">
        <v>1</v>
      </c>
      <c r="F7904" s="7">
        <v>81967.65</v>
      </c>
      <c r="G7904">
        <v>0</v>
      </c>
      <c r="H7904" s="7">
        <v>0</v>
      </c>
    </row>
    <row r="7905" spans="1:8">
      <c r="A7905">
        <v>7</v>
      </c>
      <c r="B7905" t="s">
        <v>46</v>
      </c>
      <c r="C7905" t="s">
        <v>35</v>
      </c>
      <c r="D7905">
        <v>0</v>
      </c>
      <c r="E7905">
        <v>1</v>
      </c>
      <c r="F7905" s="7">
        <v>102072.07</v>
      </c>
      <c r="G7905">
        <v>0</v>
      </c>
      <c r="H7905" s="7">
        <v>0</v>
      </c>
    </row>
    <row r="7906" spans="1:8">
      <c r="A7906">
        <v>7</v>
      </c>
      <c r="B7906" t="s">
        <v>46</v>
      </c>
      <c r="C7906" t="s">
        <v>34</v>
      </c>
      <c r="D7906">
        <v>0</v>
      </c>
      <c r="E7906">
        <v>1</v>
      </c>
      <c r="F7906" s="7">
        <v>69185.05</v>
      </c>
      <c r="G7906">
        <v>0</v>
      </c>
      <c r="H7906" s="7">
        <v>0</v>
      </c>
    </row>
    <row r="7907" spans="1:8">
      <c r="A7907">
        <v>7</v>
      </c>
      <c r="B7907" t="s">
        <v>46</v>
      </c>
      <c r="C7907" t="s">
        <v>35</v>
      </c>
      <c r="D7907">
        <v>0</v>
      </c>
      <c r="E7907">
        <v>1</v>
      </c>
      <c r="F7907" s="7">
        <v>316959.89</v>
      </c>
      <c r="G7907">
        <v>0</v>
      </c>
      <c r="H7907" s="7">
        <v>0</v>
      </c>
    </row>
    <row r="7908" spans="1:8">
      <c r="A7908">
        <v>7</v>
      </c>
      <c r="B7908" t="s">
        <v>46</v>
      </c>
      <c r="C7908" t="s">
        <v>34</v>
      </c>
      <c r="D7908">
        <v>0</v>
      </c>
      <c r="E7908">
        <v>1</v>
      </c>
      <c r="F7908" s="7">
        <v>58292.75</v>
      </c>
      <c r="G7908">
        <v>0</v>
      </c>
      <c r="H7908" s="7">
        <v>0</v>
      </c>
    </row>
    <row r="7909" spans="1:8">
      <c r="A7909">
        <v>7</v>
      </c>
      <c r="B7909" t="s">
        <v>46</v>
      </c>
      <c r="C7909" t="s">
        <v>34</v>
      </c>
      <c r="D7909">
        <v>0</v>
      </c>
      <c r="E7909">
        <v>1</v>
      </c>
      <c r="F7909" s="7">
        <v>10256.2</v>
      </c>
      <c r="G7909">
        <v>0</v>
      </c>
      <c r="H7909" s="7">
        <v>0</v>
      </c>
    </row>
    <row r="7910" spans="1:8">
      <c r="A7910">
        <v>7</v>
      </c>
      <c r="B7910" t="s">
        <v>46</v>
      </c>
      <c r="C7910" t="s">
        <v>33</v>
      </c>
      <c r="D7910">
        <v>0</v>
      </c>
      <c r="E7910">
        <v>1</v>
      </c>
      <c r="F7910" s="7">
        <v>3433</v>
      </c>
      <c r="G7910">
        <v>0</v>
      </c>
      <c r="H7910" s="7">
        <v>0</v>
      </c>
    </row>
    <row r="7911" spans="1:8">
      <c r="A7911">
        <v>7</v>
      </c>
      <c r="B7911" t="s">
        <v>46</v>
      </c>
      <c r="C7911" t="s">
        <v>34</v>
      </c>
      <c r="D7911">
        <v>0</v>
      </c>
      <c r="E7911">
        <v>1</v>
      </c>
      <c r="F7911" s="7">
        <v>49378.84</v>
      </c>
      <c r="G7911">
        <v>0</v>
      </c>
      <c r="H7911" s="7">
        <v>0</v>
      </c>
    </row>
    <row r="7912" spans="1:8">
      <c r="A7912">
        <v>7</v>
      </c>
      <c r="B7912" t="s">
        <v>46</v>
      </c>
      <c r="C7912" t="s">
        <v>34</v>
      </c>
      <c r="D7912">
        <v>0</v>
      </c>
      <c r="E7912">
        <v>1</v>
      </c>
      <c r="F7912" s="7">
        <v>36773.05</v>
      </c>
      <c r="G7912">
        <v>0</v>
      </c>
      <c r="H7912" s="7">
        <v>0</v>
      </c>
    </row>
    <row r="7913" spans="1:8">
      <c r="A7913">
        <v>7</v>
      </c>
      <c r="B7913" t="s">
        <v>46</v>
      </c>
      <c r="C7913" t="s">
        <v>34</v>
      </c>
      <c r="D7913">
        <v>0</v>
      </c>
      <c r="E7913">
        <v>1</v>
      </c>
      <c r="F7913" s="7">
        <v>17488.73</v>
      </c>
      <c r="G7913">
        <v>0</v>
      </c>
      <c r="H7913" s="7">
        <v>0</v>
      </c>
    </row>
    <row r="7914" spans="1:8">
      <c r="A7914">
        <v>7</v>
      </c>
      <c r="B7914" t="s">
        <v>46</v>
      </c>
      <c r="C7914" t="s">
        <v>35</v>
      </c>
      <c r="D7914">
        <v>0</v>
      </c>
      <c r="E7914">
        <v>1</v>
      </c>
      <c r="F7914" s="7">
        <v>217136.62</v>
      </c>
      <c r="G7914">
        <v>0</v>
      </c>
      <c r="H7914" s="7">
        <v>0</v>
      </c>
    </row>
    <row r="7915" spans="1:8">
      <c r="A7915">
        <v>7</v>
      </c>
      <c r="B7915" t="s">
        <v>46</v>
      </c>
      <c r="C7915" t="s">
        <v>35</v>
      </c>
      <c r="D7915">
        <v>0</v>
      </c>
      <c r="E7915">
        <v>1</v>
      </c>
      <c r="F7915" s="7">
        <v>203443.12</v>
      </c>
      <c r="G7915">
        <v>0</v>
      </c>
      <c r="H7915" s="7">
        <v>0</v>
      </c>
    </row>
    <row r="7916" spans="1:8">
      <c r="A7916">
        <v>7</v>
      </c>
      <c r="B7916" t="s">
        <v>46</v>
      </c>
      <c r="C7916" t="s">
        <v>35</v>
      </c>
      <c r="D7916">
        <v>0</v>
      </c>
      <c r="E7916">
        <v>1</v>
      </c>
      <c r="F7916" s="7">
        <v>497735.31</v>
      </c>
      <c r="G7916">
        <v>0</v>
      </c>
      <c r="H7916" s="7">
        <v>0</v>
      </c>
    </row>
    <row r="7917" spans="1:8">
      <c r="A7917">
        <v>7</v>
      </c>
      <c r="B7917" t="s">
        <v>46</v>
      </c>
      <c r="C7917" t="s">
        <v>35</v>
      </c>
      <c r="D7917">
        <v>0</v>
      </c>
      <c r="E7917">
        <v>1</v>
      </c>
      <c r="F7917" s="7">
        <v>105342.59</v>
      </c>
      <c r="G7917">
        <v>0</v>
      </c>
      <c r="H7917" s="7">
        <v>0</v>
      </c>
    </row>
    <row r="7918" spans="1:8">
      <c r="A7918">
        <v>7</v>
      </c>
      <c r="B7918" t="s">
        <v>46</v>
      </c>
      <c r="C7918" t="s">
        <v>35</v>
      </c>
      <c r="D7918">
        <v>0</v>
      </c>
      <c r="E7918">
        <v>1</v>
      </c>
      <c r="F7918" s="7">
        <v>166315.21</v>
      </c>
      <c r="G7918">
        <v>0</v>
      </c>
      <c r="H7918" s="7">
        <v>0</v>
      </c>
    </row>
    <row r="7919" spans="1:8">
      <c r="A7919">
        <v>7</v>
      </c>
      <c r="B7919" t="s">
        <v>46</v>
      </c>
      <c r="C7919" t="s">
        <v>35</v>
      </c>
      <c r="D7919">
        <v>0</v>
      </c>
      <c r="E7919">
        <v>1</v>
      </c>
      <c r="F7919" s="7">
        <v>443285.86</v>
      </c>
      <c r="G7919">
        <v>0</v>
      </c>
      <c r="H7919" s="7">
        <v>0</v>
      </c>
    </row>
    <row r="7920" spans="1:8">
      <c r="A7920">
        <v>7</v>
      </c>
      <c r="B7920" t="s">
        <v>46</v>
      </c>
      <c r="C7920" t="s">
        <v>35</v>
      </c>
      <c r="D7920">
        <v>0</v>
      </c>
      <c r="E7920">
        <v>1</v>
      </c>
      <c r="F7920" s="7">
        <v>107581.14</v>
      </c>
      <c r="G7920">
        <v>0</v>
      </c>
      <c r="H7920" s="7">
        <v>0</v>
      </c>
    </row>
    <row r="7921" spans="1:8">
      <c r="A7921">
        <v>7</v>
      </c>
      <c r="B7921" t="s">
        <v>46</v>
      </c>
      <c r="C7921" t="s">
        <v>34</v>
      </c>
      <c r="D7921">
        <v>0</v>
      </c>
      <c r="E7921">
        <v>1</v>
      </c>
      <c r="F7921" s="7">
        <v>24252.98</v>
      </c>
      <c r="G7921">
        <v>0</v>
      </c>
      <c r="H7921" s="7">
        <v>0</v>
      </c>
    </row>
    <row r="7922" spans="1:8">
      <c r="A7922">
        <v>7</v>
      </c>
      <c r="B7922" t="s">
        <v>46</v>
      </c>
      <c r="C7922" t="s">
        <v>35</v>
      </c>
      <c r="D7922">
        <v>0</v>
      </c>
      <c r="E7922">
        <v>1</v>
      </c>
      <c r="F7922" s="7">
        <v>180389.34</v>
      </c>
      <c r="G7922">
        <v>0</v>
      </c>
      <c r="H7922" s="7">
        <v>0</v>
      </c>
    </row>
    <row r="7923" spans="1:8">
      <c r="A7923">
        <v>7</v>
      </c>
      <c r="B7923" t="s">
        <v>46</v>
      </c>
      <c r="C7923" t="s">
        <v>34</v>
      </c>
      <c r="D7923">
        <v>0</v>
      </c>
      <c r="E7923">
        <v>1</v>
      </c>
      <c r="F7923" s="7">
        <v>27863.15</v>
      </c>
      <c r="G7923">
        <v>0</v>
      </c>
      <c r="H7923" s="7">
        <v>0</v>
      </c>
    </row>
    <row r="7924" spans="1:8">
      <c r="A7924">
        <v>7</v>
      </c>
      <c r="B7924" t="s">
        <v>46</v>
      </c>
      <c r="C7924" t="s">
        <v>35</v>
      </c>
      <c r="D7924">
        <v>0</v>
      </c>
      <c r="E7924">
        <v>1</v>
      </c>
      <c r="F7924" s="7">
        <v>101582.06</v>
      </c>
      <c r="G7924">
        <v>0</v>
      </c>
      <c r="H7924" s="7">
        <v>0</v>
      </c>
    </row>
    <row r="7925" spans="1:8">
      <c r="A7925">
        <v>7</v>
      </c>
      <c r="B7925" t="s">
        <v>46</v>
      </c>
      <c r="C7925" t="s">
        <v>35</v>
      </c>
      <c r="D7925">
        <v>0</v>
      </c>
      <c r="E7925">
        <v>1</v>
      </c>
      <c r="F7925" s="7">
        <v>223662.13</v>
      </c>
      <c r="G7925">
        <v>0</v>
      </c>
      <c r="H7925" s="7">
        <v>0</v>
      </c>
    </row>
    <row r="7926" spans="1:8">
      <c r="A7926">
        <v>7</v>
      </c>
      <c r="B7926" t="s">
        <v>46</v>
      </c>
      <c r="C7926" t="s">
        <v>35</v>
      </c>
      <c r="D7926">
        <v>0</v>
      </c>
      <c r="E7926">
        <v>1</v>
      </c>
      <c r="F7926" s="7">
        <v>119473.2</v>
      </c>
      <c r="G7926">
        <v>0</v>
      </c>
      <c r="H7926" s="7">
        <v>0</v>
      </c>
    </row>
    <row r="7927" spans="1:8">
      <c r="A7927">
        <v>7</v>
      </c>
      <c r="B7927" t="s">
        <v>46</v>
      </c>
      <c r="C7927" t="s">
        <v>34</v>
      </c>
      <c r="D7927">
        <v>0</v>
      </c>
      <c r="E7927">
        <v>1</v>
      </c>
      <c r="F7927" s="7">
        <v>57911.56</v>
      </c>
      <c r="G7927">
        <v>0</v>
      </c>
      <c r="H7927" s="7">
        <v>0</v>
      </c>
    </row>
    <row r="7928" spans="1:8">
      <c r="A7928">
        <v>7</v>
      </c>
      <c r="B7928" t="s">
        <v>46</v>
      </c>
      <c r="C7928" t="s">
        <v>34</v>
      </c>
      <c r="D7928">
        <v>0</v>
      </c>
      <c r="E7928">
        <v>1</v>
      </c>
      <c r="F7928" s="7">
        <v>22459.28</v>
      </c>
      <c r="G7928">
        <v>0</v>
      </c>
      <c r="H7928" s="7">
        <v>0</v>
      </c>
    </row>
    <row r="7929" spans="1:8">
      <c r="A7929">
        <v>7</v>
      </c>
      <c r="B7929" t="s">
        <v>46</v>
      </c>
      <c r="C7929" t="s">
        <v>34</v>
      </c>
      <c r="D7929">
        <v>0</v>
      </c>
      <c r="E7929">
        <v>1</v>
      </c>
      <c r="F7929" s="7">
        <v>32185.19</v>
      </c>
      <c r="G7929">
        <v>0</v>
      </c>
      <c r="H7929" s="7">
        <v>0</v>
      </c>
    </row>
    <row r="7930" spans="1:8">
      <c r="A7930">
        <v>7</v>
      </c>
      <c r="B7930" t="s">
        <v>46</v>
      </c>
      <c r="C7930" t="s">
        <v>35</v>
      </c>
      <c r="D7930">
        <v>0</v>
      </c>
      <c r="E7930">
        <v>1</v>
      </c>
      <c r="F7930" s="7">
        <v>222204.07</v>
      </c>
      <c r="G7930">
        <v>0</v>
      </c>
      <c r="H7930" s="7">
        <v>0</v>
      </c>
    </row>
    <row r="7931" spans="1:8">
      <c r="A7931">
        <v>7</v>
      </c>
      <c r="B7931" t="s">
        <v>46</v>
      </c>
      <c r="C7931" t="s">
        <v>35</v>
      </c>
      <c r="D7931">
        <v>0</v>
      </c>
      <c r="E7931">
        <v>1</v>
      </c>
      <c r="F7931" s="7">
        <v>120410.76</v>
      </c>
      <c r="G7931">
        <v>0</v>
      </c>
      <c r="H7931" s="7">
        <v>0</v>
      </c>
    </row>
    <row r="7932" spans="1:8">
      <c r="A7932">
        <v>7</v>
      </c>
      <c r="B7932" t="s">
        <v>46</v>
      </c>
      <c r="C7932" t="s">
        <v>35</v>
      </c>
      <c r="D7932">
        <v>0</v>
      </c>
      <c r="E7932">
        <v>1</v>
      </c>
      <c r="F7932" s="7">
        <v>188878.92</v>
      </c>
      <c r="G7932">
        <v>0</v>
      </c>
      <c r="H7932" s="7">
        <v>0</v>
      </c>
    </row>
    <row r="7933" spans="1:8">
      <c r="A7933">
        <v>7</v>
      </c>
      <c r="B7933" t="s">
        <v>46</v>
      </c>
      <c r="C7933" t="s">
        <v>34</v>
      </c>
      <c r="D7933">
        <v>0</v>
      </c>
      <c r="E7933">
        <v>1</v>
      </c>
      <c r="F7933" s="7">
        <v>16774.9</v>
      </c>
      <c r="G7933">
        <v>0</v>
      </c>
      <c r="H7933" s="7">
        <v>0</v>
      </c>
    </row>
    <row r="7934" spans="1:8">
      <c r="A7934">
        <v>7</v>
      </c>
      <c r="B7934" t="s">
        <v>46</v>
      </c>
      <c r="C7934" t="s">
        <v>35</v>
      </c>
      <c r="D7934">
        <v>0</v>
      </c>
      <c r="E7934">
        <v>1</v>
      </c>
      <c r="F7934" s="7">
        <v>194628.84</v>
      </c>
      <c r="G7934">
        <v>0</v>
      </c>
      <c r="H7934" s="7">
        <v>0</v>
      </c>
    </row>
    <row r="7935" spans="1:8">
      <c r="A7935">
        <v>7</v>
      </c>
      <c r="B7935" t="s">
        <v>46</v>
      </c>
      <c r="C7935" t="s">
        <v>34</v>
      </c>
      <c r="D7935">
        <v>0</v>
      </c>
      <c r="E7935">
        <v>1</v>
      </c>
      <c r="F7935" s="7">
        <v>32564.14</v>
      </c>
      <c r="G7935">
        <v>0</v>
      </c>
      <c r="H7935" s="7">
        <v>0</v>
      </c>
    </row>
    <row r="7936" spans="1:8">
      <c r="A7936">
        <v>7</v>
      </c>
      <c r="B7936" t="s">
        <v>46</v>
      </c>
      <c r="C7936" t="s">
        <v>34</v>
      </c>
      <c r="D7936">
        <v>0</v>
      </c>
      <c r="E7936">
        <v>1</v>
      </c>
      <c r="F7936" s="7">
        <v>29898.01</v>
      </c>
      <c r="G7936">
        <v>0</v>
      </c>
      <c r="H7936" s="7">
        <v>0</v>
      </c>
    </row>
    <row r="7937" spans="1:8">
      <c r="A7937">
        <v>7</v>
      </c>
      <c r="B7937" t="s">
        <v>46</v>
      </c>
      <c r="C7937" t="s">
        <v>35</v>
      </c>
      <c r="D7937">
        <v>0</v>
      </c>
      <c r="E7937">
        <v>1</v>
      </c>
      <c r="F7937" s="7">
        <v>146850.79</v>
      </c>
      <c r="G7937">
        <v>0</v>
      </c>
      <c r="H7937" s="7">
        <v>0</v>
      </c>
    </row>
    <row r="7938" spans="1:8">
      <c r="A7938">
        <v>7</v>
      </c>
      <c r="B7938" t="s">
        <v>46</v>
      </c>
      <c r="C7938" t="s">
        <v>33</v>
      </c>
      <c r="D7938">
        <v>0</v>
      </c>
      <c r="E7938">
        <v>1</v>
      </c>
      <c r="F7938" s="7">
        <v>8893.16</v>
      </c>
      <c r="G7938">
        <v>0</v>
      </c>
      <c r="H7938" s="7">
        <v>0</v>
      </c>
    </row>
    <row r="7939" spans="1:8">
      <c r="A7939">
        <v>7</v>
      </c>
      <c r="B7939" t="s">
        <v>46</v>
      </c>
      <c r="C7939" t="s">
        <v>35</v>
      </c>
      <c r="D7939">
        <v>0</v>
      </c>
      <c r="E7939">
        <v>1</v>
      </c>
      <c r="F7939" s="7">
        <v>170422.95</v>
      </c>
      <c r="G7939">
        <v>0</v>
      </c>
      <c r="H7939" s="7">
        <v>0</v>
      </c>
    </row>
    <row r="7940" spans="1:8">
      <c r="A7940">
        <v>7</v>
      </c>
      <c r="B7940" t="s">
        <v>46</v>
      </c>
      <c r="C7940" t="s">
        <v>35</v>
      </c>
      <c r="D7940">
        <v>0</v>
      </c>
      <c r="E7940">
        <v>1</v>
      </c>
      <c r="F7940" s="7">
        <v>147849.9</v>
      </c>
      <c r="G7940">
        <v>0</v>
      </c>
      <c r="H7940" s="7">
        <v>0</v>
      </c>
    </row>
    <row r="7941" spans="1:8">
      <c r="A7941">
        <v>7</v>
      </c>
      <c r="B7941" t="s">
        <v>46</v>
      </c>
      <c r="C7941" t="s">
        <v>34</v>
      </c>
      <c r="D7941">
        <v>0</v>
      </c>
      <c r="E7941">
        <v>1</v>
      </c>
      <c r="F7941" s="7">
        <v>11587.98</v>
      </c>
      <c r="G7941">
        <v>0</v>
      </c>
      <c r="H7941" s="7">
        <v>0</v>
      </c>
    </row>
    <row r="7942" spans="1:8">
      <c r="A7942">
        <v>7</v>
      </c>
      <c r="B7942" t="s">
        <v>46</v>
      </c>
      <c r="C7942" t="s">
        <v>35</v>
      </c>
      <c r="D7942">
        <v>0</v>
      </c>
      <c r="E7942">
        <v>1</v>
      </c>
      <c r="F7942" s="7">
        <v>145667.12</v>
      </c>
      <c r="G7942">
        <v>0</v>
      </c>
      <c r="H7942" s="7">
        <v>0</v>
      </c>
    </row>
    <row r="7943" spans="1:8">
      <c r="A7943">
        <v>7</v>
      </c>
      <c r="B7943" t="s">
        <v>46</v>
      </c>
      <c r="C7943" t="s">
        <v>33</v>
      </c>
      <c r="D7943">
        <v>0</v>
      </c>
      <c r="E7943">
        <v>1</v>
      </c>
      <c r="F7943" s="7">
        <v>6970.58</v>
      </c>
      <c r="G7943">
        <v>0</v>
      </c>
      <c r="H7943" s="7">
        <v>0</v>
      </c>
    </row>
    <row r="7944" spans="1:8">
      <c r="A7944">
        <v>7</v>
      </c>
      <c r="B7944" t="s">
        <v>46</v>
      </c>
      <c r="C7944" t="s">
        <v>34</v>
      </c>
      <c r="D7944">
        <v>0</v>
      </c>
      <c r="E7944">
        <v>1</v>
      </c>
      <c r="F7944" s="7">
        <v>89533.09</v>
      </c>
      <c r="G7944">
        <v>0</v>
      </c>
      <c r="H7944" s="7">
        <v>0</v>
      </c>
    </row>
    <row r="7945" spans="1:8">
      <c r="A7945">
        <v>7</v>
      </c>
      <c r="B7945" t="s">
        <v>46</v>
      </c>
      <c r="C7945" t="s">
        <v>34</v>
      </c>
      <c r="D7945">
        <v>0</v>
      </c>
      <c r="E7945">
        <v>1</v>
      </c>
      <c r="F7945" s="7">
        <v>86072.98</v>
      </c>
      <c r="G7945">
        <v>0</v>
      </c>
      <c r="H7945" s="7">
        <v>0</v>
      </c>
    </row>
    <row r="7946" spans="1:8">
      <c r="A7946">
        <v>7</v>
      </c>
      <c r="B7946" t="s">
        <v>46</v>
      </c>
      <c r="C7946" t="s">
        <v>35</v>
      </c>
      <c r="D7946">
        <v>0</v>
      </c>
      <c r="E7946">
        <v>1</v>
      </c>
      <c r="F7946" s="7">
        <v>265361.44</v>
      </c>
      <c r="G7946">
        <v>0</v>
      </c>
      <c r="H7946" s="7">
        <v>0</v>
      </c>
    </row>
    <row r="7947" spans="1:8">
      <c r="A7947">
        <v>7</v>
      </c>
      <c r="B7947" t="s">
        <v>46</v>
      </c>
      <c r="C7947" t="s">
        <v>35</v>
      </c>
      <c r="D7947">
        <v>0</v>
      </c>
      <c r="E7947">
        <v>1</v>
      </c>
      <c r="F7947" s="7">
        <v>183992.49</v>
      </c>
      <c r="G7947">
        <v>0</v>
      </c>
      <c r="H7947" s="7">
        <v>0</v>
      </c>
    </row>
    <row r="7948" spans="1:8">
      <c r="A7948">
        <v>7</v>
      </c>
      <c r="B7948" t="s">
        <v>46</v>
      </c>
      <c r="C7948" t="s">
        <v>35</v>
      </c>
      <c r="D7948">
        <v>0</v>
      </c>
      <c r="E7948">
        <v>1</v>
      </c>
      <c r="F7948" s="7">
        <v>297162.61</v>
      </c>
      <c r="G7948">
        <v>0</v>
      </c>
      <c r="H7948" s="7">
        <v>0</v>
      </c>
    </row>
    <row r="7949" spans="1:8">
      <c r="A7949">
        <v>7</v>
      </c>
      <c r="B7949" t="s">
        <v>46</v>
      </c>
      <c r="C7949" t="s">
        <v>35</v>
      </c>
      <c r="D7949">
        <v>0</v>
      </c>
      <c r="E7949">
        <v>1</v>
      </c>
      <c r="F7949" s="7">
        <v>263566.2</v>
      </c>
      <c r="G7949">
        <v>0</v>
      </c>
      <c r="H7949" s="7">
        <v>0</v>
      </c>
    </row>
    <row r="7950" spans="1:8">
      <c r="A7950">
        <v>7</v>
      </c>
      <c r="B7950" t="s">
        <v>46</v>
      </c>
      <c r="C7950" t="s">
        <v>34</v>
      </c>
      <c r="D7950">
        <v>0</v>
      </c>
      <c r="E7950">
        <v>1</v>
      </c>
      <c r="F7950" s="7">
        <v>65600.8</v>
      </c>
      <c r="G7950">
        <v>0</v>
      </c>
      <c r="H7950" s="7">
        <v>0</v>
      </c>
    </row>
    <row r="7951" spans="1:8">
      <c r="A7951">
        <v>7</v>
      </c>
      <c r="B7951" t="s">
        <v>46</v>
      </c>
      <c r="C7951" t="s">
        <v>35</v>
      </c>
      <c r="D7951">
        <v>0</v>
      </c>
      <c r="E7951">
        <v>1</v>
      </c>
      <c r="F7951" s="7">
        <v>230777.73</v>
      </c>
      <c r="G7951">
        <v>0</v>
      </c>
      <c r="H7951" s="7">
        <v>0</v>
      </c>
    </row>
    <row r="7952" spans="1:8">
      <c r="A7952">
        <v>7</v>
      </c>
      <c r="B7952" t="s">
        <v>46</v>
      </c>
      <c r="C7952" t="s">
        <v>34</v>
      </c>
      <c r="D7952">
        <v>0</v>
      </c>
      <c r="E7952">
        <v>1</v>
      </c>
      <c r="F7952" s="7">
        <v>79074.37</v>
      </c>
      <c r="G7952">
        <v>0</v>
      </c>
      <c r="H7952" s="7">
        <v>0</v>
      </c>
    </row>
    <row r="7953" spans="1:8">
      <c r="A7953">
        <v>7</v>
      </c>
      <c r="B7953" t="s">
        <v>46</v>
      </c>
      <c r="C7953" t="s">
        <v>35</v>
      </c>
      <c r="D7953">
        <v>0</v>
      </c>
      <c r="E7953">
        <v>1</v>
      </c>
      <c r="F7953" s="7">
        <v>476710.9</v>
      </c>
      <c r="G7953">
        <v>0</v>
      </c>
      <c r="H7953" s="7">
        <v>0</v>
      </c>
    </row>
    <row r="7954" spans="1:8">
      <c r="A7954">
        <v>7</v>
      </c>
      <c r="B7954" t="s">
        <v>46</v>
      </c>
      <c r="C7954" t="s">
        <v>35</v>
      </c>
      <c r="D7954">
        <v>0</v>
      </c>
      <c r="E7954">
        <v>1</v>
      </c>
      <c r="F7954" s="7">
        <v>269362.19</v>
      </c>
      <c r="G7954">
        <v>0</v>
      </c>
      <c r="H7954" s="7">
        <v>0</v>
      </c>
    </row>
    <row r="7955" spans="1:8">
      <c r="A7955">
        <v>7</v>
      </c>
      <c r="B7955" t="s">
        <v>46</v>
      </c>
      <c r="C7955" t="s">
        <v>35</v>
      </c>
      <c r="D7955">
        <v>0</v>
      </c>
      <c r="E7955">
        <v>1</v>
      </c>
      <c r="F7955" s="7">
        <v>231808.43</v>
      </c>
      <c r="G7955">
        <v>0</v>
      </c>
      <c r="H7955" s="7">
        <v>0</v>
      </c>
    </row>
    <row r="7956" spans="1:8">
      <c r="A7956">
        <v>7</v>
      </c>
      <c r="B7956" t="s">
        <v>42</v>
      </c>
      <c r="C7956" t="s">
        <v>33</v>
      </c>
      <c r="D7956">
        <v>0</v>
      </c>
      <c r="E7956">
        <v>1</v>
      </c>
      <c r="F7956" s="7">
        <v>7629.75</v>
      </c>
      <c r="G7956">
        <v>0</v>
      </c>
      <c r="H7956" s="7">
        <v>0</v>
      </c>
    </row>
    <row r="7957" spans="1:8">
      <c r="A7957">
        <v>7</v>
      </c>
      <c r="B7957" t="s">
        <v>42</v>
      </c>
      <c r="C7957" t="s">
        <v>33</v>
      </c>
      <c r="D7957">
        <v>0</v>
      </c>
      <c r="E7957">
        <v>1</v>
      </c>
      <c r="F7957" s="7">
        <v>3431.74</v>
      </c>
      <c r="G7957">
        <v>0</v>
      </c>
      <c r="H7957" s="7">
        <v>0</v>
      </c>
    </row>
    <row r="7958" spans="1:8">
      <c r="A7958">
        <v>7</v>
      </c>
      <c r="B7958" t="s">
        <v>45</v>
      </c>
      <c r="C7958" t="s">
        <v>33</v>
      </c>
      <c r="D7958">
        <v>0</v>
      </c>
      <c r="E7958">
        <v>1</v>
      </c>
      <c r="F7958" s="7">
        <v>2579.01</v>
      </c>
      <c r="G7958">
        <v>0</v>
      </c>
      <c r="H7958" s="7">
        <v>0</v>
      </c>
    </row>
    <row r="7959" spans="1:8">
      <c r="A7959">
        <v>7</v>
      </c>
      <c r="B7959" t="s">
        <v>42</v>
      </c>
      <c r="C7959" t="s">
        <v>34</v>
      </c>
      <c r="D7959">
        <v>0</v>
      </c>
      <c r="E7959">
        <v>1</v>
      </c>
      <c r="F7959" s="7">
        <v>12351.68</v>
      </c>
      <c r="G7959">
        <v>0</v>
      </c>
      <c r="H7959" s="7">
        <v>0</v>
      </c>
    </row>
    <row r="7960" spans="1:8">
      <c r="A7960">
        <v>7</v>
      </c>
      <c r="B7960" t="s">
        <v>43</v>
      </c>
      <c r="C7960" t="s">
        <v>35</v>
      </c>
      <c r="D7960">
        <v>0</v>
      </c>
      <c r="E7960">
        <v>1</v>
      </c>
      <c r="F7960" s="7">
        <v>453605.59</v>
      </c>
      <c r="G7960">
        <v>0</v>
      </c>
      <c r="H7960" s="7">
        <v>0</v>
      </c>
    </row>
    <row r="7961" spans="1:8">
      <c r="A7961">
        <v>7</v>
      </c>
      <c r="B7961" t="s">
        <v>43</v>
      </c>
      <c r="C7961" t="s">
        <v>35</v>
      </c>
      <c r="D7961">
        <v>0</v>
      </c>
      <c r="E7961">
        <v>1</v>
      </c>
      <c r="F7961" s="7">
        <v>338961.93</v>
      </c>
      <c r="G7961">
        <v>0</v>
      </c>
      <c r="H7961" s="7">
        <v>0</v>
      </c>
    </row>
    <row r="7962" spans="1:8">
      <c r="A7962">
        <v>7</v>
      </c>
      <c r="B7962" t="s">
        <v>42</v>
      </c>
      <c r="C7962" t="s">
        <v>33</v>
      </c>
      <c r="D7962">
        <v>0</v>
      </c>
      <c r="E7962">
        <v>1</v>
      </c>
      <c r="F7962" s="7">
        <v>3580.42</v>
      </c>
      <c r="G7962">
        <v>0</v>
      </c>
      <c r="H7962" s="7">
        <v>0</v>
      </c>
    </row>
    <row r="7963" spans="1:8">
      <c r="A7963">
        <v>7</v>
      </c>
      <c r="B7963" t="s">
        <v>42</v>
      </c>
      <c r="C7963" t="s">
        <v>34</v>
      </c>
      <c r="D7963">
        <v>0</v>
      </c>
      <c r="E7963">
        <v>1</v>
      </c>
      <c r="F7963" s="7">
        <v>13071.27</v>
      </c>
      <c r="G7963">
        <v>0</v>
      </c>
      <c r="H7963" s="7">
        <v>0</v>
      </c>
    </row>
    <row r="7964" spans="1:8">
      <c r="A7964">
        <v>7</v>
      </c>
      <c r="B7964" t="s">
        <v>44</v>
      </c>
      <c r="C7964" t="s">
        <v>35</v>
      </c>
      <c r="D7964">
        <v>0</v>
      </c>
      <c r="E7964">
        <v>1</v>
      </c>
      <c r="F7964" s="7">
        <v>383568.25</v>
      </c>
      <c r="G7964">
        <v>0</v>
      </c>
      <c r="H7964" s="7">
        <v>0</v>
      </c>
    </row>
    <row r="7965" spans="1:8">
      <c r="A7965">
        <v>7</v>
      </c>
      <c r="B7965" t="s">
        <v>42</v>
      </c>
      <c r="C7965" t="s">
        <v>33</v>
      </c>
      <c r="D7965">
        <v>0</v>
      </c>
      <c r="E7965">
        <v>1</v>
      </c>
      <c r="F7965" s="7">
        <v>9763.77</v>
      </c>
      <c r="G7965">
        <v>0</v>
      </c>
      <c r="H7965" s="7">
        <v>0</v>
      </c>
    </row>
    <row r="7966" spans="1:8">
      <c r="A7966">
        <v>7</v>
      </c>
      <c r="B7966" t="s">
        <v>45</v>
      </c>
      <c r="C7966" t="s">
        <v>33</v>
      </c>
      <c r="D7966">
        <v>0</v>
      </c>
      <c r="E7966">
        <v>1</v>
      </c>
      <c r="F7966" s="7">
        <v>1476.27</v>
      </c>
      <c r="G7966">
        <v>0</v>
      </c>
      <c r="H7966" s="7">
        <v>0</v>
      </c>
    </row>
    <row r="7967" spans="1:8">
      <c r="A7967">
        <v>7</v>
      </c>
      <c r="B7967" t="s">
        <v>42</v>
      </c>
      <c r="C7967" t="s">
        <v>33</v>
      </c>
      <c r="D7967">
        <v>0</v>
      </c>
      <c r="E7967">
        <v>1</v>
      </c>
      <c r="F7967" s="7">
        <v>4230.69</v>
      </c>
      <c r="G7967">
        <v>0</v>
      </c>
      <c r="H7967" s="7">
        <v>0</v>
      </c>
    </row>
    <row r="7968" spans="1:8">
      <c r="A7968">
        <v>7</v>
      </c>
      <c r="B7968" t="s">
        <v>43</v>
      </c>
      <c r="C7968" t="s">
        <v>35</v>
      </c>
      <c r="D7968">
        <v>0</v>
      </c>
      <c r="E7968">
        <v>1</v>
      </c>
      <c r="F7968" s="7">
        <v>295474.84</v>
      </c>
      <c r="G7968">
        <v>0</v>
      </c>
      <c r="H7968" s="7">
        <v>0</v>
      </c>
    </row>
    <row r="7969" spans="1:8">
      <c r="A7969">
        <v>7</v>
      </c>
      <c r="B7969" t="s">
        <v>42</v>
      </c>
      <c r="C7969" t="s">
        <v>34</v>
      </c>
      <c r="D7969">
        <v>0</v>
      </c>
      <c r="E7969">
        <v>1</v>
      </c>
      <c r="F7969" s="7">
        <v>10827.23</v>
      </c>
      <c r="G7969">
        <v>0</v>
      </c>
      <c r="H7969" s="7">
        <v>0</v>
      </c>
    </row>
    <row r="7970" spans="1:8">
      <c r="A7970">
        <v>7</v>
      </c>
      <c r="B7970" t="s">
        <v>42</v>
      </c>
      <c r="C7970" t="s">
        <v>34</v>
      </c>
      <c r="D7970">
        <v>0</v>
      </c>
      <c r="E7970">
        <v>1</v>
      </c>
      <c r="F7970" s="7">
        <v>21230.26</v>
      </c>
      <c r="G7970">
        <v>0</v>
      </c>
      <c r="H7970" s="7">
        <v>0</v>
      </c>
    </row>
    <row r="7971" spans="1:8">
      <c r="A7971">
        <v>7</v>
      </c>
      <c r="B7971" t="s">
        <v>43</v>
      </c>
      <c r="C7971" t="s">
        <v>34</v>
      </c>
      <c r="D7971">
        <v>0</v>
      </c>
      <c r="E7971">
        <v>1</v>
      </c>
      <c r="F7971" s="7">
        <v>27755.35</v>
      </c>
      <c r="G7971">
        <v>0</v>
      </c>
      <c r="H7971" s="7">
        <v>0</v>
      </c>
    </row>
    <row r="7972" spans="1:8">
      <c r="A7972">
        <v>7</v>
      </c>
      <c r="B7972" t="s">
        <v>43</v>
      </c>
      <c r="C7972" t="s">
        <v>36</v>
      </c>
      <c r="D7972">
        <v>0</v>
      </c>
      <c r="E7972">
        <v>1</v>
      </c>
      <c r="F7972" s="7">
        <v>1223547.78</v>
      </c>
      <c r="G7972">
        <v>0</v>
      </c>
      <c r="H7972" s="7">
        <v>0</v>
      </c>
    </row>
    <row r="7973" spans="1:8">
      <c r="A7973">
        <v>7</v>
      </c>
      <c r="B7973" t="s">
        <v>42</v>
      </c>
      <c r="C7973" t="s">
        <v>32</v>
      </c>
      <c r="D7973">
        <v>0</v>
      </c>
      <c r="E7973">
        <v>1</v>
      </c>
      <c r="F7973" s="7">
        <v>551.48</v>
      </c>
      <c r="G7973">
        <v>0</v>
      </c>
      <c r="H7973" s="7">
        <v>0</v>
      </c>
    </row>
    <row r="7974" spans="1:8">
      <c r="A7974">
        <v>7</v>
      </c>
      <c r="B7974" t="s">
        <v>42</v>
      </c>
      <c r="C7974" t="s">
        <v>33</v>
      </c>
      <c r="D7974">
        <v>0</v>
      </c>
      <c r="E7974">
        <v>1</v>
      </c>
      <c r="F7974" s="7">
        <v>1146.54</v>
      </c>
      <c r="G7974">
        <v>0</v>
      </c>
      <c r="H7974" s="7">
        <v>0</v>
      </c>
    </row>
    <row r="7975" spans="1:8">
      <c r="A7975">
        <v>7</v>
      </c>
      <c r="B7975" t="s">
        <v>44</v>
      </c>
      <c r="C7975" t="s">
        <v>34</v>
      </c>
      <c r="D7975">
        <v>0</v>
      </c>
      <c r="E7975">
        <v>1</v>
      </c>
      <c r="F7975" s="7">
        <v>77565.79</v>
      </c>
      <c r="G7975">
        <v>0</v>
      </c>
      <c r="H7975" s="7">
        <v>0</v>
      </c>
    </row>
    <row r="7976" spans="1:8">
      <c r="A7976">
        <v>7</v>
      </c>
      <c r="B7976" t="s">
        <v>42</v>
      </c>
      <c r="C7976" t="s">
        <v>33</v>
      </c>
      <c r="D7976">
        <v>0</v>
      </c>
      <c r="E7976">
        <v>1</v>
      </c>
      <c r="F7976" s="7">
        <v>8287.96</v>
      </c>
      <c r="G7976">
        <v>0</v>
      </c>
      <c r="H7976" s="7">
        <v>0</v>
      </c>
    </row>
    <row r="7977" spans="1:8">
      <c r="A7977">
        <v>7</v>
      </c>
      <c r="B7977" t="s">
        <v>42</v>
      </c>
      <c r="C7977" t="s">
        <v>33</v>
      </c>
      <c r="D7977">
        <v>0</v>
      </c>
      <c r="E7977">
        <v>1</v>
      </c>
      <c r="F7977" s="7">
        <v>8502.04</v>
      </c>
      <c r="G7977">
        <v>0</v>
      </c>
      <c r="H7977" s="7">
        <v>0</v>
      </c>
    </row>
    <row r="7978" spans="1:8">
      <c r="A7978">
        <v>7</v>
      </c>
      <c r="B7978" t="s">
        <v>42</v>
      </c>
      <c r="C7978" t="s">
        <v>34</v>
      </c>
      <c r="D7978">
        <v>0</v>
      </c>
      <c r="E7978">
        <v>1</v>
      </c>
      <c r="F7978" s="7">
        <v>11496.9</v>
      </c>
      <c r="G7978">
        <v>0</v>
      </c>
      <c r="H7978" s="7">
        <v>0</v>
      </c>
    </row>
    <row r="7979" spans="1:8">
      <c r="A7979">
        <v>7</v>
      </c>
      <c r="B7979" t="s">
        <v>42</v>
      </c>
      <c r="C7979" t="s">
        <v>33</v>
      </c>
      <c r="D7979">
        <v>0</v>
      </c>
      <c r="E7979">
        <v>1</v>
      </c>
      <c r="F7979" s="7">
        <v>7781.9</v>
      </c>
      <c r="G7979">
        <v>0</v>
      </c>
      <c r="H7979" s="7">
        <v>0</v>
      </c>
    </row>
    <row r="7980" spans="1:8">
      <c r="A7980">
        <v>7</v>
      </c>
      <c r="B7980" t="s">
        <v>42</v>
      </c>
      <c r="C7980" t="s">
        <v>34</v>
      </c>
      <c r="D7980">
        <v>0</v>
      </c>
      <c r="E7980">
        <v>1</v>
      </c>
      <c r="F7980" s="7">
        <v>15883.71</v>
      </c>
      <c r="G7980">
        <v>0</v>
      </c>
      <c r="H7980" s="7">
        <v>0</v>
      </c>
    </row>
    <row r="7981" spans="1:8">
      <c r="A7981">
        <v>7</v>
      </c>
      <c r="B7981" t="s">
        <v>42</v>
      </c>
      <c r="C7981" t="s">
        <v>34</v>
      </c>
      <c r="D7981">
        <v>0</v>
      </c>
      <c r="E7981">
        <v>1</v>
      </c>
      <c r="F7981" s="7">
        <v>22903.8</v>
      </c>
      <c r="G7981">
        <v>0</v>
      </c>
      <c r="H7981" s="7">
        <v>0</v>
      </c>
    </row>
    <row r="7982" spans="1:8">
      <c r="A7982">
        <v>7</v>
      </c>
      <c r="B7982" t="s">
        <v>42</v>
      </c>
      <c r="C7982" t="s">
        <v>34</v>
      </c>
      <c r="D7982">
        <v>0</v>
      </c>
      <c r="E7982">
        <v>1</v>
      </c>
      <c r="F7982" s="7">
        <v>22295.62</v>
      </c>
      <c r="G7982">
        <v>0</v>
      </c>
      <c r="H7982" s="7">
        <v>0</v>
      </c>
    </row>
    <row r="7983" spans="1:8">
      <c r="A7983">
        <v>7</v>
      </c>
      <c r="B7983" t="s">
        <v>42</v>
      </c>
      <c r="C7983" t="s">
        <v>34</v>
      </c>
      <c r="D7983">
        <v>0</v>
      </c>
      <c r="E7983">
        <v>1</v>
      </c>
      <c r="F7983" s="7">
        <v>68824.38</v>
      </c>
      <c r="G7983">
        <v>0</v>
      </c>
      <c r="H7983" s="7">
        <v>0</v>
      </c>
    </row>
    <row r="7984" spans="1:8">
      <c r="A7984">
        <v>7</v>
      </c>
      <c r="B7984" t="s">
        <v>42</v>
      </c>
      <c r="C7984" t="s">
        <v>34</v>
      </c>
      <c r="D7984">
        <v>0</v>
      </c>
      <c r="E7984">
        <v>1</v>
      </c>
      <c r="F7984" s="7">
        <v>13303.29</v>
      </c>
      <c r="G7984">
        <v>0</v>
      </c>
      <c r="H7984" s="7">
        <v>0</v>
      </c>
    </row>
    <row r="7985" spans="1:8">
      <c r="A7985">
        <v>7</v>
      </c>
      <c r="B7985" t="s">
        <v>42</v>
      </c>
      <c r="C7985" t="s">
        <v>34</v>
      </c>
      <c r="D7985">
        <v>0</v>
      </c>
      <c r="E7985">
        <v>1</v>
      </c>
      <c r="F7985" s="7">
        <v>10137.76</v>
      </c>
      <c r="G7985">
        <v>0</v>
      </c>
      <c r="H7985" s="7">
        <v>0</v>
      </c>
    </row>
    <row r="7986" spans="1:8">
      <c r="A7986">
        <v>7</v>
      </c>
      <c r="B7986" t="s">
        <v>42</v>
      </c>
      <c r="C7986" t="s">
        <v>34</v>
      </c>
      <c r="D7986">
        <v>0</v>
      </c>
      <c r="E7986">
        <v>1</v>
      </c>
      <c r="F7986" s="7">
        <v>10573.69</v>
      </c>
      <c r="G7986">
        <v>0</v>
      </c>
      <c r="H7986" s="7">
        <v>0</v>
      </c>
    </row>
    <row r="7987" spans="1:8">
      <c r="A7987">
        <v>7</v>
      </c>
      <c r="B7987" t="s">
        <v>42</v>
      </c>
      <c r="C7987" t="s">
        <v>33</v>
      </c>
      <c r="D7987">
        <v>0</v>
      </c>
      <c r="E7987">
        <v>1</v>
      </c>
      <c r="F7987" s="7">
        <v>6770.2</v>
      </c>
      <c r="G7987">
        <v>0</v>
      </c>
      <c r="H7987" s="7">
        <v>0</v>
      </c>
    </row>
    <row r="7988" spans="1:8">
      <c r="A7988">
        <v>7</v>
      </c>
      <c r="B7988" t="s">
        <v>42</v>
      </c>
      <c r="C7988" t="s">
        <v>34</v>
      </c>
      <c r="D7988">
        <v>0</v>
      </c>
      <c r="E7988">
        <v>1</v>
      </c>
      <c r="F7988" s="7">
        <v>17014.53</v>
      </c>
      <c r="G7988">
        <v>0</v>
      </c>
      <c r="H7988" s="7">
        <v>0</v>
      </c>
    </row>
    <row r="7989" spans="1:8">
      <c r="A7989">
        <v>7</v>
      </c>
      <c r="B7989" t="s">
        <v>42</v>
      </c>
      <c r="C7989" t="s">
        <v>34</v>
      </c>
      <c r="D7989">
        <v>0</v>
      </c>
      <c r="E7989">
        <v>1</v>
      </c>
      <c r="F7989" s="7">
        <v>14260.56</v>
      </c>
      <c r="G7989">
        <v>0</v>
      </c>
      <c r="H7989" s="7">
        <v>0</v>
      </c>
    </row>
    <row r="7990" spans="1:8">
      <c r="A7990">
        <v>7</v>
      </c>
      <c r="B7990" t="s">
        <v>42</v>
      </c>
      <c r="C7990" t="s">
        <v>33</v>
      </c>
      <c r="D7990">
        <v>0</v>
      </c>
      <c r="E7990">
        <v>1</v>
      </c>
      <c r="F7990" s="7">
        <v>5189.73</v>
      </c>
      <c r="G7990">
        <v>0</v>
      </c>
      <c r="H7990" s="7">
        <v>0</v>
      </c>
    </row>
    <row r="7991" spans="1:8">
      <c r="A7991">
        <v>7</v>
      </c>
      <c r="B7991" t="s">
        <v>42</v>
      </c>
      <c r="C7991" t="s">
        <v>33</v>
      </c>
      <c r="D7991">
        <v>0</v>
      </c>
      <c r="E7991">
        <v>1</v>
      </c>
      <c r="F7991" s="7">
        <v>6913.23</v>
      </c>
      <c r="G7991">
        <v>0</v>
      </c>
      <c r="H7991" s="7">
        <v>0</v>
      </c>
    </row>
    <row r="7992" spans="1:8">
      <c r="A7992">
        <v>7</v>
      </c>
      <c r="B7992" t="s">
        <v>42</v>
      </c>
      <c r="C7992" t="s">
        <v>33</v>
      </c>
      <c r="D7992">
        <v>0</v>
      </c>
      <c r="E7992">
        <v>1</v>
      </c>
      <c r="F7992" s="7">
        <v>3846.9</v>
      </c>
      <c r="G7992">
        <v>0</v>
      </c>
      <c r="H7992" s="7">
        <v>0</v>
      </c>
    </row>
    <row r="7993" spans="1:8">
      <c r="A7993">
        <v>7</v>
      </c>
      <c r="B7993" t="s">
        <v>42</v>
      </c>
      <c r="C7993" t="s">
        <v>33</v>
      </c>
      <c r="D7993">
        <v>0</v>
      </c>
      <c r="E7993">
        <v>1</v>
      </c>
      <c r="F7993" s="7">
        <v>4375.67</v>
      </c>
      <c r="G7993">
        <v>0</v>
      </c>
      <c r="H7993" s="7">
        <v>0</v>
      </c>
    </row>
    <row r="7994" spans="1:8">
      <c r="A7994">
        <v>7</v>
      </c>
      <c r="B7994" t="s">
        <v>42</v>
      </c>
      <c r="C7994" t="s">
        <v>34</v>
      </c>
      <c r="D7994">
        <v>0</v>
      </c>
      <c r="E7994">
        <v>1</v>
      </c>
      <c r="F7994" s="7">
        <v>19050.04</v>
      </c>
      <c r="G7994">
        <v>0</v>
      </c>
      <c r="H7994" s="7">
        <v>0</v>
      </c>
    </row>
    <row r="7995" spans="1:8">
      <c r="A7995">
        <v>7</v>
      </c>
      <c r="B7995" t="s">
        <v>42</v>
      </c>
      <c r="C7995" t="s">
        <v>33</v>
      </c>
      <c r="D7995">
        <v>0</v>
      </c>
      <c r="E7995">
        <v>1</v>
      </c>
      <c r="F7995" s="7">
        <v>1996.74</v>
      </c>
      <c r="G7995">
        <v>0</v>
      </c>
      <c r="H7995" s="7">
        <v>0</v>
      </c>
    </row>
    <row r="7996" spans="1:8">
      <c r="A7996">
        <v>7</v>
      </c>
      <c r="B7996" t="s">
        <v>42</v>
      </c>
      <c r="C7996" t="s">
        <v>33</v>
      </c>
      <c r="D7996">
        <v>0</v>
      </c>
      <c r="E7996">
        <v>1</v>
      </c>
      <c r="F7996" s="7">
        <v>1838.56</v>
      </c>
      <c r="G7996">
        <v>0</v>
      </c>
      <c r="H7996" s="7">
        <v>0</v>
      </c>
    </row>
    <row r="7997" spans="1:8">
      <c r="A7997">
        <v>7</v>
      </c>
      <c r="B7997" t="s">
        <v>42</v>
      </c>
      <c r="C7997" t="s">
        <v>34</v>
      </c>
      <c r="D7997">
        <v>0</v>
      </c>
      <c r="E7997">
        <v>1</v>
      </c>
      <c r="F7997" s="7">
        <v>12579.53</v>
      </c>
      <c r="G7997">
        <v>0</v>
      </c>
      <c r="H7997" s="7">
        <v>0</v>
      </c>
    </row>
    <row r="7998" spans="1:8">
      <c r="A7998">
        <v>7</v>
      </c>
      <c r="B7998" t="s">
        <v>42</v>
      </c>
      <c r="C7998" t="s">
        <v>33</v>
      </c>
      <c r="D7998">
        <v>0</v>
      </c>
      <c r="E7998">
        <v>1</v>
      </c>
      <c r="F7998" s="7">
        <v>6188.09</v>
      </c>
      <c r="G7998">
        <v>0</v>
      </c>
      <c r="H7998" s="7">
        <v>0</v>
      </c>
    </row>
    <row r="7999" spans="1:8">
      <c r="A7999">
        <v>7</v>
      </c>
      <c r="B7999" t="s">
        <v>42</v>
      </c>
      <c r="C7999" t="s">
        <v>33</v>
      </c>
      <c r="D7999">
        <v>0</v>
      </c>
      <c r="E7999">
        <v>1</v>
      </c>
      <c r="F7999" s="7">
        <v>7016.75</v>
      </c>
      <c r="G7999">
        <v>0</v>
      </c>
      <c r="H7999" s="7">
        <v>0</v>
      </c>
    </row>
    <row r="8000" spans="1:8">
      <c r="A8000">
        <v>7</v>
      </c>
      <c r="B8000" t="s">
        <v>44</v>
      </c>
      <c r="C8000" t="s">
        <v>35</v>
      </c>
      <c r="D8000">
        <v>0</v>
      </c>
      <c r="E8000">
        <v>1</v>
      </c>
      <c r="F8000" s="7">
        <v>134103.27</v>
      </c>
      <c r="G8000">
        <v>0</v>
      </c>
      <c r="H8000" s="7">
        <v>0</v>
      </c>
    </row>
    <row r="8001" spans="1:8">
      <c r="A8001">
        <v>7</v>
      </c>
      <c r="B8001" t="s">
        <v>44</v>
      </c>
      <c r="C8001" t="s">
        <v>34</v>
      </c>
      <c r="D8001">
        <v>0</v>
      </c>
      <c r="E8001">
        <v>1</v>
      </c>
      <c r="F8001" s="7">
        <v>65593.85</v>
      </c>
      <c r="G8001">
        <v>0</v>
      </c>
      <c r="H8001" s="7">
        <v>0</v>
      </c>
    </row>
    <row r="8002" spans="1:8">
      <c r="A8002">
        <v>7</v>
      </c>
      <c r="B8002" t="s">
        <v>44</v>
      </c>
      <c r="C8002" t="s">
        <v>34</v>
      </c>
      <c r="D8002">
        <v>0</v>
      </c>
      <c r="E8002">
        <v>1</v>
      </c>
      <c r="F8002" s="7">
        <v>22346.99</v>
      </c>
      <c r="G8002">
        <v>0</v>
      </c>
      <c r="H8002" s="7">
        <v>0</v>
      </c>
    </row>
    <row r="8003" spans="1:8">
      <c r="A8003">
        <v>7</v>
      </c>
      <c r="B8003" t="s">
        <v>44</v>
      </c>
      <c r="C8003" t="s">
        <v>35</v>
      </c>
      <c r="D8003">
        <v>0</v>
      </c>
      <c r="E8003">
        <v>1</v>
      </c>
      <c r="F8003" s="7">
        <v>397407.29</v>
      </c>
      <c r="G8003">
        <v>0</v>
      </c>
      <c r="H8003" s="7">
        <v>0</v>
      </c>
    </row>
    <row r="8004" spans="1:8">
      <c r="A8004">
        <v>7</v>
      </c>
      <c r="B8004" t="s">
        <v>44</v>
      </c>
      <c r="C8004" t="s">
        <v>34</v>
      </c>
      <c r="D8004">
        <v>0</v>
      </c>
      <c r="E8004">
        <v>1</v>
      </c>
      <c r="F8004" s="7">
        <v>56543.95</v>
      </c>
      <c r="G8004">
        <v>0</v>
      </c>
      <c r="H8004" s="7">
        <v>0</v>
      </c>
    </row>
    <row r="8005" spans="1:8">
      <c r="A8005">
        <v>7</v>
      </c>
      <c r="B8005" t="s">
        <v>44</v>
      </c>
      <c r="C8005" t="s">
        <v>35</v>
      </c>
      <c r="D8005">
        <v>0</v>
      </c>
      <c r="E8005">
        <v>1</v>
      </c>
      <c r="F8005" s="7">
        <v>498747.45</v>
      </c>
      <c r="G8005">
        <v>0</v>
      </c>
      <c r="H8005" s="7">
        <v>0</v>
      </c>
    </row>
    <row r="8006" spans="1:8">
      <c r="A8006">
        <v>7</v>
      </c>
      <c r="B8006" t="s">
        <v>44</v>
      </c>
      <c r="C8006" t="s">
        <v>35</v>
      </c>
      <c r="D8006">
        <v>0</v>
      </c>
      <c r="E8006">
        <v>1</v>
      </c>
      <c r="F8006" s="7">
        <v>139484.1</v>
      </c>
      <c r="G8006">
        <v>0</v>
      </c>
      <c r="H8006" s="7">
        <v>0</v>
      </c>
    </row>
    <row r="8007" spans="1:8">
      <c r="A8007">
        <v>7</v>
      </c>
      <c r="B8007" t="s">
        <v>44</v>
      </c>
      <c r="C8007" t="s">
        <v>35</v>
      </c>
      <c r="D8007">
        <v>0</v>
      </c>
      <c r="E8007">
        <v>1</v>
      </c>
      <c r="F8007" s="7">
        <v>256226.2</v>
      </c>
      <c r="G8007">
        <v>0</v>
      </c>
      <c r="H8007" s="7">
        <v>0</v>
      </c>
    </row>
    <row r="8008" spans="1:8">
      <c r="A8008">
        <v>7</v>
      </c>
      <c r="B8008" t="s">
        <v>42</v>
      </c>
      <c r="C8008" t="s">
        <v>34</v>
      </c>
      <c r="D8008">
        <v>0</v>
      </c>
      <c r="E8008">
        <v>1</v>
      </c>
      <c r="F8008" s="7">
        <v>11204.04</v>
      </c>
      <c r="G8008">
        <v>0</v>
      </c>
      <c r="H8008" s="7">
        <v>0</v>
      </c>
    </row>
    <row r="8009" spans="1:8">
      <c r="A8009">
        <v>7</v>
      </c>
      <c r="B8009" t="s">
        <v>42</v>
      </c>
      <c r="C8009" t="s">
        <v>33</v>
      </c>
      <c r="D8009">
        <v>0</v>
      </c>
      <c r="E8009">
        <v>1</v>
      </c>
      <c r="F8009" s="7">
        <v>2490.82</v>
      </c>
      <c r="G8009">
        <v>0</v>
      </c>
      <c r="H8009" s="7">
        <v>0</v>
      </c>
    </row>
    <row r="8010" spans="1:8">
      <c r="A8010">
        <v>7</v>
      </c>
      <c r="B8010" t="s">
        <v>42</v>
      </c>
      <c r="C8010" t="s">
        <v>33</v>
      </c>
      <c r="D8010">
        <v>0</v>
      </c>
      <c r="E8010">
        <v>1</v>
      </c>
      <c r="F8010" s="7">
        <v>5893.04</v>
      </c>
      <c r="G8010">
        <v>0</v>
      </c>
      <c r="H8010" s="7">
        <v>0</v>
      </c>
    </row>
    <row r="8011" spans="1:8">
      <c r="A8011">
        <v>7</v>
      </c>
      <c r="B8011" t="s">
        <v>42</v>
      </c>
      <c r="C8011" t="s">
        <v>32</v>
      </c>
      <c r="D8011">
        <v>0</v>
      </c>
      <c r="E8011">
        <v>1</v>
      </c>
      <c r="F8011" s="7">
        <v>689.28</v>
      </c>
      <c r="G8011">
        <v>0</v>
      </c>
      <c r="H8011" s="7">
        <v>0</v>
      </c>
    </row>
    <row r="8012" spans="1:8">
      <c r="A8012">
        <v>7</v>
      </c>
      <c r="B8012" t="s">
        <v>42</v>
      </c>
      <c r="C8012" t="s">
        <v>33</v>
      </c>
      <c r="D8012">
        <v>0</v>
      </c>
      <c r="E8012">
        <v>1</v>
      </c>
      <c r="F8012" s="7">
        <v>6855.46</v>
      </c>
      <c r="G8012">
        <v>0</v>
      </c>
      <c r="H8012" s="7">
        <v>0</v>
      </c>
    </row>
    <row r="8013" spans="1:8">
      <c r="A8013">
        <v>7</v>
      </c>
      <c r="B8013" t="s">
        <v>46</v>
      </c>
      <c r="C8013" t="s">
        <v>35</v>
      </c>
      <c r="D8013">
        <v>0</v>
      </c>
      <c r="E8013">
        <v>1</v>
      </c>
      <c r="F8013" s="7">
        <v>215497.06</v>
      </c>
      <c r="G8013">
        <v>0</v>
      </c>
      <c r="H8013" s="7">
        <v>0</v>
      </c>
    </row>
    <row r="8014" spans="1:8">
      <c r="A8014">
        <v>7</v>
      </c>
      <c r="B8014" t="s">
        <v>46</v>
      </c>
      <c r="C8014" t="s">
        <v>35</v>
      </c>
      <c r="D8014">
        <v>0</v>
      </c>
      <c r="E8014">
        <v>1</v>
      </c>
      <c r="F8014" s="7">
        <v>189451.99</v>
      </c>
      <c r="G8014">
        <v>0</v>
      </c>
      <c r="H8014" s="7">
        <v>0</v>
      </c>
    </row>
    <row r="8015" spans="1:8">
      <c r="A8015">
        <v>7</v>
      </c>
      <c r="B8015" t="s">
        <v>46</v>
      </c>
      <c r="C8015" t="s">
        <v>35</v>
      </c>
      <c r="D8015">
        <v>0</v>
      </c>
      <c r="E8015">
        <v>1</v>
      </c>
      <c r="F8015" s="7">
        <v>263867.55</v>
      </c>
      <c r="G8015">
        <v>0</v>
      </c>
      <c r="H8015" s="7">
        <v>0</v>
      </c>
    </row>
    <row r="8016" spans="1:8">
      <c r="A8016">
        <v>7</v>
      </c>
      <c r="B8016" t="s">
        <v>46</v>
      </c>
      <c r="C8016" t="s">
        <v>35</v>
      </c>
      <c r="D8016">
        <v>0</v>
      </c>
      <c r="E8016">
        <v>1</v>
      </c>
      <c r="F8016" s="7">
        <v>144948.36</v>
      </c>
      <c r="G8016">
        <v>0</v>
      </c>
      <c r="H8016" s="7">
        <v>0</v>
      </c>
    </row>
    <row r="8017" spans="1:8">
      <c r="A8017">
        <v>7</v>
      </c>
      <c r="B8017" t="s">
        <v>46</v>
      </c>
      <c r="C8017" t="s">
        <v>35</v>
      </c>
      <c r="D8017">
        <v>0</v>
      </c>
      <c r="E8017">
        <v>1</v>
      </c>
      <c r="F8017" s="7">
        <v>272314.63</v>
      </c>
      <c r="G8017">
        <v>0</v>
      </c>
      <c r="H8017" s="7">
        <v>0</v>
      </c>
    </row>
    <row r="8018" spans="1:8">
      <c r="A8018">
        <v>7</v>
      </c>
      <c r="B8018" t="s">
        <v>46</v>
      </c>
      <c r="C8018" t="s">
        <v>35</v>
      </c>
      <c r="D8018">
        <v>0</v>
      </c>
      <c r="E8018">
        <v>1</v>
      </c>
      <c r="F8018" s="7">
        <v>336763.21</v>
      </c>
      <c r="G8018">
        <v>0</v>
      </c>
      <c r="H8018" s="7">
        <v>0</v>
      </c>
    </row>
    <row r="8019" spans="1:8">
      <c r="A8019">
        <v>7</v>
      </c>
      <c r="B8019" t="s">
        <v>46</v>
      </c>
      <c r="C8019" t="s">
        <v>35</v>
      </c>
      <c r="D8019">
        <v>0</v>
      </c>
      <c r="E8019">
        <v>1</v>
      </c>
      <c r="F8019" s="7">
        <v>164110.03</v>
      </c>
      <c r="G8019">
        <v>0</v>
      </c>
      <c r="H8019" s="7">
        <v>0</v>
      </c>
    </row>
    <row r="8020" spans="1:8">
      <c r="A8020">
        <v>7</v>
      </c>
      <c r="B8020" t="s">
        <v>46</v>
      </c>
      <c r="C8020" t="s">
        <v>35</v>
      </c>
      <c r="D8020">
        <v>0</v>
      </c>
      <c r="E8020">
        <v>1</v>
      </c>
      <c r="F8020" s="7">
        <v>442134.08</v>
      </c>
      <c r="G8020">
        <v>0</v>
      </c>
      <c r="H8020" s="7">
        <v>0</v>
      </c>
    </row>
    <row r="8021" spans="1:8">
      <c r="A8021">
        <v>7</v>
      </c>
      <c r="B8021" t="s">
        <v>46</v>
      </c>
      <c r="C8021" t="s">
        <v>35</v>
      </c>
      <c r="D8021">
        <v>0</v>
      </c>
      <c r="E8021">
        <v>1</v>
      </c>
      <c r="F8021" s="7">
        <v>116495.63</v>
      </c>
      <c r="G8021">
        <v>0</v>
      </c>
      <c r="H8021" s="7">
        <v>0</v>
      </c>
    </row>
    <row r="8022" spans="1:8">
      <c r="A8022">
        <v>7</v>
      </c>
      <c r="B8022" t="s">
        <v>46</v>
      </c>
      <c r="C8022" t="s">
        <v>35</v>
      </c>
      <c r="D8022">
        <v>0</v>
      </c>
      <c r="E8022">
        <v>1</v>
      </c>
      <c r="F8022" s="7">
        <v>106151.41</v>
      </c>
      <c r="G8022">
        <v>0</v>
      </c>
      <c r="H8022" s="7">
        <v>0</v>
      </c>
    </row>
    <row r="8023" spans="1:8">
      <c r="A8023">
        <v>7</v>
      </c>
      <c r="B8023" t="s">
        <v>46</v>
      </c>
      <c r="C8023" t="s">
        <v>34</v>
      </c>
      <c r="D8023">
        <v>0</v>
      </c>
      <c r="E8023">
        <v>1</v>
      </c>
      <c r="F8023" s="7">
        <v>83459</v>
      </c>
      <c r="G8023">
        <v>0</v>
      </c>
      <c r="H8023" s="7">
        <v>0</v>
      </c>
    </row>
    <row r="8024" spans="1:8">
      <c r="A8024">
        <v>7</v>
      </c>
      <c r="B8024" t="s">
        <v>46</v>
      </c>
      <c r="C8024" t="s">
        <v>35</v>
      </c>
      <c r="D8024">
        <v>0</v>
      </c>
      <c r="E8024">
        <v>1</v>
      </c>
      <c r="F8024" s="7">
        <v>136875.33</v>
      </c>
      <c r="G8024">
        <v>0</v>
      </c>
      <c r="H8024" s="7">
        <v>0</v>
      </c>
    </row>
    <row r="8025" spans="1:8">
      <c r="A8025">
        <v>7</v>
      </c>
      <c r="B8025" t="s">
        <v>46</v>
      </c>
      <c r="C8025" t="s">
        <v>35</v>
      </c>
      <c r="D8025">
        <v>0</v>
      </c>
      <c r="E8025">
        <v>1</v>
      </c>
      <c r="F8025" s="7">
        <v>138927.96</v>
      </c>
      <c r="G8025">
        <v>0</v>
      </c>
      <c r="H8025" s="7">
        <v>0</v>
      </c>
    </row>
    <row r="8026" spans="1:8">
      <c r="A8026">
        <v>7</v>
      </c>
      <c r="B8026" t="s">
        <v>46</v>
      </c>
      <c r="C8026" t="s">
        <v>35</v>
      </c>
      <c r="D8026">
        <v>0</v>
      </c>
      <c r="E8026">
        <v>1</v>
      </c>
      <c r="F8026" s="7">
        <v>309741.86</v>
      </c>
      <c r="G8026">
        <v>0</v>
      </c>
      <c r="H8026" s="7">
        <v>0</v>
      </c>
    </row>
    <row r="8027" spans="1:8">
      <c r="A8027">
        <v>7</v>
      </c>
      <c r="B8027" t="s">
        <v>46</v>
      </c>
      <c r="C8027" t="s">
        <v>34</v>
      </c>
      <c r="D8027">
        <v>0</v>
      </c>
      <c r="E8027">
        <v>1</v>
      </c>
      <c r="F8027" s="7">
        <v>88141.39</v>
      </c>
      <c r="G8027">
        <v>0</v>
      </c>
      <c r="H8027" s="7">
        <v>0</v>
      </c>
    </row>
    <row r="8028" spans="1:8">
      <c r="A8028">
        <v>7</v>
      </c>
      <c r="B8028" t="s">
        <v>46</v>
      </c>
      <c r="C8028" t="s">
        <v>35</v>
      </c>
      <c r="D8028">
        <v>0</v>
      </c>
      <c r="E8028">
        <v>1</v>
      </c>
      <c r="F8028" s="7">
        <v>210085.11</v>
      </c>
      <c r="G8028">
        <v>0</v>
      </c>
      <c r="H8028" s="7">
        <v>0</v>
      </c>
    </row>
    <row r="8029" spans="1:8">
      <c r="A8029">
        <v>7</v>
      </c>
      <c r="B8029" t="s">
        <v>46</v>
      </c>
      <c r="C8029" t="s">
        <v>35</v>
      </c>
      <c r="D8029">
        <v>0</v>
      </c>
      <c r="E8029">
        <v>1</v>
      </c>
      <c r="F8029" s="7">
        <v>370786.7</v>
      </c>
      <c r="G8029">
        <v>0</v>
      </c>
      <c r="H8029" s="7">
        <v>0</v>
      </c>
    </row>
    <row r="8030" spans="1:8">
      <c r="A8030">
        <v>7</v>
      </c>
      <c r="B8030" t="s">
        <v>46</v>
      </c>
      <c r="C8030" t="s">
        <v>35</v>
      </c>
      <c r="D8030">
        <v>0</v>
      </c>
      <c r="E8030">
        <v>1</v>
      </c>
      <c r="F8030" s="7">
        <v>710443.79</v>
      </c>
      <c r="G8030">
        <v>0</v>
      </c>
      <c r="H8030" s="7">
        <v>0</v>
      </c>
    </row>
    <row r="8031" spans="1:8">
      <c r="A8031">
        <v>7</v>
      </c>
      <c r="B8031" t="s">
        <v>46</v>
      </c>
      <c r="C8031" t="s">
        <v>34</v>
      </c>
      <c r="D8031">
        <v>0</v>
      </c>
      <c r="E8031">
        <v>1</v>
      </c>
      <c r="F8031" s="7">
        <v>29091.31</v>
      </c>
      <c r="G8031">
        <v>0</v>
      </c>
      <c r="H8031" s="7">
        <v>0</v>
      </c>
    </row>
    <row r="8032" spans="1:8">
      <c r="A8032">
        <v>7</v>
      </c>
      <c r="B8032" t="s">
        <v>46</v>
      </c>
      <c r="C8032" t="s">
        <v>34</v>
      </c>
      <c r="D8032">
        <v>0</v>
      </c>
      <c r="E8032">
        <v>1</v>
      </c>
      <c r="F8032" s="7">
        <v>40685.1</v>
      </c>
      <c r="G8032">
        <v>0</v>
      </c>
      <c r="H8032" s="7">
        <v>0</v>
      </c>
    </row>
    <row r="8033" spans="1:8">
      <c r="A8033">
        <v>7</v>
      </c>
      <c r="B8033" t="s">
        <v>46</v>
      </c>
      <c r="C8033" t="s">
        <v>34</v>
      </c>
      <c r="D8033">
        <v>0</v>
      </c>
      <c r="E8033">
        <v>1</v>
      </c>
      <c r="F8033" s="7">
        <v>77220.41</v>
      </c>
      <c r="G8033">
        <v>0</v>
      </c>
      <c r="H8033" s="7">
        <v>0</v>
      </c>
    </row>
    <row r="8034" spans="1:8">
      <c r="A8034">
        <v>7</v>
      </c>
      <c r="B8034" t="s">
        <v>46</v>
      </c>
      <c r="C8034" t="s">
        <v>34</v>
      </c>
      <c r="D8034">
        <v>0</v>
      </c>
      <c r="E8034">
        <v>1</v>
      </c>
      <c r="F8034" s="7">
        <v>67833.45</v>
      </c>
      <c r="G8034">
        <v>0</v>
      </c>
      <c r="H8034" s="7">
        <v>0</v>
      </c>
    </row>
    <row r="8035" spans="1:8">
      <c r="A8035">
        <v>7</v>
      </c>
      <c r="B8035" t="s">
        <v>46</v>
      </c>
      <c r="C8035" t="s">
        <v>35</v>
      </c>
      <c r="D8035">
        <v>0</v>
      </c>
      <c r="E8035">
        <v>1</v>
      </c>
      <c r="F8035" s="7">
        <v>156704.19</v>
      </c>
      <c r="G8035">
        <v>0</v>
      </c>
      <c r="H8035" s="7">
        <v>0</v>
      </c>
    </row>
    <row r="8036" spans="1:8">
      <c r="A8036">
        <v>7</v>
      </c>
      <c r="B8036" t="s">
        <v>46</v>
      </c>
      <c r="C8036" t="s">
        <v>35</v>
      </c>
      <c r="D8036">
        <v>0</v>
      </c>
      <c r="E8036">
        <v>1</v>
      </c>
      <c r="F8036" s="7">
        <v>180187.9</v>
      </c>
      <c r="G8036">
        <v>0</v>
      </c>
      <c r="H8036" s="7">
        <v>0</v>
      </c>
    </row>
    <row r="8037" spans="1:8">
      <c r="A8037">
        <v>7</v>
      </c>
      <c r="B8037" t="s">
        <v>46</v>
      </c>
      <c r="C8037" t="s">
        <v>35</v>
      </c>
      <c r="D8037">
        <v>0</v>
      </c>
      <c r="E8037">
        <v>1</v>
      </c>
      <c r="F8037" s="7">
        <v>185715.77</v>
      </c>
      <c r="G8037">
        <v>0</v>
      </c>
      <c r="H8037" s="7">
        <v>0</v>
      </c>
    </row>
    <row r="8038" spans="1:8">
      <c r="A8038">
        <v>7</v>
      </c>
      <c r="B8038" t="s">
        <v>46</v>
      </c>
      <c r="C8038" t="s">
        <v>35</v>
      </c>
      <c r="D8038">
        <v>0</v>
      </c>
      <c r="E8038">
        <v>1</v>
      </c>
      <c r="F8038" s="7">
        <v>416366.53</v>
      </c>
      <c r="G8038">
        <v>0</v>
      </c>
      <c r="H8038" s="7">
        <v>0</v>
      </c>
    </row>
    <row r="8039" spans="1:8">
      <c r="A8039">
        <v>7</v>
      </c>
      <c r="B8039" t="s">
        <v>46</v>
      </c>
      <c r="C8039" t="s">
        <v>35</v>
      </c>
      <c r="D8039">
        <v>0</v>
      </c>
      <c r="E8039">
        <v>1</v>
      </c>
      <c r="F8039" s="7">
        <v>257656.05</v>
      </c>
      <c r="G8039">
        <v>0</v>
      </c>
      <c r="H8039" s="7">
        <v>0</v>
      </c>
    </row>
    <row r="8040" spans="1:8">
      <c r="A8040">
        <v>7</v>
      </c>
      <c r="B8040" t="s">
        <v>46</v>
      </c>
      <c r="C8040" t="s">
        <v>35</v>
      </c>
      <c r="D8040">
        <v>0</v>
      </c>
      <c r="E8040">
        <v>1</v>
      </c>
      <c r="F8040" s="7">
        <v>314770.11</v>
      </c>
      <c r="G8040">
        <v>0</v>
      </c>
      <c r="H8040" s="7">
        <v>0</v>
      </c>
    </row>
    <row r="8041" spans="1:8">
      <c r="A8041">
        <v>7</v>
      </c>
      <c r="B8041" t="s">
        <v>46</v>
      </c>
      <c r="C8041" t="s">
        <v>35</v>
      </c>
      <c r="D8041">
        <v>0</v>
      </c>
      <c r="E8041">
        <v>1</v>
      </c>
      <c r="F8041" s="7">
        <v>444482.74</v>
      </c>
      <c r="G8041">
        <v>0</v>
      </c>
      <c r="H8041" s="7">
        <v>0</v>
      </c>
    </row>
    <row r="8042" spans="1:8">
      <c r="A8042">
        <v>7</v>
      </c>
      <c r="B8042" t="s">
        <v>46</v>
      </c>
      <c r="C8042" t="s">
        <v>35</v>
      </c>
      <c r="D8042">
        <v>0</v>
      </c>
      <c r="E8042">
        <v>1</v>
      </c>
      <c r="F8042" s="7">
        <v>207880.29</v>
      </c>
      <c r="G8042">
        <v>0</v>
      </c>
      <c r="H8042" s="7">
        <v>0</v>
      </c>
    </row>
    <row r="8043" spans="1:8">
      <c r="A8043">
        <v>7</v>
      </c>
      <c r="B8043" t="s">
        <v>46</v>
      </c>
      <c r="C8043" t="s">
        <v>35</v>
      </c>
      <c r="D8043">
        <v>0</v>
      </c>
      <c r="E8043">
        <v>1</v>
      </c>
      <c r="F8043" s="7">
        <v>523736.96</v>
      </c>
      <c r="G8043">
        <v>0</v>
      </c>
      <c r="H8043" s="7">
        <v>0</v>
      </c>
    </row>
    <row r="8044" spans="1:8">
      <c r="A8044">
        <v>7</v>
      </c>
      <c r="B8044" t="s">
        <v>46</v>
      </c>
      <c r="C8044" t="s">
        <v>34</v>
      </c>
      <c r="D8044">
        <v>0</v>
      </c>
      <c r="E8044">
        <v>1</v>
      </c>
      <c r="F8044" s="7">
        <v>49565.82</v>
      </c>
      <c r="G8044">
        <v>0</v>
      </c>
      <c r="H8044" s="7">
        <v>0</v>
      </c>
    </row>
    <row r="8045" spans="1:8">
      <c r="A8045">
        <v>7</v>
      </c>
      <c r="B8045" t="s">
        <v>46</v>
      </c>
      <c r="C8045" t="s">
        <v>35</v>
      </c>
      <c r="D8045">
        <v>0</v>
      </c>
      <c r="E8045">
        <v>1</v>
      </c>
      <c r="F8045" s="7">
        <v>272493.95</v>
      </c>
      <c r="G8045">
        <v>0</v>
      </c>
      <c r="H8045" s="7">
        <v>0</v>
      </c>
    </row>
    <row r="8046" spans="1:8">
      <c r="A8046">
        <v>7</v>
      </c>
      <c r="B8046" t="s">
        <v>46</v>
      </c>
      <c r="C8046" t="s">
        <v>34</v>
      </c>
      <c r="D8046">
        <v>0</v>
      </c>
      <c r="E8046">
        <v>1</v>
      </c>
      <c r="F8046" s="7">
        <v>45144.38</v>
      </c>
      <c r="G8046">
        <v>0</v>
      </c>
      <c r="H8046" s="7">
        <v>0</v>
      </c>
    </row>
    <row r="8047" spans="1:8">
      <c r="A8047">
        <v>7</v>
      </c>
      <c r="B8047" t="s">
        <v>46</v>
      </c>
      <c r="C8047" t="s">
        <v>35</v>
      </c>
      <c r="D8047">
        <v>0</v>
      </c>
      <c r="E8047">
        <v>1</v>
      </c>
      <c r="F8047" s="7">
        <v>251239.53</v>
      </c>
      <c r="G8047">
        <v>0</v>
      </c>
      <c r="H8047" s="7">
        <v>0</v>
      </c>
    </row>
    <row r="8048" spans="1:8">
      <c r="A8048">
        <v>7</v>
      </c>
      <c r="B8048" t="s">
        <v>46</v>
      </c>
      <c r="C8048" t="s">
        <v>35</v>
      </c>
      <c r="D8048">
        <v>0</v>
      </c>
      <c r="E8048">
        <v>1</v>
      </c>
      <c r="F8048" s="7">
        <v>123681.62</v>
      </c>
      <c r="G8048">
        <v>0</v>
      </c>
      <c r="H8048" s="7">
        <v>0</v>
      </c>
    </row>
    <row r="8049" spans="1:8">
      <c r="A8049">
        <v>7</v>
      </c>
      <c r="B8049" t="s">
        <v>46</v>
      </c>
      <c r="C8049" t="s">
        <v>34</v>
      </c>
      <c r="D8049">
        <v>0</v>
      </c>
      <c r="E8049">
        <v>1</v>
      </c>
      <c r="F8049" s="7">
        <v>47412.4</v>
      </c>
      <c r="G8049">
        <v>0</v>
      </c>
      <c r="H8049" s="7">
        <v>0</v>
      </c>
    </row>
    <row r="8050" spans="1:8">
      <c r="A8050">
        <v>7</v>
      </c>
      <c r="B8050" t="s">
        <v>46</v>
      </c>
      <c r="C8050" t="s">
        <v>34</v>
      </c>
      <c r="D8050">
        <v>0</v>
      </c>
      <c r="E8050">
        <v>1</v>
      </c>
      <c r="F8050" s="7">
        <v>22910.06</v>
      </c>
      <c r="G8050">
        <v>0</v>
      </c>
      <c r="H8050" s="7">
        <v>0</v>
      </c>
    </row>
    <row r="8051" spans="1:8">
      <c r="A8051">
        <v>7</v>
      </c>
      <c r="B8051" t="s">
        <v>42</v>
      </c>
      <c r="C8051" t="s">
        <v>33</v>
      </c>
      <c r="D8051">
        <v>0</v>
      </c>
      <c r="E8051">
        <v>1</v>
      </c>
      <c r="F8051" s="7">
        <v>9099.13</v>
      </c>
      <c r="G8051">
        <v>0</v>
      </c>
      <c r="H8051" s="7">
        <v>0</v>
      </c>
    </row>
    <row r="8052" spans="1:8">
      <c r="A8052">
        <v>7</v>
      </c>
      <c r="B8052" t="s">
        <v>42</v>
      </c>
      <c r="C8052" t="s">
        <v>33</v>
      </c>
      <c r="D8052">
        <v>0</v>
      </c>
      <c r="E8052">
        <v>1</v>
      </c>
      <c r="F8052" s="7">
        <v>2344.84</v>
      </c>
      <c r="G8052">
        <v>0</v>
      </c>
      <c r="H8052" s="7">
        <v>0</v>
      </c>
    </row>
    <row r="8053" spans="1:8">
      <c r="A8053">
        <v>7</v>
      </c>
      <c r="B8053" t="s">
        <v>42</v>
      </c>
      <c r="C8053" t="s">
        <v>33</v>
      </c>
      <c r="D8053">
        <v>0</v>
      </c>
      <c r="E8053">
        <v>1</v>
      </c>
      <c r="F8053" s="7">
        <v>4913.94</v>
      </c>
      <c r="G8053">
        <v>0</v>
      </c>
      <c r="H8053" s="7">
        <v>0</v>
      </c>
    </row>
    <row r="8054" spans="1:8">
      <c r="A8054">
        <v>7</v>
      </c>
      <c r="B8054" t="s">
        <v>42</v>
      </c>
      <c r="C8054" t="s">
        <v>33</v>
      </c>
      <c r="D8054">
        <v>0</v>
      </c>
      <c r="E8054">
        <v>1</v>
      </c>
      <c r="F8054" s="7">
        <v>6059.38</v>
      </c>
      <c r="G8054">
        <v>0</v>
      </c>
      <c r="H8054" s="7">
        <v>0</v>
      </c>
    </row>
    <row r="8055" spans="1:8">
      <c r="A8055">
        <v>7</v>
      </c>
      <c r="B8055" t="s">
        <v>42</v>
      </c>
      <c r="C8055" t="s">
        <v>32</v>
      </c>
      <c r="D8055">
        <v>0</v>
      </c>
      <c r="E8055">
        <v>1</v>
      </c>
      <c r="F8055" s="7">
        <v>557.16</v>
      </c>
      <c r="G8055">
        <v>0</v>
      </c>
      <c r="H8055" s="7">
        <v>0</v>
      </c>
    </row>
    <row r="8056" spans="1:8">
      <c r="A8056">
        <v>7</v>
      </c>
      <c r="B8056" t="s">
        <v>42</v>
      </c>
      <c r="C8056" t="s">
        <v>33</v>
      </c>
      <c r="D8056">
        <v>0</v>
      </c>
      <c r="E8056">
        <v>1</v>
      </c>
      <c r="F8056" s="7">
        <v>4335.19</v>
      </c>
      <c r="G8056">
        <v>0</v>
      </c>
      <c r="H8056" s="7">
        <v>0</v>
      </c>
    </row>
    <row r="8057" spans="1:8">
      <c r="A8057">
        <v>7</v>
      </c>
      <c r="B8057" t="s">
        <v>42</v>
      </c>
      <c r="C8057" t="s">
        <v>33</v>
      </c>
      <c r="D8057">
        <v>0</v>
      </c>
      <c r="E8057">
        <v>1</v>
      </c>
      <c r="F8057" s="7">
        <v>5594.04</v>
      </c>
      <c r="G8057">
        <v>0</v>
      </c>
      <c r="H8057" s="7">
        <v>0</v>
      </c>
    </row>
    <row r="8058" spans="1:8">
      <c r="A8058">
        <v>7</v>
      </c>
      <c r="B8058" t="s">
        <v>44</v>
      </c>
      <c r="C8058" t="s">
        <v>35</v>
      </c>
      <c r="D8058">
        <v>0</v>
      </c>
      <c r="E8058">
        <v>1</v>
      </c>
      <c r="F8058" s="7">
        <v>101717.84</v>
      </c>
      <c r="G8058">
        <v>0</v>
      </c>
      <c r="H8058" s="7">
        <v>0</v>
      </c>
    </row>
    <row r="8059" spans="1:8">
      <c r="A8059">
        <v>7</v>
      </c>
      <c r="B8059" t="s">
        <v>43</v>
      </c>
      <c r="C8059" t="s">
        <v>35</v>
      </c>
      <c r="D8059">
        <v>0</v>
      </c>
      <c r="E8059">
        <v>1</v>
      </c>
      <c r="F8059" s="7">
        <v>874562.86</v>
      </c>
      <c r="G8059">
        <v>0</v>
      </c>
      <c r="H8059" s="7">
        <v>0</v>
      </c>
    </row>
    <row r="8060" spans="1:8">
      <c r="A8060">
        <v>7</v>
      </c>
      <c r="B8060" t="s">
        <v>42</v>
      </c>
      <c r="C8060" t="s">
        <v>33</v>
      </c>
      <c r="D8060">
        <v>0</v>
      </c>
      <c r="E8060">
        <v>1</v>
      </c>
      <c r="F8060" s="7">
        <v>2418.83</v>
      </c>
      <c r="G8060">
        <v>0</v>
      </c>
      <c r="H8060" s="7">
        <v>0</v>
      </c>
    </row>
    <row r="8061" spans="1:8">
      <c r="A8061">
        <v>7</v>
      </c>
      <c r="B8061" t="s">
        <v>42</v>
      </c>
      <c r="C8061" t="s">
        <v>33</v>
      </c>
      <c r="D8061">
        <v>0</v>
      </c>
      <c r="E8061">
        <v>1</v>
      </c>
      <c r="F8061" s="7">
        <v>1194.12</v>
      </c>
      <c r="G8061">
        <v>0</v>
      </c>
      <c r="H8061" s="7">
        <v>0</v>
      </c>
    </row>
    <row r="8062" spans="1:8">
      <c r="A8062">
        <v>7</v>
      </c>
      <c r="B8062" t="s">
        <v>42</v>
      </c>
      <c r="C8062" t="s">
        <v>33</v>
      </c>
      <c r="D8062">
        <v>0</v>
      </c>
      <c r="E8062">
        <v>1</v>
      </c>
      <c r="F8062" s="7">
        <v>9260.35</v>
      </c>
      <c r="G8062">
        <v>0</v>
      </c>
      <c r="H8062" s="7">
        <v>0</v>
      </c>
    </row>
    <row r="8063" spans="1:8">
      <c r="A8063">
        <v>7</v>
      </c>
      <c r="B8063" t="s">
        <v>43</v>
      </c>
      <c r="C8063" t="s">
        <v>35</v>
      </c>
      <c r="D8063">
        <v>0</v>
      </c>
      <c r="E8063">
        <v>1</v>
      </c>
      <c r="F8063" s="7">
        <v>692484.38</v>
      </c>
      <c r="G8063">
        <v>0</v>
      </c>
      <c r="H8063" s="7">
        <v>0</v>
      </c>
    </row>
    <row r="8064" spans="1:8">
      <c r="A8064">
        <v>7</v>
      </c>
      <c r="B8064" t="s">
        <v>42</v>
      </c>
      <c r="C8064" t="s">
        <v>33</v>
      </c>
      <c r="D8064">
        <v>0</v>
      </c>
      <c r="E8064">
        <v>1</v>
      </c>
      <c r="F8064" s="7">
        <v>3999.34</v>
      </c>
      <c r="G8064">
        <v>0</v>
      </c>
      <c r="H8064" s="7">
        <v>0</v>
      </c>
    </row>
    <row r="8065" spans="1:8">
      <c r="A8065">
        <v>7</v>
      </c>
      <c r="B8065" t="s">
        <v>44</v>
      </c>
      <c r="C8065" t="s">
        <v>35</v>
      </c>
      <c r="D8065">
        <v>0</v>
      </c>
      <c r="E8065">
        <v>1</v>
      </c>
      <c r="F8065" s="7">
        <v>141427.48</v>
      </c>
      <c r="G8065">
        <v>0</v>
      </c>
      <c r="H8065" s="7">
        <v>0</v>
      </c>
    </row>
    <row r="8066" spans="1:8">
      <c r="A8066">
        <v>7</v>
      </c>
      <c r="B8066" t="s">
        <v>43</v>
      </c>
      <c r="C8066" t="s">
        <v>35</v>
      </c>
      <c r="D8066">
        <v>0</v>
      </c>
      <c r="E8066">
        <v>1</v>
      </c>
      <c r="F8066" s="7">
        <v>447478.26</v>
      </c>
      <c r="G8066">
        <v>0</v>
      </c>
      <c r="H8066" s="7">
        <v>0</v>
      </c>
    </row>
    <row r="8067" spans="1:8">
      <c r="A8067">
        <v>7</v>
      </c>
      <c r="B8067" t="s">
        <v>42</v>
      </c>
      <c r="C8067" t="s">
        <v>33</v>
      </c>
      <c r="D8067">
        <v>0</v>
      </c>
      <c r="E8067">
        <v>1</v>
      </c>
      <c r="F8067" s="7">
        <v>9299.31</v>
      </c>
      <c r="G8067">
        <v>0</v>
      </c>
      <c r="H8067" s="7">
        <v>0</v>
      </c>
    </row>
    <row r="8068" spans="1:8">
      <c r="A8068">
        <v>7</v>
      </c>
      <c r="B8068" t="s">
        <v>42</v>
      </c>
      <c r="C8068" t="s">
        <v>33</v>
      </c>
      <c r="D8068">
        <v>0</v>
      </c>
      <c r="E8068">
        <v>1</v>
      </c>
      <c r="F8068" s="7">
        <v>2504.15</v>
      </c>
      <c r="G8068">
        <v>0</v>
      </c>
      <c r="H8068" s="7">
        <v>0</v>
      </c>
    </row>
    <row r="8069" spans="1:8">
      <c r="A8069">
        <v>7</v>
      </c>
      <c r="B8069" t="s">
        <v>42</v>
      </c>
      <c r="C8069" t="s">
        <v>34</v>
      </c>
      <c r="D8069">
        <v>0</v>
      </c>
      <c r="E8069">
        <v>1</v>
      </c>
      <c r="F8069" s="7">
        <v>10115.13</v>
      </c>
      <c r="G8069">
        <v>0</v>
      </c>
      <c r="H8069" s="7">
        <v>0</v>
      </c>
    </row>
    <row r="8070" spans="1:8">
      <c r="A8070">
        <v>7</v>
      </c>
      <c r="B8070" t="s">
        <v>42</v>
      </c>
      <c r="C8070" t="s">
        <v>33</v>
      </c>
      <c r="D8070">
        <v>0</v>
      </c>
      <c r="E8070">
        <v>1</v>
      </c>
      <c r="F8070" s="7">
        <v>1495.79</v>
      </c>
      <c r="G8070">
        <v>0</v>
      </c>
      <c r="H8070" s="7">
        <v>0</v>
      </c>
    </row>
    <row r="8071" spans="1:8">
      <c r="A8071">
        <v>7</v>
      </c>
      <c r="B8071" t="s">
        <v>42</v>
      </c>
      <c r="C8071" t="s">
        <v>33</v>
      </c>
      <c r="D8071">
        <v>0</v>
      </c>
      <c r="E8071">
        <v>1</v>
      </c>
      <c r="F8071" s="7">
        <v>6022.93</v>
      </c>
      <c r="G8071">
        <v>0</v>
      </c>
      <c r="H8071" s="7">
        <v>0</v>
      </c>
    </row>
    <row r="8072" spans="1:8">
      <c r="A8072">
        <v>7</v>
      </c>
      <c r="B8072" t="s">
        <v>43</v>
      </c>
      <c r="C8072" t="s">
        <v>34</v>
      </c>
      <c r="D8072">
        <v>0</v>
      </c>
      <c r="E8072">
        <v>1</v>
      </c>
      <c r="F8072" s="7">
        <v>23553.39</v>
      </c>
      <c r="G8072">
        <v>0</v>
      </c>
      <c r="H8072" s="7">
        <v>0</v>
      </c>
    </row>
    <row r="8073" spans="1:8">
      <c r="A8073">
        <v>7</v>
      </c>
      <c r="B8073" t="s">
        <v>42</v>
      </c>
      <c r="C8073" t="s">
        <v>33</v>
      </c>
      <c r="D8073">
        <v>0</v>
      </c>
      <c r="E8073">
        <v>1</v>
      </c>
      <c r="F8073" s="7">
        <v>5941.42</v>
      </c>
      <c r="G8073">
        <v>0</v>
      </c>
      <c r="H8073" s="7">
        <v>0</v>
      </c>
    </row>
    <row r="8074" spans="1:8">
      <c r="A8074">
        <v>7</v>
      </c>
      <c r="B8074" t="s">
        <v>44</v>
      </c>
      <c r="C8074" t="s">
        <v>35</v>
      </c>
      <c r="D8074">
        <v>0</v>
      </c>
      <c r="E8074">
        <v>1</v>
      </c>
      <c r="F8074" s="7">
        <v>269750.94</v>
      </c>
      <c r="G8074">
        <v>0</v>
      </c>
      <c r="H8074" s="7">
        <v>0</v>
      </c>
    </row>
    <row r="8075" spans="1:8">
      <c r="A8075">
        <v>7</v>
      </c>
      <c r="B8075" t="s">
        <v>42</v>
      </c>
      <c r="C8075" t="s">
        <v>33</v>
      </c>
      <c r="D8075">
        <v>0</v>
      </c>
      <c r="E8075">
        <v>1</v>
      </c>
      <c r="F8075" s="7">
        <v>7125.4</v>
      </c>
      <c r="G8075">
        <v>0</v>
      </c>
      <c r="H8075" s="7">
        <v>0</v>
      </c>
    </row>
    <row r="8076" spans="1:8">
      <c r="A8076">
        <v>7</v>
      </c>
      <c r="B8076" t="s">
        <v>42</v>
      </c>
      <c r="C8076" t="s">
        <v>33</v>
      </c>
      <c r="D8076">
        <v>0</v>
      </c>
      <c r="E8076">
        <v>1</v>
      </c>
      <c r="F8076" s="7">
        <v>6905.52</v>
      </c>
      <c r="G8076">
        <v>0</v>
      </c>
      <c r="H8076" s="7">
        <v>0</v>
      </c>
    </row>
    <row r="8077" spans="1:8">
      <c r="A8077">
        <v>7</v>
      </c>
      <c r="B8077" t="s">
        <v>44</v>
      </c>
      <c r="C8077" t="s">
        <v>35</v>
      </c>
      <c r="D8077">
        <v>0</v>
      </c>
      <c r="E8077">
        <v>1</v>
      </c>
      <c r="F8077" s="7">
        <v>266061.33</v>
      </c>
      <c r="G8077">
        <v>0</v>
      </c>
      <c r="H8077" s="7">
        <v>0</v>
      </c>
    </row>
    <row r="8078" spans="1:8">
      <c r="A8078">
        <v>7</v>
      </c>
      <c r="B8078" t="s">
        <v>42</v>
      </c>
      <c r="C8078" t="s">
        <v>33</v>
      </c>
      <c r="D8078">
        <v>0</v>
      </c>
      <c r="E8078">
        <v>1</v>
      </c>
      <c r="F8078" s="7">
        <v>1820.34</v>
      </c>
      <c r="G8078">
        <v>0</v>
      </c>
      <c r="H8078" s="7">
        <v>0</v>
      </c>
    </row>
    <row r="8079" spans="1:8">
      <c r="A8079">
        <v>7</v>
      </c>
      <c r="B8079" t="s">
        <v>43</v>
      </c>
      <c r="C8079" t="s">
        <v>35</v>
      </c>
      <c r="D8079">
        <v>0</v>
      </c>
      <c r="E8079">
        <v>1</v>
      </c>
      <c r="F8079" s="7">
        <v>231564.18</v>
      </c>
      <c r="G8079">
        <v>0</v>
      </c>
      <c r="H8079" s="7">
        <v>0</v>
      </c>
    </row>
    <row r="8080" spans="1:8">
      <c r="A8080">
        <v>7</v>
      </c>
      <c r="B8080" t="s">
        <v>42</v>
      </c>
      <c r="C8080" t="s">
        <v>34</v>
      </c>
      <c r="D8080">
        <v>0</v>
      </c>
      <c r="E8080">
        <v>1</v>
      </c>
      <c r="F8080" s="7">
        <v>11226.69</v>
      </c>
      <c r="G8080">
        <v>0</v>
      </c>
      <c r="H8080" s="7">
        <v>0</v>
      </c>
    </row>
    <row r="8081" spans="1:8">
      <c r="A8081">
        <v>7</v>
      </c>
      <c r="B8081" t="s">
        <v>43</v>
      </c>
      <c r="C8081" t="s">
        <v>35</v>
      </c>
      <c r="D8081">
        <v>0</v>
      </c>
      <c r="E8081">
        <v>1</v>
      </c>
      <c r="F8081" s="7">
        <v>362349.62</v>
      </c>
      <c r="G8081">
        <v>0</v>
      </c>
      <c r="H8081" s="7">
        <v>0</v>
      </c>
    </row>
    <row r="8082" spans="1:8">
      <c r="A8082">
        <v>7</v>
      </c>
      <c r="B8082" t="s">
        <v>42</v>
      </c>
      <c r="C8082" t="s">
        <v>34</v>
      </c>
      <c r="D8082">
        <v>0</v>
      </c>
      <c r="E8082">
        <v>1</v>
      </c>
      <c r="F8082" s="7">
        <v>14440.44</v>
      </c>
      <c r="G8082">
        <v>0</v>
      </c>
      <c r="H8082" s="7">
        <v>0</v>
      </c>
    </row>
    <row r="8083" spans="1:8">
      <c r="A8083">
        <v>7</v>
      </c>
      <c r="B8083" t="s">
        <v>42</v>
      </c>
      <c r="C8083" t="s">
        <v>34</v>
      </c>
      <c r="D8083">
        <v>0</v>
      </c>
      <c r="E8083">
        <v>1</v>
      </c>
      <c r="F8083" s="7">
        <v>18745.74</v>
      </c>
      <c r="G8083">
        <v>0</v>
      </c>
      <c r="H8083" s="7">
        <v>0</v>
      </c>
    </row>
    <row r="8084" spans="1:8">
      <c r="A8084">
        <v>7</v>
      </c>
      <c r="B8084" t="s">
        <v>42</v>
      </c>
      <c r="C8084" t="s">
        <v>34</v>
      </c>
      <c r="D8084">
        <v>0</v>
      </c>
      <c r="E8084">
        <v>1</v>
      </c>
      <c r="F8084" s="7">
        <v>12489.85</v>
      </c>
      <c r="G8084">
        <v>0</v>
      </c>
      <c r="H8084" s="7">
        <v>0</v>
      </c>
    </row>
    <row r="8085" spans="1:8">
      <c r="A8085">
        <v>7</v>
      </c>
      <c r="B8085" t="s">
        <v>42</v>
      </c>
      <c r="C8085" t="s">
        <v>33</v>
      </c>
      <c r="D8085">
        <v>0</v>
      </c>
      <c r="E8085">
        <v>1</v>
      </c>
      <c r="F8085" s="7">
        <v>5218.64</v>
      </c>
      <c r="G8085">
        <v>0</v>
      </c>
      <c r="H8085" s="7">
        <v>0</v>
      </c>
    </row>
    <row r="8086" spans="1:8">
      <c r="A8086">
        <v>7</v>
      </c>
      <c r="B8086" t="s">
        <v>42</v>
      </c>
      <c r="C8086" t="s">
        <v>34</v>
      </c>
      <c r="D8086">
        <v>0</v>
      </c>
      <c r="E8086">
        <v>1</v>
      </c>
      <c r="F8086" s="7">
        <v>23532.24</v>
      </c>
      <c r="G8086">
        <v>0</v>
      </c>
      <c r="H8086" s="7">
        <v>0</v>
      </c>
    </row>
    <row r="8087" spans="1:8">
      <c r="A8087">
        <v>7</v>
      </c>
      <c r="B8087" t="s">
        <v>42</v>
      </c>
      <c r="C8087" t="s">
        <v>34</v>
      </c>
      <c r="D8087">
        <v>0</v>
      </c>
      <c r="E8087">
        <v>1</v>
      </c>
      <c r="F8087" s="7">
        <v>13337.69</v>
      </c>
      <c r="G8087">
        <v>0</v>
      </c>
      <c r="H8087" s="7">
        <v>0</v>
      </c>
    </row>
    <row r="8088" spans="1:8">
      <c r="A8088">
        <v>7</v>
      </c>
      <c r="B8088" t="s">
        <v>42</v>
      </c>
      <c r="C8088" t="s">
        <v>33</v>
      </c>
      <c r="D8088">
        <v>0</v>
      </c>
      <c r="E8088">
        <v>1</v>
      </c>
      <c r="F8088" s="7">
        <v>4493.34</v>
      </c>
      <c r="G8088">
        <v>0</v>
      </c>
      <c r="H8088" s="7">
        <v>0</v>
      </c>
    </row>
    <row r="8089" spans="1:8">
      <c r="A8089">
        <v>7</v>
      </c>
      <c r="B8089" t="s">
        <v>42</v>
      </c>
      <c r="C8089" t="s">
        <v>33</v>
      </c>
      <c r="D8089">
        <v>0</v>
      </c>
      <c r="E8089">
        <v>1</v>
      </c>
      <c r="F8089" s="7">
        <v>5693.58</v>
      </c>
      <c r="G8089">
        <v>0</v>
      </c>
      <c r="H8089" s="7">
        <v>0</v>
      </c>
    </row>
    <row r="8090" spans="1:8">
      <c r="A8090">
        <v>7</v>
      </c>
      <c r="B8090" t="s">
        <v>42</v>
      </c>
      <c r="C8090" t="s">
        <v>33</v>
      </c>
      <c r="D8090">
        <v>0</v>
      </c>
      <c r="E8090">
        <v>1</v>
      </c>
      <c r="F8090" s="7">
        <v>5672.3</v>
      </c>
      <c r="G8090">
        <v>0</v>
      </c>
      <c r="H8090" s="7">
        <v>0</v>
      </c>
    </row>
    <row r="8091" spans="1:8">
      <c r="A8091">
        <v>7</v>
      </c>
      <c r="B8091" t="s">
        <v>42</v>
      </c>
      <c r="C8091" t="s">
        <v>34</v>
      </c>
      <c r="D8091">
        <v>0</v>
      </c>
      <c r="E8091">
        <v>1</v>
      </c>
      <c r="F8091" s="7">
        <v>11109.58</v>
      </c>
      <c r="G8091">
        <v>0</v>
      </c>
      <c r="H8091" s="7">
        <v>0</v>
      </c>
    </row>
    <row r="8092" spans="1:8">
      <c r="A8092">
        <v>7</v>
      </c>
      <c r="B8092" t="s">
        <v>44</v>
      </c>
      <c r="C8092" t="s">
        <v>35</v>
      </c>
      <c r="D8092">
        <v>0</v>
      </c>
      <c r="E8092">
        <v>1</v>
      </c>
      <c r="F8092" s="7">
        <v>391811.34</v>
      </c>
      <c r="G8092">
        <v>0</v>
      </c>
      <c r="H8092" s="7">
        <v>0</v>
      </c>
    </row>
    <row r="8093" spans="1:8">
      <c r="A8093">
        <v>7</v>
      </c>
      <c r="B8093" t="s">
        <v>42</v>
      </c>
      <c r="C8093" t="s">
        <v>33</v>
      </c>
      <c r="D8093">
        <v>0</v>
      </c>
      <c r="E8093">
        <v>1</v>
      </c>
      <c r="F8093" s="7">
        <v>7090.13</v>
      </c>
      <c r="G8093">
        <v>0</v>
      </c>
      <c r="H8093" s="7">
        <v>0</v>
      </c>
    </row>
    <row r="8094" spans="1:8">
      <c r="A8094">
        <v>7</v>
      </c>
      <c r="B8094" t="s">
        <v>42</v>
      </c>
      <c r="C8094" t="s">
        <v>32</v>
      </c>
      <c r="D8094">
        <v>0</v>
      </c>
      <c r="E8094">
        <v>1</v>
      </c>
      <c r="F8094" s="7">
        <v>160.54</v>
      </c>
      <c r="G8094">
        <v>0</v>
      </c>
      <c r="H8094" s="7">
        <v>0</v>
      </c>
    </row>
    <row r="8095" spans="1:8">
      <c r="A8095">
        <v>7</v>
      </c>
      <c r="B8095" t="s">
        <v>42</v>
      </c>
      <c r="C8095" t="s">
        <v>33</v>
      </c>
      <c r="D8095">
        <v>0</v>
      </c>
      <c r="E8095">
        <v>1</v>
      </c>
      <c r="F8095" s="7">
        <v>5874.76</v>
      </c>
      <c r="G8095">
        <v>0</v>
      </c>
      <c r="H8095" s="7">
        <v>0</v>
      </c>
    </row>
    <row r="8096" spans="1:8">
      <c r="A8096">
        <v>7</v>
      </c>
      <c r="B8096" t="s">
        <v>42</v>
      </c>
      <c r="C8096" t="s">
        <v>34</v>
      </c>
      <c r="D8096">
        <v>0</v>
      </c>
      <c r="E8096">
        <v>1</v>
      </c>
      <c r="F8096" s="7">
        <v>15568.94</v>
      </c>
      <c r="G8096">
        <v>0</v>
      </c>
      <c r="H8096" s="7">
        <v>0</v>
      </c>
    </row>
    <row r="8097" spans="1:8">
      <c r="A8097">
        <v>7</v>
      </c>
      <c r="B8097" t="s">
        <v>42</v>
      </c>
      <c r="C8097" t="s">
        <v>33</v>
      </c>
      <c r="D8097">
        <v>0</v>
      </c>
      <c r="E8097">
        <v>1</v>
      </c>
      <c r="F8097" s="7">
        <v>4721.88</v>
      </c>
      <c r="G8097">
        <v>0</v>
      </c>
      <c r="H8097" s="7">
        <v>0</v>
      </c>
    </row>
    <row r="8098" spans="1:8">
      <c r="A8098">
        <v>7</v>
      </c>
      <c r="B8098" t="s">
        <v>42</v>
      </c>
      <c r="C8098" t="s">
        <v>33</v>
      </c>
      <c r="D8098">
        <v>0</v>
      </c>
      <c r="E8098">
        <v>1</v>
      </c>
      <c r="F8098" s="7">
        <v>6596.11</v>
      </c>
      <c r="G8098">
        <v>0</v>
      </c>
      <c r="H8098" s="7">
        <v>0</v>
      </c>
    </row>
    <row r="8099" spans="1:8">
      <c r="A8099">
        <v>7</v>
      </c>
      <c r="B8099" t="s">
        <v>42</v>
      </c>
      <c r="C8099" t="s">
        <v>34</v>
      </c>
      <c r="D8099">
        <v>0</v>
      </c>
      <c r="E8099">
        <v>1</v>
      </c>
      <c r="F8099" s="7">
        <v>13517.23</v>
      </c>
      <c r="G8099">
        <v>0</v>
      </c>
      <c r="H8099" s="7">
        <v>0</v>
      </c>
    </row>
    <row r="8100" spans="1:8">
      <c r="A8100">
        <v>7</v>
      </c>
      <c r="B8100" t="s">
        <v>42</v>
      </c>
      <c r="C8100" t="s">
        <v>34</v>
      </c>
      <c r="D8100">
        <v>0</v>
      </c>
      <c r="E8100">
        <v>1</v>
      </c>
      <c r="F8100" s="7">
        <v>11105.62</v>
      </c>
      <c r="G8100">
        <v>0</v>
      </c>
      <c r="H8100" s="7">
        <v>0</v>
      </c>
    </row>
    <row r="8101" spans="1:8">
      <c r="A8101">
        <v>7</v>
      </c>
      <c r="B8101" t="s">
        <v>42</v>
      </c>
      <c r="C8101" t="s">
        <v>32</v>
      </c>
      <c r="D8101">
        <v>0</v>
      </c>
      <c r="E8101">
        <v>1</v>
      </c>
      <c r="F8101" s="7">
        <v>405.9</v>
      </c>
      <c r="G8101">
        <v>0</v>
      </c>
      <c r="H8101" s="7">
        <v>0</v>
      </c>
    </row>
    <row r="8102" spans="1:8">
      <c r="A8102">
        <v>7</v>
      </c>
      <c r="B8102" t="s">
        <v>42</v>
      </c>
      <c r="C8102" t="s">
        <v>34</v>
      </c>
      <c r="D8102">
        <v>0</v>
      </c>
      <c r="E8102">
        <v>1</v>
      </c>
      <c r="F8102" s="7">
        <v>15988.24</v>
      </c>
      <c r="G8102">
        <v>0</v>
      </c>
      <c r="H8102" s="7">
        <v>0</v>
      </c>
    </row>
    <row r="8103" spans="1:8">
      <c r="A8103">
        <v>7</v>
      </c>
      <c r="B8103" t="s">
        <v>44</v>
      </c>
      <c r="C8103" t="s">
        <v>34</v>
      </c>
      <c r="D8103">
        <v>0</v>
      </c>
      <c r="E8103">
        <v>1</v>
      </c>
      <c r="F8103" s="7">
        <v>47855.19</v>
      </c>
      <c r="G8103">
        <v>0</v>
      </c>
      <c r="H8103" s="7">
        <v>0</v>
      </c>
    </row>
    <row r="8104" spans="1:8">
      <c r="A8104">
        <v>7</v>
      </c>
      <c r="B8104" t="s">
        <v>42</v>
      </c>
      <c r="C8104" t="s">
        <v>34</v>
      </c>
      <c r="D8104">
        <v>0</v>
      </c>
      <c r="E8104">
        <v>1</v>
      </c>
      <c r="F8104" s="7">
        <v>17236.25</v>
      </c>
      <c r="G8104">
        <v>0</v>
      </c>
      <c r="H8104" s="7">
        <v>0</v>
      </c>
    </row>
    <row r="8105" spans="1:8">
      <c r="A8105">
        <v>7</v>
      </c>
      <c r="B8105" t="s">
        <v>42</v>
      </c>
      <c r="C8105" t="s">
        <v>32</v>
      </c>
      <c r="D8105">
        <v>0</v>
      </c>
      <c r="E8105">
        <v>1</v>
      </c>
      <c r="F8105" s="7">
        <v>823.23</v>
      </c>
      <c r="G8105">
        <v>0</v>
      </c>
      <c r="H8105" s="7">
        <v>0</v>
      </c>
    </row>
    <row r="8106" spans="1:8">
      <c r="A8106">
        <v>7</v>
      </c>
      <c r="B8106" t="s">
        <v>42</v>
      </c>
      <c r="C8106" t="s">
        <v>33</v>
      </c>
      <c r="D8106">
        <v>0</v>
      </c>
      <c r="E8106">
        <v>1</v>
      </c>
      <c r="F8106" s="7">
        <v>6904.78</v>
      </c>
      <c r="G8106">
        <v>0</v>
      </c>
      <c r="H8106" s="7">
        <v>0</v>
      </c>
    </row>
    <row r="8107" spans="1:8">
      <c r="A8107">
        <v>7</v>
      </c>
      <c r="B8107" t="s">
        <v>46</v>
      </c>
      <c r="C8107" t="s">
        <v>34</v>
      </c>
      <c r="D8107">
        <v>0</v>
      </c>
      <c r="E8107">
        <v>1</v>
      </c>
      <c r="F8107" s="7">
        <v>81624.34</v>
      </c>
      <c r="G8107">
        <v>0</v>
      </c>
      <c r="H8107" s="7">
        <v>0</v>
      </c>
    </row>
    <row r="8108" spans="1:8">
      <c r="A8108">
        <v>7</v>
      </c>
      <c r="B8108" t="s">
        <v>42</v>
      </c>
      <c r="C8108" t="s">
        <v>33</v>
      </c>
      <c r="D8108">
        <v>0</v>
      </c>
      <c r="E8108">
        <v>1</v>
      </c>
      <c r="F8108" s="7">
        <v>3206.32</v>
      </c>
      <c r="G8108">
        <v>0</v>
      </c>
      <c r="H8108" s="7">
        <v>0</v>
      </c>
    </row>
    <row r="8109" spans="1:8">
      <c r="A8109">
        <v>7</v>
      </c>
      <c r="B8109" t="s">
        <v>42</v>
      </c>
      <c r="C8109" t="s">
        <v>32</v>
      </c>
      <c r="D8109">
        <v>0</v>
      </c>
      <c r="E8109">
        <v>1</v>
      </c>
      <c r="F8109" s="7">
        <v>548.52</v>
      </c>
      <c r="G8109">
        <v>0</v>
      </c>
      <c r="H8109" s="7">
        <v>0</v>
      </c>
    </row>
    <row r="8110" spans="1:8">
      <c r="A8110">
        <v>7</v>
      </c>
      <c r="B8110" t="s">
        <v>42</v>
      </c>
      <c r="C8110" t="s">
        <v>33</v>
      </c>
      <c r="D8110">
        <v>0</v>
      </c>
      <c r="E8110">
        <v>1</v>
      </c>
      <c r="F8110" s="7">
        <v>2494.55</v>
      </c>
      <c r="G8110">
        <v>0</v>
      </c>
      <c r="H8110" s="7">
        <v>0</v>
      </c>
    </row>
    <row r="8111" spans="1:8">
      <c r="A8111">
        <v>7</v>
      </c>
      <c r="B8111" t="s">
        <v>42</v>
      </c>
      <c r="C8111" t="s">
        <v>34</v>
      </c>
      <c r="D8111">
        <v>0</v>
      </c>
      <c r="E8111">
        <v>1</v>
      </c>
      <c r="F8111" s="7">
        <v>19258.16</v>
      </c>
      <c r="G8111">
        <v>0</v>
      </c>
      <c r="H8111" s="7">
        <v>0</v>
      </c>
    </row>
    <row r="8112" spans="1:8">
      <c r="A8112">
        <v>7</v>
      </c>
      <c r="B8112" t="s">
        <v>42</v>
      </c>
      <c r="C8112" t="s">
        <v>33</v>
      </c>
      <c r="D8112">
        <v>0</v>
      </c>
      <c r="E8112">
        <v>1</v>
      </c>
      <c r="F8112" s="7">
        <v>3064.28</v>
      </c>
      <c r="G8112">
        <v>0</v>
      </c>
      <c r="H8112" s="7">
        <v>0</v>
      </c>
    </row>
    <row r="8113" spans="1:8">
      <c r="A8113">
        <v>7</v>
      </c>
      <c r="B8113" t="s">
        <v>43</v>
      </c>
      <c r="C8113" t="s">
        <v>35</v>
      </c>
      <c r="D8113">
        <v>0</v>
      </c>
      <c r="E8113">
        <v>1</v>
      </c>
      <c r="F8113" s="7">
        <v>385674.22</v>
      </c>
      <c r="G8113">
        <v>0</v>
      </c>
      <c r="H8113" s="7">
        <v>0</v>
      </c>
    </row>
    <row r="8114" spans="1:8">
      <c r="A8114">
        <v>7</v>
      </c>
      <c r="B8114" t="s">
        <v>42</v>
      </c>
      <c r="C8114" t="s">
        <v>33</v>
      </c>
      <c r="D8114">
        <v>0</v>
      </c>
      <c r="E8114">
        <v>1</v>
      </c>
      <c r="F8114" s="7">
        <v>8336.7</v>
      </c>
      <c r="G8114">
        <v>0</v>
      </c>
      <c r="H8114" s="7">
        <v>0</v>
      </c>
    </row>
    <row r="8115" spans="1:8">
      <c r="A8115">
        <v>7</v>
      </c>
      <c r="B8115" t="s">
        <v>42</v>
      </c>
      <c r="C8115" t="s">
        <v>34</v>
      </c>
      <c r="D8115">
        <v>0</v>
      </c>
      <c r="E8115">
        <v>1</v>
      </c>
      <c r="F8115" s="7">
        <v>11856.98</v>
      </c>
      <c r="G8115">
        <v>0</v>
      </c>
      <c r="H8115" s="7">
        <v>0</v>
      </c>
    </row>
    <row r="8116" spans="1:8">
      <c r="A8116">
        <v>7</v>
      </c>
      <c r="B8116" t="s">
        <v>42</v>
      </c>
      <c r="C8116" t="s">
        <v>34</v>
      </c>
      <c r="D8116">
        <v>0</v>
      </c>
      <c r="E8116">
        <v>1</v>
      </c>
      <c r="F8116" s="7">
        <v>16092.52</v>
      </c>
      <c r="G8116">
        <v>0</v>
      </c>
      <c r="H8116" s="7">
        <v>0</v>
      </c>
    </row>
    <row r="8117" spans="1:8">
      <c r="A8117">
        <v>7</v>
      </c>
      <c r="B8117" t="s">
        <v>46</v>
      </c>
      <c r="C8117" t="s">
        <v>34</v>
      </c>
      <c r="D8117">
        <v>0</v>
      </c>
      <c r="E8117">
        <v>1</v>
      </c>
      <c r="F8117" s="7">
        <v>20439.44</v>
      </c>
      <c r="G8117">
        <v>0</v>
      </c>
      <c r="H8117" s="7">
        <v>0</v>
      </c>
    </row>
    <row r="8118" spans="1:8">
      <c r="A8118">
        <v>7</v>
      </c>
      <c r="B8118" t="s">
        <v>42</v>
      </c>
      <c r="C8118" t="s">
        <v>33</v>
      </c>
      <c r="D8118">
        <v>0</v>
      </c>
      <c r="E8118">
        <v>1</v>
      </c>
      <c r="F8118" s="7">
        <v>6234.94</v>
      </c>
      <c r="G8118">
        <v>0</v>
      </c>
      <c r="H8118" s="7">
        <v>0</v>
      </c>
    </row>
    <row r="8119" spans="1:8">
      <c r="A8119">
        <v>7</v>
      </c>
      <c r="B8119" t="s">
        <v>44</v>
      </c>
      <c r="C8119" t="s">
        <v>33</v>
      </c>
      <c r="D8119">
        <v>0</v>
      </c>
      <c r="E8119">
        <v>1</v>
      </c>
      <c r="F8119" s="7">
        <v>6266.97</v>
      </c>
      <c r="G8119">
        <v>0</v>
      </c>
      <c r="H8119" s="7">
        <v>0</v>
      </c>
    </row>
    <row r="8120" spans="1:8">
      <c r="A8120">
        <v>7</v>
      </c>
      <c r="B8120" t="s">
        <v>44</v>
      </c>
      <c r="C8120" t="s">
        <v>34</v>
      </c>
      <c r="D8120">
        <v>0</v>
      </c>
      <c r="E8120">
        <v>1</v>
      </c>
      <c r="F8120" s="7">
        <v>16921.29</v>
      </c>
      <c r="G8120">
        <v>0</v>
      </c>
      <c r="H8120" s="7">
        <v>0</v>
      </c>
    </row>
    <row r="8121" spans="1:8">
      <c r="A8121">
        <v>7</v>
      </c>
      <c r="B8121" t="s">
        <v>44</v>
      </c>
      <c r="C8121" t="s">
        <v>35</v>
      </c>
      <c r="D8121">
        <v>0</v>
      </c>
      <c r="E8121">
        <v>1</v>
      </c>
      <c r="F8121" s="7">
        <v>294345.35</v>
      </c>
      <c r="G8121">
        <v>0</v>
      </c>
      <c r="H8121" s="7">
        <v>0</v>
      </c>
    </row>
    <row r="8122" spans="1:8">
      <c r="A8122">
        <v>7</v>
      </c>
      <c r="B8122" t="s">
        <v>42</v>
      </c>
      <c r="C8122" t="s">
        <v>33</v>
      </c>
      <c r="D8122">
        <v>0</v>
      </c>
      <c r="E8122">
        <v>1</v>
      </c>
      <c r="F8122" s="7">
        <v>8448.99</v>
      </c>
      <c r="G8122">
        <v>0</v>
      </c>
      <c r="H8122" s="7">
        <v>0</v>
      </c>
    </row>
    <row r="8123" spans="1:8">
      <c r="A8123">
        <v>7</v>
      </c>
      <c r="B8123" t="s">
        <v>42</v>
      </c>
      <c r="C8123" t="s">
        <v>33</v>
      </c>
      <c r="D8123">
        <v>0</v>
      </c>
      <c r="E8123">
        <v>1</v>
      </c>
      <c r="F8123" s="7">
        <v>3947.29</v>
      </c>
      <c r="G8123">
        <v>0</v>
      </c>
      <c r="H8123" s="7">
        <v>0</v>
      </c>
    </row>
    <row r="8124" spans="1:8">
      <c r="A8124">
        <v>7</v>
      </c>
      <c r="B8124" t="s">
        <v>42</v>
      </c>
      <c r="C8124" t="s">
        <v>33</v>
      </c>
      <c r="D8124">
        <v>0</v>
      </c>
      <c r="E8124">
        <v>1</v>
      </c>
      <c r="F8124" s="7">
        <v>9895.37</v>
      </c>
      <c r="G8124">
        <v>0</v>
      </c>
      <c r="H8124" s="7">
        <v>0</v>
      </c>
    </row>
    <row r="8125" spans="1:8">
      <c r="A8125">
        <v>7</v>
      </c>
      <c r="B8125" t="s">
        <v>43</v>
      </c>
      <c r="C8125" t="s">
        <v>35</v>
      </c>
      <c r="D8125">
        <v>0</v>
      </c>
      <c r="E8125">
        <v>1</v>
      </c>
      <c r="F8125" s="7">
        <v>400589.96</v>
      </c>
      <c r="G8125">
        <v>0</v>
      </c>
      <c r="H8125" s="7">
        <v>0</v>
      </c>
    </row>
    <row r="8126" spans="1:8">
      <c r="A8126">
        <v>7</v>
      </c>
      <c r="B8126" t="s">
        <v>42</v>
      </c>
      <c r="C8126" t="s">
        <v>34</v>
      </c>
      <c r="D8126">
        <v>0</v>
      </c>
      <c r="E8126">
        <v>1</v>
      </c>
      <c r="F8126" s="7">
        <v>10350.66</v>
      </c>
      <c r="G8126">
        <v>0</v>
      </c>
      <c r="H8126" s="7">
        <v>0</v>
      </c>
    </row>
    <row r="8127" spans="1:8">
      <c r="A8127">
        <v>7</v>
      </c>
      <c r="B8127" t="s">
        <v>42</v>
      </c>
      <c r="C8127" t="s">
        <v>34</v>
      </c>
      <c r="D8127">
        <v>0</v>
      </c>
      <c r="E8127">
        <v>1</v>
      </c>
      <c r="F8127" s="7">
        <v>12054.47</v>
      </c>
      <c r="G8127">
        <v>0</v>
      </c>
      <c r="H8127" s="7">
        <v>0</v>
      </c>
    </row>
    <row r="8128" spans="1:8">
      <c r="A8128">
        <v>7</v>
      </c>
      <c r="B8128" t="s">
        <v>42</v>
      </c>
      <c r="C8128" t="s">
        <v>33</v>
      </c>
      <c r="D8128">
        <v>0</v>
      </c>
      <c r="E8128">
        <v>1</v>
      </c>
      <c r="F8128" s="7">
        <v>1841.69</v>
      </c>
      <c r="G8128">
        <v>0</v>
      </c>
      <c r="H8128" s="7">
        <v>0</v>
      </c>
    </row>
    <row r="8129" spans="1:8">
      <c r="A8129">
        <v>7</v>
      </c>
      <c r="B8129" t="s">
        <v>44</v>
      </c>
      <c r="C8129" t="s">
        <v>35</v>
      </c>
      <c r="D8129">
        <v>0</v>
      </c>
      <c r="E8129">
        <v>1</v>
      </c>
      <c r="F8129" s="7">
        <v>204028.57</v>
      </c>
      <c r="G8129">
        <v>0</v>
      </c>
      <c r="H8129" s="7">
        <v>0</v>
      </c>
    </row>
    <row r="8130" spans="1:8">
      <c r="A8130">
        <v>7</v>
      </c>
      <c r="B8130" t="s">
        <v>42</v>
      </c>
      <c r="C8130" t="s">
        <v>33</v>
      </c>
      <c r="D8130">
        <v>0</v>
      </c>
      <c r="E8130">
        <v>1</v>
      </c>
      <c r="F8130" s="7">
        <v>1853.22</v>
      </c>
      <c r="G8130">
        <v>0</v>
      </c>
      <c r="H8130" s="7">
        <v>0</v>
      </c>
    </row>
    <row r="8131" spans="1:8">
      <c r="A8131">
        <v>7</v>
      </c>
      <c r="B8131" t="s">
        <v>42</v>
      </c>
      <c r="C8131" t="s">
        <v>33</v>
      </c>
      <c r="D8131">
        <v>0</v>
      </c>
      <c r="E8131">
        <v>1</v>
      </c>
      <c r="F8131" s="7">
        <v>6483.34</v>
      </c>
      <c r="G8131">
        <v>0</v>
      </c>
      <c r="H8131" s="7">
        <v>0</v>
      </c>
    </row>
    <row r="8132" spans="1:8">
      <c r="A8132">
        <v>7</v>
      </c>
      <c r="B8132" t="s">
        <v>44</v>
      </c>
      <c r="C8132" t="s">
        <v>34</v>
      </c>
      <c r="D8132">
        <v>0</v>
      </c>
      <c r="E8132">
        <v>1</v>
      </c>
      <c r="F8132" s="7">
        <v>11006.68</v>
      </c>
      <c r="G8132">
        <v>0</v>
      </c>
      <c r="H8132" s="7">
        <v>0</v>
      </c>
    </row>
    <row r="8133" spans="1:8">
      <c r="A8133">
        <v>7</v>
      </c>
      <c r="B8133" t="s">
        <v>43</v>
      </c>
      <c r="C8133" t="s">
        <v>36</v>
      </c>
      <c r="D8133">
        <v>0</v>
      </c>
      <c r="E8133">
        <v>1</v>
      </c>
      <c r="F8133" s="7">
        <v>1284837.02</v>
      </c>
      <c r="G8133">
        <v>0</v>
      </c>
      <c r="H8133" s="7">
        <v>0</v>
      </c>
    </row>
    <row r="8134" spans="1:8">
      <c r="A8134">
        <v>7</v>
      </c>
      <c r="B8134" t="s">
        <v>42</v>
      </c>
      <c r="C8134" t="s">
        <v>33</v>
      </c>
      <c r="D8134">
        <v>0</v>
      </c>
      <c r="E8134">
        <v>1</v>
      </c>
      <c r="F8134" s="7">
        <v>5268.25</v>
      </c>
      <c r="G8134">
        <v>0</v>
      </c>
      <c r="H8134" s="7">
        <v>0</v>
      </c>
    </row>
    <row r="8135" spans="1:8">
      <c r="A8135">
        <v>7</v>
      </c>
      <c r="B8135" t="s">
        <v>44</v>
      </c>
      <c r="C8135" t="s">
        <v>35</v>
      </c>
      <c r="D8135">
        <v>0</v>
      </c>
      <c r="E8135">
        <v>1</v>
      </c>
      <c r="F8135" s="7">
        <v>116488</v>
      </c>
      <c r="G8135">
        <v>0</v>
      </c>
      <c r="H8135" s="7">
        <v>0</v>
      </c>
    </row>
    <row r="8136" spans="1:8">
      <c r="A8136">
        <v>7</v>
      </c>
      <c r="B8136" t="s">
        <v>42</v>
      </c>
      <c r="C8136" t="s">
        <v>34</v>
      </c>
      <c r="D8136">
        <v>0</v>
      </c>
      <c r="E8136">
        <v>1</v>
      </c>
      <c r="F8136" s="7">
        <v>11236.53</v>
      </c>
      <c r="G8136">
        <v>0</v>
      </c>
      <c r="H8136" s="7">
        <v>0</v>
      </c>
    </row>
    <row r="8137" spans="1:8">
      <c r="A8137">
        <v>7</v>
      </c>
      <c r="B8137" t="s">
        <v>45</v>
      </c>
      <c r="C8137" t="s">
        <v>32</v>
      </c>
      <c r="D8137">
        <v>0</v>
      </c>
      <c r="E8137">
        <v>1</v>
      </c>
      <c r="F8137" s="7">
        <v>285.71</v>
      </c>
      <c r="G8137">
        <v>0</v>
      </c>
      <c r="H8137" s="7">
        <v>0</v>
      </c>
    </row>
    <row r="8138" spans="1:8">
      <c r="A8138">
        <v>7</v>
      </c>
      <c r="B8138" t="s">
        <v>42</v>
      </c>
      <c r="C8138" t="s">
        <v>33</v>
      </c>
      <c r="D8138">
        <v>0</v>
      </c>
      <c r="E8138">
        <v>1</v>
      </c>
      <c r="F8138" s="7">
        <v>2813.84</v>
      </c>
      <c r="G8138">
        <v>0</v>
      </c>
      <c r="H8138" s="7">
        <v>0</v>
      </c>
    </row>
    <row r="8139" spans="1:8">
      <c r="A8139">
        <v>7</v>
      </c>
      <c r="B8139" t="s">
        <v>42</v>
      </c>
      <c r="C8139" t="s">
        <v>33</v>
      </c>
      <c r="D8139">
        <v>0</v>
      </c>
      <c r="E8139">
        <v>1</v>
      </c>
      <c r="F8139" s="7">
        <v>1839.63</v>
      </c>
      <c r="G8139">
        <v>0</v>
      </c>
      <c r="H8139" s="7">
        <v>0</v>
      </c>
    </row>
    <row r="8140" spans="1:8">
      <c r="A8140">
        <v>7</v>
      </c>
      <c r="B8140" t="s">
        <v>46</v>
      </c>
      <c r="C8140" t="s">
        <v>34</v>
      </c>
      <c r="D8140">
        <v>0</v>
      </c>
      <c r="E8140">
        <v>1</v>
      </c>
      <c r="F8140" s="7">
        <v>79069.17</v>
      </c>
      <c r="G8140">
        <v>0</v>
      </c>
      <c r="H8140" s="7">
        <v>0</v>
      </c>
    </row>
    <row r="8141" spans="1:8">
      <c r="A8141">
        <v>7</v>
      </c>
      <c r="B8141" t="s">
        <v>42</v>
      </c>
      <c r="C8141" t="s">
        <v>34</v>
      </c>
      <c r="D8141">
        <v>0</v>
      </c>
      <c r="E8141">
        <v>1</v>
      </c>
      <c r="F8141" s="7">
        <v>10089.51</v>
      </c>
      <c r="G8141">
        <v>0</v>
      </c>
      <c r="H8141" s="7">
        <v>0</v>
      </c>
    </row>
    <row r="8142" spans="1:8">
      <c r="A8142">
        <v>7</v>
      </c>
      <c r="B8142" t="s">
        <v>42</v>
      </c>
      <c r="C8142" t="s">
        <v>33</v>
      </c>
      <c r="D8142">
        <v>0</v>
      </c>
      <c r="E8142">
        <v>1</v>
      </c>
      <c r="F8142" s="7">
        <v>4096.05</v>
      </c>
      <c r="G8142">
        <v>0</v>
      </c>
      <c r="H8142" s="7">
        <v>0</v>
      </c>
    </row>
    <row r="8143" spans="1:8">
      <c r="A8143">
        <v>7</v>
      </c>
      <c r="B8143" t="s">
        <v>42</v>
      </c>
      <c r="C8143" t="s">
        <v>33</v>
      </c>
      <c r="D8143">
        <v>0</v>
      </c>
      <c r="E8143">
        <v>1</v>
      </c>
      <c r="F8143" s="7">
        <v>5093.97</v>
      </c>
      <c r="G8143">
        <v>0</v>
      </c>
      <c r="H8143" s="7">
        <v>0</v>
      </c>
    </row>
    <row r="8144" spans="1:8">
      <c r="A8144">
        <v>7</v>
      </c>
      <c r="B8144" t="s">
        <v>42</v>
      </c>
      <c r="C8144" t="s">
        <v>33</v>
      </c>
      <c r="D8144">
        <v>0</v>
      </c>
      <c r="E8144">
        <v>1</v>
      </c>
      <c r="F8144" s="7">
        <v>5807.09</v>
      </c>
      <c r="G8144">
        <v>0</v>
      </c>
      <c r="H8144" s="7">
        <v>0</v>
      </c>
    </row>
    <row r="8145" spans="1:8">
      <c r="A8145">
        <v>7</v>
      </c>
      <c r="B8145" t="s">
        <v>43</v>
      </c>
      <c r="C8145" t="s">
        <v>35</v>
      </c>
      <c r="D8145">
        <v>0</v>
      </c>
      <c r="E8145">
        <v>1</v>
      </c>
      <c r="F8145" s="7">
        <v>375736.37</v>
      </c>
      <c r="G8145">
        <v>0</v>
      </c>
      <c r="H8145" s="7">
        <v>0</v>
      </c>
    </row>
    <row r="8146" spans="1:8">
      <c r="A8146">
        <v>7</v>
      </c>
      <c r="B8146" t="s">
        <v>43</v>
      </c>
      <c r="C8146" t="s">
        <v>36</v>
      </c>
      <c r="D8146">
        <v>0</v>
      </c>
      <c r="E8146">
        <v>1</v>
      </c>
      <c r="F8146" s="7">
        <v>1946101.41</v>
      </c>
      <c r="G8146">
        <v>0</v>
      </c>
      <c r="H8146" s="7">
        <v>0</v>
      </c>
    </row>
    <row r="8147" spans="1:8">
      <c r="A8147">
        <v>7</v>
      </c>
      <c r="B8147" t="s">
        <v>43</v>
      </c>
      <c r="C8147" t="s">
        <v>35</v>
      </c>
      <c r="D8147">
        <v>0</v>
      </c>
      <c r="E8147">
        <v>1</v>
      </c>
      <c r="F8147" s="7">
        <v>128806.24</v>
      </c>
      <c r="G8147">
        <v>0</v>
      </c>
      <c r="H8147" s="7">
        <v>0</v>
      </c>
    </row>
    <row r="8148" spans="1:8">
      <c r="A8148">
        <v>7</v>
      </c>
      <c r="B8148" t="s">
        <v>43</v>
      </c>
      <c r="C8148" t="s">
        <v>35</v>
      </c>
      <c r="D8148">
        <v>0</v>
      </c>
      <c r="E8148">
        <v>1</v>
      </c>
      <c r="F8148" s="7">
        <v>717318.86</v>
      </c>
      <c r="G8148">
        <v>0</v>
      </c>
      <c r="H8148" s="7">
        <v>0</v>
      </c>
    </row>
    <row r="8149" spans="1:8">
      <c r="A8149">
        <v>7</v>
      </c>
      <c r="B8149" t="s">
        <v>42</v>
      </c>
      <c r="C8149" t="s">
        <v>33</v>
      </c>
      <c r="D8149">
        <v>0</v>
      </c>
      <c r="E8149">
        <v>1</v>
      </c>
      <c r="F8149" s="7">
        <v>1789.39</v>
      </c>
      <c r="G8149">
        <v>0</v>
      </c>
      <c r="H8149" s="7">
        <v>0</v>
      </c>
    </row>
    <row r="8150" spans="1:8">
      <c r="A8150">
        <v>7</v>
      </c>
      <c r="B8150" t="s">
        <v>42</v>
      </c>
      <c r="C8150" t="s">
        <v>34</v>
      </c>
      <c r="D8150">
        <v>0</v>
      </c>
      <c r="E8150">
        <v>1</v>
      </c>
      <c r="F8150" s="7">
        <v>12280.47</v>
      </c>
      <c r="G8150">
        <v>0</v>
      </c>
      <c r="H8150" s="7">
        <v>0</v>
      </c>
    </row>
    <row r="8151" spans="1:8">
      <c r="A8151">
        <v>7</v>
      </c>
      <c r="B8151" t="s">
        <v>42</v>
      </c>
      <c r="C8151" t="s">
        <v>33</v>
      </c>
      <c r="D8151">
        <v>0</v>
      </c>
      <c r="E8151">
        <v>1</v>
      </c>
      <c r="F8151" s="7">
        <v>7105.09</v>
      </c>
      <c r="G8151">
        <v>0</v>
      </c>
      <c r="H8151" s="7">
        <v>0</v>
      </c>
    </row>
    <row r="8152" spans="1:8">
      <c r="A8152">
        <v>7</v>
      </c>
      <c r="B8152" t="s">
        <v>43</v>
      </c>
      <c r="C8152" t="s">
        <v>36</v>
      </c>
      <c r="D8152">
        <v>0</v>
      </c>
      <c r="E8152">
        <v>1</v>
      </c>
      <c r="F8152" s="7">
        <v>1170389.4</v>
      </c>
      <c r="G8152">
        <v>0</v>
      </c>
      <c r="H8152" s="7">
        <v>0</v>
      </c>
    </row>
    <row r="8153" spans="1:8">
      <c r="A8153">
        <v>7</v>
      </c>
      <c r="B8153" t="s">
        <v>44</v>
      </c>
      <c r="C8153" t="s">
        <v>35</v>
      </c>
      <c r="D8153">
        <v>0</v>
      </c>
      <c r="E8153">
        <v>1</v>
      </c>
      <c r="F8153" s="7">
        <v>166347.32</v>
      </c>
      <c r="G8153">
        <v>0</v>
      </c>
      <c r="H8153" s="7">
        <v>0</v>
      </c>
    </row>
    <row r="8154" spans="1:8">
      <c r="A8154">
        <v>7</v>
      </c>
      <c r="B8154" t="s">
        <v>43</v>
      </c>
      <c r="C8154" t="s">
        <v>35</v>
      </c>
      <c r="D8154">
        <v>0</v>
      </c>
      <c r="E8154">
        <v>1</v>
      </c>
      <c r="F8154" s="7">
        <v>941502.27</v>
      </c>
      <c r="G8154">
        <v>0</v>
      </c>
      <c r="H8154" s="7">
        <v>0</v>
      </c>
    </row>
    <row r="8155" spans="1:8">
      <c r="A8155">
        <v>7</v>
      </c>
      <c r="B8155" t="s">
        <v>43</v>
      </c>
      <c r="C8155" t="s">
        <v>35</v>
      </c>
      <c r="D8155">
        <v>0</v>
      </c>
      <c r="E8155">
        <v>1</v>
      </c>
      <c r="F8155" s="7">
        <v>451044.54</v>
      </c>
      <c r="G8155">
        <v>0</v>
      </c>
      <c r="H8155" s="7">
        <v>0</v>
      </c>
    </row>
    <row r="8156" spans="1:8">
      <c r="A8156">
        <v>7</v>
      </c>
      <c r="B8156" t="s">
        <v>43</v>
      </c>
      <c r="C8156" t="s">
        <v>36</v>
      </c>
      <c r="D8156">
        <v>0</v>
      </c>
      <c r="E8156">
        <v>1</v>
      </c>
      <c r="F8156" s="7">
        <v>2102252.96</v>
      </c>
      <c r="G8156">
        <v>0</v>
      </c>
      <c r="H8156" s="7">
        <v>0</v>
      </c>
    </row>
    <row r="8157" spans="1:8">
      <c r="A8157">
        <v>7</v>
      </c>
      <c r="B8157" t="s">
        <v>43</v>
      </c>
      <c r="C8157" t="s">
        <v>35</v>
      </c>
      <c r="D8157">
        <v>0</v>
      </c>
      <c r="E8157">
        <v>1</v>
      </c>
      <c r="F8157" s="7">
        <v>798540.41</v>
      </c>
      <c r="G8157">
        <v>0</v>
      </c>
      <c r="H8157" s="7">
        <v>0</v>
      </c>
    </row>
    <row r="8158" spans="1:8">
      <c r="A8158">
        <v>7</v>
      </c>
      <c r="B8158" t="s">
        <v>43</v>
      </c>
      <c r="C8158" t="s">
        <v>35</v>
      </c>
      <c r="D8158">
        <v>0</v>
      </c>
      <c r="E8158">
        <v>1</v>
      </c>
      <c r="F8158" s="7">
        <v>558601.07</v>
      </c>
      <c r="G8158">
        <v>0</v>
      </c>
      <c r="H8158" s="7">
        <v>0</v>
      </c>
    </row>
    <row r="8159" spans="1:8">
      <c r="A8159">
        <v>7</v>
      </c>
      <c r="B8159" t="s">
        <v>43</v>
      </c>
      <c r="C8159" t="s">
        <v>35</v>
      </c>
      <c r="D8159">
        <v>0</v>
      </c>
      <c r="E8159">
        <v>1</v>
      </c>
      <c r="F8159" s="7">
        <v>261399.78</v>
      </c>
      <c r="G8159">
        <v>0</v>
      </c>
      <c r="H8159" s="7">
        <v>0</v>
      </c>
    </row>
    <row r="8160" spans="1:8">
      <c r="A8160">
        <v>7</v>
      </c>
      <c r="B8160" t="s">
        <v>43</v>
      </c>
      <c r="C8160" t="s">
        <v>36</v>
      </c>
      <c r="D8160">
        <v>0</v>
      </c>
      <c r="E8160">
        <v>1</v>
      </c>
      <c r="F8160" s="7">
        <v>1008022.35</v>
      </c>
      <c r="G8160">
        <v>0</v>
      </c>
      <c r="H8160" s="7">
        <v>0</v>
      </c>
    </row>
    <row r="8161" spans="1:8">
      <c r="A8161">
        <v>7</v>
      </c>
      <c r="B8161" t="s">
        <v>43</v>
      </c>
      <c r="C8161" t="s">
        <v>35</v>
      </c>
      <c r="D8161">
        <v>0</v>
      </c>
      <c r="E8161">
        <v>1</v>
      </c>
      <c r="F8161" s="7">
        <v>237177.84</v>
      </c>
      <c r="G8161">
        <v>0</v>
      </c>
      <c r="H8161" s="7">
        <v>0</v>
      </c>
    </row>
    <row r="8162" spans="1:8">
      <c r="A8162">
        <v>7</v>
      </c>
      <c r="B8162" t="s">
        <v>43</v>
      </c>
      <c r="C8162" t="s">
        <v>35</v>
      </c>
      <c r="D8162">
        <v>0</v>
      </c>
      <c r="E8162">
        <v>1</v>
      </c>
      <c r="F8162" s="7">
        <v>185530.93</v>
      </c>
      <c r="G8162">
        <v>0</v>
      </c>
      <c r="H8162" s="7">
        <v>0</v>
      </c>
    </row>
    <row r="8163" spans="1:8">
      <c r="A8163">
        <v>7</v>
      </c>
      <c r="B8163" t="s">
        <v>43</v>
      </c>
      <c r="C8163" t="s">
        <v>35</v>
      </c>
      <c r="D8163">
        <v>0</v>
      </c>
      <c r="E8163">
        <v>1</v>
      </c>
      <c r="F8163" s="7">
        <v>819668.37</v>
      </c>
      <c r="G8163">
        <v>0</v>
      </c>
      <c r="H8163" s="7">
        <v>0</v>
      </c>
    </row>
    <row r="8164" spans="1:8">
      <c r="A8164">
        <v>7</v>
      </c>
      <c r="B8164" t="s">
        <v>43</v>
      </c>
      <c r="C8164" t="s">
        <v>35</v>
      </c>
      <c r="D8164">
        <v>0</v>
      </c>
      <c r="E8164">
        <v>1</v>
      </c>
      <c r="F8164" s="7">
        <v>436436.54</v>
      </c>
      <c r="G8164">
        <v>0</v>
      </c>
      <c r="H8164" s="7">
        <v>0</v>
      </c>
    </row>
    <row r="8165" spans="1:8">
      <c r="A8165">
        <v>7</v>
      </c>
      <c r="B8165" t="s">
        <v>43</v>
      </c>
      <c r="C8165" t="s">
        <v>34</v>
      </c>
      <c r="D8165">
        <v>0</v>
      </c>
      <c r="E8165">
        <v>1</v>
      </c>
      <c r="F8165" s="7">
        <v>59453.13</v>
      </c>
      <c r="G8165">
        <v>0</v>
      </c>
      <c r="H8165" s="7">
        <v>0</v>
      </c>
    </row>
    <row r="8166" spans="1:8">
      <c r="A8166">
        <v>7</v>
      </c>
      <c r="B8166" t="s">
        <v>43</v>
      </c>
      <c r="C8166" t="s">
        <v>35</v>
      </c>
      <c r="D8166">
        <v>0</v>
      </c>
      <c r="E8166">
        <v>1</v>
      </c>
      <c r="F8166" s="7">
        <v>107226.8</v>
      </c>
      <c r="G8166">
        <v>0</v>
      </c>
      <c r="H8166" s="7">
        <v>0</v>
      </c>
    </row>
    <row r="8167" spans="1:8">
      <c r="A8167">
        <v>7</v>
      </c>
      <c r="B8167" t="s">
        <v>43</v>
      </c>
      <c r="C8167" t="s">
        <v>35</v>
      </c>
      <c r="D8167">
        <v>0</v>
      </c>
      <c r="E8167">
        <v>1</v>
      </c>
      <c r="F8167" s="7">
        <v>177107.38</v>
      </c>
      <c r="G8167">
        <v>0</v>
      </c>
      <c r="H8167" s="7">
        <v>0</v>
      </c>
    </row>
    <row r="8168" spans="1:8">
      <c r="A8168">
        <v>7</v>
      </c>
      <c r="B8168" t="s">
        <v>43</v>
      </c>
      <c r="C8168" t="s">
        <v>35</v>
      </c>
      <c r="D8168">
        <v>0</v>
      </c>
      <c r="E8168">
        <v>1</v>
      </c>
      <c r="F8168" s="7">
        <v>194287.8</v>
      </c>
      <c r="G8168">
        <v>0</v>
      </c>
      <c r="H8168" s="7">
        <v>0</v>
      </c>
    </row>
    <row r="8169" spans="1:8">
      <c r="A8169">
        <v>7</v>
      </c>
      <c r="B8169" t="s">
        <v>43</v>
      </c>
      <c r="C8169" t="s">
        <v>35</v>
      </c>
      <c r="D8169">
        <v>0</v>
      </c>
      <c r="E8169">
        <v>1</v>
      </c>
      <c r="F8169" s="7">
        <v>123726.5</v>
      </c>
      <c r="G8169">
        <v>0</v>
      </c>
      <c r="H8169" s="7">
        <v>0</v>
      </c>
    </row>
    <row r="8170" spans="1:8">
      <c r="A8170">
        <v>7</v>
      </c>
      <c r="B8170" t="s">
        <v>43</v>
      </c>
      <c r="C8170" t="s">
        <v>35</v>
      </c>
      <c r="D8170">
        <v>0</v>
      </c>
      <c r="E8170">
        <v>1</v>
      </c>
      <c r="F8170" s="7">
        <v>809801.18</v>
      </c>
      <c r="G8170">
        <v>0</v>
      </c>
      <c r="H8170" s="7">
        <v>0</v>
      </c>
    </row>
    <row r="8171" spans="1:8">
      <c r="A8171">
        <v>7</v>
      </c>
      <c r="B8171" t="s">
        <v>43</v>
      </c>
      <c r="C8171" t="s">
        <v>34</v>
      </c>
      <c r="D8171">
        <v>0</v>
      </c>
      <c r="E8171">
        <v>1</v>
      </c>
      <c r="F8171" s="7">
        <v>93999.6</v>
      </c>
      <c r="G8171">
        <v>0</v>
      </c>
      <c r="H8171" s="7">
        <v>0</v>
      </c>
    </row>
    <row r="8172" spans="1:8">
      <c r="A8172">
        <v>7</v>
      </c>
      <c r="B8172" t="s">
        <v>43</v>
      </c>
      <c r="C8172" t="s">
        <v>34</v>
      </c>
      <c r="D8172">
        <v>0</v>
      </c>
      <c r="E8172">
        <v>1</v>
      </c>
      <c r="F8172" s="7">
        <v>91099.24</v>
      </c>
      <c r="G8172">
        <v>0</v>
      </c>
      <c r="H8172" s="7">
        <v>0</v>
      </c>
    </row>
    <row r="8173" spans="1:8">
      <c r="A8173">
        <v>7</v>
      </c>
      <c r="B8173" t="s">
        <v>43</v>
      </c>
      <c r="C8173" t="s">
        <v>34</v>
      </c>
      <c r="D8173">
        <v>0</v>
      </c>
      <c r="E8173">
        <v>1</v>
      </c>
      <c r="F8173" s="7">
        <v>48108.93</v>
      </c>
      <c r="G8173">
        <v>0</v>
      </c>
      <c r="H8173" s="7">
        <v>0</v>
      </c>
    </row>
    <row r="8174" spans="1:8">
      <c r="A8174">
        <v>7</v>
      </c>
      <c r="B8174" t="s">
        <v>43</v>
      </c>
      <c r="C8174" t="s">
        <v>35</v>
      </c>
      <c r="D8174">
        <v>0</v>
      </c>
      <c r="E8174">
        <v>1</v>
      </c>
      <c r="F8174" s="7">
        <v>133544.47</v>
      </c>
      <c r="G8174">
        <v>0</v>
      </c>
      <c r="H8174" s="7">
        <v>0</v>
      </c>
    </row>
    <row r="8175" spans="1:8">
      <c r="A8175">
        <v>7</v>
      </c>
      <c r="B8175" t="s">
        <v>43</v>
      </c>
      <c r="C8175" t="s">
        <v>34</v>
      </c>
      <c r="D8175">
        <v>0</v>
      </c>
      <c r="E8175">
        <v>1</v>
      </c>
      <c r="F8175" s="7">
        <v>86923.76</v>
      </c>
      <c r="G8175">
        <v>0</v>
      </c>
      <c r="H8175" s="7">
        <v>0</v>
      </c>
    </row>
    <row r="8176" spans="1:8">
      <c r="A8176">
        <v>7</v>
      </c>
      <c r="B8176" t="s">
        <v>43</v>
      </c>
      <c r="C8176" t="s">
        <v>34</v>
      </c>
      <c r="D8176">
        <v>0</v>
      </c>
      <c r="E8176">
        <v>1</v>
      </c>
      <c r="F8176" s="7">
        <v>20671.86</v>
      </c>
      <c r="G8176">
        <v>0</v>
      </c>
      <c r="H8176" s="7">
        <v>0</v>
      </c>
    </row>
    <row r="8177" spans="1:8">
      <c r="A8177">
        <v>7</v>
      </c>
      <c r="B8177" t="s">
        <v>43</v>
      </c>
      <c r="C8177" t="s">
        <v>34</v>
      </c>
      <c r="D8177">
        <v>0</v>
      </c>
      <c r="E8177">
        <v>1</v>
      </c>
      <c r="F8177" s="7">
        <v>44029.69</v>
      </c>
      <c r="G8177">
        <v>0</v>
      </c>
      <c r="H8177" s="7">
        <v>0</v>
      </c>
    </row>
    <row r="8178" spans="1:8">
      <c r="A8178">
        <v>7</v>
      </c>
      <c r="B8178" t="s">
        <v>42</v>
      </c>
      <c r="C8178" t="s">
        <v>34</v>
      </c>
      <c r="D8178">
        <v>0</v>
      </c>
      <c r="E8178">
        <v>1</v>
      </c>
      <c r="F8178" s="7">
        <v>15217.98</v>
      </c>
      <c r="G8178">
        <v>0</v>
      </c>
      <c r="H8178" s="7">
        <v>0</v>
      </c>
    </row>
    <row r="8179" spans="1:8">
      <c r="A8179">
        <v>7</v>
      </c>
      <c r="B8179" t="s">
        <v>42</v>
      </c>
      <c r="C8179" t="s">
        <v>32</v>
      </c>
      <c r="D8179">
        <v>0</v>
      </c>
      <c r="E8179">
        <v>1</v>
      </c>
      <c r="F8179" s="7">
        <v>930.35</v>
      </c>
      <c r="G8179">
        <v>0</v>
      </c>
      <c r="H8179" s="7">
        <v>0</v>
      </c>
    </row>
    <row r="8180" spans="1:8">
      <c r="A8180">
        <v>7</v>
      </c>
      <c r="B8180" t="s">
        <v>42</v>
      </c>
      <c r="C8180" t="s">
        <v>34</v>
      </c>
      <c r="D8180">
        <v>0</v>
      </c>
      <c r="E8180">
        <v>1</v>
      </c>
      <c r="F8180" s="7">
        <v>11899.28</v>
      </c>
      <c r="G8180">
        <v>0</v>
      </c>
      <c r="H8180" s="7">
        <v>0</v>
      </c>
    </row>
    <row r="8181" spans="1:8">
      <c r="A8181">
        <v>7</v>
      </c>
      <c r="B8181" t="s">
        <v>43</v>
      </c>
      <c r="C8181" t="s">
        <v>35</v>
      </c>
      <c r="D8181">
        <v>0</v>
      </c>
      <c r="E8181">
        <v>1</v>
      </c>
      <c r="F8181" s="7">
        <v>548784.5</v>
      </c>
      <c r="G8181">
        <v>0</v>
      </c>
      <c r="H8181" s="7">
        <v>0</v>
      </c>
    </row>
    <row r="8182" spans="1:8">
      <c r="A8182">
        <v>7</v>
      </c>
      <c r="B8182" t="s">
        <v>43</v>
      </c>
      <c r="C8182" t="s">
        <v>35</v>
      </c>
      <c r="D8182">
        <v>0</v>
      </c>
      <c r="E8182">
        <v>1</v>
      </c>
      <c r="F8182" s="7">
        <v>487344.19</v>
      </c>
      <c r="G8182">
        <v>0</v>
      </c>
      <c r="H8182" s="7">
        <v>0</v>
      </c>
    </row>
    <row r="8183" spans="1:8">
      <c r="A8183">
        <v>7</v>
      </c>
      <c r="B8183" t="s">
        <v>42</v>
      </c>
      <c r="C8183" t="s">
        <v>33</v>
      </c>
      <c r="D8183">
        <v>0</v>
      </c>
      <c r="E8183">
        <v>1</v>
      </c>
      <c r="F8183" s="7">
        <v>3445.22</v>
      </c>
      <c r="G8183">
        <v>0</v>
      </c>
      <c r="H8183" s="7">
        <v>0</v>
      </c>
    </row>
    <row r="8184" spans="1:8">
      <c r="A8184">
        <v>7</v>
      </c>
      <c r="B8184" t="s">
        <v>42</v>
      </c>
      <c r="C8184" t="s">
        <v>33</v>
      </c>
      <c r="D8184">
        <v>0</v>
      </c>
      <c r="E8184">
        <v>1</v>
      </c>
      <c r="F8184" s="7">
        <v>7991.47</v>
      </c>
      <c r="G8184">
        <v>0</v>
      </c>
      <c r="H8184" s="7">
        <v>0</v>
      </c>
    </row>
    <row r="8185" spans="1:8">
      <c r="A8185">
        <v>7</v>
      </c>
      <c r="B8185" t="s">
        <v>42</v>
      </c>
      <c r="C8185" t="s">
        <v>33</v>
      </c>
      <c r="D8185">
        <v>0</v>
      </c>
      <c r="E8185">
        <v>1</v>
      </c>
      <c r="F8185" s="7">
        <v>8336.62</v>
      </c>
      <c r="G8185">
        <v>0</v>
      </c>
      <c r="H8185" s="7">
        <v>0</v>
      </c>
    </row>
    <row r="8186" spans="1:8">
      <c r="A8186">
        <v>7</v>
      </c>
      <c r="B8186" t="s">
        <v>42</v>
      </c>
      <c r="C8186" t="s">
        <v>34</v>
      </c>
      <c r="D8186">
        <v>0</v>
      </c>
      <c r="E8186">
        <v>1</v>
      </c>
      <c r="F8186" s="7">
        <v>22094.36</v>
      </c>
      <c r="G8186">
        <v>0</v>
      </c>
      <c r="H8186" s="7">
        <v>0</v>
      </c>
    </row>
    <row r="8187" spans="1:8">
      <c r="A8187">
        <v>7</v>
      </c>
      <c r="B8187" t="s">
        <v>45</v>
      </c>
      <c r="C8187" t="s">
        <v>33</v>
      </c>
      <c r="D8187">
        <v>0</v>
      </c>
      <c r="E8187">
        <v>1</v>
      </c>
      <c r="F8187" s="7">
        <v>3352.99</v>
      </c>
      <c r="G8187">
        <v>0</v>
      </c>
      <c r="H8187" s="7">
        <v>0</v>
      </c>
    </row>
    <row r="8188" spans="1:8">
      <c r="A8188">
        <v>7</v>
      </c>
      <c r="B8188" t="s">
        <v>46</v>
      </c>
      <c r="C8188" t="s">
        <v>34</v>
      </c>
      <c r="D8188">
        <v>0</v>
      </c>
      <c r="E8188">
        <v>1</v>
      </c>
      <c r="F8188" s="7">
        <v>56641.09</v>
      </c>
      <c r="G8188">
        <v>0</v>
      </c>
      <c r="H8188" s="7">
        <v>0</v>
      </c>
    </row>
    <row r="8189" spans="1:8">
      <c r="A8189">
        <v>7</v>
      </c>
      <c r="B8189" t="s">
        <v>43</v>
      </c>
      <c r="C8189" t="s">
        <v>35</v>
      </c>
      <c r="D8189">
        <v>0</v>
      </c>
      <c r="E8189">
        <v>1</v>
      </c>
      <c r="F8189" s="7">
        <v>371417.6</v>
      </c>
      <c r="G8189">
        <v>0</v>
      </c>
      <c r="H8189" s="7">
        <v>0</v>
      </c>
    </row>
    <row r="8190" spans="1:8">
      <c r="A8190">
        <v>7</v>
      </c>
      <c r="B8190" t="s">
        <v>42</v>
      </c>
      <c r="C8190" t="s">
        <v>33</v>
      </c>
      <c r="D8190">
        <v>0</v>
      </c>
      <c r="E8190">
        <v>1</v>
      </c>
      <c r="F8190" s="7">
        <v>9778.97</v>
      </c>
      <c r="G8190">
        <v>0</v>
      </c>
      <c r="H8190" s="7">
        <v>0</v>
      </c>
    </row>
    <row r="8191" spans="1:8">
      <c r="A8191">
        <v>7</v>
      </c>
      <c r="B8191" t="s">
        <v>42</v>
      </c>
      <c r="C8191" t="s">
        <v>34</v>
      </c>
      <c r="D8191">
        <v>0</v>
      </c>
      <c r="E8191">
        <v>1</v>
      </c>
      <c r="F8191" s="7">
        <v>15349.39</v>
      </c>
      <c r="G8191">
        <v>0</v>
      </c>
      <c r="H8191" s="7">
        <v>0</v>
      </c>
    </row>
    <row r="8192" spans="1:8">
      <c r="A8192">
        <v>7</v>
      </c>
      <c r="B8192" t="s">
        <v>42</v>
      </c>
      <c r="C8192" t="s">
        <v>33</v>
      </c>
      <c r="D8192">
        <v>0</v>
      </c>
      <c r="E8192">
        <v>1</v>
      </c>
      <c r="F8192" s="7">
        <v>8374.99</v>
      </c>
      <c r="G8192">
        <v>0</v>
      </c>
      <c r="H8192" s="7">
        <v>0</v>
      </c>
    </row>
    <row r="8193" spans="1:8">
      <c r="A8193">
        <v>7</v>
      </c>
      <c r="B8193" t="s">
        <v>42</v>
      </c>
      <c r="C8193" t="s">
        <v>33</v>
      </c>
      <c r="D8193">
        <v>0</v>
      </c>
      <c r="E8193">
        <v>1</v>
      </c>
      <c r="F8193" s="7">
        <v>1384.33</v>
      </c>
      <c r="G8193">
        <v>0</v>
      </c>
      <c r="H8193" s="7">
        <v>0</v>
      </c>
    </row>
    <row r="8194" spans="1:8">
      <c r="A8194">
        <v>7</v>
      </c>
      <c r="B8194" t="s">
        <v>44</v>
      </c>
      <c r="C8194" t="s">
        <v>34</v>
      </c>
      <c r="D8194">
        <v>0</v>
      </c>
      <c r="E8194">
        <v>1</v>
      </c>
      <c r="F8194" s="7">
        <v>79043.83</v>
      </c>
      <c r="G8194">
        <v>0</v>
      </c>
      <c r="H8194" s="7">
        <v>0</v>
      </c>
    </row>
    <row r="8195" spans="1:8">
      <c r="A8195">
        <v>7</v>
      </c>
      <c r="B8195" t="s">
        <v>44</v>
      </c>
      <c r="C8195" t="s">
        <v>35</v>
      </c>
      <c r="D8195">
        <v>0</v>
      </c>
      <c r="E8195">
        <v>1</v>
      </c>
      <c r="F8195" s="7">
        <v>175207.2</v>
      </c>
      <c r="G8195">
        <v>0</v>
      </c>
      <c r="H8195" s="7">
        <v>0</v>
      </c>
    </row>
    <row r="8196" spans="1:8">
      <c r="A8196">
        <v>7</v>
      </c>
      <c r="B8196" t="s">
        <v>42</v>
      </c>
      <c r="C8196" t="s">
        <v>33</v>
      </c>
      <c r="D8196">
        <v>0</v>
      </c>
      <c r="E8196">
        <v>1</v>
      </c>
      <c r="F8196" s="7">
        <v>5624.03</v>
      </c>
      <c r="G8196">
        <v>0</v>
      </c>
      <c r="H8196" s="7">
        <v>0</v>
      </c>
    </row>
    <row r="8197" spans="1:8">
      <c r="A8197">
        <v>7</v>
      </c>
      <c r="B8197" t="s">
        <v>42</v>
      </c>
      <c r="C8197" t="s">
        <v>33</v>
      </c>
      <c r="D8197">
        <v>0</v>
      </c>
      <c r="E8197">
        <v>1</v>
      </c>
      <c r="F8197" s="7">
        <v>4133.41</v>
      </c>
      <c r="G8197">
        <v>0</v>
      </c>
      <c r="H8197" s="7">
        <v>0</v>
      </c>
    </row>
    <row r="8198" spans="1:8">
      <c r="A8198">
        <v>7</v>
      </c>
      <c r="B8198" t="s">
        <v>44</v>
      </c>
      <c r="C8198" t="s">
        <v>34</v>
      </c>
      <c r="D8198">
        <v>0</v>
      </c>
      <c r="E8198">
        <v>1</v>
      </c>
      <c r="F8198" s="7">
        <v>75837.12</v>
      </c>
      <c r="G8198">
        <v>0</v>
      </c>
      <c r="H8198" s="7">
        <v>0</v>
      </c>
    </row>
    <row r="8199" spans="1:8">
      <c r="A8199">
        <v>7</v>
      </c>
      <c r="B8199" t="s">
        <v>42</v>
      </c>
      <c r="C8199" t="s">
        <v>32</v>
      </c>
      <c r="D8199">
        <v>0</v>
      </c>
      <c r="E8199">
        <v>1</v>
      </c>
      <c r="F8199" s="7">
        <v>21.49</v>
      </c>
      <c r="G8199">
        <v>0</v>
      </c>
      <c r="H8199" s="7">
        <v>0</v>
      </c>
    </row>
    <row r="8200" spans="1:8">
      <c r="A8200">
        <v>7</v>
      </c>
      <c r="B8200" t="s">
        <v>42</v>
      </c>
      <c r="C8200" t="s">
        <v>34</v>
      </c>
      <c r="D8200">
        <v>0</v>
      </c>
      <c r="E8200">
        <v>1</v>
      </c>
      <c r="F8200" s="7">
        <v>17902.82</v>
      </c>
      <c r="G8200">
        <v>0</v>
      </c>
      <c r="H8200" s="7">
        <v>0</v>
      </c>
    </row>
    <row r="8201" spans="1:8">
      <c r="A8201">
        <v>7</v>
      </c>
      <c r="B8201" t="s">
        <v>42</v>
      </c>
      <c r="C8201" t="s">
        <v>33</v>
      </c>
      <c r="D8201">
        <v>0</v>
      </c>
      <c r="E8201">
        <v>1</v>
      </c>
      <c r="F8201" s="7">
        <v>4203.33</v>
      </c>
      <c r="G8201">
        <v>0</v>
      </c>
      <c r="H8201" s="7">
        <v>0</v>
      </c>
    </row>
    <row r="8202" spans="1:8">
      <c r="A8202">
        <v>7</v>
      </c>
      <c r="B8202" t="s">
        <v>42</v>
      </c>
      <c r="C8202" t="s">
        <v>34</v>
      </c>
      <c r="D8202">
        <v>0</v>
      </c>
      <c r="E8202">
        <v>1</v>
      </c>
      <c r="F8202" s="7">
        <v>10023.27</v>
      </c>
      <c r="G8202">
        <v>0</v>
      </c>
      <c r="H8202" s="7">
        <v>0</v>
      </c>
    </row>
    <row r="8203" spans="1:8">
      <c r="A8203">
        <v>7</v>
      </c>
      <c r="B8203" t="s">
        <v>44</v>
      </c>
      <c r="C8203" t="s">
        <v>34</v>
      </c>
      <c r="D8203">
        <v>0</v>
      </c>
      <c r="E8203">
        <v>1</v>
      </c>
      <c r="F8203" s="7">
        <v>13025.29</v>
      </c>
      <c r="G8203">
        <v>0</v>
      </c>
      <c r="H8203" s="7">
        <v>0</v>
      </c>
    </row>
    <row r="8204" spans="1:8">
      <c r="A8204">
        <v>7</v>
      </c>
      <c r="B8204" t="s">
        <v>42</v>
      </c>
      <c r="C8204" t="s">
        <v>32</v>
      </c>
      <c r="D8204">
        <v>0</v>
      </c>
      <c r="E8204">
        <v>1</v>
      </c>
      <c r="F8204" s="7">
        <v>536.63</v>
      </c>
      <c r="G8204">
        <v>0</v>
      </c>
      <c r="H8204" s="7">
        <v>0</v>
      </c>
    </row>
    <row r="8205" spans="1:8">
      <c r="A8205">
        <v>7</v>
      </c>
      <c r="B8205" t="s">
        <v>42</v>
      </c>
      <c r="C8205" t="s">
        <v>34</v>
      </c>
      <c r="D8205">
        <v>0</v>
      </c>
      <c r="E8205">
        <v>1</v>
      </c>
      <c r="F8205" s="7">
        <v>12697.33</v>
      </c>
      <c r="G8205">
        <v>0</v>
      </c>
      <c r="H8205" s="7">
        <v>0</v>
      </c>
    </row>
    <row r="8206" spans="1:8">
      <c r="A8206">
        <v>7</v>
      </c>
      <c r="B8206" t="s">
        <v>42</v>
      </c>
      <c r="C8206" t="s">
        <v>33</v>
      </c>
      <c r="D8206">
        <v>0</v>
      </c>
      <c r="E8206">
        <v>1</v>
      </c>
      <c r="F8206" s="7">
        <v>9545.89</v>
      </c>
      <c r="G8206">
        <v>0</v>
      </c>
      <c r="H8206" s="7">
        <v>0</v>
      </c>
    </row>
    <row r="8207" spans="1:8">
      <c r="A8207">
        <v>7</v>
      </c>
      <c r="B8207" t="s">
        <v>42</v>
      </c>
      <c r="C8207" t="s">
        <v>34</v>
      </c>
      <c r="D8207">
        <v>0</v>
      </c>
      <c r="E8207">
        <v>1</v>
      </c>
      <c r="F8207" s="7">
        <v>18951.06</v>
      </c>
      <c r="G8207">
        <v>0</v>
      </c>
      <c r="H8207" s="7">
        <v>0</v>
      </c>
    </row>
    <row r="8208" spans="1:8">
      <c r="A8208">
        <v>7</v>
      </c>
      <c r="B8208" t="s">
        <v>42</v>
      </c>
      <c r="C8208" t="s">
        <v>33</v>
      </c>
      <c r="D8208">
        <v>0</v>
      </c>
      <c r="E8208">
        <v>1</v>
      </c>
      <c r="F8208" s="7">
        <v>4057.77</v>
      </c>
      <c r="G8208">
        <v>0</v>
      </c>
      <c r="H8208" s="7">
        <v>0</v>
      </c>
    </row>
    <row r="8209" spans="1:8">
      <c r="A8209">
        <v>7</v>
      </c>
      <c r="B8209" t="s">
        <v>42</v>
      </c>
      <c r="C8209" t="s">
        <v>34</v>
      </c>
      <c r="D8209">
        <v>0</v>
      </c>
      <c r="E8209">
        <v>1</v>
      </c>
      <c r="F8209" s="7">
        <v>43063.97</v>
      </c>
      <c r="G8209">
        <v>0</v>
      </c>
      <c r="H8209" s="7">
        <v>0</v>
      </c>
    </row>
    <row r="8210" spans="1:8">
      <c r="A8210">
        <v>7</v>
      </c>
      <c r="B8210" t="s">
        <v>42</v>
      </c>
      <c r="C8210" t="s">
        <v>33</v>
      </c>
      <c r="D8210">
        <v>0</v>
      </c>
      <c r="E8210">
        <v>1</v>
      </c>
      <c r="F8210" s="7">
        <v>4732.59</v>
      </c>
      <c r="G8210">
        <v>0</v>
      </c>
      <c r="H8210" s="7">
        <v>0</v>
      </c>
    </row>
    <row r="8211" spans="1:8">
      <c r="A8211">
        <v>7</v>
      </c>
      <c r="B8211" t="s">
        <v>42</v>
      </c>
      <c r="C8211" t="s">
        <v>33</v>
      </c>
      <c r="D8211">
        <v>0</v>
      </c>
      <c r="E8211">
        <v>1</v>
      </c>
      <c r="F8211" s="7">
        <v>8565.08</v>
      </c>
      <c r="G8211">
        <v>0</v>
      </c>
      <c r="H8211" s="7">
        <v>0</v>
      </c>
    </row>
    <row r="8212" spans="1:8">
      <c r="A8212">
        <v>7</v>
      </c>
      <c r="B8212" t="s">
        <v>42</v>
      </c>
      <c r="C8212" t="s">
        <v>34</v>
      </c>
      <c r="D8212">
        <v>0</v>
      </c>
      <c r="E8212">
        <v>1</v>
      </c>
      <c r="F8212" s="7">
        <v>17992.53</v>
      </c>
      <c r="G8212">
        <v>0</v>
      </c>
      <c r="H8212" s="7">
        <v>0</v>
      </c>
    </row>
    <row r="8213" spans="1:8">
      <c r="A8213">
        <v>7</v>
      </c>
      <c r="B8213" t="s">
        <v>43</v>
      </c>
      <c r="C8213" t="s">
        <v>35</v>
      </c>
      <c r="D8213">
        <v>0</v>
      </c>
      <c r="E8213">
        <v>1</v>
      </c>
      <c r="F8213" s="7">
        <v>251157.83</v>
      </c>
      <c r="G8213">
        <v>0</v>
      </c>
      <c r="H8213" s="7">
        <v>0</v>
      </c>
    </row>
    <row r="8214" spans="1:8">
      <c r="A8214">
        <v>7</v>
      </c>
      <c r="B8214" t="s">
        <v>42</v>
      </c>
      <c r="C8214" t="s">
        <v>34</v>
      </c>
      <c r="D8214">
        <v>0</v>
      </c>
      <c r="E8214">
        <v>1</v>
      </c>
      <c r="F8214" s="7">
        <v>14482.64</v>
      </c>
      <c r="G8214">
        <v>0</v>
      </c>
      <c r="H8214" s="7">
        <v>0</v>
      </c>
    </row>
    <row r="8215" spans="1:8">
      <c r="A8215">
        <v>7</v>
      </c>
      <c r="B8215" t="s">
        <v>44</v>
      </c>
      <c r="C8215" t="s">
        <v>35</v>
      </c>
      <c r="D8215">
        <v>0</v>
      </c>
      <c r="E8215">
        <v>1</v>
      </c>
      <c r="F8215" s="7">
        <v>429567.2</v>
      </c>
      <c r="G8215">
        <v>0</v>
      </c>
      <c r="H8215" s="7">
        <v>0</v>
      </c>
    </row>
    <row r="8216" spans="1:8">
      <c r="A8216">
        <v>7</v>
      </c>
      <c r="B8216" t="s">
        <v>42</v>
      </c>
      <c r="C8216" t="s">
        <v>33</v>
      </c>
      <c r="D8216">
        <v>0</v>
      </c>
      <c r="E8216">
        <v>1</v>
      </c>
      <c r="F8216" s="7">
        <v>1278.75</v>
      </c>
      <c r="G8216">
        <v>0</v>
      </c>
      <c r="H8216" s="7">
        <v>0</v>
      </c>
    </row>
    <row r="8217" spans="1:8">
      <c r="A8217">
        <v>7</v>
      </c>
      <c r="B8217" t="s">
        <v>42</v>
      </c>
      <c r="C8217" t="s">
        <v>33</v>
      </c>
      <c r="D8217">
        <v>0</v>
      </c>
      <c r="E8217">
        <v>1</v>
      </c>
      <c r="F8217" s="7">
        <v>2499.7</v>
      </c>
      <c r="G8217">
        <v>0</v>
      </c>
      <c r="H8217" s="7">
        <v>0</v>
      </c>
    </row>
    <row r="8218" spans="1:8">
      <c r="A8218">
        <v>7</v>
      </c>
      <c r="B8218" t="s">
        <v>42</v>
      </c>
      <c r="C8218" t="s">
        <v>33</v>
      </c>
      <c r="D8218">
        <v>0</v>
      </c>
      <c r="E8218">
        <v>1</v>
      </c>
      <c r="F8218" s="7">
        <v>5203.51</v>
      </c>
      <c r="G8218">
        <v>0</v>
      </c>
      <c r="H8218" s="7">
        <v>0</v>
      </c>
    </row>
    <row r="8219" spans="1:8">
      <c r="A8219">
        <v>7</v>
      </c>
      <c r="B8219" t="s">
        <v>42</v>
      </c>
      <c r="C8219" t="s">
        <v>33</v>
      </c>
      <c r="D8219">
        <v>0</v>
      </c>
      <c r="E8219">
        <v>1</v>
      </c>
      <c r="F8219" s="7">
        <v>2446.2</v>
      </c>
      <c r="G8219">
        <v>0</v>
      </c>
      <c r="H8219" s="7">
        <v>0</v>
      </c>
    </row>
    <row r="8220" spans="1:8">
      <c r="A8220">
        <v>7</v>
      </c>
      <c r="B8220" t="s">
        <v>42</v>
      </c>
      <c r="C8220" t="s">
        <v>33</v>
      </c>
      <c r="D8220">
        <v>0</v>
      </c>
      <c r="E8220">
        <v>1</v>
      </c>
      <c r="F8220" s="7">
        <v>9201.08</v>
      </c>
      <c r="G8220">
        <v>0</v>
      </c>
      <c r="H8220" s="7">
        <v>0</v>
      </c>
    </row>
    <row r="8221" spans="1:8">
      <c r="A8221">
        <v>7</v>
      </c>
      <c r="B8221" t="s">
        <v>42</v>
      </c>
      <c r="C8221" t="s">
        <v>33</v>
      </c>
      <c r="D8221">
        <v>0</v>
      </c>
      <c r="E8221">
        <v>1</v>
      </c>
      <c r="F8221" s="7">
        <v>5363.19</v>
      </c>
      <c r="G8221">
        <v>0</v>
      </c>
      <c r="H8221" s="7">
        <v>0</v>
      </c>
    </row>
    <row r="8222" spans="1:8">
      <c r="A8222">
        <v>7</v>
      </c>
      <c r="B8222" t="s">
        <v>42</v>
      </c>
      <c r="C8222" t="s">
        <v>33</v>
      </c>
      <c r="D8222">
        <v>0</v>
      </c>
      <c r="E8222">
        <v>1</v>
      </c>
      <c r="F8222" s="7">
        <v>5002.55</v>
      </c>
      <c r="G8222">
        <v>0</v>
      </c>
      <c r="H8222" s="7">
        <v>0</v>
      </c>
    </row>
    <row r="8223" spans="1:8">
      <c r="A8223">
        <v>7</v>
      </c>
      <c r="B8223" t="s">
        <v>42</v>
      </c>
      <c r="C8223" t="s">
        <v>33</v>
      </c>
      <c r="D8223">
        <v>0</v>
      </c>
      <c r="E8223">
        <v>1</v>
      </c>
      <c r="F8223" s="7">
        <v>5277.76</v>
      </c>
      <c r="G8223">
        <v>0</v>
      </c>
      <c r="H8223" s="7">
        <v>0</v>
      </c>
    </row>
    <row r="8224" spans="1:8">
      <c r="A8224">
        <v>7</v>
      </c>
      <c r="B8224" t="s">
        <v>42</v>
      </c>
      <c r="C8224" t="s">
        <v>33</v>
      </c>
      <c r="D8224">
        <v>0</v>
      </c>
      <c r="E8224">
        <v>1</v>
      </c>
      <c r="F8224" s="7">
        <v>3666.25</v>
      </c>
      <c r="G8224">
        <v>0</v>
      </c>
      <c r="H8224" s="7">
        <v>0</v>
      </c>
    </row>
    <row r="8225" spans="1:8">
      <c r="A8225">
        <v>7</v>
      </c>
      <c r="B8225" t="s">
        <v>42</v>
      </c>
      <c r="C8225" t="s">
        <v>33</v>
      </c>
      <c r="D8225">
        <v>0</v>
      </c>
      <c r="E8225">
        <v>1</v>
      </c>
      <c r="F8225" s="7">
        <v>1007.43</v>
      </c>
      <c r="G8225">
        <v>0</v>
      </c>
      <c r="H8225" s="7">
        <v>0</v>
      </c>
    </row>
    <row r="8226" spans="1:8">
      <c r="A8226">
        <v>7</v>
      </c>
      <c r="B8226" t="s">
        <v>42</v>
      </c>
      <c r="C8226" t="s">
        <v>33</v>
      </c>
      <c r="D8226">
        <v>0</v>
      </c>
      <c r="E8226">
        <v>1</v>
      </c>
      <c r="F8226" s="7">
        <v>6919.03</v>
      </c>
      <c r="G8226">
        <v>0</v>
      </c>
      <c r="H8226" s="7">
        <v>0</v>
      </c>
    </row>
    <row r="8227" spans="1:8">
      <c r="A8227">
        <v>7</v>
      </c>
      <c r="B8227" t="s">
        <v>46</v>
      </c>
      <c r="C8227" t="s">
        <v>35</v>
      </c>
      <c r="D8227">
        <v>0</v>
      </c>
      <c r="E8227">
        <v>1</v>
      </c>
      <c r="F8227" s="7">
        <v>237220.07</v>
      </c>
      <c r="G8227">
        <v>0</v>
      </c>
      <c r="H8227" s="7">
        <v>0</v>
      </c>
    </row>
    <row r="8228" spans="1:8">
      <c r="A8228">
        <v>7</v>
      </c>
      <c r="B8228" t="s">
        <v>42</v>
      </c>
      <c r="C8228" t="s">
        <v>32</v>
      </c>
      <c r="D8228">
        <v>0</v>
      </c>
      <c r="E8228">
        <v>1</v>
      </c>
      <c r="F8228" s="7">
        <v>382.59</v>
      </c>
      <c r="G8228">
        <v>0</v>
      </c>
      <c r="H8228" s="7">
        <v>0</v>
      </c>
    </row>
    <row r="8229" spans="1:8">
      <c r="A8229">
        <v>7</v>
      </c>
      <c r="B8229" t="s">
        <v>42</v>
      </c>
      <c r="C8229" t="s">
        <v>32</v>
      </c>
      <c r="D8229">
        <v>0</v>
      </c>
      <c r="E8229">
        <v>1</v>
      </c>
      <c r="F8229" s="7">
        <v>594.83</v>
      </c>
      <c r="G8229">
        <v>0</v>
      </c>
      <c r="H8229" s="7">
        <v>0</v>
      </c>
    </row>
    <row r="8230" spans="1:8">
      <c r="A8230">
        <v>7</v>
      </c>
      <c r="B8230" t="s">
        <v>42</v>
      </c>
      <c r="C8230" t="s">
        <v>33</v>
      </c>
      <c r="D8230">
        <v>0</v>
      </c>
      <c r="E8230">
        <v>1</v>
      </c>
      <c r="F8230" s="7">
        <v>2304.65</v>
      </c>
      <c r="G8230">
        <v>0</v>
      </c>
      <c r="H8230" s="7">
        <v>0</v>
      </c>
    </row>
    <row r="8231" spans="1:8">
      <c r="A8231">
        <v>7</v>
      </c>
      <c r="B8231" t="s">
        <v>42</v>
      </c>
      <c r="C8231" t="s">
        <v>33</v>
      </c>
      <c r="D8231">
        <v>0</v>
      </c>
      <c r="E8231">
        <v>1</v>
      </c>
      <c r="F8231" s="7">
        <v>3200.09</v>
      </c>
      <c r="G8231">
        <v>0</v>
      </c>
      <c r="H8231" s="7">
        <v>0</v>
      </c>
    </row>
    <row r="8232" spans="1:8">
      <c r="A8232">
        <v>7</v>
      </c>
      <c r="B8232" t="s">
        <v>43</v>
      </c>
      <c r="C8232" t="s">
        <v>36</v>
      </c>
      <c r="D8232">
        <v>0</v>
      </c>
      <c r="E8232">
        <v>1</v>
      </c>
      <c r="F8232" s="7">
        <v>1486199.17</v>
      </c>
      <c r="G8232">
        <v>0</v>
      </c>
      <c r="H8232" s="7">
        <v>0</v>
      </c>
    </row>
    <row r="8233" spans="1:8">
      <c r="A8233">
        <v>7</v>
      </c>
      <c r="B8233" t="s">
        <v>42</v>
      </c>
      <c r="C8233" t="s">
        <v>34</v>
      </c>
      <c r="D8233">
        <v>0</v>
      </c>
      <c r="E8233">
        <v>1</v>
      </c>
      <c r="F8233" s="7">
        <v>12700.77</v>
      </c>
      <c r="G8233">
        <v>0</v>
      </c>
      <c r="H8233" s="7">
        <v>0</v>
      </c>
    </row>
    <row r="8234" spans="1:8">
      <c r="A8234">
        <v>7</v>
      </c>
      <c r="B8234" t="s">
        <v>42</v>
      </c>
      <c r="C8234" t="s">
        <v>33</v>
      </c>
      <c r="D8234">
        <v>0</v>
      </c>
      <c r="E8234">
        <v>1</v>
      </c>
      <c r="F8234" s="7">
        <v>9518.45</v>
      </c>
      <c r="G8234">
        <v>0</v>
      </c>
      <c r="H8234" s="7">
        <v>0</v>
      </c>
    </row>
    <row r="8235" spans="1:8">
      <c r="A8235">
        <v>7</v>
      </c>
      <c r="B8235" t="s">
        <v>42</v>
      </c>
      <c r="C8235" t="s">
        <v>33</v>
      </c>
      <c r="D8235">
        <v>0</v>
      </c>
      <c r="E8235">
        <v>1</v>
      </c>
      <c r="F8235" s="7">
        <v>7590.33</v>
      </c>
      <c r="G8235">
        <v>0</v>
      </c>
      <c r="H8235" s="7">
        <v>0</v>
      </c>
    </row>
    <row r="8236" spans="1:8">
      <c r="A8236">
        <v>7</v>
      </c>
      <c r="B8236" t="s">
        <v>42</v>
      </c>
      <c r="C8236" t="s">
        <v>33</v>
      </c>
      <c r="D8236">
        <v>0</v>
      </c>
      <c r="E8236">
        <v>1</v>
      </c>
      <c r="F8236" s="7">
        <v>1106.78</v>
      </c>
      <c r="G8236">
        <v>0</v>
      </c>
      <c r="H8236" s="7">
        <v>0</v>
      </c>
    </row>
    <row r="8237" spans="1:8">
      <c r="A8237">
        <v>7</v>
      </c>
      <c r="B8237" t="s">
        <v>42</v>
      </c>
      <c r="C8237" t="s">
        <v>33</v>
      </c>
      <c r="D8237">
        <v>0</v>
      </c>
      <c r="E8237">
        <v>1</v>
      </c>
      <c r="F8237" s="7">
        <v>2395.01</v>
      </c>
      <c r="G8237">
        <v>0</v>
      </c>
      <c r="H8237" s="7">
        <v>0</v>
      </c>
    </row>
    <row r="8238" spans="1:8">
      <c r="A8238">
        <v>7</v>
      </c>
      <c r="B8238" t="s">
        <v>42</v>
      </c>
      <c r="C8238" t="s">
        <v>34</v>
      </c>
      <c r="D8238">
        <v>0</v>
      </c>
      <c r="E8238">
        <v>1</v>
      </c>
      <c r="F8238" s="7">
        <v>34873.6</v>
      </c>
      <c r="G8238">
        <v>0</v>
      </c>
      <c r="H8238" s="7">
        <v>0</v>
      </c>
    </row>
    <row r="8239" spans="1:8">
      <c r="A8239">
        <v>7</v>
      </c>
      <c r="B8239" t="s">
        <v>42</v>
      </c>
      <c r="C8239" t="s">
        <v>33</v>
      </c>
      <c r="D8239">
        <v>0</v>
      </c>
      <c r="E8239">
        <v>1</v>
      </c>
      <c r="F8239" s="7">
        <v>5803.86</v>
      </c>
      <c r="G8239">
        <v>0</v>
      </c>
      <c r="H8239" s="7">
        <v>0</v>
      </c>
    </row>
    <row r="8240" spans="1:8">
      <c r="A8240">
        <v>7</v>
      </c>
      <c r="B8240" t="s">
        <v>42</v>
      </c>
      <c r="C8240" t="s">
        <v>34</v>
      </c>
      <c r="D8240">
        <v>0</v>
      </c>
      <c r="E8240">
        <v>1</v>
      </c>
      <c r="F8240" s="7">
        <v>44835.22</v>
      </c>
      <c r="G8240">
        <v>0</v>
      </c>
      <c r="H8240" s="7">
        <v>0</v>
      </c>
    </row>
    <row r="8241" spans="1:8">
      <c r="A8241">
        <v>7</v>
      </c>
      <c r="B8241" t="s">
        <v>42</v>
      </c>
      <c r="C8241" t="s">
        <v>34</v>
      </c>
      <c r="D8241">
        <v>0</v>
      </c>
      <c r="E8241">
        <v>1</v>
      </c>
      <c r="F8241" s="7">
        <v>13854.48</v>
      </c>
      <c r="G8241">
        <v>0</v>
      </c>
      <c r="H8241" s="7">
        <v>0</v>
      </c>
    </row>
    <row r="8242" spans="1:8">
      <c r="A8242">
        <v>7</v>
      </c>
      <c r="B8242" t="s">
        <v>42</v>
      </c>
      <c r="C8242" t="s">
        <v>34</v>
      </c>
      <c r="D8242">
        <v>0</v>
      </c>
      <c r="E8242">
        <v>1</v>
      </c>
      <c r="F8242" s="7">
        <v>16782.56</v>
      </c>
      <c r="G8242">
        <v>0</v>
      </c>
      <c r="H8242" s="7">
        <v>0</v>
      </c>
    </row>
    <row r="8243" spans="1:8">
      <c r="A8243">
        <v>7</v>
      </c>
      <c r="B8243" t="s">
        <v>42</v>
      </c>
      <c r="C8243" t="s">
        <v>34</v>
      </c>
      <c r="D8243">
        <v>0</v>
      </c>
      <c r="E8243">
        <v>1</v>
      </c>
      <c r="F8243" s="7">
        <v>27007.74</v>
      </c>
      <c r="G8243">
        <v>0</v>
      </c>
      <c r="H8243" s="7">
        <v>0</v>
      </c>
    </row>
    <row r="8244" spans="1:8">
      <c r="A8244">
        <v>7</v>
      </c>
      <c r="B8244" t="s">
        <v>42</v>
      </c>
      <c r="C8244" t="s">
        <v>33</v>
      </c>
      <c r="D8244">
        <v>0</v>
      </c>
      <c r="E8244">
        <v>1</v>
      </c>
      <c r="F8244" s="7">
        <v>4274.53</v>
      </c>
      <c r="G8244">
        <v>0</v>
      </c>
      <c r="H8244" s="7">
        <v>0</v>
      </c>
    </row>
    <row r="8245" spans="1:8">
      <c r="A8245">
        <v>7</v>
      </c>
      <c r="B8245" t="s">
        <v>42</v>
      </c>
      <c r="C8245" t="s">
        <v>34</v>
      </c>
      <c r="D8245">
        <v>0</v>
      </c>
      <c r="E8245">
        <v>1</v>
      </c>
      <c r="F8245" s="7">
        <v>16525.68</v>
      </c>
      <c r="G8245">
        <v>0</v>
      </c>
      <c r="H8245" s="7">
        <v>0</v>
      </c>
    </row>
    <row r="8246" spans="1:8">
      <c r="A8246">
        <v>7</v>
      </c>
      <c r="B8246" t="s">
        <v>42</v>
      </c>
      <c r="C8246" t="s">
        <v>34</v>
      </c>
      <c r="D8246">
        <v>0</v>
      </c>
      <c r="E8246">
        <v>1</v>
      </c>
      <c r="F8246" s="7">
        <v>14815.88</v>
      </c>
      <c r="G8246">
        <v>0</v>
      </c>
      <c r="H8246" s="7">
        <v>0</v>
      </c>
    </row>
    <row r="8247" spans="1:8">
      <c r="A8247">
        <v>7</v>
      </c>
      <c r="B8247" t="s">
        <v>42</v>
      </c>
      <c r="C8247" t="s">
        <v>34</v>
      </c>
      <c r="D8247">
        <v>0</v>
      </c>
      <c r="E8247">
        <v>1</v>
      </c>
      <c r="F8247" s="7">
        <v>10669.29</v>
      </c>
      <c r="G8247">
        <v>0</v>
      </c>
      <c r="H8247" s="7">
        <v>0</v>
      </c>
    </row>
    <row r="8248" spans="1:8">
      <c r="A8248">
        <v>7</v>
      </c>
      <c r="B8248" t="s">
        <v>42</v>
      </c>
      <c r="C8248" t="s">
        <v>32</v>
      </c>
      <c r="D8248">
        <v>0</v>
      </c>
      <c r="E8248">
        <v>1</v>
      </c>
      <c r="F8248" s="7">
        <v>973.96</v>
      </c>
      <c r="G8248">
        <v>0</v>
      </c>
      <c r="H8248" s="7">
        <v>0</v>
      </c>
    </row>
    <row r="8249" spans="1:8">
      <c r="A8249">
        <v>7</v>
      </c>
      <c r="B8249" t="s">
        <v>42</v>
      </c>
      <c r="C8249" t="s">
        <v>34</v>
      </c>
      <c r="D8249">
        <v>0</v>
      </c>
      <c r="E8249">
        <v>1</v>
      </c>
      <c r="F8249" s="7">
        <v>12157.95</v>
      </c>
      <c r="G8249">
        <v>0</v>
      </c>
      <c r="H8249" s="7">
        <v>0</v>
      </c>
    </row>
    <row r="8250" spans="1:8">
      <c r="A8250">
        <v>7</v>
      </c>
      <c r="B8250" t="s">
        <v>42</v>
      </c>
      <c r="C8250" t="s">
        <v>34</v>
      </c>
      <c r="D8250">
        <v>0</v>
      </c>
      <c r="E8250">
        <v>1</v>
      </c>
      <c r="F8250" s="7">
        <v>14914.14</v>
      </c>
      <c r="G8250">
        <v>0</v>
      </c>
      <c r="H8250" s="7">
        <v>0</v>
      </c>
    </row>
    <row r="8251" spans="1:8">
      <c r="A8251">
        <v>7</v>
      </c>
      <c r="B8251" t="s">
        <v>42</v>
      </c>
      <c r="C8251" t="s">
        <v>33</v>
      </c>
      <c r="D8251">
        <v>0</v>
      </c>
      <c r="E8251">
        <v>1</v>
      </c>
      <c r="F8251" s="7">
        <v>3209.51</v>
      </c>
      <c r="G8251">
        <v>0</v>
      </c>
      <c r="H8251" s="7">
        <v>0</v>
      </c>
    </row>
    <row r="8252" spans="1:8">
      <c r="A8252">
        <v>7</v>
      </c>
      <c r="B8252" t="s">
        <v>42</v>
      </c>
      <c r="C8252" t="s">
        <v>33</v>
      </c>
      <c r="D8252">
        <v>0</v>
      </c>
      <c r="E8252">
        <v>1</v>
      </c>
      <c r="F8252" s="7">
        <v>1283.84</v>
      </c>
      <c r="G8252">
        <v>0</v>
      </c>
      <c r="H8252" s="7">
        <v>0</v>
      </c>
    </row>
    <row r="8253" spans="1:8">
      <c r="A8253">
        <v>7</v>
      </c>
      <c r="B8253" t="s">
        <v>42</v>
      </c>
      <c r="C8253" t="s">
        <v>33</v>
      </c>
      <c r="D8253">
        <v>0</v>
      </c>
      <c r="E8253">
        <v>1</v>
      </c>
      <c r="F8253" s="7">
        <v>3421.25</v>
      </c>
      <c r="G8253">
        <v>0</v>
      </c>
      <c r="H8253" s="7">
        <v>0</v>
      </c>
    </row>
    <row r="8254" spans="1:8">
      <c r="A8254">
        <v>7</v>
      </c>
      <c r="B8254" t="s">
        <v>42</v>
      </c>
      <c r="C8254" t="s">
        <v>33</v>
      </c>
      <c r="D8254">
        <v>0</v>
      </c>
      <c r="E8254">
        <v>1</v>
      </c>
      <c r="F8254" s="7">
        <v>4063.65</v>
      </c>
      <c r="G8254">
        <v>0</v>
      </c>
      <c r="H8254" s="7">
        <v>0</v>
      </c>
    </row>
    <row r="8255" spans="1:8">
      <c r="A8255">
        <v>7</v>
      </c>
      <c r="B8255" t="s">
        <v>42</v>
      </c>
      <c r="C8255" t="s">
        <v>32</v>
      </c>
      <c r="D8255">
        <v>0</v>
      </c>
      <c r="E8255">
        <v>1</v>
      </c>
      <c r="F8255" s="7">
        <v>809.43</v>
      </c>
      <c r="G8255">
        <v>0</v>
      </c>
      <c r="H8255" s="7">
        <v>0</v>
      </c>
    </row>
    <row r="8256" spans="1:8">
      <c r="A8256">
        <v>7</v>
      </c>
      <c r="B8256" t="s">
        <v>42</v>
      </c>
      <c r="C8256" t="s">
        <v>32</v>
      </c>
      <c r="D8256">
        <v>0</v>
      </c>
      <c r="E8256">
        <v>1</v>
      </c>
      <c r="F8256" s="7">
        <v>323.16</v>
      </c>
      <c r="G8256">
        <v>0</v>
      </c>
      <c r="H8256" s="7">
        <v>0</v>
      </c>
    </row>
    <row r="8257" spans="1:8">
      <c r="A8257">
        <v>7</v>
      </c>
      <c r="B8257" t="s">
        <v>42</v>
      </c>
      <c r="C8257" t="s">
        <v>33</v>
      </c>
      <c r="D8257">
        <v>0</v>
      </c>
      <c r="E8257">
        <v>1</v>
      </c>
      <c r="F8257" s="7">
        <v>5728.21</v>
      </c>
      <c r="G8257">
        <v>0</v>
      </c>
      <c r="H8257" s="7">
        <v>0</v>
      </c>
    </row>
    <row r="8258" spans="1:8">
      <c r="A8258">
        <v>7</v>
      </c>
      <c r="B8258" t="s">
        <v>42</v>
      </c>
      <c r="C8258" t="s">
        <v>33</v>
      </c>
      <c r="D8258">
        <v>0</v>
      </c>
      <c r="E8258">
        <v>1</v>
      </c>
      <c r="F8258" s="7">
        <v>3333.34</v>
      </c>
      <c r="G8258">
        <v>0</v>
      </c>
      <c r="H8258" s="7">
        <v>0</v>
      </c>
    </row>
    <row r="8259" spans="1:8">
      <c r="A8259">
        <v>7</v>
      </c>
      <c r="B8259" t="s">
        <v>42</v>
      </c>
      <c r="C8259" t="s">
        <v>32</v>
      </c>
      <c r="D8259">
        <v>0</v>
      </c>
      <c r="E8259">
        <v>1</v>
      </c>
      <c r="F8259" s="7">
        <v>127.87</v>
      </c>
      <c r="G8259">
        <v>0</v>
      </c>
      <c r="H8259" s="7">
        <v>0</v>
      </c>
    </row>
    <row r="8260" spans="1:8">
      <c r="A8260">
        <v>7</v>
      </c>
      <c r="B8260" t="s">
        <v>44</v>
      </c>
      <c r="C8260" t="s">
        <v>35</v>
      </c>
      <c r="D8260">
        <v>0</v>
      </c>
      <c r="E8260">
        <v>1</v>
      </c>
      <c r="F8260" s="7">
        <v>131687.79</v>
      </c>
      <c r="G8260">
        <v>0</v>
      </c>
      <c r="H8260" s="7">
        <v>0</v>
      </c>
    </row>
    <row r="8261" spans="1:8">
      <c r="A8261">
        <v>7</v>
      </c>
      <c r="B8261" t="s">
        <v>42</v>
      </c>
      <c r="C8261" t="s">
        <v>34</v>
      </c>
      <c r="D8261">
        <v>0</v>
      </c>
      <c r="E8261">
        <v>1</v>
      </c>
      <c r="F8261" s="7">
        <v>14182.4</v>
      </c>
      <c r="G8261">
        <v>0</v>
      </c>
      <c r="H8261" s="7">
        <v>0</v>
      </c>
    </row>
    <row r="8262" spans="1:8">
      <c r="A8262">
        <v>7</v>
      </c>
      <c r="B8262" t="s">
        <v>42</v>
      </c>
      <c r="C8262" t="s">
        <v>33</v>
      </c>
      <c r="D8262">
        <v>0</v>
      </c>
      <c r="E8262">
        <v>1</v>
      </c>
      <c r="F8262" s="7">
        <v>5997.84</v>
      </c>
      <c r="G8262">
        <v>0</v>
      </c>
      <c r="H8262" s="7">
        <v>0</v>
      </c>
    </row>
    <row r="8263" spans="1:8">
      <c r="A8263">
        <v>7</v>
      </c>
      <c r="B8263" t="s">
        <v>42</v>
      </c>
      <c r="C8263" t="s">
        <v>33</v>
      </c>
      <c r="D8263">
        <v>0</v>
      </c>
      <c r="E8263">
        <v>1</v>
      </c>
      <c r="F8263" s="7">
        <v>2619.73</v>
      </c>
      <c r="G8263">
        <v>0</v>
      </c>
      <c r="H8263" s="7">
        <v>0</v>
      </c>
    </row>
    <row r="8264" spans="1:8">
      <c r="A8264">
        <v>7</v>
      </c>
      <c r="B8264" t="s">
        <v>42</v>
      </c>
      <c r="C8264" t="s">
        <v>34</v>
      </c>
      <c r="D8264">
        <v>0</v>
      </c>
      <c r="E8264">
        <v>1</v>
      </c>
      <c r="F8264" s="7">
        <v>12024.66</v>
      </c>
      <c r="G8264">
        <v>0</v>
      </c>
      <c r="H8264" s="7">
        <v>0</v>
      </c>
    </row>
    <row r="8265" spans="1:8">
      <c r="A8265">
        <v>7</v>
      </c>
      <c r="B8265" t="s">
        <v>42</v>
      </c>
      <c r="C8265" t="s">
        <v>34</v>
      </c>
      <c r="D8265">
        <v>0</v>
      </c>
      <c r="E8265">
        <v>1</v>
      </c>
      <c r="F8265" s="7">
        <v>10715.15</v>
      </c>
      <c r="G8265">
        <v>0</v>
      </c>
      <c r="H8265" s="7">
        <v>0</v>
      </c>
    </row>
    <row r="8266" spans="1:8">
      <c r="A8266">
        <v>7</v>
      </c>
      <c r="B8266" t="s">
        <v>42</v>
      </c>
      <c r="C8266" t="s">
        <v>33</v>
      </c>
      <c r="D8266">
        <v>0</v>
      </c>
      <c r="E8266">
        <v>1</v>
      </c>
      <c r="F8266" s="7">
        <v>1856.11</v>
      </c>
      <c r="G8266">
        <v>0</v>
      </c>
      <c r="H8266" s="7">
        <v>0</v>
      </c>
    </row>
    <row r="8267" spans="1:8">
      <c r="A8267">
        <v>7</v>
      </c>
      <c r="B8267" t="s">
        <v>42</v>
      </c>
      <c r="C8267" t="s">
        <v>33</v>
      </c>
      <c r="D8267">
        <v>0</v>
      </c>
      <c r="E8267">
        <v>1</v>
      </c>
      <c r="F8267" s="7">
        <v>1303.15</v>
      </c>
      <c r="G8267">
        <v>0</v>
      </c>
      <c r="H8267" s="7">
        <v>0</v>
      </c>
    </row>
    <row r="8268" spans="1:8">
      <c r="A8268">
        <v>7</v>
      </c>
      <c r="B8268" t="s">
        <v>44</v>
      </c>
      <c r="C8268" t="s">
        <v>34</v>
      </c>
      <c r="D8268">
        <v>0</v>
      </c>
      <c r="E8268">
        <v>1</v>
      </c>
      <c r="F8268" s="7">
        <v>84694.13</v>
      </c>
      <c r="G8268">
        <v>0</v>
      </c>
      <c r="H8268" s="7">
        <v>0</v>
      </c>
    </row>
    <row r="8269" spans="1:8">
      <c r="A8269">
        <v>7</v>
      </c>
      <c r="B8269" t="s">
        <v>44</v>
      </c>
      <c r="C8269" t="s">
        <v>35</v>
      </c>
      <c r="D8269">
        <v>0</v>
      </c>
      <c r="E8269">
        <v>1</v>
      </c>
      <c r="F8269" s="7">
        <v>127520.73</v>
      </c>
      <c r="G8269">
        <v>0</v>
      </c>
      <c r="H8269" s="7">
        <v>0</v>
      </c>
    </row>
    <row r="8270" spans="1:8">
      <c r="A8270">
        <v>7</v>
      </c>
      <c r="B8270" t="s">
        <v>44</v>
      </c>
      <c r="C8270" t="s">
        <v>34</v>
      </c>
      <c r="D8270">
        <v>0</v>
      </c>
      <c r="E8270">
        <v>1</v>
      </c>
      <c r="F8270" s="7">
        <v>77895.39</v>
      </c>
      <c r="G8270">
        <v>0</v>
      </c>
      <c r="H8270" s="7">
        <v>0</v>
      </c>
    </row>
    <row r="8271" spans="1:8">
      <c r="A8271">
        <v>7</v>
      </c>
      <c r="B8271" t="s">
        <v>44</v>
      </c>
      <c r="C8271" t="s">
        <v>33</v>
      </c>
      <c r="D8271">
        <v>0</v>
      </c>
      <c r="E8271">
        <v>1</v>
      </c>
      <c r="F8271" s="7">
        <v>1388.54</v>
      </c>
      <c r="G8271">
        <v>0</v>
      </c>
      <c r="H8271" s="7">
        <v>0</v>
      </c>
    </row>
    <row r="8272" spans="1:8">
      <c r="A8272">
        <v>7</v>
      </c>
      <c r="B8272" t="s">
        <v>44</v>
      </c>
      <c r="C8272" t="s">
        <v>35</v>
      </c>
      <c r="D8272">
        <v>0</v>
      </c>
      <c r="E8272">
        <v>1</v>
      </c>
      <c r="F8272" s="7">
        <v>265088.15</v>
      </c>
      <c r="G8272">
        <v>0</v>
      </c>
      <c r="H8272" s="7">
        <v>0</v>
      </c>
    </row>
    <row r="8273" spans="1:8">
      <c r="A8273">
        <v>7</v>
      </c>
      <c r="B8273" t="s">
        <v>44</v>
      </c>
      <c r="C8273" t="s">
        <v>33</v>
      </c>
      <c r="D8273">
        <v>0</v>
      </c>
      <c r="E8273">
        <v>1</v>
      </c>
      <c r="F8273" s="7">
        <v>7538.7</v>
      </c>
      <c r="G8273">
        <v>0</v>
      </c>
      <c r="H8273" s="7">
        <v>0</v>
      </c>
    </row>
    <row r="8274" spans="1:8">
      <c r="A8274">
        <v>7</v>
      </c>
      <c r="B8274" t="s">
        <v>44</v>
      </c>
      <c r="C8274" t="s">
        <v>34</v>
      </c>
      <c r="D8274">
        <v>0</v>
      </c>
      <c r="E8274">
        <v>1</v>
      </c>
      <c r="F8274" s="7">
        <v>55861.27</v>
      </c>
      <c r="G8274">
        <v>0</v>
      </c>
      <c r="H8274" s="7">
        <v>0</v>
      </c>
    </row>
    <row r="8275" spans="1:8">
      <c r="A8275">
        <v>7</v>
      </c>
      <c r="B8275" t="s">
        <v>44</v>
      </c>
      <c r="C8275" t="s">
        <v>34</v>
      </c>
      <c r="D8275">
        <v>0</v>
      </c>
      <c r="E8275">
        <v>1</v>
      </c>
      <c r="F8275" s="7">
        <v>63166.8</v>
      </c>
      <c r="G8275">
        <v>0</v>
      </c>
      <c r="H8275" s="7">
        <v>0</v>
      </c>
    </row>
    <row r="8276" spans="1:8">
      <c r="A8276">
        <v>7</v>
      </c>
      <c r="B8276" t="s">
        <v>42</v>
      </c>
      <c r="C8276" t="s">
        <v>33</v>
      </c>
      <c r="D8276">
        <v>0</v>
      </c>
      <c r="E8276">
        <v>1</v>
      </c>
      <c r="F8276" s="7">
        <v>9586.99</v>
      </c>
      <c r="G8276">
        <v>0</v>
      </c>
      <c r="H8276" s="7">
        <v>0</v>
      </c>
    </row>
    <row r="8277" spans="1:8">
      <c r="A8277">
        <v>7</v>
      </c>
      <c r="B8277" t="s">
        <v>42</v>
      </c>
      <c r="C8277" t="s">
        <v>34</v>
      </c>
      <c r="D8277">
        <v>0</v>
      </c>
      <c r="E8277">
        <v>1</v>
      </c>
      <c r="F8277" s="7">
        <v>13684.75</v>
      </c>
      <c r="G8277">
        <v>0</v>
      </c>
      <c r="H8277" s="7">
        <v>0</v>
      </c>
    </row>
    <row r="8278" spans="1:8">
      <c r="A8278">
        <v>7</v>
      </c>
      <c r="B8278" t="s">
        <v>42</v>
      </c>
      <c r="C8278" t="s">
        <v>33</v>
      </c>
      <c r="D8278">
        <v>0</v>
      </c>
      <c r="E8278">
        <v>1</v>
      </c>
      <c r="F8278" s="7">
        <v>6291.93</v>
      </c>
      <c r="G8278">
        <v>0</v>
      </c>
      <c r="H8278" s="7">
        <v>0</v>
      </c>
    </row>
    <row r="8279" spans="1:8">
      <c r="A8279">
        <v>7</v>
      </c>
      <c r="B8279" t="s">
        <v>42</v>
      </c>
      <c r="C8279" t="s">
        <v>34</v>
      </c>
      <c r="D8279">
        <v>0</v>
      </c>
      <c r="E8279">
        <v>1</v>
      </c>
      <c r="F8279" s="7">
        <v>10704.2</v>
      </c>
      <c r="G8279">
        <v>0</v>
      </c>
      <c r="H8279" s="7">
        <v>0</v>
      </c>
    </row>
    <row r="8280" spans="1:8">
      <c r="A8280">
        <v>7</v>
      </c>
      <c r="B8280" t="s">
        <v>42</v>
      </c>
      <c r="C8280" t="s">
        <v>33</v>
      </c>
      <c r="D8280">
        <v>0</v>
      </c>
      <c r="E8280">
        <v>1</v>
      </c>
      <c r="F8280" s="7">
        <v>5656.37</v>
      </c>
      <c r="G8280">
        <v>0</v>
      </c>
      <c r="H8280" s="7">
        <v>0</v>
      </c>
    </row>
    <row r="8281" spans="1:8">
      <c r="A8281">
        <v>7</v>
      </c>
      <c r="B8281" t="s">
        <v>42</v>
      </c>
      <c r="C8281" t="s">
        <v>32</v>
      </c>
      <c r="D8281">
        <v>0</v>
      </c>
      <c r="E8281">
        <v>1</v>
      </c>
      <c r="F8281" s="7">
        <v>450.21</v>
      </c>
      <c r="G8281">
        <v>0</v>
      </c>
      <c r="H8281" s="7">
        <v>0</v>
      </c>
    </row>
    <row r="8282" spans="1:8">
      <c r="A8282">
        <v>7</v>
      </c>
      <c r="B8282" t="s">
        <v>44</v>
      </c>
      <c r="C8282" t="s">
        <v>35</v>
      </c>
      <c r="D8282">
        <v>0</v>
      </c>
      <c r="E8282">
        <v>1</v>
      </c>
      <c r="F8282" s="7">
        <v>343435.88</v>
      </c>
      <c r="G8282">
        <v>0</v>
      </c>
      <c r="H8282" s="7">
        <v>0</v>
      </c>
    </row>
    <row r="8283" spans="1:8">
      <c r="A8283">
        <v>7</v>
      </c>
      <c r="B8283" t="s">
        <v>46</v>
      </c>
      <c r="C8283" t="s">
        <v>35</v>
      </c>
      <c r="D8283">
        <v>0</v>
      </c>
      <c r="E8283">
        <v>1</v>
      </c>
      <c r="F8283" s="7">
        <v>193433.79</v>
      </c>
      <c r="G8283">
        <v>0</v>
      </c>
      <c r="H8283" s="7">
        <v>0</v>
      </c>
    </row>
    <row r="8284" spans="1:8">
      <c r="A8284">
        <v>7</v>
      </c>
      <c r="B8284" t="s">
        <v>42</v>
      </c>
      <c r="C8284" t="s">
        <v>33</v>
      </c>
      <c r="D8284">
        <v>0</v>
      </c>
      <c r="E8284">
        <v>1</v>
      </c>
      <c r="F8284" s="7">
        <v>4931.8</v>
      </c>
      <c r="G8284">
        <v>0</v>
      </c>
      <c r="H8284" s="7">
        <v>0</v>
      </c>
    </row>
    <row r="8285" spans="1:8">
      <c r="A8285">
        <v>7</v>
      </c>
      <c r="B8285" t="s">
        <v>42</v>
      </c>
      <c r="C8285" t="s">
        <v>33</v>
      </c>
      <c r="D8285">
        <v>0</v>
      </c>
      <c r="E8285">
        <v>1</v>
      </c>
      <c r="F8285" s="7">
        <v>9906.29</v>
      </c>
      <c r="G8285">
        <v>0</v>
      </c>
      <c r="H8285" s="7">
        <v>0</v>
      </c>
    </row>
    <row r="8286" spans="1:8">
      <c r="A8286">
        <v>7</v>
      </c>
      <c r="B8286" t="s">
        <v>42</v>
      </c>
      <c r="C8286" t="s">
        <v>34</v>
      </c>
      <c r="D8286">
        <v>0</v>
      </c>
      <c r="E8286">
        <v>1</v>
      </c>
      <c r="F8286" s="7">
        <v>11586.8</v>
      </c>
      <c r="G8286">
        <v>0</v>
      </c>
      <c r="H8286" s="7">
        <v>0</v>
      </c>
    </row>
    <row r="8287" spans="1:8">
      <c r="A8287">
        <v>7</v>
      </c>
      <c r="B8287" t="s">
        <v>42</v>
      </c>
      <c r="C8287" t="s">
        <v>33</v>
      </c>
      <c r="D8287">
        <v>0</v>
      </c>
      <c r="E8287">
        <v>1</v>
      </c>
      <c r="F8287" s="7">
        <v>3226.62</v>
      </c>
      <c r="G8287">
        <v>0</v>
      </c>
      <c r="H8287" s="7">
        <v>0</v>
      </c>
    </row>
    <row r="8288" spans="1:8">
      <c r="A8288">
        <v>7</v>
      </c>
      <c r="B8288" t="s">
        <v>42</v>
      </c>
      <c r="C8288" t="s">
        <v>33</v>
      </c>
      <c r="D8288">
        <v>0</v>
      </c>
      <c r="E8288">
        <v>1</v>
      </c>
      <c r="F8288" s="7">
        <v>1790.23</v>
      </c>
      <c r="G8288">
        <v>0</v>
      </c>
      <c r="H8288" s="7">
        <v>0</v>
      </c>
    </row>
    <row r="8289" spans="1:8">
      <c r="A8289">
        <v>7</v>
      </c>
      <c r="B8289" t="s">
        <v>42</v>
      </c>
      <c r="C8289" t="s">
        <v>32</v>
      </c>
      <c r="D8289">
        <v>0</v>
      </c>
      <c r="E8289">
        <v>1</v>
      </c>
      <c r="F8289" s="7">
        <v>131.97</v>
      </c>
      <c r="G8289">
        <v>0</v>
      </c>
      <c r="H8289" s="7">
        <v>0</v>
      </c>
    </row>
    <row r="8290" spans="1:8">
      <c r="A8290">
        <v>7</v>
      </c>
      <c r="B8290" t="s">
        <v>42</v>
      </c>
      <c r="C8290" t="s">
        <v>33</v>
      </c>
      <c r="D8290">
        <v>0</v>
      </c>
      <c r="E8290">
        <v>1</v>
      </c>
      <c r="F8290" s="7">
        <v>1405.24</v>
      </c>
      <c r="G8290">
        <v>0</v>
      </c>
      <c r="H8290" s="7">
        <v>0</v>
      </c>
    </row>
    <row r="8291" spans="1:8">
      <c r="A8291">
        <v>7</v>
      </c>
      <c r="B8291" t="s">
        <v>42</v>
      </c>
      <c r="C8291" t="s">
        <v>32</v>
      </c>
      <c r="D8291">
        <v>0</v>
      </c>
      <c r="E8291">
        <v>1</v>
      </c>
      <c r="F8291" s="7">
        <v>738.07</v>
      </c>
      <c r="G8291">
        <v>0</v>
      </c>
      <c r="H8291" s="7">
        <v>0</v>
      </c>
    </row>
    <row r="8292" spans="1:8">
      <c r="A8292">
        <v>7</v>
      </c>
      <c r="B8292" t="s">
        <v>43</v>
      </c>
      <c r="C8292" t="s">
        <v>35</v>
      </c>
      <c r="D8292">
        <v>0</v>
      </c>
      <c r="E8292">
        <v>1</v>
      </c>
      <c r="F8292" s="7">
        <v>180599.7</v>
      </c>
      <c r="G8292">
        <v>0</v>
      </c>
      <c r="H8292" s="7">
        <v>0</v>
      </c>
    </row>
    <row r="8293" spans="1:8">
      <c r="A8293">
        <v>7</v>
      </c>
      <c r="B8293" t="s">
        <v>43</v>
      </c>
      <c r="C8293" t="s">
        <v>35</v>
      </c>
      <c r="D8293">
        <v>0</v>
      </c>
      <c r="E8293">
        <v>1</v>
      </c>
      <c r="F8293" s="7">
        <v>181896.67</v>
      </c>
      <c r="G8293">
        <v>0</v>
      </c>
      <c r="H8293" s="7">
        <v>0</v>
      </c>
    </row>
    <row r="8294" spans="1:8">
      <c r="A8294">
        <v>7</v>
      </c>
      <c r="B8294" t="s">
        <v>42</v>
      </c>
      <c r="C8294" t="s">
        <v>34</v>
      </c>
      <c r="D8294">
        <v>0</v>
      </c>
      <c r="E8294">
        <v>1</v>
      </c>
      <c r="F8294" s="7">
        <v>12640.76</v>
      </c>
      <c r="G8294">
        <v>0</v>
      </c>
      <c r="H8294" s="7">
        <v>0</v>
      </c>
    </row>
    <row r="8295" spans="1:8">
      <c r="A8295">
        <v>7</v>
      </c>
      <c r="B8295" t="s">
        <v>42</v>
      </c>
      <c r="C8295" t="s">
        <v>34</v>
      </c>
      <c r="D8295">
        <v>0</v>
      </c>
      <c r="E8295">
        <v>1</v>
      </c>
      <c r="F8295" s="7">
        <v>14338.89</v>
      </c>
      <c r="G8295">
        <v>0</v>
      </c>
      <c r="H8295" s="7">
        <v>0</v>
      </c>
    </row>
    <row r="8296" spans="1:8">
      <c r="A8296">
        <v>7</v>
      </c>
      <c r="B8296" t="s">
        <v>42</v>
      </c>
      <c r="C8296" t="s">
        <v>33</v>
      </c>
      <c r="D8296">
        <v>0</v>
      </c>
      <c r="E8296">
        <v>1</v>
      </c>
      <c r="F8296" s="7">
        <v>3042.49</v>
      </c>
      <c r="G8296">
        <v>0</v>
      </c>
      <c r="H8296" s="7">
        <v>0</v>
      </c>
    </row>
    <row r="8297" spans="1:8">
      <c r="A8297">
        <v>7</v>
      </c>
      <c r="B8297" t="s">
        <v>42</v>
      </c>
      <c r="C8297" t="s">
        <v>34</v>
      </c>
      <c r="D8297">
        <v>0</v>
      </c>
      <c r="E8297">
        <v>1</v>
      </c>
      <c r="F8297" s="7">
        <v>11771.68</v>
      </c>
      <c r="G8297">
        <v>0</v>
      </c>
      <c r="H8297" s="7">
        <v>0</v>
      </c>
    </row>
    <row r="8298" spans="1:8">
      <c r="A8298">
        <v>7</v>
      </c>
      <c r="B8298" t="s">
        <v>43</v>
      </c>
      <c r="C8298" t="s">
        <v>35</v>
      </c>
      <c r="D8298">
        <v>0</v>
      </c>
      <c r="E8298">
        <v>1</v>
      </c>
      <c r="F8298" s="7">
        <v>137899.53</v>
      </c>
      <c r="G8298">
        <v>0</v>
      </c>
      <c r="H8298" s="7">
        <v>0</v>
      </c>
    </row>
    <row r="8299" spans="1:8">
      <c r="A8299">
        <v>7</v>
      </c>
      <c r="B8299" t="s">
        <v>44</v>
      </c>
      <c r="C8299" t="s">
        <v>34</v>
      </c>
      <c r="D8299">
        <v>0</v>
      </c>
      <c r="E8299">
        <v>1</v>
      </c>
      <c r="F8299" s="7">
        <v>59189.32</v>
      </c>
      <c r="G8299">
        <v>0</v>
      </c>
      <c r="H8299" s="7">
        <v>0</v>
      </c>
    </row>
    <row r="8300" spans="1:8">
      <c r="A8300">
        <v>7</v>
      </c>
      <c r="B8300" t="s">
        <v>42</v>
      </c>
      <c r="C8300" t="s">
        <v>34</v>
      </c>
      <c r="D8300">
        <v>0</v>
      </c>
      <c r="E8300">
        <v>1</v>
      </c>
      <c r="F8300" s="7">
        <v>13128.66</v>
      </c>
      <c r="G8300">
        <v>0</v>
      </c>
      <c r="H8300" s="7">
        <v>0</v>
      </c>
    </row>
    <row r="8301" spans="1:8">
      <c r="A8301">
        <v>7</v>
      </c>
      <c r="B8301" t="s">
        <v>43</v>
      </c>
      <c r="C8301" t="s">
        <v>36</v>
      </c>
      <c r="D8301">
        <v>0</v>
      </c>
      <c r="E8301">
        <v>1</v>
      </c>
      <c r="F8301" s="7">
        <v>1197991.95</v>
      </c>
      <c r="G8301">
        <v>0</v>
      </c>
      <c r="H8301" s="7">
        <v>0</v>
      </c>
    </row>
    <row r="8302" spans="1:8">
      <c r="A8302">
        <v>7</v>
      </c>
      <c r="B8302" t="s">
        <v>42</v>
      </c>
      <c r="C8302" t="s">
        <v>33</v>
      </c>
      <c r="D8302">
        <v>0</v>
      </c>
      <c r="E8302">
        <v>1</v>
      </c>
      <c r="F8302" s="7">
        <v>7382.31</v>
      </c>
      <c r="G8302">
        <v>0</v>
      </c>
      <c r="H8302" s="7">
        <v>0</v>
      </c>
    </row>
    <row r="8303" spans="1:8">
      <c r="A8303">
        <v>7</v>
      </c>
      <c r="B8303" t="s">
        <v>42</v>
      </c>
      <c r="C8303" t="s">
        <v>33</v>
      </c>
      <c r="D8303">
        <v>0</v>
      </c>
      <c r="E8303">
        <v>1</v>
      </c>
      <c r="F8303" s="7">
        <v>9280.72</v>
      </c>
      <c r="G8303">
        <v>0</v>
      </c>
      <c r="H8303" s="7">
        <v>0</v>
      </c>
    </row>
    <row r="8304" spans="1:8">
      <c r="A8304">
        <v>7</v>
      </c>
      <c r="B8304" t="s">
        <v>42</v>
      </c>
      <c r="C8304" t="s">
        <v>34</v>
      </c>
      <c r="D8304">
        <v>0</v>
      </c>
      <c r="E8304">
        <v>1</v>
      </c>
      <c r="F8304" s="7">
        <v>15918.62</v>
      </c>
      <c r="G8304">
        <v>0</v>
      </c>
      <c r="H8304" s="7">
        <v>0</v>
      </c>
    </row>
    <row r="8305" spans="1:8">
      <c r="A8305">
        <v>7</v>
      </c>
      <c r="B8305" t="s">
        <v>42</v>
      </c>
      <c r="C8305" t="s">
        <v>33</v>
      </c>
      <c r="D8305">
        <v>0</v>
      </c>
      <c r="E8305">
        <v>1</v>
      </c>
      <c r="F8305" s="7">
        <v>3774.03</v>
      </c>
      <c r="G8305">
        <v>0</v>
      </c>
      <c r="H8305" s="7">
        <v>0</v>
      </c>
    </row>
    <row r="8306" spans="1:8">
      <c r="A8306">
        <v>7</v>
      </c>
      <c r="B8306" t="s">
        <v>42</v>
      </c>
      <c r="C8306" t="s">
        <v>33</v>
      </c>
      <c r="D8306">
        <v>0</v>
      </c>
      <c r="E8306">
        <v>1</v>
      </c>
      <c r="F8306" s="7">
        <v>7262.43</v>
      </c>
      <c r="G8306">
        <v>0</v>
      </c>
      <c r="H8306" s="7">
        <v>0</v>
      </c>
    </row>
    <row r="8307" spans="1:8">
      <c r="A8307">
        <v>7</v>
      </c>
      <c r="B8307" t="s">
        <v>46</v>
      </c>
      <c r="C8307" t="s">
        <v>34</v>
      </c>
      <c r="D8307">
        <v>0</v>
      </c>
      <c r="E8307">
        <v>1</v>
      </c>
      <c r="F8307" s="7">
        <v>77391.31</v>
      </c>
      <c r="G8307">
        <v>0</v>
      </c>
      <c r="H8307" s="7">
        <v>0</v>
      </c>
    </row>
    <row r="8308" spans="1:8">
      <c r="A8308">
        <v>7</v>
      </c>
      <c r="B8308" t="s">
        <v>42</v>
      </c>
      <c r="C8308" t="s">
        <v>33</v>
      </c>
      <c r="D8308">
        <v>0</v>
      </c>
      <c r="E8308">
        <v>1</v>
      </c>
      <c r="F8308" s="7">
        <v>5507.6</v>
      </c>
      <c r="G8308">
        <v>0</v>
      </c>
      <c r="H8308" s="7">
        <v>0</v>
      </c>
    </row>
    <row r="8309" spans="1:8">
      <c r="A8309">
        <v>7</v>
      </c>
      <c r="B8309" t="s">
        <v>43</v>
      </c>
      <c r="C8309" t="s">
        <v>35</v>
      </c>
      <c r="D8309">
        <v>0</v>
      </c>
      <c r="E8309">
        <v>1</v>
      </c>
      <c r="F8309" s="7">
        <v>941410.58</v>
      </c>
      <c r="G8309">
        <v>0</v>
      </c>
      <c r="H8309" s="7">
        <v>0</v>
      </c>
    </row>
    <row r="8310" spans="1:8">
      <c r="A8310">
        <v>7</v>
      </c>
      <c r="B8310" t="s">
        <v>42</v>
      </c>
      <c r="C8310" t="s">
        <v>33</v>
      </c>
      <c r="D8310">
        <v>0</v>
      </c>
      <c r="E8310">
        <v>1</v>
      </c>
      <c r="F8310" s="7">
        <v>1842.71</v>
      </c>
      <c r="G8310">
        <v>0</v>
      </c>
      <c r="H8310" s="7">
        <v>0</v>
      </c>
    </row>
    <row r="8311" spans="1:8">
      <c r="A8311">
        <v>7</v>
      </c>
      <c r="B8311" t="s">
        <v>42</v>
      </c>
      <c r="C8311" t="s">
        <v>34</v>
      </c>
      <c r="D8311">
        <v>0</v>
      </c>
      <c r="E8311">
        <v>1</v>
      </c>
      <c r="F8311" s="7">
        <v>15171.58</v>
      </c>
      <c r="G8311">
        <v>0</v>
      </c>
      <c r="H8311" s="7">
        <v>0</v>
      </c>
    </row>
    <row r="8312" spans="1:8">
      <c r="A8312">
        <v>7</v>
      </c>
      <c r="B8312" t="s">
        <v>42</v>
      </c>
      <c r="C8312" t="s">
        <v>33</v>
      </c>
      <c r="D8312">
        <v>0</v>
      </c>
      <c r="E8312">
        <v>1</v>
      </c>
      <c r="F8312" s="7">
        <v>1399.07</v>
      </c>
      <c r="G8312">
        <v>0</v>
      </c>
      <c r="H8312" s="7">
        <v>0</v>
      </c>
    </row>
    <row r="8313" spans="1:8">
      <c r="A8313">
        <v>7</v>
      </c>
      <c r="B8313" t="s">
        <v>42</v>
      </c>
      <c r="C8313" t="s">
        <v>34</v>
      </c>
      <c r="D8313">
        <v>0</v>
      </c>
      <c r="E8313">
        <v>1</v>
      </c>
      <c r="F8313" s="7">
        <v>11239.89</v>
      </c>
      <c r="G8313">
        <v>0</v>
      </c>
      <c r="H8313" s="7">
        <v>0</v>
      </c>
    </row>
    <row r="8314" spans="1:8">
      <c r="A8314">
        <v>7</v>
      </c>
      <c r="B8314" t="s">
        <v>43</v>
      </c>
      <c r="C8314" t="s">
        <v>35</v>
      </c>
      <c r="D8314">
        <v>0</v>
      </c>
      <c r="E8314">
        <v>1</v>
      </c>
      <c r="F8314" s="7">
        <v>149478.58</v>
      </c>
      <c r="G8314">
        <v>0</v>
      </c>
      <c r="H8314" s="7">
        <v>0</v>
      </c>
    </row>
    <row r="8315" spans="1:8">
      <c r="A8315">
        <v>7</v>
      </c>
      <c r="B8315" t="s">
        <v>45</v>
      </c>
      <c r="C8315" t="s">
        <v>33</v>
      </c>
      <c r="D8315">
        <v>0</v>
      </c>
      <c r="E8315">
        <v>1</v>
      </c>
      <c r="F8315" s="7">
        <v>4213.82</v>
      </c>
      <c r="G8315">
        <v>0</v>
      </c>
      <c r="H8315" s="7">
        <v>0</v>
      </c>
    </row>
    <row r="8316" spans="1:8">
      <c r="A8316">
        <v>7</v>
      </c>
      <c r="B8316" t="s">
        <v>42</v>
      </c>
      <c r="C8316" t="s">
        <v>33</v>
      </c>
      <c r="D8316">
        <v>0</v>
      </c>
      <c r="E8316">
        <v>1</v>
      </c>
      <c r="F8316" s="7">
        <v>6998.25</v>
      </c>
      <c r="G8316">
        <v>0</v>
      </c>
      <c r="H8316" s="7">
        <v>0</v>
      </c>
    </row>
    <row r="8317" spans="1:8">
      <c r="A8317">
        <v>7</v>
      </c>
      <c r="B8317" t="s">
        <v>42</v>
      </c>
      <c r="C8317" t="s">
        <v>33</v>
      </c>
      <c r="D8317">
        <v>0</v>
      </c>
      <c r="E8317">
        <v>1</v>
      </c>
      <c r="F8317" s="7">
        <v>3317.5</v>
      </c>
      <c r="G8317">
        <v>0</v>
      </c>
      <c r="H8317" s="7">
        <v>0</v>
      </c>
    </row>
    <row r="8318" spans="1:8">
      <c r="A8318">
        <v>7</v>
      </c>
      <c r="B8318" t="s">
        <v>42</v>
      </c>
      <c r="C8318" t="s">
        <v>33</v>
      </c>
      <c r="D8318">
        <v>0</v>
      </c>
      <c r="E8318">
        <v>1</v>
      </c>
      <c r="F8318" s="7">
        <v>4972.49</v>
      </c>
      <c r="G8318">
        <v>0</v>
      </c>
      <c r="H8318" s="7">
        <v>0</v>
      </c>
    </row>
    <row r="8319" spans="1:8">
      <c r="A8319">
        <v>7</v>
      </c>
      <c r="B8319" t="s">
        <v>42</v>
      </c>
      <c r="C8319" t="s">
        <v>32</v>
      </c>
      <c r="D8319">
        <v>0</v>
      </c>
      <c r="E8319">
        <v>1</v>
      </c>
      <c r="F8319" s="7">
        <v>38.92</v>
      </c>
      <c r="G8319">
        <v>0</v>
      </c>
      <c r="H8319" s="7">
        <v>0</v>
      </c>
    </row>
    <row r="8320" spans="1:8">
      <c r="A8320">
        <v>7</v>
      </c>
      <c r="B8320" t="s">
        <v>42</v>
      </c>
      <c r="C8320" t="s">
        <v>33</v>
      </c>
      <c r="D8320">
        <v>0</v>
      </c>
      <c r="E8320">
        <v>1</v>
      </c>
      <c r="F8320" s="7">
        <v>8521.16</v>
      </c>
      <c r="G8320">
        <v>0</v>
      </c>
      <c r="H8320" s="7">
        <v>0</v>
      </c>
    </row>
    <row r="8321" spans="1:8">
      <c r="A8321">
        <v>7</v>
      </c>
      <c r="B8321" t="s">
        <v>42</v>
      </c>
      <c r="C8321" t="s">
        <v>33</v>
      </c>
      <c r="D8321">
        <v>0</v>
      </c>
      <c r="E8321">
        <v>1</v>
      </c>
      <c r="F8321" s="7">
        <v>2498.82</v>
      </c>
      <c r="G8321">
        <v>0</v>
      </c>
      <c r="H8321" s="7">
        <v>0</v>
      </c>
    </row>
    <row r="8322" spans="1:8">
      <c r="A8322">
        <v>7</v>
      </c>
      <c r="B8322" t="s">
        <v>43</v>
      </c>
      <c r="C8322" t="s">
        <v>35</v>
      </c>
      <c r="D8322">
        <v>0</v>
      </c>
      <c r="E8322">
        <v>1</v>
      </c>
      <c r="F8322" s="7">
        <v>787766.57</v>
      </c>
      <c r="G8322">
        <v>0</v>
      </c>
      <c r="H8322" s="7">
        <v>0</v>
      </c>
    </row>
    <row r="8323" spans="1:8">
      <c r="A8323">
        <v>7</v>
      </c>
      <c r="B8323" t="s">
        <v>42</v>
      </c>
      <c r="C8323" t="s">
        <v>34</v>
      </c>
      <c r="D8323">
        <v>0</v>
      </c>
      <c r="E8323">
        <v>1</v>
      </c>
      <c r="F8323" s="7">
        <v>13979.52</v>
      </c>
      <c r="G8323">
        <v>0</v>
      </c>
      <c r="H8323" s="7">
        <v>0</v>
      </c>
    </row>
    <row r="8324" spans="1:8">
      <c r="A8324">
        <v>7</v>
      </c>
      <c r="B8324" t="s">
        <v>42</v>
      </c>
      <c r="C8324" t="s">
        <v>33</v>
      </c>
      <c r="D8324">
        <v>0</v>
      </c>
      <c r="E8324">
        <v>1</v>
      </c>
      <c r="F8324" s="7">
        <v>3285.43</v>
      </c>
      <c r="G8324">
        <v>0</v>
      </c>
      <c r="H8324" s="7">
        <v>0</v>
      </c>
    </row>
    <row r="8325" spans="1:8">
      <c r="A8325">
        <v>7</v>
      </c>
      <c r="B8325" t="s">
        <v>42</v>
      </c>
      <c r="C8325" t="s">
        <v>33</v>
      </c>
      <c r="D8325">
        <v>0</v>
      </c>
      <c r="E8325">
        <v>1</v>
      </c>
      <c r="F8325" s="7">
        <v>6166.59</v>
      </c>
      <c r="G8325">
        <v>0</v>
      </c>
      <c r="H8325" s="7">
        <v>0</v>
      </c>
    </row>
    <row r="8326" spans="1:8">
      <c r="A8326">
        <v>7</v>
      </c>
      <c r="B8326" t="s">
        <v>42</v>
      </c>
      <c r="C8326" t="s">
        <v>34</v>
      </c>
      <c r="D8326">
        <v>0</v>
      </c>
      <c r="E8326">
        <v>1</v>
      </c>
      <c r="F8326" s="7">
        <v>28085.91</v>
      </c>
      <c r="G8326">
        <v>0</v>
      </c>
      <c r="H8326" s="7">
        <v>0</v>
      </c>
    </row>
    <row r="8327" spans="1:8">
      <c r="A8327">
        <v>7</v>
      </c>
      <c r="B8327" t="s">
        <v>42</v>
      </c>
      <c r="C8327" t="s">
        <v>33</v>
      </c>
      <c r="D8327">
        <v>0</v>
      </c>
      <c r="E8327">
        <v>1</v>
      </c>
      <c r="F8327" s="7">
        <v>2944.03</v>
      </c>
      <c r="G8327">
        <v>0</v>
      </c>
      <c r="H8327" s="7">
        <v>0</v>
      </c>
    </row>
    <row r="8328" spans="1:8">
      <c r="A8328">
        <v>7</v>
      </c>
      <c r="B8328" t="s">
        <v>42</v>
      </c>
      <c r="C8328" t="s">
        <v>34</v>
      </c>
      <c r="D8328">
        <v>0</v>
      </c>
      <c r="E8328">
        <v>1</v>
      </c>
      <c r="F8328" s="7">
        <v>24936.23</v>
      </c>
      <c r="G8328">
        <v>0</v>
      </c>
      <c r="H8328" s="7">
        <v>0</v>
      </c>
    </row>
    <row r="8329" spans="1:8">
      <c r="A8329">
        <v>7</v>
      </c>
      <c r="B8329" t="s">
        <v>42</v>
      </c>
      <c r="C8329" t="s">
        <v>34</v>
      </c>
      <c r="D8329">
        <v>0</v>
      </c>
      <c r="E8329">
        <v>1</v>
      </c>
      <c r="F8329" s="7">
        <v>12186.86</v>
      </c>
      <c r="G8329">
        <v>0</v>
      </c>
      <c r="H8329" s="7">
        <v>0</v>
      </c>
    </row>
    <row r="8330" spans="1:8">
      <c r="A8330">
        <v>7</v>
      </c>
      <c r="B8330" t="s">
        <v>42</v>
      </c>
      <c r="C8330" t="s">
        <v>33</v>
      </c>
      <c r="D8330">
        <v>0</v>
      </c>
      <c r="E8330">
        <v>1</v>
      </c>
      <c r="F8330" s="7">
        <v>2981.14</v>
      </c>
      <c r="G8330">
        <v>0</v>
      </c>
      <c r="H8330" s="7">
        <v>0</v>
      </c>
    </row>
    <row r="8331" spans="1:8">
      <c r="A8331">
        <v>7</v>
      </c>
      <c r="B8331" t="s">
        <v>42</v>
      </c>
      <c r="C8331" t="s">
        <v>34</v>
      </c>
      <c r="D8331">
        <v>0</v>
      </c>
      <c r="E8331">
        <v>1</v>
      </c>
      <c r="F8331" s="7">
        <v>11107.59</v>
      </c>
      <c r="G8331">
        <v>0</v>
      </c>
      <c r="H8331" s="7">
        <v>0</v>
      </c>
    </row>
    <row r="8332" spans="1:8">
      <c r="A8332">
        <v>7</v>
      </c>
      <c r="B8332" t="s">
        <v>42</v>
      </c>
      <c r="C8332" t="s">
        <v>34</v>
      </c>
      <c r="D8332">
        <v>0</v>
      </c>
      <c r="E8332">
        <v>1</v>
      </c>
      <c r="F8332" s="7">
        <v>10445.05</v>
      </c>
      <c r="G8332">
        <v>0</v>
      </c>
      <c r="H8332" s="7">
        <v>0</v>
      </c>
    </row>
    <row r="8333" spans="1:8">
      <c r="A8333">
        <v>7</v>
      </c>
      <c r="B8333" t="s">
        <v>42</v>
      </c>
      <c r="C8333" t="s">
        <v>34</v>
      </c>
      <c r="D8333">
        <v>0</v>
      </c>
      <c r="E8333">
        <v>1</v>
      </c>
      <c r="F8333" s="7">
        <v>10311.31</v>
      </c>
      <c r="G8333">
        <v>0</v>
      </c>
      <c r="H8333" s="7">
        <v>0</v>
      </c>
    </row>
    <row r="8334" spans="1:8">
      <c r="A8334">
        <v>7</v>
      </c>
      <c r="B8334" t="s">
        <v>42</v>
      </c>
      <c r="C8334" t="s">
        <v>32</v>
      </c>
      <c r="D8334">
        <v>0</v>
      </c>
      <c r="E8334">
        <v>1</v>
      </c>
      <c r="F8334" s="7">
        <v>418.38</v>
      </c>
      <c r="G8334">
        <v>0</v>
      </c>
      <c r="H8334" s="7">
        <v>0</v>
      </c>
    </row>
    <row r="8335" spans="1:8">
      <c r="A8335">
        <v>7</v>
      </c>
      <c r="B8335" t="s">
        <v>42</v>
      </c>
      <c r="C8335" t="s">
        <v>34</v>
      </c>
      <c r="D8335">
        <v>0</v>
      </c>
      <c r="E8335">
        <v>1</v>
      </c>
      <c r="F8335" s="7">
        <v>36617.58</v>
      </c>
      <c r="G8335">
        <v>0</v>
      </c>
      <c r="H8335" s="7">
        <v>0</v>
      </c>
    </row>
    <row r="8336" spans="1:8">
      <c r="A8336">
        <v>7</v>
      </c>
      <c r="B8336" t="s">
        <v>42</v>
      </c>
      <c r="C8336" t="s">
        <v>34</v>
      </c>
      <c r="D8336">
        <v>0</v>
      </c>
      <c r="E8336">
        <v>1</v>
      </c>
      <c r="F8336" s="7">
        <v>10930.96</v>
      </c>
      <c r="G8336">
        <v>0</v>
      </c>
      <c r="H8336" s="7">
        <v>0</v>
      </c>
    </row>
    <row r="8337" spans="1:8">
      <c r="A8337">
        <v>7</v>
      </c>
      <c r="B8337" t="s">
        <v>42</v>
      </c>
      <c r="C8337" t="s">
        <v>34</v>
      </c>
      <c r="D8337">
        <v>0</v>
      </c>
      <c r="E8337">
        <v>1</v>
      </c>
      <c r="F8337" s="7">
        <v>18039.3</v>
      </c>
      <c r="G8337">
        <v>0</v>
      </c>
      <c r="H8337" s="7">
        <v>0</v>
      </c>
    </row>
    <row r="8338" spans="1:8">
      <c r="A8338">
        <v>7</v>
      </c>
      <c r="B8338" t="s">
        <v>42</v>
      </c>
      <c r="C8338" t="s">
        <v>32</v>
      </c>
      <c r="D8338">
        <v>0</v>
      </c>
      <c r="E8338">
        <v>1</v>
      </c>
      <c r="F8338" s="7">
        <v>936.44</v>
      </c>
      <c r="G8338">
        <v>0</v>
      </c>
      <c r="H8338" s="7">
        <v>0</v>
      </c>
    </row>
    <row r="8339" spans="1:8">
      <c r="A8339">
        <v>7</v>
      </c>
      <c r="B8339" t="s">
        <v>42</v>
      </c>
      <c r="C8339" t="s">
        <v>33</v>
      </c>
      <c r="D8339">
        <v>0</v>
      </c>
      <c r="E8339">
        <v>1</v>
      </c>
      <c r="F8339" s="7">
        <v>5078.28</v>
      </c>
      <c r="G8339">
        <v>0</v>
      </c>
      <c r="H8339" s="7">
        <v>0</v>
      </c>
    </row>
    <row r="8340" spans="1:8">
      <c r="A8340">
        <v>7</v>
      </c>
      <c r="B8340" t="s">
        <v>42</v>
      </c>
      <c r="C8340" t="s">
        <v>33</v>
      </c>
      <c r="D8340">
        <v>0</v>
      </c>
      <c r="E8340">
        <v>1</v>
      </c>
      <c r="F8340" s="7">
        <v>7402.51</v>
      </c>
      <c r="G8340">
        <v>0</v>
      </c>
      <c r="H8340" s="7">
        <v>0</v>
      </c>
    </row>
    <row r="8341" spans="1:8">
      <c r="A8341">
        <v>7</v>
      </c>
      <c r="B8341" t="s">
        <v>42</v>
      </c>
      <c r="C8341" t="s">
        <v>33</v>
      </c>
      <c r="D8341">
        <v>0</v>
      </c>
      <c r="E8341">
        <v>1</v>
      </c>
      <c r="F8341" s="7">
        <v>5503.71</v>
      </c>
      <c r="G8341">
        <v>0</v>
      </c>
      <c r="H8341" s="7">
        <v>0</v>
      </c>
    </row>
    <row r="8342" spans="1:8">
      <c r="A8342">
        <v>7</v>
      </c>
      <c r="B8342" t="s">
        <v>42</v>
      </c>
      <c r="C8342" t="s">
        <v>33</v>
      </c>
      <c r="D8342">
        <v>0</v>
      </c>
      <c r="E8342">
        <v>1</v>
      </c>
      <c r="F8342" s="7">
        <v>6331.43</v>
      </c>
      <c r="G8342">
        <v>0</v>
      </c>
      <c r="H8342" s="7">
        <v>0</v>
      </c>
    </row>
    <row r="8343" spans="1:8">
      <c r="A8343">
        <v>7</v>
      </c>
      <c r="B8343" t="s">
        <v>42</v>
      </c>
      <c r="C8343" t="s">
        <v>33</v>
      </c>
      <c r="D8343">
        <v>0</v>
      </c>
      <c r="E8343">
        <v>1</v>
      </c>
      <c r="F8343" s="7">
        <v>7596.59</v>
      </c>
      <c r="G8343">
        <v>0</v>
      </c>
      <c r="H8343" s="7">
        <v>0</v>
      </c>
    </row>
    <row r="8344" spans="1:8">
      <c r="A8344">
        <v>7</v>
      </c>
      <c r="B8344" t="s">
        <v>42</v>
      </c>
      <c r="C8344" t="s">
        <v>33</v>
      </c>
      <c r="D8344">
        <v>0</v>
      </c>
      <c r="E8344">
        <v>1</v>
      </c>
      <c r="F8344" s="7">
        <v>2059.07</v>
      </c>
      <c r="G8344">
        <v>0</v>
      </c>
      <c r="H8344" s="7">
        <v>0</v>
      </c>
    </row>
    <row r="8345" spans="1:8">
      <c r="A8345">
        <v>7</v>
      </c>
      <c r="B8345" t="s">
        <v>42</v>
      </c>
      <c r="C8345" t="s">
        <v>33</v>
      </c>
      <c r="D8345">
        <v>0</v>
      </c>
      <c r="E8345">
        <v>1</v>
      </c>
      <c r="F8345" s="7">
        <v>1015.6</v>
      </c>
      <c r="G8345">
        <v>0</v>
      </c>
      <c r="H8345" s="7">
        <v>0</v>
      </c>
    </row>
    <row r="8346" spans="1:8">
      <c r="A8346">
        <v>7</v>
      </c>
      <c r="B8346" t="s">
        <v>42</v>
      </c>
      <c r="C8346" t="s">
        <v>33</v>
      </c>
      <c r="D8346">
        <v>0</v>
      </c>
      <c r="E8346">
        <v>1</v>
      </c>
      <c r="F8346" s="7">
        <v>9386.08</v>
      </c>
      <c r="G8346">
        <v>0</v>
      </c>
      <c r="H8346" s="7">
        <v>0</v>
      </c>
    </row>
    <row r="8347" spans="1:8">
      <c r="A8347">
        <v>7</v>
      </c>
      <c r="B8347" t="s">
        <v>42</v>
      </c>
      <c r="C8347" t="s">
        <v>34</v>
      </c>
      <c r="D8347">
        <v>0</v>
      </c>
      <c r="E8347">
        <v>1</v>
      </c>
      <c r="F8347" s="7">
        <v>45047.16</v>
      </c>
      <c r="G8347">
        <v>0</v>
      </c>
      <c r="H8347" s="7">
        <v>0</v>
      </c>
    </row>
    <row r="8348" spans="1:8">
      <c r="A8348">
        <v>7</v>
      </c>
      <c r="B8348" t="s">
        <v>42</v>
      </c>
      <c r="C8348" t="s">
        <v>33</v>
      </c>
      <c r="D8348">
        <v>0</v>
      </c>
      <c r="E8348">
        <v>1</v>
      </c>
      <c r="F8348" s="7">
        <v>4801.94</v>
      </c>
      <c r="G8348">
        <v>0</v>
      </c>
      <c r="H8348" s="7">
        <v>0</v>
      </c>
    </row>
    <row r="8349" spans="1:8">
      <c r="A8349">
        <v>7</v>
      </c>
      <c r="B8349" t="s">
        <v>42</v>
      </c>
      <c r="C8349" t="s">
        <v>33</v>
      </c>
      <c r="D8349">
        <v>0</v>
      </c>
      <c r="E8349">
        <v>1</v>
      </c>
      <c r="F8349" s="7">
        <v>4186.36</v>
      </c>
      <c r="G8349">
        <v>0</v>
      </c>
      <c r="H8349" s="7">
        <v>0</v>
      </c>
    </row>
    <row r="8350" spans="1:8">
      <c r="A8350">
        <v>7</v>
      </c>
      <c r="B8350" t="s">
        <v>42</v>
      </c>
      <c r="C8350" t="s">
        <v>33</v>
      </c>
      <c r="D8350">
        <v>0</v>
      </c>
      <c r="E8350">
        <v>1</v>
      </c>
      <c r="F8350" s="7">
        <v>8144.35</v>
      </c>
      <c r="G8350">
        <v>0</v>
      </c>
      <c r="H8350" s="7">
        <v>0</v>
      </c>
    </row>
    <row r="8351" spans="1:8">
      <c r="A8351">
        <v>7</v>
      </c>
      <c r="B8351" t="s">
        <v>42</v>
      </c>
      <c r="C8351" t="s">
        <v>33</v>
      </c>
      <c r="D8351">
        <v>0</v>
      </c>
      <c r="E8351">
        <v>1</v>
      </c>
      <c r="F8351" s="7">
        <v>3788.13</v>
      </c>
      <c r="G8351">
        <v>0</v>
      </c>
      <c r="H8351" s="7">
        <v>0</v>
      </c>
    </row>
    <row r="8352" spans="1:8">
      <c r="A8352">
        <v>7</v>
      </c>
      <c r="B8352" t="s">
        <v>42</v>
      </c>
      <c r="C8352" t="s">
        <v>33</v>
      </c>
      <c r="D8352">
        <v>0</v>
      </c>
      <c r="E8352">
        <v>1</v>
      </c>
      <c r="F8352" s="7">
        <v>7456.44</v>
      </c>
      <c r="G8352">
        <v>0</v>
      </c>
      <c r="H8352" s="7">
        <v>0</v>
      </c>
    </row>
    <row r="8353" spans="1:8">
      <c r="A8353">
        <v>7</v>
      </c>
      <c r="B8353" t="s">
        <v>43</v>
      </c>
      <c r="C8353" t="s">
        <v>35</v>
      </c>
      <c r="D8353">
        <v>0</v>
      </c>
      <c r="E8353">
        <v>1</v>
      </c>
      <c r="F8353" s="7">
        <v>538645.8</v>
      </c>
      <c r="G8353">
        <v>0</v>
      </c>
      <c r="H8353" s="7">
        <v>0</v>
      </c>
    </row>
    <row r="8354" spans="1:8">
      <c r="A8354">
        <v>7</v>
      </c>
      <c r="B8354" t="s">
        <v>42</v>
      </c>
      <c r="C8354" t="s">
        <v>33</v>
      </c>
      <c r="D8354">
        <v>0</v>
      </c>
      <c r="E8354">
        <v>1</v>
      </c>
      <c r="F8354" s="7">
        <v>6230.44</v>
      </c>
      <c r="G8354">
        <v>0</v>
      </c>
      <c r="H8354" s="7">
        <v>0</v>
      </c>
    </row>
    <row r="8355" spans="1:8">
      <c r="A8355">
        <v>7</v>
      </c>
      <c r="B8355" t="s">
        <v>42</v>
      </c>
      <c r="C8355" t="s">
        <v>32</v>
      </c>
      <c r="D8355">
        <v>0</v>
      </c>
      <c r="E8355">
        <v>1</v>
      </c>
      <c r="F8355" s="7">
        <v>803.32</v>
      </c>
      <c r="G8355">
        <v>0</v>
      </c>
      <c r="H8355" s="7">
        <v>0</v>
      </c>
    </row>
    <row r="8356" spans="1:8">
      <c r="A8356">
        <v>7</v>
      </c>
      <c r="B8356" t="s">
        <v>43</v>
      </c>
      <c r="C8356" t="s">
        <v>34</v>
      </c>
      <c r="D8356">
        <v>0</v>
      </c>
      <c r="E8356">
        <v>1</v>
      </c>
      <c r="F8356" s="7">
        <v>57573.06</v>
      </c>
      <c r="G8356">
        <v>0</v>
      </c>
      <c r="H8356" s="7">
        <v>0</v>
      </c>
    </row>
    <row r="8357" spans="1:8">
      <c r="A8357">
        <v>7</v>
      </c>
      <c r="B8357" t="s">
        <v>42</v>
      </c>
      <c r="C8357" t="s">
        <v>33</v>
      </c>
      <c r="D8357">
        <v>0</v>
      </c>
      <c r="E8357">
        <v>1</v>
      </c>
      <c r="F8357" s="7">
        <v>1147.41</v>
      </c>
      <c r="G8357">
        <v>0</v>
      </c>
      <c r="H8357" s="7">
        <v>0</v>
      </c>
    </row>
    <row r="8358" spans="1:8">
      <c r="A8358">
        <v>7</v>
      </c>
      <c r="B8358" t="s">
        <v>42</v>
      </c>
      <c r="C8358" t="s">
        <v>33</v>
      </c>
      <c r="D8358">
        <v>0</v>
      </c>
      <c r="E8358">
        <v>1</v>
      </c>
      <c r="F8358" s="7">
        <v>5867.74</v>
      </c>
      <c r="G8358">
        <v>0</v>
      </c>
      <c r="H8358" s="7">
        <v>0</v>
      </c>
    </row>
    <row r="8359" spans="1:8">
      <c r="A8359">
        <v>7</v>
      </c>
      <c r="B8359" t="s">
        <v>42</v>
      </c>
      <c r="C8359" t="s">
        <v>34</v>
      </c>
      <c r="D8359">
        <v>0</v>
      </c>
      <c r="E8359">
        <v>1</v>
      </c>
      <c r="F8359" s="7">
        <v>18615.15</v>
      </c>
      <c r="G8359">
        <v>0</v>
      </c>
      <c r="H8359" s="7">
        <v>0</v>
      </c>
    </row>
    <row r="8360" spans="1:8">
      <c r="A8360">
        <v>7</v>
      </c>
      <c r="B8360" t="s">
        <v>42</v>
      </c>
      <c r="C8360" t="s">
        <v>33</v>
      </c>
      <c r="D8360">
        <v>0</v>
      </c>
      <c r="E8360">
        <v>1</v>
      </c>
      <c r="F8360" s="7">
        <v>8251.07</v>
      </c>
      <c r="G8360">
        <v>0</v>
      </c>
      <c r="H8360" s="7">
        <v>0</v>
      </c>
    </row>
    <row r="8361" spans="1:8">
      <c r="A8361">
        <v>7</v>
      </c>
      <c r="B8361" t="s">
        <v>42</v>
      </c>
      <c r="C8361" t="s">
        <v>33</v>
      </c>
      <c r="D8361">
        <v>0</v>
      </c>
      <c r="E8361">
        <v>1</v>
      </c>
      <c r="F8361" s="7">
        <v>5401.29</v>
      </c>
      <c r="G8361">
        <v>0</v>
      </c>
      <c r="H8361" s="7">
        <v>0</v>
      </c>
    </row>
    <row r="8362" spans="1:8">
      <c r="A8362">
        <v>7</v>
      </c>
      <c r="B8362" t="s">
        <v>42</v>
      </c>
      <c r="C8362" t="s">
        <v>33</v>
      </c>
      <c r="D8362">
        <v>0</v>
      </c>
      <c r="E8362">
        <v>1</v>
      </c>
      <c r="F8362" s="7">
        <v>2626.7</v>
      </c>
      <c r="G8362">
        <v>0</v>
      </c>
      <c r="H8362" s="7">
        <v>0</v>
      </c>
    </row>
    <row r="8363" spans="1:8">
      <c r="A8363">
        <v>7</v>
      </c>
      <c r="B8363" t="s">
        <v>42</v>
      </c>
      <c r="C8363" t="s">
        <v>33</v>
      </c>
      <c r="D8363">
        <v>0</v>
      </c>
      <c r="E8363">
        <v>1</v>
      </c>
      <c r="F8363" s="7">
        <v>3259.83</v>
      </c>
      <c r="G8363">
        <v>0</v>
      </c>
      <c r="H8363" s="7">
        <v>0</v>
      </c>
    </row>
    <row r="8364" spans="1:8">
      <c r="A8364">
        <v>7</v>
      </c>
      <c r="B8364" t="s">
        <v>42</v>
      </c>
      <c r="C8364" t="s">
        <v>32</v>
      </c>
      <c r="D8364">
        <v>0</v>
      </c>
      <c r="E8364">
        <v>1</v>
      </c>
      <c r="F8364" s="7">
        <v>406.26</v>
      </c>
      <c r="G8364">
        <v>0</v>
      </c>
      <c r="H8364" s="7">
        <v>0</v>
      </c>
    </row>
    <row r="8365" spans="1:8">
      <c r="A8365">
        <v>7</v>
      </c>
      <c r="B8365" t="s">
        <v>42</v>
      </c>
      <c r="C8365" t="s">
        <v>34</v>
      </c>
      <c r="D8365">
        <v>0</v>
      </c>
      <c r="E8365">
        <v>1</v>
      </c>
      <c r="F8365" s="7">
        <v>14589.17</v>
      </c>
      <c r="G8365">
        <v>0</v>
      </c>
      <c r="H8365" s="7">
        <v>0</v>
      </c>
    </row>
    <row r="8366" spans="1:8">
      <c r="A8366">
        <v>7</v>
      </c>
      <c r="B8366" t="s">
        <v>43</v>
      </c>
      <c r="C8366" t="s">
        <v>35</v>
      </c>
      <c r="D8366">
        <v>0</v>
      </c>
      <c r="E8366">
        <v>1</v>
      </c>
      <c r="F8366" s="7">
        <v>255588.22</v>
      </c>
      <c r="G8366">
        <v>0</v>
      </c>
      <c r="H8366" s="7">
        <v>0</v>
      </c>
    </row>
    <row r="8367" spans="1:8">
      <c r="A8367">
        <v>7</v>
      </c>
      <c r="B8367" t="s">
        <v>42</v>
      </c>
      <c r="C8367" t="s">
        <v>34</v>
      </c>
      <c r="D8367">
        <v>0</v>
      </c>
      <c r="E8367">
        <v>1</v>
      </c>
      <c r="F8367" s="7">
        <v>12999.97</v>
      </c>
      <c r="G8367">
        <v>0</v>
      </c>
      <c r="H8367" s="7">
        <v>0</v>
      </c>
    </row>
    <row r="8368" spans="1:8">
      <c r="A8368">
        <v>7</v>
      </c>
      <c r="B8368" t="s">
        <v>43</v>
      </c>
      <c r="C8368" t="s">
        <v>35</v>
      </c>
      <c r="D8368">
        <v>0</v>
      </c>
      <c r="E8368">
        <v>1</v>
      </c>
      <c r="F8368" s="7">
        <v>412292.82</v>
      </c>
      <c r="G8368">
        <v>0</v>
      </c>
      <c r="H8368" s="7">
        <v>0</v>
      </c>
    </row>
    <row r="8369" spans="1:8">
      <c r="A8369">
        <v>7</v>
      </c>
      <c r="B8369" t="s">
        <v>44</v>
      </c>
      <c r="C8369" t="s">
        <v>35</v>
      </c>
      <c r="D8369">
        <v>0</v>
      </c>
      <c r="E8369">
        <v>1</v>
      </c>
      <c r="F8369" s="7">
        <v>263470.87</v>
      </c>
      <c r="G8369">
        <v>0</v>
      </c>
      <c r="H8369" s="7">
        <v>0</v>
      </c>
    </row>
    <row r="8370" spans="1:8">
      <c r="A8370">
        <v>7</v>
      </c>
      <c r="B8370" t="s">
        <v>42</v>
      </c>
      <c r="C8370" t="s">
        <v>33</v>
      </c>
      <c r="D8370">
        <v>0</v>
      </c>
      <c r="E8370">
        <v>1</v>
      </c>
      <c r="F8370" s="7">
        <v>2486.24</v>
      </c>
      <c r="G8370">
        <v>0</v>
      </c>
      <c r="H8370" s="7">
        <v>0</v>
      </c>
    </row>
    <row r="8371" spans="1:8">
      <c r="A8371">
        <v>7</v>
      </c>
      <c r="B8371" t="s">
        <v>42</v>
      </c>
      <c r="C8371" t="s">
        <v>34</v>
      </c>
      <c r="D8371">
        <v>0</v>
      </c>
      <c r="E8371">
        <v>1</v>
      </c>
      <c r="F8371" s="7">
        <v>11946.93</v>
      </c>
      <c r="G8371">
        <v>0</v>
      </c>
      <c r="H8371" s="7">
        <v>0</v>
      </c>
    </row>
    <row r="8372" spans="1:8">
      <c r="A8372">
        <v>7</v>
      </c>
      <c r="B8372" t="s">
        <v>44</v>
      </c>
      <c r="C8372" t="s">
        <v>34</v>
      </c>
      <c r="D8372">
        <v>0</v>
      </c>
      <c r="E8372">
        <v>1</v>
      </c>
      <c r="F8372" s="7">
        <v>78749.2</v>
      </c>
      <c r="G8372">
        <v>0</v>
      </c>
      <c r="H8372" s="7">
        <v>0</v>
      </c>
    </row>
    <row r="8373" spans="1:8">
      <c r="A8373">
        <v>7</v>
      </c>
      <c r="B8373" t="s">
        <v>42</v>
      </c>
      <c r="C8373" t="s">
        <v>33</v>
      </c>
      <c r="D8373">
        <v>0</v>
      </c>
      <c r="E8373">
        <v>1</v>
      </c>
      <c r="F8373" s="7">
        <v>8350.49</v>
      </c>
      <c r="G8373">
        <v>0</v>
      </c>
      <c r="H8373" s="7">
        <v>0</v>
      </c>
    </row>
    <row r="8374" spans="1:8">
      <c r="A8374">
        <v>7</v>
      </c>
      <c r="B8374" t="s">
        <v>42</v>
      </c>
      <c r="C8374" t="s">
        <v>33</v>
      </c>
      <c r="D8374">
        <v>0</v>
      </c>
      <c r="E8374">
        <v>1</v>
      </c>
      <c r="F8374" s="7">
        <v>2388.79</v>
      </c>
      <c r="G8374">
        <v>0</v>
      </c>
      <c r="H8374" s="7">
        <v>0</v>
      </c>
    </row>
    <row r="8375" spans="1:8">
      <c r="A8375">
        <v>7</v>
      </c>
      <c r="B8375" t="s">
        <v>42</v>
      </c>
      <c r="C8375" t="s">
        <v>33</v>
      </c>
      <c r="D8375">
        <v>0</v>
      </c>
      <c r="E8375">
        <v>1</v>
      </c>
      <c r="F8375" s="7">
        <v>8475.28</v>
      </c>
      <c r="G8375">
        <v>0</v>
      </c>
      <c r="H8375" s="7">
        <v>0</v>
      </c>
    </row>
    <row r="8376" spans="1:8">
      <c r="A8376">
        <v>7</v>
      </c>
      <c r="B8376" t="s">
        <v>42</v>
      </c>
      <c r="C8376" t="s">
        <v>33</v>
      </c>
      <c r="D8376">
        <v>0</v>
      </c>
      <c r="E8376">
        <v>1</v>
      </c>
      <c r="F8376" s="7">
        <v>2359.89</v>
      </c>
      <c r="G8376">
        <v>0</v>
      </c>
      <c r="H8376" s="7">
        <v>0</v>
      </c>
    </row>
    <row r="8377" spans="1:8">
      <c r="A8377">
        <v>7</v>
      </c>
      <c r="B8377" t="s">
        <v>42</v>
      </c>
      <c r="C8377" t="s">
        <v>33</v>
      </c>
      <c r="D8377">
        <v>0</v>
      </c>
      <c r="E8377">
        <v>1</v>
      </c>
      <c r="F8377" s="7">
        <v>7201.17</v>
      </c>
      <c r="G8377">
        <v>0</v>
      </c>
      <c r="H8377" s="7">
        <v>0</v>
      </c>
    </row>
    <row r="8378" spans="1:8">
      <c r="A8378">
        <v>7</v>
      </c>
      <c r="B8378" t="s">
        <v>46</v>
      </c>
      <c r="C8378" t="s">
        <v>34</v>
      </c>
      <c r="D8378">
        <v>0</v>
      </c>
      <c r="E8378">
        <v>1</v>
      </c>
      <c r="F8378" s="7">
        <v>47599.58</v>
      </c>
      <c r="G8378">
        <v>0</v>
      </c>
      <c r="H8378" s="7">
        <v>0</v>
      </c>
    </row>
    <row r="8379" spans="1:8">
      <c r="A8379">
        <v>7</v>
      </c>
      <c r="B8379" t="s">
        <v>42</v>
      </c>
      <c r="C8379" t="s">
        <v>34</v>
      </c>
      <c r="D8379">
        <v>0</v>
      </c>
      <c r="E8379">
        <v>1</v>
      </c>
      <c r="F8379" s="7">
        <v>17125.12</v>
      </c>
      <c r="G8379">
        <v>0</v>
      </c>
      <c r="H8379" s="7">
        <v>0</v>
      </c>
    </row>
    <row r="8380" spans="1:8">
      <c r="A8380">
        <v>7</v>
      </c>
      <c r="B8380" t="s">
        <v>42</v>
      </c>
      <c r="C8380" t="s">
        <v>34</v>
      </c>
      <c r="D8380">
        <v>0</v>
      </c>
      <c r="E8380">
        <v>1</v>
      </c>
      <c r="F8380" s="7">
        <v>16981.52</v>
      </c>
      <c r="G8380">
        <v>0</v>
      </c>
      <c r="H8380" s="7">
        <v>0</v>
      </c>
    </row>
    <row r="8381" spans="1:8">
      <c r="A8381">
        <v>7</v>
      </c>
      <c r="B8381" t="s">
        <v>42</v>
      </c>
      <c r="C8381" t="s">
        <v>33</v>
      </c>
      <c r="D8381">
        <v>0</v>
      </c>
      <c r="E8381">
        <v>1</v>
      </c>
      <c r="F8381" s="7">
        <v>2367.97</v>
      </c>
      <c r="G8381">
        <v>0</v>
      </c>
      <c r="H8381" s="7">
        <v>0</v>
      </c>
    </row>
    <row r="8382" spans="1:8">
      <c r="A8382">
        <v>7</v>
      </c>
      <c r="B8382" t="s">
        <v>42</v>
      </c>
      <c r="C8382" t="s">
        <v>33</v>
      </c>
      <c r="D8382">
        <v>0</v>
      </c>
      <c r="E8382">
        <v>1</v>
      </c>
      <c r="F8382" s="7">
        <v>1698.43</v>
      </c>
      <c r="G8382">
        <v>0</v>
      </c>
      <c r="H8382" s="7">
        <v>0</v>
      </c>
    </row>
    <row r="8383" spans="1:8">
      <c r="A8383">
        <v>7</v>
      </c>
      <c r="B8383" t="s">
        <v>42</v>
      </c>
      <c r="C8383" t="s">
        <v>33</v>
      </c>
      <c r="D8383">
        <v>0</v>
      </c>
      <c r="E8383">
        <v>1</v>
      </c>
      <c r="F8383" s="7">
        <v>3149.64</v>
      </c>
      <c r="G8383">
        <v>0</v>
      </c>
      <c r="H8383" s="7">
        <v>0</v>
      </c>
    </row>
    <row r="8384" spans="1:8">
      <c r="A8384">
        <v>7</v>
      </c>
      <c r="B8384" t="s">
        <v>46</v>
      </c>
      <c r="C8384" t="s">
        <v>35</v>
      </c>
      <c r="D8384">
        <v>0</v>
      </c>
      <c r="E8384">
        <v>1</v>
      </c>
      <c r="F8384" s="7">
        <v>168865.24</v>
      </c>
      <c r="G8384">
        <v>0</v>
      </c>
      <c r="H8384" s="7">
        <v>0</v>
      </c>
    </row>
    <row r="8385" spans="1:8">
      <c r="A8385">
        <v>7</v>
      </c>
      <c r="B8385" t="s">
        <v>46</v>
      </c>
      <c r="C8385" t="s">
        <v>34</v>
      </c>
      <c r="D8385">
        <v>0</v>
      </c>
      <c r="E8385">
        <v>1</v>
      </c>
      <c r="F8385" s="7">
        <v>42273.58</v>
      </c>
      <c r="G8385">
        <v>0</v>
      </c>
      <c r="H8385" s="7">
        <v>0</v>
      </c>
    </row>
    <row r="8386" spans="1:8">
      <c r="A8386">
        <v>7</v>
      </c>
      <c r="B8386" t="s">
        <v>46</v>
      </c>
      <c r="C8386" t="s">
        <v>35</v>
      </c>
      <c r="D8386">
        <v>0</v>
      </c>
      <c r="E8386">
        <v>1</v>
      </c>
      <c r="F8386" s="7">
        <v>230553.47</v>
      </c>
      <c r="G8386">
        <v>0</v>
      </c>
      <c r="H8386" s="7">
        <v>0</v>
      </c>
    </row>
    <row r="8387" spans="1:8">
      <c r="A8387">
        <v>7</v>
      </c>
      <c r="B8387" t="s">
        <v>46</v>
      </c>
      <c r="C8387" t="s">
        <v>35</v>
      </c>
      <c r="D8387">
        <v>0</v>
      </c>
      <c r="E8387">
        <v>1</v>
      </c>
      <c r="F8387" s="7">
        <v>373377.64</v>
      </c>
      <c r="G8387">
        <v>0</v>
      </c>
      <c r="H8387" s="7">
        <v>0</v>
      </c>
    </row>
    <row r="8388" spans="1:8">
      <c r="A8388">
        <v>7</v>
      </c>
      <c r="B8388" t="s">
        <v>46</v>
      </c>
      <c r="C8388" t="s">
        <v>34</v>
      </c>
      <c r="D8388">
        <v>0</v>
      </c>
      <c r="E8388">
        <v>1</v>
      </c>
      <c r="F8388" s="7">
        <v>16589.84</v>
      </c>
      <c r="G8388">
        <v>0</v>
      </c>
      <c r="H8388" s="7">
        <v>0</v>
      </c>
    </row>
    <row r="8389" spans="1:8">
      <c r="A8389">
        <v>7</v>
      </c>
      <c r="B8389" t="s">
        <v>46</v>
      </c>
      <c r="C8389" t="s">
        <v>35</v>
      </c>
      <c r="D8389">
        <v>0</v>
      </c>
      <c r="E8389">
        <v>1</v>
      </c>
      <c r="F8389" s="7">
        <v>391107.94</v>
      </c>
      <c r="G8389">
        <v>0</v>
      </c>
      <c r="H8389" s="7">
        <v>0</v>
      </c>
    </row>
    <row r="8390" spans="1:8">
      <c r="A8390">
        <v>7</v>
      </c>
      <c r="B8390" t="s">
        <v>46</v>
      </c>
      <c r="C8390" t="s">
        <v>35</v>
      </c>
      <c r="D8390">
        <v>0</v>
      </c>
      <c r="E8390">
        <v>1</v>
      </c>
      <c r="F8390" s="7">
        <v>198259.74</v>
      </c>
      <c r="G8390">
        <v>0</v>
      </c>
      <c r="H8390" s="7">
        <v>0</v>
      </c>
    </row>
    <row r="8391" spans="1:8">
      <c r="A8391">
        <v>7</v>
      </c>
      <c r="B8391" t="s">
        <v>46</v>
      </c>
      <c r="C8391" t="s">
        <v>35</v>
      </c>
      <c r="D8391">
        <v>0</v>
      </c>
      <c r="E8391">
        <v>1</v>
      </c>
      <c r="F8391" s="7">
        <v>383903.55</v>
      </c>
      <c r="G8391">
        <v>0</v>
      </c>
      <c r="H8391" s="7">
        <v>0</v>
      </c>
    </row>
    <row r="8392" spans="1:8">
      <c r="A8392">
        <v>7</v>
      </c>
      <c r="B8392" t="s">
        <v>46</v>
      </c>
      <c r="C8392" t="s">
        <v>35</v>
      </c>
      <c r="D8392">
        <v>0</v>
      </c>
      <c r="E8392">
        <v>1</v>
      </c>
      <c r="F8392" s="7">
        <v>168494.53</v>
      </c>
      <c r="G8392">
        <v>0</v>
      </c>
      <c r="H8392" s="7">
        <v>0</v>
      </c>
    </row>
    <row r="8393" spans="1:8">
      <c r="A8393">
        <v>7</v>
      </c>
      <c r="B8393" t="s">
        <v>46</v>
      </c>
      <c r="C8393" t="s">
        <v>33</v>
      </c>
      <c r="D8393">
        <v>0</v>
      </c>
      <c r="E8393">
        <v>1</v>
      </c>
      <c r="F8393" s="7">
        <v>9258.63</v>
      </c>
      <c r="G8393">
        <v>0</v>
      </c>
      <c r="H8393" s="7">
        <v>0</v>
      </c>
    </row>
    <row r="8394" spans="1:8">
      <c r="A8394">
        <v>7</v>
      </c>
      <c r="B8394" t="s">
        <v>46</v>
      </c>
      <c r="C8394" t="s">
        <v>35</v>
      </c>
      <c r="D8394">
        <v>0</v>
      </c>
      <c r="E8394">
        <v>1</v>
      </c>
      <c r="F8394" s="7">
        <v>157949.14</v>
      </c>
      <c r="G8394">
        <v>0</v>
      </c>
      <c r="H8394" s="7">
        <v>0</v>
      </c>
    </row>
    <row r="8395" spans="1:8">
      <c r="A8395">
        <v>7</v>
      </c>
      <c r="B8395" t="s">
        <v>46</v>
      </c>
      <c r="C8395" t="s">
        <v>34</v>
      </c>
      <c r="D8395">
        <v>0</v>
      </c>
      <c r="E8395">
        <v>1</v>
      </c>
      <c r="F8395" s="7">
        <v>73821.85</v>
      </c>
      <c r="G8395">
        <v>0</v>
      </c>
      <c r="H8395" s="7">
        <v>0</v>
      </c>
    </row>
    <row r="8396" spans="1:8">
      <c r="A8396">
        <v>7</v>
      </c>
      <c r="B8396" t="s">
        <v>46</v>
      </c>
      <c r="C8396" t="s">
        <v>35</v>
      </c>
      <c r="D8396">
        <v>0</v>
      </c>
      <c r="E8396">
        <v>1</v>
      </c>
      <c r="F8396" s="7">
        <v>109184.86</v>
      </c>
      <c r="G8396">
        <v>0</v>
      </c>
      <c r="H8396" s="7">
        <v>0</v>
      </c>
    </row>
    <row r="8397" spans="1:8">
      <c r="A8397">
        <v>7</v>
      </c>
      <c r="B8397" t="s">
        <v>46</v>
      </c>
      <c r="C8397" t="s">
        <v>35</v>
      </c>
      <c r="D8397">
        <v>0</v>
      </c>
      <c r="E8397">
        <v>1</v>
      </c>
      <c r="F8397" s="7">
        <v>187907.16</v>
      </c>
      <c r="G8397">
        <v>0</v>
      </c>
      <c r="H8397" s="7">
        <v>0</v>
      </c>
    </row>
    <row r="8398" spans="1:8">
      <c r="A8398">
        <v>7</v>
      </c>
      <c r="B8398" t="s">
        <v>46</v>
      </c>
      <c r="C8398" t="s">
        <v>34</v>
      </c>
      <c r="D8398">
        <v>0</v>
      </c>
      <c r="E8398">
        <v>1</v>
      </c>
      <c r="F8398" s="7">
        <v>93809.09</v>
      </c>
      <c r="G8398">
        <v>0</v>
      </c>
      <c r="H8398" s="7">
        <v>0</v>
      </c>
    </row>
    <row r="8399" spans="1:8">
      <c r="A8399">
        <v>7</v>
      </c>
      <c r="B8399" t="s">
        <v>46</v>
      </c>
      <c r="C8399" t="s">
        <v>34</v>
      </c>
      <c r="D8399">
        <v>0</v>
      </c>
      <c r="E8399">
        <v>1</v>
      </c>
      <c r="F8399" s="7">
        <v>56895.69</v>
      </c>
      <c r="G8399">
        <v>0</v>
      </c>
      <c r="H8399" s="7">
        <v>0</v>
      </c>
    </row>
    <row r="8400" spans="1:8">
      <c r="A8400">
        <v>7</v>
      </c>
      <c r="B8400" t="s">
        <v>46</v>
      </c>
      <c r="C8400" t="s">
        <v>35</v>
      </c>
      <c r="D8400">
        <v>0</v>
      </c>
      <c r="E8400">
        <v>1</v>
      </c>
      <c r="F8400" s="7">
        <v>171845.69</v>
      </c>
      <c r="G8400">
        <v>0</v>
      </c>
      <c r="H8400" s="7">
        <v>0</v>
      </c>
    </row>
    <row r="8401" spans="1:8">
      <c r="A8401">
        <v>7</v>
      </c>
      <c r="B8401" t="s">
        <v>46</v>
      </c>
      <c r="C8401" t="s">
        <v>35</v>
      </c>
      <c r="D8401">
        <v>0</v>
      </c>
      <c r="E8401">
        <v>1</v>
      </c>
      <c r="F8401" s="7">
        <v>648692.12</v>
      </c>
      <c r="G8401">
        <v>0</v>
      </c>
      <c r="H8401" s="7">
        <v>0</v>
      </c>
    </row>
    <row r="8402" spans="1:8">
      <c r="A8402">
        <v>7</v>
      </c>
      <c r="B8402" t="s">
        <v>46</v>
      </c>
      <c r="C8402" t="s">
        <v>34</v>
      </c>
      <c r="D8402">
        <v>0</v>
      </c>
      <c r="E8402">
        <v>1</v>
      </c>
      <c r="F8402" s="7">
        <v>29910.72</v>
      </c>
      <c r="G8402">
        <v>0</v>
      </c>
      <c r="H8402" s="7">
        <v>0</v>
      </c>
    </row>
    <row r="8403" spans="1:8">
      <c r="A8403">
        <v>7</v>
      </c>
      <c r="B8403" t="s">
        <v>46</v>
      </c>
      <c r="C8403" t="s">
        <v>34</v>
      </c>
      <c r="D8403">
        <v>0</v>
      </c>
      <c r="E8403">
        <v>1</v>
      </c>
      <c r="F8403" s="7">
        <v>69916.1</v>
      </c>
      <c r="G8403">
        <v>0</v>
      </c>
      <c r="H8403" s="7">
        <v>0</v>
      </c>
    </row>
    <row r="8404" spans="1:8">
      <c r="A8404">
        <v>7</v>
      </c>
      <c r="B8404" t="s">
        <v>46</v>
      </c>
      <c r="C8404" t="s">
        <v>34</v>
      </c>
      <c r="D8404">
        <v>0</v>
      </c>
      <c r="E8404">
        <v>1</v>
      </c>
      <c r="F8404" s="7">
        <v>21599.4</v>
      </c>
      <c r="G8404">
        <v>0</v>
      </c>
      <c r="H8404" s="7">
        <v>0</v>
      </c>
    </row>
    <row r="8405" spans="1:8">
      <c r="A8405">
        <v>7</v>
      </c>
      <c r="B8405" t="s">
        <v>46</v>
      </c>
      <c r="C8405" t="s">
        <v>34</v>
      </c>
      <c r="D8405">
        <v>0</v>
      </c>
      <c r="E8405">
        <v>1</v>
      </c>
      <c r="F8405" s="7">
        <v>37048.22</v>
      </c>
      <c r="G8405">
        <v>0</v>
      </c>
      <c r="H8405" s="7">
        <v>0</v>
      </c>
    </row>
    <row r="8406" spans="1:8">
      <c r="A8406">
        <v>7</v>
      </c>
      <c r="B8406" t="s">
        <v>46</v>
      </c>
      <c r="C8406" t="s">
        <v>34</v>
      </c>
      <c r="D8406">
        <v>0</v>
      </c>
      <c r="E8406">
        <v>1</v>
      </c>
      <c r="F8406" s="7">
        <v>89141.18</v>
      </c>
      <c r="G8406">
        <v>0</v>
      </c>
      <c r="H8406" s="7">
        <v>0</v>
      </c>
    </row>
    <row r="8407" spans="1:8">
      <c r="A8407">
        <v>7</v>
      </c>
      <c r="B8407" t="s">
        <v>46</v>
      </c>
      <c r="C8407" t="s">
        <v>34</v>
      </c>
      <c r="D8407">
        <v>0</v>
      </c>
      <c r="E8407">
        <v>1</v>
      </c>
      <c r="F8407" s="7">
        <v>41303.17</v>
      </c>
      <c r="G8407">
        <v>0</v>
      </c>
      <c r="H8407" s="7">
        <v>0</v>
      </c>
    </row>
    <row r="8408" spans="1:8">
      <c r="A8408">
        <v>7</v>
      </c>
      <c r="B8408" t="s">
        <v>46</v>
      </c>
      <c r="C8408" t="s">
        <v>35</v>
      </c>
      <c r="D8408">
        <v>0</v>
      </c>
      <c r="E8408">
        <v>1</v>
      </c>
      <c r="F8408" s="7">
        <v>123226.55</v>
      </c>
      <c r="G8408">
        <v>0</v>
      </c>
      <c r="H8408" s="7">
        <v>0</v>
      </c>
    </row>
    <row r="8409" spans="1:8">
      <c r="A8409">
        <v>7</v>
      </c>
      <c r="B8409" t="s">
        <v>46</v>
      </c>
      <c r="C8409" t="s">
        <v>34</v>
      </c>
      <c r="D8409">
        <v>0</v>
      </c>
      <c r="E8409">
        <v>1</v>
      </c>
      <c r="F8409" s="7">
        <v>16220.42</v>
      </c>
      <c r="G8409">
        <v>0</v>
      </c>
      <c r="H8409" s="7">
        <v>0</v>
      </c>
    </row>
    <row r="8410" spans="1:8">
      <c r="A8410">
        <v>7</v>
      </c>
      <c r="B8410" t="s">
        <v>46</v>
      </c>
      <c r="C8410" t="s">
        <v>34</v>
      </c>
      <c r="D8410">
        <v>0</v>
      </c>
      <c r="E8410">
        <v>1</v>
      </c>
      <c r="F8410" s="7">
        <v>85410.75</v>
      </c>
      <c r="G8410">
        <v>0</v>
      </c>
      <c r="H8410" s="7">
        <v>0</v>
      </c>
    </row>
    <row r="8411" spans="1:8">
      <c r="A8411">
        <v>7</v>
      </c>
      <c r="B8411" t="s">
        <v>46</v>
      </c>
      <c r="C8411" t="s">
        <v>35</v>
      </c>
      <c r="D8411">
        <v>0</v>
      </c>
      <c r="E8411">
        <v>1</v>
      </c>
      <c r="F8411" s="7">
        <v>200247.34</v>
      </c>
      <c r="G8411">
        <v>0</v>
      </c>
      <c r="H8411" s="7">
        <v>0</v>
      </c>
    </row>
    <row r="8412" spans="1:8">
      <c r="A8412">
        <v>7</v>
      </c>
      <c r="B8412" t="s">
        <v>46</v>
      </c>
      <c r="C8412" t="s">
        <v>35</v>
      </c>
      <c r="D8412">
        <v>0</v>
      </c>
      <c r="E8412">
        <v>1</v>
      </c>
      <c r="F8412" s="7">
        <v>170483.99</v>
      </c>
      <c r="G8412">
        <v>0</v>
      </c>
      <c r="H8412" s="7">
        <v>0</v>
      </c>
    </row>
    <row r="8413" spans="1:8">
      <c r="A8413">
        <v>7</v>
      </c>
      <c r="B8413" t="s">
        <v>46</v>
      </c>
      <c r="C8413" t="s">
        <v>35</v>
      </c>
      <c r="D8413">
        <v>0</v>
      </c>
      <c r="E8413">
        <v>1</v>
      </c>
      <c r="F8413" s="7">
        <v>111147.63</v>
      </c>
      <c r="G8413">
        <v>0</v>
      </c>
      <c r="H8413" s="7">
        <v>0</v>
      </c>
    </row>
    <row r="8414" spans="1:8">
      <c r="A8414">
        <v>7</v>
      </c>
      <c r="B8414" t="s">
        <v>46</v>
      </c>
      <c r="C8414" t="s">
        <v>35</v>
      </c>
      <c r="D8414">
        <v>0</v>
      </c>
      <c r="E8414">
        <v>1</v>
      </c>
      <c r="F8414" s="7">
        <v>111324.2</v>
      </c>
      <c r="G8414">
        <v>0</v>
      </c>
      <c r="H8414" s="7">
        <v>0</v>
      </c>
    </row>
    <row r="8415" spans="1:8">
      <c r="A8415">
        <v>7</v>
      </c>
      <c r="B8415" t="s">
        <v>46</v>
      </c>
      <c r="C8415" t="s">
        <v>34</v>
      </c>
      <c r="D8415">
        <v>0</v>
      </c>
      <c r="E8415">
        <v>1</v>
      </c>
      <c r="F8415" s="7">
        <v>65228.2</v>
      </c>
      <c r="G8415">
        <v>0</v>
      </c>
      <c r="H8415" s="7">
        <v>0</v>
      </c>
    </row>
    <row r="8416" spans="1:8">
      <c r="A8416">
        <v>7</v>
      </c>
      <c r="B8416" t="s">
        <v>46</v>
      </c>
      <c r="C8416" t="s">
        <v>35</v>
      </c>
      <c r="D8416">
        <v>0</v>
      </c>
      <c r="E8416">
        <v>1</v>
      </c>
      <c r="F8416" s="7">
        <v>117158.12</v>
      </c>
      <c r="G8416">
        <v>0</v>
      </c>
      <c r="H8416" s="7">
        <v>0</v>
      </c>
    </row>
    <row r="8417" spans="1:8">
      <c r="A8417">
        <v>7</v>
      </c>
      <c r="B8417" t="s">
        <v>46</v>
      </c>
      <c r="C8417" t="s">
        <v>35</v>
      </c>
      <c r="D8417">
        <v>0</v>
      </c>
      <c r="E8417">
        <v>1</v>
      </c>
      <c r="F8417" s="7">
        <v>107086.8</v>
      </c>
      <c r="G8417">
        <v>0</v>
      </c>
      <c r="H8417" s="7">
        <v>0</v>
      </c>
    </row>
    <row r="8418" spans="1:8">
      <c r="A8418">
        <v>7</v>
      </c>
      <c r="B8418" t="s">
        <v>46</v>
      </c>
      <c r="C8418" t="s">
        <v>34</v>
      </c>
      <c r="D8418">
        <v>0</v>
      </c>
      <c r="E8418">
        <v>1</v>
      </c>
      <c r="F8418" s="7">
        <v>87046.13</v>
      </c>
      <c r="G8418">
        <v>0</v>
      </c>
      <c r="H8418" s="7">
        <v>0</v>
      </c>
    </row>
    <row r="8419" spans="1:8">
      <c r="A8419">
        <v>7</v>
      </c>
      <c r="B8419" t="s">
        <v>46</v>
      </c>
      <c r="C8419" t="s">
        <v>35</v>
      </c>
      <c r="D8419">
        <v>0</v>
      </c>
      <c r="E8419">
        <v>1</v>
      </c>
      <c r="F8419" s="7">
        <v>273252.15</v>
      </c>
      <c r="G8419">
        <v>0</v>
      </c>
      <c r="H8419" s="7">
        <v>0</v>
      </c>
    </row>
    <row r="8420" spans="1:8">
      <c r="A8420">
        <v>7</v>
      </c>
      <c r="B8420" t="s">
        <v>46</v>
      </c>
      <c r="C8420" t="s">
        <v>34</v>
      </c>
      <c r="D8420">
        <v>0</v>
      </c>
      <c r="E8420">
        <v>1</v>
      </c>
      <c r="F8420" s="7">
        <v>25300.21</v>
      </c>
      <c r="G8420">
        <v>0</v>
      </c>
      <c r="H8420" s="7">
        <v>0</v>
      </c>
    </row>
    <row r="8421" spans="1:8">
      <c r="A8421">
        <v>7</v>
      </c>
      <c r="B8421" t="s">
        <v>46</v>
      </c>
      <c r="C8421" t="s">
        <v>35</v>
      </c>
      <c r="D8421">
        <v>0</v>
      </c>
      <c r="E8421">
        <v>1</v>
      </c>
      <c r="F8421" s="7">
        <v>227301.31</v>
      </c>
      <c r="G8421">
        <v>0</v>
      </c>
      <c r="H8421" s="7">
        <v>0</v>
      </c>
    </row>
    <row r="8422" spans="1:8">
      <c r="A8422">
        <v>7</v>
      </c>
      <c r="B8422" t="s">
        <v>46</v>
      </c>
      <c r="C8422" t="s">
        <v>35</v>
      </c>
      <c r="D8422">
        <v>0</v>
      </c>
      <c r="E8422">
        <v>1</v>
      </c>
      <c r="F8422" s="7">
        <v>157778.57</v>
      </c>
      <c r="G8422">
        <v>0</v>
      </c>
      <c r="H8422" s="7">
        <v>0</v>
      </c>
    </row>
    <row r="8423" spans="1:8">
      <c r="A8423">
        <v>7</v>
      </c>
      <c r="B8423" t="s">
        <v>46</v>
      </c>
      <c r="C8423" t="s">
        <v>35</v>
      </c>
      <c r="D8423">
        <v>0</v>
      </c>
      <c r="E8423">
        <v>1</v>
      </c>
      <c r="F8423" s="7">
        <v>149708.54</v>
      </c>
      <c r="G8423">
        <v>0</v>
      </c>
      <c r="H8423" s="7">
        <v>0</v>
      </c>
    </row>
    <row r="8424" spans="1:8">
      <c r="A8424">
        <v>7</v>
      </c>
      <c r="B8424" t="s">
        <v>46</v>
      </c>
      <c r="C8424" t="s">
        <v>34</v>
      </c>
      <c r="D8424">
        <v>0</v>
      </c>
      <c r="E8424">
        <v>1</v>
      </c>
      <c r="F8424" s="7">
        <v>22880.85</v>
      </c>
      <c r="G8424">
        <v>0</v>
      </c>
      <c r="H8424" s="7">
        <v>0</v>
      </c>
    </row>
    <row r="8425" spans="1:8">
      <c r="A8425">
        <v>7</v>
      </c>
      <c r="B8425" t="s">
        <v>46</v>
      </c>
      <c r="C8425" t="s">
        <v>34</v>
      </c>
      <c r="D8425">
        <v>0</v>
      </c>
      <c r="E8425">
        <v>1</v>
      </c>
      <c r="F8425" s="7">
        <v>47019.01</v>
      </c>
      <c r="G8425">
        <v>0</v>
      </c>
      <c r="H8425" s="7">
        <v>0</v>
      </c>
    </row>
    <row r="8426" spans="1:8">
      <c r="A8426">
        <v>7</v>
      </c>
      <c r="B8426" t="s">
        <v>46</v>
      </c>
      <c r="C8426" t="s">
        <v>34</v>
      </c>
      <c r="D8426">
        <v>0</v>
      </c>
      <c r="E8426">
        <v>1</v>
      </c>
      <c r="F8426" s="7">
        <v>10210.72</v>
      </c>
      <c r="G8426">
        <v>0</v>
      </c>
      <c r="H8426" s="7">
        <v>0</v>
      </c>
    </row>
    <row r="8427" spans="1:8">
      <c r="A8427">
        <v>7</v>
      </c>
      <c r="B8427" t="s">
        <v>46</v>
      </c>
      <c r="C8427" t="s">
        <v>35</v>
      </c>
      <c r="D8427">
        <v>0</v>
      </c>
      <c r="E8427">
        <v>1</v>
      </c>
      <c r="F8427" s="7">
        <v>159219.3</v>
      </c>
      <c r="G8427">
        <v>0</v>
      </c>
      <c r="H8427" s="7">
        <v>0</v>
      </c>
    </row>
    <row r="8428" spans="1:8">
      <c r="A8428">
        <v>7</v>
      </c>
      <c r="B8428" t="s">
        <v>46</v>
      </c>
      <c r="C8428" t="s">
        <v>34</v>
      </c>
      <c r="D8428">
        <v>0</v>
      </c>
      <c r="E8428">
        <v>1</v>
      </c>
      <c r="F8428" s="7">
        <v>43573.75</v>
      </c>
      <c r="G8428">
        <v>0</v>
      </c>
      <c r="H8428" s="7">
        <v>0</v>
      </c>
    </row>
    <row r="8429" spans="1:8">
      <c r="A8429">
        <v>7</v>
      </c>
      <c r="B8429" t="s">
        <v>46</v>
      </c>
      <c r="C8429" t="s">
        <v>35</v>
      </c>
      <c r="D8429">
        <v>0</v>
      </c>
      <c r="E8429">
        <v>1</v>
      </c>
      <c r="F8429" s="7">
        <v>138323.26</v>
      </c>
      <c r="G8429">
        <v>0</v>
      </c>
      <c r="H8429" s="7">
        <v>0</v>
      </c>
    </row>
    <row r="8430" spans="1:8">
      <c r="A8430">
        <v>7</v>
      </c>
      <c r="B8430" t="s">
        <v>46</v>
      </c>
      <c r="C8430" t="s">
        <v>34</v>
      </c>
      <c r="D8430">
        <v>0</v>
      </c>
      <c r="E8430">
        <v>1</v>
      </c>
      <c r="F8430" s="7">
        <v>87674.24</v>
      </c>
      <c r="G8430">
        <v>0</v>
      </c>
      <c r="H8430" s="7">
        <v>0</v>
      </c>
    </row>
    <row r="8431" spans="1:8">
      <c r="A8431">
        <v>7</v>
      </c>
      <c r="B8431" t="s">
        <v>46</v>
      </c>
      <c r="C8431" t="s">
        <v>35</v>
      </c>
      <c r="D8431">
        <v>0</v>
      </c>
      <c r="E8431">
        <v>1</v>
      </c>
      <c r="F8431" s="7">
        <v>210269.66</v>
      </c>
      <c r="G8431">
        <v>0</v>
      </c>
      <c r="H8431" s="7">
        <v>0</v>
      </c>
    </row>
    <row r="8432" spans="1:8">
      <c r="A8432">
        <v>7</v>
      </c>
      <c r="B8432" t="s">
        <v>46</v>
      </c>
      <c r="C8432" t="s">
        <v>34</v>
      </c>
      <c r="D8432">
        <v>0</v>
      </c>
      <c r="E8432">
        <v>1</v>
      </c>
      <c r="F8432" s="7">
        <v>89913.16</v>
      </c>
      <c r="G8432">
        <v>0</v>
      </c>
      <c r="H8432" s="7">
        <v>0</v>
      </c>
    </row>
    <row r="8433" spans="1:8">
      <c r="A8433">
        <v>7</v>
      </c>
      <c r="B8433" t="s">
        <v>43</v>
      </c>
      <c r="C8433" t="s">
        <v>35</v>
      </c>
      <c r="D8433">
        <v>0</v>
      </c>
      <c r="E8433">
        <v>1</v>
      </c>
      <c r="F8433" s="7">
        <v>359325.17</v>
      </c>
      <c r="G8433">
        <v>0</v>
      </c>
      <c r="H8433" s="7">
        <v>0</v>
      </c>
    </row>
    <row r="8434" spans="1:8">
      <c r="A8434">
        <v>7</v>
      </c>
      <c r="B8434" t="s">
        <v>42</v>
      </c>
      <c r="C8434" t="s">
        <v>33</v>
      </c>
      <c r="D8434">
        <v>0</v>
      </c>
      <c r="E8434">
        <v>1</v>
      </c>
      <c r="F8434" s="7">
        <v>8290.76</v>
      </c>
      <c r="G8434">
        <v>0</v>
      </c>
      <c r="H8434" s="7">
        <v>0</v>
      </c>
    </row>
    <row r="8435" spans="1:8">
      <c r="A8435">
        <v>7</v>
      </c>
      <c r="B8435" t="s">
        <v>42</v>
      </c>
      <c r="C8435" t="s">
        <v>33</v>
      </c>
      <c r="D8435">
        <v>0</v>
      </c>
      <c r="E8435">
        <v>1</v>
      </c>
      <c r="F8435" s="7">
        <v>2253.07</v>
      </c>
      <c r="G8435">
        <v>0</v>
      </c>
      <c r="H8435" s="7">
        <v>0</v>
      </c>
    </row>
    <row r="8436" spans="1:8">
      <c r="A8436">
        <v>7</v>
      </c>
      <c r="B8436" t="s">
        <v>42</v>
      </c>
      <c r="C8436" t="s">
        <v>33</v>
      </c>
      <c r="D8436">
        <v>0</v>
      </c>
      <c r="E8436">
        <v>1</v>
      </c>
      <c r="F8436" s="7">
        <v>3262.18</v>
      </c>
      <c r="G8436">
        <v>0</v>
      </c>
      <c r="H8436" s="7">
        <v>0</v>
      </c>
    </row>
    <row r="8437" spans="1:8">
      <c r="A8437">
        <v>7</v>
      </c>
      <c r="B8437" t="s">
        <v>42</v>
      </c>
      <c r="C8437" t="s">
        <v>33</v>
      </c>
      <c r="D8437">
        <v>0</v>
      </c>
      <c r="E8437">
        <v>1</v>
      </c>
      <c r="F8437" s="7">
        <v>3830.42</v>
      </c>
      <c r="G8437">
        <v>0</v>
      </c>
      <c r="H8437" s="7">
        <v>0</v>
      </c>
    </row>
    <row r="8438" spans="1:8">
      <c r="A8438">
        <v>7</v>
      </c>
      <c r="B8438" t="s">
        <v>42</v>
      </c>
      <c r="C8438" t="s">
        <v>34</v>
      </c>
      <c r="D8438">
        <v>0</v>
      </c>
      <c r="E8438">
        <v>1</v>
      </c>
      <c r="F8438" s="7">
        <v>19203.29</v>
      </c>
      <c r="G8438">
        <v>0</v>
      </c>
      <c r="H8438" s="7">
        <v>0</v>
      </c>
    </row>
    <row r="8439" spans="1:8">
      <c r="A8439">
        <v>7</v>
      </c>
      <c r="B8439" t="s">
        <v>42</v>
      </c>
      <c r="C8439" t="s">
        <v>32</v>
      </c>
      <c r="D8439">
        <v>0</v>
      </c>
      <c r="E8439">
        <v>1</v>
      </c>
      <c r="F8439" s="7">
        <v>54.35</v>
      </c>
      <c r="G8439">
        <v>0</v>
      </c>
      <c r="H8439" s="7">
        <v>0</v>
      </c>
    </row>
    <row r="8440" spans="1:8">
      <c r="A8440">
        <v>7</v>
      </c>
      <c r="B8440" t="s">
        <v>42</v>
      </c>
      <c r="C8440" t="s">
        <v>33</v>
      </c>
      <c r="D8440">
        <v>0</v>
      </c>
      <c r="E8440">
        <v>1</v>
      </c>
      <c r="F8440" s="7">
        <v>9177.19</v>
      </c>
      <c r="G8440">
        <v>0</v>
      </c>
      <c r="H8440" s="7">
        <v>0</v>
      </c>
    </row>
    <row r="8441" spans="1:8">
      <c r="A8441">
        <v>7</v>
      </c>
      <c r="B8441" t="s">
        <v>43</v>
      </c>
      <c r="C8441" t="s">
        <v>35</v>
      </c>
      <c r="D8441">
        <v>0</v>
      </c>
      <c r="E8441">
        <v>1</v>
      </c>
      <c r="F8441" s="7">
        <v>126588.51</v>
      </c>
      <c r="G8441">
        <v>0</v>
      </c>
      <c r="H8441" s="7">
        <v>0</v>
      </c>
    </row>
    <row r="8442" spans="1:8">
      <c r="A8442">
        <v>7</v>
      </c>
      <c r="B8442" t="s">
        <v>42</v>
      </c>
      <c r="C8442" t="s">
        <v>33</v>
      </c>
      <c r="D8442">
        <v>0</v>
      </c>
      <c r="E8442">
        <v>1</v>
      </c>
      <c r="F8442" s="7">
        <v>8251.18</v>
      </c>
      <c r="G8442">
        <v>0</v>
      </c>
      <c r="H8442" s="7">
        <v>0</v>
      </c>
    </row>
    <row r="8443" spans="1:8">
      <c r="A8443">
        <v>7</v>
      </c>
      <c r="B8443" t="s">
        <v>43</v>
      </c>
      <c r="C8443" t="s">
        <v>35</v>
      </c>
      <c r="D8443">
        <v>0</v>
      </c>
      <c r="E8443">
        <v>1</v>
      </c>
      <c r="F8443" s="7">
        <v>253181.89</v>
      </c>
      <c r="G8443">
        <v>0</v>
      </c>
      <c r="H8443" s="7">
        <v>0</v>
      </c>
    </row>
    <row r="8444" spans="1:8">
      <c r="A8444">
        <v>7</v>
      </c>
      <c r="B8444" t="s">
        <v>44</v>
      </c>
      <c r="C8444" t="s">
        <v>34</v>
      </c>
      <c r="D8444">
        <v>0</v>
      </c>
      <c r="E8444">
        <v>1</v>
      </c>
      <c r="F8444" s="7">
        <v>11461.85</v>
      </c>
      <c r="G8444">
        <v>0</v>
      </c>
      <c r="H8444" s="7">
        <v>0</v>
      </c>
    </row>
    <row r="8445" spans="1:8">
      <c r="A8445">
        <v>7</v>
      </c>
      <c r="B8445" t="s">
        <v>42</v>
      </c>
      <c r="C8445" t="s">
        <v>33</v>
      </c>
      <c r="D8445">
        <v>0</v>
      </c>
      <c r="E8445">
        <v>1</v>
      </c>
      <c r="F8445" s="7">
        <v>2533.81</v>
      </c>
      <c r="G8445">
        <v>0</v>
      </c>
      <c r="H8445" s="7">
        <v>0</v>
      </c>
    </row>
    <row r="8446" spans="1:8">
      <c r="A8446">
        <v>7</v>
      </c>
      <c r="B8446" t="s">
        <v>44</v>
      </c>
      <c r="C8446" t="s">
        <v>34</v>
      </c>
      <c r="D8446">
        <v>0</v>
      </c>
      <c r="E8446">
        <v>1</v>
      </c>
      <c r="F8446" s="7">
        <v>45311.22</v>
      </c>
      <c r="G8446">
        <v>0</v>
      </c>
      <c r="H8446" s="7">
        <v>0</v>
      </c>
    </row>
    <row r="8447" spans="1:8">
      <c r="A8447">
        <v>7</v>
      </c>
      <c r="B8447" t="s">
        <v>45</v>
      </c>
      <c r="C8447" t="s">
        <v>33</v>
      </c>
      <c r="D8447">
        <v>0</v>
      </c>
      <c r="E8447">
        <v>1</v>
      </c>
      <c r="F8447" s="7">
        <v>1970.73</v>
      </c>
      <c r="G8447">
        <v>0</v>
      </c>
      <c r="H8447" s="7">
        <v>0</v>
      </c>
    </row>
    <row r="8448" spans="1:8">
      <c r="A8448">
        <v>7</v>
      </c>
      <c r="B8448" t="s">
        <v>44</v>
      </c>
      <c r="C8448" t="s">
        <v>34</v>
      </c>
      <c r="D8448">
        <v>0</v>
      </c>
      <c r="E8448">
        <v>1</v>
      </c>
      <c r="F8448" s="7">
        <v>41693.6</v>
      </c>
      <c r="G8448">
        <v>0</v>
      </c>
      <c r="H8448" s="7">
        <v>0</v>
      </c>
    </row>
    <row r="8449" spans="1:8">
      <c r="A8449">
        <v>7</v>
      </c>
      <c r="B8449" t="s">
        <v>43</v>
      </c>
      <c r="C8449" t="s">
        <v>36</v>
      </c>
      <c r="D8449">
        <v>0</v>
      </c>
      <c r="E8449">
        <v>1</v>
      </c>
      <c r="F8449" s="7">
        <v>1123213.77</v>
      </c>
      <c r="G8449">
        <v>0</v>
      </c>
      <c r="H8449" s="7">
        <v>0</v>
      </c>
    </row>
    <row r="8450" spans="1:8">
      <c r="A8450">
        <v>7</v>
      </c>
      <c r="B8450" t="s">
        <v>42</v>
      </c>
      <c r="C8450" t="s">
        <v>33</v>
      </c>
      <c r="D8450">
        <v>0</v>
      </c>
      <c r="E8450">
        <v>1</v>
      </c>
      <c r="F8450" s="7">
        <v>3805.94</v>
      </c>
      <c r="G8450">
        <v>0</v>
      </c>
      <c r="H8450" s="7">
        <v>0</v>
      </c>
    </row>
    <row r="8451" spans="1:8">
      <c r="A8451">
        <v>7</v>
      </c>
      <c r="B8451" t="s">
        <v>42</v>
      </c>
      <c r="C8451" t="s">
        <v>33</v>
      </c>
      <c r="D8451">
        <v>0</v>
      </c>
      <c r="E8451">
        <v>1</v>
      </c>
      <c r="F8451" s="7">
        <v>2974.37</v>
      </c>
      <c r="G8451">
        <v>0</v>
      </c>
      <c r="H8451" s="7">
        <v>0</v>
      </c>
    </row>
    <row r="8452" spans="1:8">
      <c r="A8452">
        <v>7</v>
      </c>
      <c r="B8452" t="s">
        <v>42</v>
      </c>
      <c r="C8452" t="s">
        <v>33</v>
      </c>
      <c r="D8452">
        <v>0</v>
      </c>
      <c r="E8452">
        <v>1</v>
      </c>
      <c r="F8452" s="7">
        <v>6323.42</v>
      </c>
      <c r="G8452">
        <v>0</v>
      </c>
      <c r="H8452" s="7">
        <v>0</v>
      </c>
    </row>
    <row r="8453" spans="1:8">
      <c r="A8453">
        <v>7</v>
      </c>
      <c r="B8453" t="s">
        <v>43</v>
      </c>
      <c r="C8453" t="s">
        <v>36</v>
      </c>
      <c r="D8453">
        <v>0</v>
      </c>
      <c r="E8453">
        <v>1</v>
      </c>
      <c r="F8453" s="7">
        <v>1103184.69</v>
      </c>
      <c r="G8453">
        <v>0</v>
      </c>
      <c r="H8453" s="7">
        <v>0</v>
      </c>
    </row>
    <row r="8454" spans="1:8">
      <c r="A8454">
        <v>7</v>
      </c>
      <c r="B8454" t="s">
        <v>42</v>
      </c>
      <c r="C8454" t="s">
        <v>34</v>
      </c>
      <c r="D8454">
        <v>0</v>
      </c>
      <c r="E8454">
        <v>1</v>
      </c>
      <c r="F8454" s="7">
        <v>15051.54</v>
      </c>
      <c r="G8454">
        <v>0</v>
      </c>
      <c r="H8454" s="7">
        <v>0</v>
      </c>
    </row>
    <row r="8455" spans="1:8">
      <c r="A8455">
        <v>7</v>
      </c>
      <c r="B8455" t="s">
        <v>43</v>
      </c>
      <c r="C8455" t="s">
        <v>36</v>
      </c>
      <c r="D8455">
        <v>0</v>
      </c>
      <c r="E8455">
        <v>1</v>
      </c>
      <c r="F8455" s="7">
        <v>1094308.58</v>
      </c>
      <c r="G8455">
        <v>0</v>
      </c>
      <c r="H8455" s="7">
        <v>0</v>
      </c>
    </row>
    <row r="8456" spans="1:8">
      <c r="A8456">
        <v>7</v>
      </c>
      <c r="B8456" t="s">
        <v>43</v>
      </c>
      <c r="C8456" t="s">
        <v>35</v>
      </c>
      <c r="D8456">
        <v>0</v>
      </c>
      <c r="E8456">
        <v>1</v>
      </c>
      <c r="F8456" s="7">
        <v>192197.94</v>
      </c>
      <c r="G8456">
        <v>0</v>
      </c>
      <c r="H8456" s="7">
        <v>0</v>
      </c>
    </row>
    <row r="8457" spans="1:8">
      <c r="A8457">
        <v>7</v>
      </c>
      <c r="B8457" t="s">
        <v>42</v>
      </c>
      <c r="C8457" t="s">
        <v>33</v>
      </c>
      <c r="D8457">
        <v>0</v>
      </c>
      <c r="E8457">
        <v>1</v>
      </c>
      <c r="F8457" s="7">
        <v>4838.62</v>
      </c>
      <c r="G8457">
        <v>0</v>
      </c>
      <c r="H8457" s="7">
        <v>0</v>
      </c>
    </row>
    <row r="8458" spans="1:8">
      <c r="A8458">
        <v>7</v>
      </c>
      <c r="B8458" t="s">
        <v>43</v>
      </c>
      <c r="C8458" t="s">
        <v>35</v>
      </c>
      <c r="D8458">
        <v>0</v>
      </c>
      <c r="E8458">
        <v>1</v>
      </c>
      <c r="F8458" s="7">
        <v>356342.94</v>
      </c>
      <c r="G8458">
        <v>0</v>
      </c>
      <c r="H8458" s="7">
        <v>0</v>
      </c>
    </row>
    <row r="8459" spans="1:8">
      <c r="A8459">
        <v>7</v>
      </c>
      <c r="B8459" t="s">
        <v>42</v>
      </c>
      <c r="C8459" t="s">
        <v>33</v>
      </c>
      <c r="D8459">
        <v>0</v>
      </c>
      <c r="E8459">
        <v>1</v>
      </c>
      <c r="F8459" s="7">
        <v>7716.74</v>
      </c>
      <c r="G8459">
        <v>0</v>
      </c>
      <c r="H8459" s="7">
        <v>0</v>
      </c>
    </row>
    <row r="8460" spans="1:8">
      <c r="A8460">
        <v>7</v>
      </c>
      <c r="B8460" t="s">
        <v>42</v>
      </c>
      <c r="C8460" t="s">
        <v>33</v>
      </c>
      <c r="D8460">
        <v>0</v>
      </c>
      <c r="E8460">
        <v>1</v>
      </c>
      <c r="F8460" s="7">
        <v>6158.36</v>
      </c>
      <c r="G8460">
        <v>0</v>
      </c>
      <c r="H8460" s="7">
        <v>0</v>
      </c>
    </row>
    <row r="8461" spans="1:8">
      <c r="A8461">
        <v>7</v>
      </c>
      <c r="B8461" t="s">
        <v>42</v>
      </c>
      <c r="C8461" t="s">
        <v>33</v>
      </c>
      <c r="D8461">
        <v>0</v>
      </c>
      <c r="E8461">
        <v>1</v>
      </c>
      <c r="F8461" s="7">
        <v>8528.94</v>
      </c>
      <c r="G8461">
        <v>0</v>
      </c>
      <c r="H8461" s="7">
        <v>0</v>
      </c>
    </row>
    <row r="8462" spans="1:8">
      <c r="A8462">
        <v>7</v>
      </c>
      <c r="B8462" t="s">
        <v>42</v>
      </c>
      <c r="C8462" t="s">
        <v>33</v>
      </c>
      <c r="D8462">
        <v>0</v>
      </c>
      <c r="E8462">
        <v>1</v>
      </c>
      <c r="F8462" s="7">
        <v>8415.4</v>
      </c>
      <c r="G8462">
        <v>0</v>
      </c>
      <c r="H8462" s="7">
        <v>0</v>
      </c>
    </row>
    <row r="8463" spans="1:8">
      <c r="A8463">
        <v>7</v>
      </c>
      <c r="B8463" t="s">
        <v>42</v>
      </c>
      <c r="C8463" t="s">
        <v>33</v>
      </c>
      <c r="D8463">
        <v>0</v>
      </c>
      <c r="E8463">
        <v>1</v>
      </c>
      <c r="F8463" s="7">
        <v>7257.41</v>
      </c>
      <c r="G8463">
        <v>0</v>
      </c>
      <c r="H8463" s="7">
        <v>0</v>
      </c>
    </row>
    <row r="8464" spans="1:8">
      <c r="A8464">
        <v>7</v>
      </c>
      <c r="B8464" t="s">
        <v>42</v>
      </c>
      <c r="C8464" t="s">
        <v>33</v>
      </c>
      <c r="D8464">
        <v>0</v>
      </c>
      <c r="E8464">
        <v>1</v>
      </c>
      <c r="F8464" s="7">
        <v>6324.09</v>
      </c>
      <c r="G8464">
        <v>0</v>
      </c>
      <c r="H8464" s="7">
        <v>0</v>
      </c>
    </row>
    <row r="8465" spans="1:8">
      <c r="A8465">
        <v>7</v>
      </c>
      <c r="B8465" t="s">
        <v>42</v>
      </c>
      <c r="C8465" t="s">
        <v>34</v>
      </c>
      <c r="D8465">
        <v>0</v>
      </c>
      <c r="E8465">
        <v>1</v>
      </c>
      <c r="F8465" s="7">
        <v>28342.33</v>
      </c>
      <c r="G8465">
        <v>0</v>
      </c>
      <c r="H8465" s="7">
        <v>0</v>
      </c>
    </row>
    <row r="8466" spans="1:8">
      <c r="A8466">
        <v>7</v>
      </c>
      <c r="B8466" t="s">
        <v>42</v>
      </c>
      <c r="C8466" t="s">
        <v>32</v>
      </c>
      <c r="D8466">
        <v>0</v>
      </c>
      <c r="E8466">
        <v>1</v>
      </c>
      <c r="F8466" s="7">
        <v>924.35</v>
      </c>
      <c r="G8466">
        <v>0</v>
      </c>
      <c r="H8466" s="7">
        <v>0</v>
      </c>
    </row>
    <row r="8467" spans="1:8">
      <c r="A8467">
        <v>7</v>
      </c>
      <c r="B8467" t="s">
        <v>42</v>
      </c>
      <c r="C8467" t="s">
        <v>33</v>
      </c>
      <c r="D8467">
        <v>0</v>
      </c>
      <c r="E8467">
        <v>1</v>
      </c>
      <c r="F8467" s="7">
        <v>7817.4</v>
      </c>
      <c r="G8467">
        <v>0</v>
      </c>
      <c r="H8467" s="7">
        <v>0</v>
      </c>
    </row>
    <row r="8468" spans="1:8">
      <c r="A8468">
        <v>7</v>
      </c>
      <c r="B8468" t="s">
        <v>43</v>
      </c>
      <c r="C8468" t="s">
        <v>35</v>
      </c>
      <c r="D8468">
        <v>0</v>
      </c>
      <c r="E8468">
        <v>1</v>
      </c>
      <c r="F8468" s="7">
        <v>164242.82</v>
      </c>
      <c r="G8468">
        <v>0</v>
      </c>
      <c r="H8468" s="7">
        <v>0</v>
      </c>
    </row>
    <row r="8469" spans="1:8">
      <c r="A8469">
        <v>7</v>
      </c>
      <c r="B8469" t="s">
        <v>42</v>
      </c>
      <c r="C8469" t="s">
        <v>33</v>
      </c>
      <c r="D8469">
        <v>0</v>
      </c>
      <c r="E8469">
        <v>1</v>
      </c>
      <c r="F8469" s="7">
        <v>7848.76</v>
      </c>
      <c r="G8469">
        <v>0</v>
      </c>
      <c r="H8469" s="7">
        <v>0</v>
      </c>
    </row>
    <row r="8470" spans="1:8">
      <c r="A8470">
        <v>7</v>
      </c>
      <c r="B8470" t="s">
        <v>42</v>
      </c>
      <c r="C8470" t="s">
        <v>33</v>
      </c>
      <c r="D8470">
        <v>0</v>
      </c>
      <c r="E8470">
        <v>1</v>
      </c>
      <c r="F8470" s="7">
        <v>6581.53</v>
      </c>
      <c r="G8470">
        <v>0</v>
      </c>
      <c r="H8470" s="7">
        <v>0</v>
      </c>
    </row>
    <row r="8471" spans="1:8">
      <c r="A8471">
        <v>7</v>
      </c>
      <c r="B8471" t="s">
        <v>42</v>
      </c>
      <c r="C8471" t="s">
        <v>33</v>
      </c>
      <c r="D8471">
        <v>0</v>
      </c>
      <c r="E8471">
        <v>1</v>
      </c>
      <c r="F8471" s="7">
        <v>2114.18</v>
      </c>
      <c r="G8471">
        <v>0</v>
      </c>
      <c r="H8471" s="7">
        <v>0</v>
      </c>
    </row>
    <row r="8472" spans="1:8">
      <c r="A8472">
        <v>7</v>
      </c>
      <c r="B8472" t="s">
        <v>42</v>
      </c>
      <c r="C8472" t="s">
        <v>33</v>
      </c>
      <c r="D8472">
        <v>0</v>
      </c>
      <c r="E8472">
        <v>1</v>
      </c>
      <c r="F8472" s="7">
        <v>7624.43</v>
      </c>
      <c r="G8472">
        <v>0</v>
      </c>
      <c r="H8472" s="7">
        <v>0</v>
      </c>
    </row>
    <row r="8473" spans="1:8">
      <c r="A8473">
        <v>7</v>
      </c>
      <c r="B8473" t="s">
        <v>42</v>
      </c>
      <c r="C8473" t="s">
        <v>33</v>
      </c>
      <c r="D8473">
        <v>0</v>
      </c>
      <c r="E8473">
        <v>1</v>
      </c>
      <c r="F8473" s="7">
        <v>8484.52</v>
      </c>
      <c r="G8473">
        <v>0</v>
      </c>
      <c r="H8473" s="7">
        <v>0</v>
      </c>
    </row>
    <row r="8474" spans="1:8">
      <c r="A8474">
        <v>7</v>
      </c>
      <c r="B8474" t="s">
        <v>42</v>
      </c>
      <c r="C8474" t="s">
        <v>32</v>
      </c>
      <c r="D8474">
        <v>0</v>
      </c>
      <c r="E8474">
        <v>1</v>
      </c>
      <c r="F8474" s="7">
        <v>885.48</v>
      </c>
      <c r="G8474">
        <v>0</v>
      </c>
      <c r="H8474" s="7">
        <v>0</v>
      </c>
    </row>
    <row r="8475" spans="1:8">
      <c r="A8475">
        <v>7</v>
      </c>
      <c r="B8475" t="s">
        <v>42</v>
      </c>
      <c r="C8475" t="s">
        <v>33</v>
      </c>
      <c r="D8475">
        <v>0</v>
      </c>
      <c r="E8475">
        <v>1</v>
      </c>
      <c r="F8475" s="7">
        <v>6929.14</v>
      </c>
      <c r="G8475">
        <v>0</v>
      </c>
      <c r="H8475" s="7">
        <v>0</v>
      </c>
    </row>
    <row r="8476" spans="1:8">
      <c r="A8476">
        <v>7</v>
      </c>
      <c r="B8476" t="s">
        <v>42</v>
      </c>
      <c r="C8476" t="s">
        <v>33</v>
      </c>
      <c r="D8476">
        <v>0</v>
      </c>
      <c r="E8476">
        <v>1</v>
      </c>
      <c r="F8476" s="7">
        <v>4341.19</v>
      </c>
      <c r="G8476">
        <v>0</v>
      </c>
      <c r="H8476" s="7">
        <v>0</v>
      </c>
    </row>
    <row r="8477" spans="1:8">
      <c r="A8477">
        <v>7</v>
      </c>
      <c r="B8477" t="s">
        <v>42</v>
      </c>
      <c r="C8477" t="s">
        <v>34</v>
      </c>
      <c r="D8477">
        <v>0</v>
      </c>
      <c r="E8477">
        <v>1</v>
      </c>
      <c r="F8477" s="7">
        <v>10291.86</v>
      </c>
      <c r="G8477">
        <v>0</v>
      </c>
      <c r="H8477" s="7">
        <v>0</v>
      </c>
    </row>
    <row r="8478" spans="1:8">
      <c r="A8478">
        <v>7</v>
      </c>
      <c r="B8478" t="s">
        <v>42</v>
      </c>
      <c r="C8478" t="s">
        <v>33</v>
      </c>
      <c r="D8478">
        <v>0</v>
      </c>
      <c r="E8478">
        <v>1</v>
      </c>
      <c r="F8478" s="7">
        <v>4625.8</v>
      </c>
      <c r="G8478">
        <v>0</v>
      </c>
      <c r="H8478" s="7">
        <v>0</v>
      </c>
    </row>
    <row r="8479" spans="1:8">
      <c r="A8479">
        <v>7</v>
      </c>
      <c r="B8479" t="s">
        <v>46</v>
      </c>
      <c r="C8479" t="s">
        <v>34</v>
      </c>
      <c r="D8479">
        <v>0</v>
      </c>
      <c r="E8479">
        <v>1</v>
      </c>
      <c r="F8479" s="7">
        <v>81120.8</v>
      </c>
      <c r="G8479">
        <v>0</v>
      </c>
      <c r="H8479" s="7">
        <v>0</v>
      </c>
    </row>
    <row r="8480" spans="1:8">
      <c r="A8480">
        <v>7</v>
      </c>
      <c r="B8480" t="s">
        <v>46</v>
      </c>
      <c r="C8480" t="s">
        <v>35</v>
      </c>
      <c r="D8480">
        <v>0</v>
      </c>
      <c r="E8480">
        <v>1</v>
      </c>
      <c r="F8480" s="7">
        <v>465827.4</v>
      </c>
      <c r="G8480">
        <v>0</v>
      </c>
      <c r="H8480" s="7">
        <v>0</v>
      </c>
    </row>
    <row r="8481" spans="1:8">
      <c r="A8481">
        <v>7</v>
      </c>
      <c r="B8481" t="s">
        <v>42</v>
      </c>
      <c r="C8481" t="s">
        <v>33</v>
      </c>
      <c r="D8481">
        <v>0</v>
      </c>
      <c r="E8481">
        <v>1</v>
      </c>
      <c r="F8481" s="7">
        <v>1046.58</v>
      </c>
      <c r="G8481">
        <v>0</v>
      </c>
      <c r="H8481" s="7">
        <v>0</v>
      </c>
    </row>
    <row r="8482" spans="1:8">
      <c r="A8482">
        <v>7</v>
      </c>
      <c r="B8482" t="s">
        <v>42</v>
      </c>
      <c r="C8482" t="s">
        <v>33</v>
      </c>
      <c r="D8482">
        <v>0</v>
      </c>
      <c r="E8482">
        <v>1</v>
      </c>
      <c r="F8482" s="7">
        <v>1757.74</v>
      </c>
      <c r="G8482">
        <v>0</v>
      </c>
      <c r="H8482" s="7">
        <v>0</v>
      </c>
    </row>
    <row r="8483" spans="1:8">
      <c r="A8483">
        <v>7</v>
      </c>
      <c r="B8483" t="s">
        <v>42</v>
      </c>
      <c r="C8483" t="s">
        <v>33</v>
      </c>
      <c r="D8483">
        <v>0</v>
      </c>
      <c r="E8483">
        <v>1</v>
      </c>
      <c r="F8483" s="7">
        <v>3446.28</v>
      </c>
      <c r="G8483">
        <v>0</v>
      </c>
      <c r="H8483" s="7">
        <v>0</v>
      </c>
    </row>
    <row r="8484" spans="1:8">
      <c r="A8484">
        <v>7</v>
      </c>
      <c r="B8484" t="s">
        <v>42</v>
      </c>
      <c r="C8484" t="s">
        <v>34</v>
      </c>
      <c r="D8484">
        <v>0</v>
      </c>
      <c r="E8484">
        <v>1</v>
      </c>
      <c r="F8484" s="7">
        <v>11821.83</v>
      </c>
      <c r="G8484">
        <v>0</v>
      </c>
      <c r="H8484" s="7">
        <v>0</v>
      </c>
    </row>
    <row r="8485" spans="1:8">
      <c r="A8485">
        <v>7</v>
      </c>
      <c r="B8485" t="s">
        <v>42</v>
      </c>
      <c r="C8485" t="s">
        <v>34</v>
      </c>
      <c r="D8485">
        <v>0</v>
      </c>
      <c r="E8485">
        <v>1</v>
      </c>
      <c r="F8485" s="7">
        <v>14584.16</v>
      </c>
      <c r="G8485">
        <v>0</v>
      </c>
      <c r="H8485" s="7">
        <v>0</v>
      </c>
    </row>
    <row r="8486" spans="1:8">
      <c r="A8486">
        <v>7</v>
      </c>
      <c r="B8486" t="s">
        <v>42</v>
      </c>
      <c r="C8486" t="s">
        <v>33</v>
      </c>
      <c r="D8486">
        <v>0</v>
      </c>
      <c r="E8486">
        <v>1</v>
      </c>
      <c r="F8486" s="7">
        <v>1296.53</v>
      </c>
      <c r="G8486">
        <v>0</v>
      </c>
      <c r="H8486" s="7">
        <v>0</v>
      </c>
    </row>
    <row r="8487" spans="1:8">
      <c r="A8487">
        <v>7</v>
      </c>
      <c r="B8487" t="s">
        <v>42</v>
      </c>
      <c r="C8487" t="s">
        <v>33</v>
      </c>
      <c r="D8487">
        <v>0</v>
      </c>
      <c r="E8487">
        <v>1</v>
      </c>
      <c r="F8487" s="7">
        <v>4171.83</v>
      </c>
      <c r="G8487">
        <v>0</v>
      </c>
      <c r="H8487" s="7">
        <v>0</v>
      </c>
    </row>
    <row r="8488" spans="1:8">
      <c r="A8488">
        <v>7</v>
      </c>
      <c r="B8488" t="s">
        <v>42</v>
      </c>
      <c r="C8488" t="s">
        <v>34</v>
      </c>
      <c r="D8488">
        <v>0</v>
      </c>
      <c r="E8488">
        <v>1</v>
      </c>
      <c r="F8488" s="7">
        <v>20251.95</v>
      </c>
      <c r="G8488">
        <v>0</v>
      </c>
      <c r="H8488" s="7">
        <v>0</v>
      </c>
    </row>
    <row r="8489" spans="1:8">
      <c r="A8489">
        <v>7</v>
      </c>
      <c r="B8489" t="s">
        <v>42</v>
      </c>
      <c r="C8489" t="s">
        <v>33</v>
      </c>
      <c r="D8489">
        <v>0</v>
      </c>
      <c r="E8489">
        <v>1</v>
      </c>
      <c r="F8489" s="7">
        <v>5014.22</v>
      </c>
      <c r="G8489">
        <v>0</v>
      </c>
      <c r="H8489" s="7">
        <v>0</v>
      </c>
    </row>
    <row r="8490" spans="1:8">
      <c r="A8490">
        <v>7</v>
      </c>
      <c r="B8490" t="s">
        <v>42</v>
      </c>
      <c r="C8490" t="s">
        <v>33</v>
      </c>
      <c r="D8490">
        <v>0</v>
      </c>
      <c r="E8490">
        <v>1</v>
      </c>
      <c r="F8490" s="7">
        <v>4073.2</v>
      </c>
      <c r="G8490">
        <v>0</v>
      </c>
      <c r="H8490" s="7">
        <v>0</v>
      </c>
    </row>
    <row r="8491" spans="1:8">
      <c r="A8491">
        <v>7</v>
      </c>
      <c r="B8491" t="s">
        <v>42</v>
      </c>
      <c r="C8491" t="s">
        <v>34</v>
      </c>
      <c r="D8491">
        <v>0</v>
      </c>
      <c r="E8491">
        <v>1</v>
      </c>
      <c r="F8491" s="7">
        <v>32605.51</v>
      </c>
      <c r="G8491">
        <v>0</v>
      </c>
      <c r="H8491" s="7">
        <v>0</v>
      </c>
    </row>
    <row r="8492" spans="1:8">
      <c r="A8492">
        <v>7</v>
      </c>
      <c r="B8492" t="s">
        <v>42</v>
      </c>
      <c r="C8492" t="s">
        <v>33</v>
      </c>
      <c r="D8492">
        <v>0</v>
      </c>
      <c r="E8492">
        <v>1</v>
      </c>
      <c r="F8492" s="7">
        <v>1269.98</v>
      </c>
      <c r="G8492">
        <v>0</v>
      </c>
      <c r="H8492" s="7">
        <v>0</v>
      </c>
    </row>
    <row r="8493" spans="1:8">
      <c r="A8493">
        <v>7</v>
      </c>
      <c r="B8493" t="s">
        <v>42</v>
      </c>
      <c r="C8493" t="s">
        <v>33</v>
      </c>
      <c r="D8493">
        <v>0</v>
      </c>
      <c r="E8493">
        <v>1</v>
      </c>
      <c r="F8493" s="7">
        <v>9129.7</v>
      </c>
      <c r="G8493">
        <v>0</v>
      </c>
      <c r="H8493" s="7">
        <v>0</v>
      </c>
    </row>
    <row r="8494" spans="1:8">
      <c r="A8494">
        <v>7</v>
      </c>
      <c r="B8494" t="s">
        <v>42</v>
      </c>
      <c r="C8494" t="s">
        <v>33</v>
      </c>
      <c r="D8494">
        <v>0</v>
      </c>
      <c r="E8494">
        <v>1</v>
      </c>
      <c r="F8494" s="7">
        <v>5274.97</v>
      </c>
      <c r="G8494">
        <v>0</v>
      </c>
      <c r="H8494" s="7">
        <v>0</v>
      </c>
    </row>
    <row r="8495" spans="1:8">
      <c r="A8495">
        <v>7</v>
      </c>
      <c r="B8495" t="s">
        <v>42</v>
      </c>
      <c r="C8495" t="s">
        <v>34</v>
      </c>
      <c r="D8495">
        <v>0</v>
      </c>
      <c r="E8495">
        <v>1</v>
      </c>
      <c r="F8495" s="7">
        <v>11774.37</v>
      </c>
      <c r="G8495">
        <v>0</v>
      </c>
      <c r="H8495" s="7">
        <v>0</v>
      </c>
    </row>
    <row r="8496" spans="1:8">
      <c r="A8496">
        <v>7</v>
      </c>
      <c r="B8496" t="s">
        <v>42</v>
      </c>
      <c r="C8496" t="s">
        <v>33</v>
      </c>
      <c r="D8496">
        <v>0</v>
      </c>
      <c r="E8496">
        <v>1</v>
      </c>
      <c r="F8496" s="7">
        <v>1926.79</v>
      </c>
      <c r="G8496">
        <v>0</v>
      </c>
      <c r="H8496" s="7">
        <v>0</v>
      </c>
    </row>
    <row r="8497" spans="1:8">
      <c r="A8497">
        <v>7</v>
      </c>
      <c r="B8497" t="s">
        <v>42</v>
      </c>
      <c r="C8497" t="s">
        <v>34</v>
      </c>
      <c r="D8497">
        <v>0</v>
      </c>
      <c r="E8497">
        <v>1</v>
      </c>
      <c r="F8497" s="7">
        <v>13176.82</v>
      </c>
      <c r="G8497">
        <v>0</v>
      </c>
      <c r="H8497" s="7">
        <v>0</v>
      </c>
    </row>
    <row r="8498" spans="1:8">
      <c r="A8498">
        <v>7</v>
      </c>
      <c r="B8498" t="s">
        <v>42</v>
      </c>
      <c r="C8498" t="s">
        <v>34</v>
      </c>
      <c r="D8498">
        <v>0</v>
      </c>
      <c r="E8498">
        <v>1</v>
      </c>
      <c r="F8498" s="7">
        <v>14936.17</v>
      </c>
      <c r="G8498">
        <v>0</v>
      </c>
      <c r="H8498" s="7">
        <v>0</v>
      </c>
    </row>
    <row r="8499" spans="1:8">
      <c r="A8499">
        <v>7</v>
      </c>
      <c r="B8499" t="s">
        <v>42</v>
      </c>
      <c r="C8499" t="s">
        <v>33</v>
      </c>
      <c r="D8499">
        <v>0</v>
      </c>
      <c r="E8499">
        <v>1</v>
      </c>
      <c r="F8499" s="7">
        <v>1795.75</v>
      </c>
      <c r="G8499">
        <v>0</v>
      </c>
      <c r="H8499" s="7">
        <v>0</v>
      </c>
    </row>
    <row r="8500" spans="1:8">
      <c r="A8500">
        <v>7</v>
      </c>
      <c r="B8500" t="s">
        <v>42</v>
      </c>
      <c r="C8500" t="s">
        <v>33</v>
      </c>
      <c r="D8500">
        <v>0</v>
      </c>
      <c r="E8500">
        <v>1</v>
      </c>
      <c r="F8500" s="7">
        <v>5428.2</v>
      </c>
      <c r="G8500">
        <v>0</v>
      </c>
      <c r="H8500" s="7">
        <v>0</v>
      </c>
    </row>
    <row r="8501" spans="1:8">
      <c r="A8501">
        <v>7</v>
      </c>
      <c r="B8501" t="s">
        <v>46</v>
      </c>
      <c r="C8501" t="s">
        <v>34</v>
      </c>
      <c r="D8501">
        <v>0</v>
      </c>
      <c r="E8501">
        <v>1</v>
      </c>
      <c r="F8501" s="7">
        <v>68442.07</v>
      </c>
      <c r="G8501">
        <v>0</v>
      </c>
      <c r="H8501" s="7">
        <v>0</v>
      </c>
    </row>
    <row r="8502" spans="1:8">
      <c r="A8502">
        <v>7</v>
      </c>
      <c r="B8502" t="s">
        <v>42</v>
      </c>
      <c r="C8502" t="s">
        <v>34</v>
      </c>
      <c r="D8502">
        <v>0</v>
      </c>
      <c r="E8502">
        <v>1</v>
      </c>
      <c r="F8502" s="7">
        <v>10164.97</v>
      </c>
      <c r="G8502">
        <v>0</v>
      </c>
      <c r="H8502" s="7">
        <v>0</v>
      </c>
    </row>
    <row r="8503" spans="1:8">
      <c r="A8503">
        <v>7</v>
      </c>
      <c r="B8503" t="s">
        <v>42</v>
      </c>
      <c r="C8503" t="s">
        <v>32</v>
      </c>
      <c r="D8503">
        <v>0</v>
      </c>
      <c r="E8503">
        <v>1</v>
      </c>
      <c r="F8503" s="7">
        <v>170.96</v>
      </c>
      <c r="G8503">
        <v>0</v>
      </c>
      <c r="H8503" s="7">
        <v>0</v>
      </c>
    </row>
    <row r="8504" spans="1:8">
      <c r="A8504">
        <v>7</v>
      </c>
      <c r="B8504" t="s">
        <v>42</v>
      </c>
      <c r="C8504" t="s">
        <v>34</v>
      </c>
      <c r="D8504">
        <v>0</v>
      </c>
      <c r="E8504">
        <v>1</v>
      </c>
      <c r="F8504" s="7">
        <v>27334.38</v>
      </c>
      <c r="G8504">
        <v>0</v>
      </c>
      <c r="H8504" s="7">
        <v>0</v>
      </c>
    </row>
    <row r="8505" spans="1:8">
      <c r="A8505">
        <v>7</v>
      </c>
      <c r="B8505" t="s">
        <v>42</v>
      </c>
      <c r="C8505" t="s">
        <v>34</v>
      </c>
      <c r="D8505">
        <v>0</v>
      </c>
      <c r="E8505">
        <v>1</v>
      </c>
      <c r="F8505" s="7">
        <v>13223.51</v>
      </c>
      <c r="G8505">
        <v>0</v>
      </c>
      <c r="H8505" s="7">
        <v>0</v>
      </c>
    </row>
    <row r="8506" spans="1:8">
      <c r="A8506">
        <v>7</v>
      </c>
      <c r="B8506" t="s">
        <v>43</v>
      </c>
      <c r="C8506" t="s">
        <v>36</v>
      </c>
      <c r="D8506">
        <v>0</v>
      </c>
      <c r="E8506">
        <v>1</v>
      </c>
      <c r="F8506" s="7">
        <v>2222097.28</v>
      </c>
      <c r="G8506">
        <v>0</v>
      </c>
      <c r="H8506" s="7">
        <v>0</v>
      </c>
    </row>
    <row r="8507" spans="1:8">
      <c r="A8507">
        <v>7</v>
      </c>
      <c r="B8507" t="s">
        <v>45</v>
      </c>
      <c r="C8507" t="s">
        <v>33</v>
      </c>
      <c r="D8507">
        <v>0</v>
      </c>
      <c r="E8507">
        <v>1</v>
      </c>
      <c r="F8507" s="7">
        <v>1827.57</v>
      </c>
      <c r="G8507">
        <v>0</v>
      </c>
      <c r="H8507" s="7">
        <v>0</v>
      </c>
    </row>
    <row r="8508" spans="1:8">
      <c r="A8508">
        <v>7</v>
      </c>
      <c r="B8508" t="s">
        <v>42</v>
      </c>
      <c r="C8508" t="s">
        <v>34</v>
      </c>
      <c r="D8508">
        <v>0</v>
      </c>
      <c r="E8508">
        <v>1</v>
      </c>
      <c r="F8508" s="7">
        <v>10030.92</v>
      </c>
      <c r="G8508">
        <v>0</v>
      </c>
      <c r="H8508" s="7">
        <v>0</v>
      </c>
    </row>
    <row r="8509" spans="1:8">
      <c r="A8509">
        <v>7</v>
      </c>
      <c r="B8509" t="s">
        <v>42</v>
      </c>
      <c r="C8509" t="s">
        <v>33</v>
      </c>
      <c r="D8509">
        <v>0</v>
      </c>
      <c r="E8509">
        <v>1</v>
      </c>
      <c r="F8509" s="7">
        <v>8353.25</v>
      </c>
      <c r="G8509">
        <v>0</v>
      </c>
      <c r="H8509" s="7">
        <v>0</v>
      </c>
    </row>
    <row r="8510" spans="1:8">
      <c r="A8510">
        <v>7</v>
      </c>
      <c r="B8510" t="s">
        <v>42</v>
      </c>
      <c r="C8510" t="s">
        <v>33</v>
      </c>
      <c r="D8510">
        <v>0</v>
      </c>
      <c r="E8510">
        <v>1</v>
      </c>
      <c r="F8510" s="7">
        <v>8554.21</v>
      </c>
      <c r="G8510">
        <v>0</v>
      </c>
      <c r="H8510" s="7">
        <v>0</v>
      </c>
    </row>
    <row r="8511" spans="1:8">
      <c r="A8511">
        <v>7</v>
      </c>
      <c r="B8511" t="s">
        <v>42</v>
      </c>
      <c r="C8511" t="s">
        <v>33</v>
      </c>
      <c r="D8511">
        <v>0</v>
      </c>
      <c r="E8511">
        <v>1</v>
      </c>
      <c r="F8511" s="7">
        <v>8561.36</v>
      </c>
      <c r="G8511">
        <v>0</v>
      </c>
      <c r="H8511" s="7">
        <v>0</v>
      </c>
    </row>
    <row r="8512" spans="1:8">
      <c r="A8512">
        <v>7</v>
      </c>
      <c r="B8512" t="s">
        <v>42</v>
      </c>
      <c r="C8512" t="s">
        <v>33</v>
      </c>
      <c r="D8512">
        <v>0</v>
      </c>
      <c r="E8512">
        <v>1</v>
      </c>
      <c r="F8512" s="7">
        <v>4494.29</v>
      </c>
      <c r="G8512">
        <v>0</v>
      </c>
      <c r="H8512" s="7">
        <v>0</v>
      </c>
    </row>
    <row r="8513" spans="1:8">
      <c r="A8513">
        <v>7</v>
      </c>
      <c r="B8513" t="s">
        <v>43</v>
      </c>
      <c r="C8513" t="s">
        <v>34</v>
      </c>
      <c r="D8513">
        <v>0</v>
      </c>
      <c r="E8513">
        <v>1</v>
      </c>
      <c r="F8513" s="7">
        <v>34987.81</v>
      </c>
      <c r="G8513">
        <v>0</v>
      </c>
      <c r="H8513" s="7">
        <v>0</v>
      </c>
    </row>
    <row r="8514" spans="1:8">
      <c r="A8514">
        <v>7</v>
      </c>
      <c r="B8514" t="s">
        <v>43</v>
      </c>
      <c r="C8514" t="s">
        <v>35</v>
      </c>
      <c r="D8514">
        <v>0</v>
      </c>
      <c r="E8514">
        <v>1</v>
      </c>
      <c r="F8514" s="7">
        <v>445189.67</v>
      </c>
      <c r="G8514">
        <v>0</v>
      </c>
      <c r="H8514" s="7">
        <v>0</v>
      </c>
    </row>
    <row r="8515" spans="1:8">
      <c r="A8515">
        <v>7</v>
      </c>
      <c r="B8515" t="s">
        <v>42</v>
      </c>
      <c r="C8515" t="s">
        <v>33</v>
      </c>
      <c r="D8515">
        <v>0</v>
      </c>
      <c r="E8515">
        <v>1</v>
      </c>
      <c r="F8515" s="7">
        <v>2427.57</v>
      </c>
      <c r="G8515">
        <v>0</v>
      </c>
      <c r="H8515" s="7">
        <v>0</v>
      </c>
    </row>
    <row r="8516" spans="1:8">
      <c r="A8516">
        <v>7</v>
      </c>
      <c r="B8516" t="s">
        <v>44</v>
      </c>
      <c r="C8516" t="s">
        <v>34</v>
      </c>
      <c r="D8516">
        <v>0</v>
      </c>
      <c r="E8516">
        <v>1</v>
      </c>
      <c r="F8516" s="7">
        <v>94275.66</v>
      </c>
      <c r="G8516">
        <v>0</v>
      </c>
      <c r="H8516" s="7">
        <v>0</v>
      </c>
    </row>
    <row r="8517" spans="1:8">
      <c r="A8517">
        <v>7</v>
      </c>
      <c r="B8517" t="s">
        <v>42</v>
      </c>
      <c r="C8517" t="s">
        <v>33</v>
      </c>
      <c r="D8517">
        <v>0</v>
      </c>
      <c r="E8517">
        <v>1</v>
      </c>
      <c r="F8517" s="7">
        <v>7031.7</v>
      </c>
      <c r="G8517">
        <v>0</v>
      </c>
      <c r="H8517" s="7">
        <v>0</v>
      </c>
    </row>
    <row r="8518" spans="1:8">
      <c r="A8518">
        <v>7</v>
      </c>
      <c r="B8518" t="s">
        <v>42</v>
      </c>
      <c r="C8518" t="s">
        <v>32</v>
      </c>
      <c r="D8518">
        <v>0</v>
      </c>
      <c r="E8518">
        <v>1</v>
      </c>
      <c r="F8518" s="7">
        <v>635.12</v>
      </c>
      <c r="G8518">
        <v>0</v>
      </c>
      <c r="H8518" s="7">
        <v>0</v>
      </c>
    </row>
    <row r="8519" spans="1:8">
      <c r="A8519">
        <v>7</v>
      </c>
      <c r="B8519" t="s">
        <v>42</v>
      </c>
      <c r="C8519" t="s">
        <v>33</v>
      </c>
      <c r="D8519">
        <v>0</v>
      </c>
      <c r="E8519">
        <v>1</v>
      </c>
      <c r="F8519" s="7">
        <v>7672.76</v>
      </c>
      <c r="G8519">
        <v>0</v>
      </c>
      <c r="H8519" s="7">
        <v>0</v>
      </c>
    </row>
    <row r="8520" spans="1:8">
      <c r="A8520">
        <v>7</v>
      </c>
      <c r="B8520" t="s">
        <v>42</v>
      </c>
      <c r="C8520" t="s">
        <v>34</v>
      </c>
      <c r="D8520">
        <v>0</v>
      </c>
      <c r="E8520">
        <v>1</v>
      </c>
      <c r="F8520" s="7">
        <v>19607.97</v>
      </c>
      <c r="G8520">
        <v>0</v>
      </c>
      <c r="H8520" s="7">
        <v>0</v>
      </c>
    </row>
    <row r="8521" spans="1:8">
      <c r="A8521">
        <v>7</v>
      </c>
      <c r="B8521" t="s">
        <v>42</v>
      </c>
      <c r="C8521" t="s">
        <v>33</v>
      </c>
      <c r="D8521">
        <v>0</v>
      </c>
      <c r="E8521">
        <v>1</v>
      </c>
      <c r="F8521" s="7">
        <v>5662.97</v>
      </c>
      <c r="G8521">
        <v>0</v>
      </c>
      <c r="H8521" s="7">
        <v>0</v>
      </c>
    </row>
    <row r="8522" spans="1:8">
      <c r="A8522">
        <v>7</v>
      </c>
      <c r="B8522" t="s">
        <v>42</v>
      </c>
      <c r="C8522" t="s">
        <v>32</v>
      </c>
      <c r="D8522">
        <v>0</v>
      </c>
      <c r="E8522">
        <v>1</v>
      </c>
      <c r="F8522" s="7">
        <v>136.37</v>
      </c>
      <c r="G8522">
        <v>0</v>
      </c>
      <c r="H8522" s="7">
        <v>0</v>
      </c>
    </row>
    <row r="8523" spans="1:8">
      <c r="A8523">
        <v>7</v>
      </c>
      <c r="B8523" t="s">
        <v>44</v>
      </c>
      <c r="C8523" t="s">
        <v>34</v>
      </c>
      <c r="D8523">
        <v>0</v>
      </c>
      <c r="E8523">
        <v>1</v>
      </c>
      <c r="F8523" s="7">
        <v>12837.77</v>
      </c>
      <c r="G8523">
        <v>0</v>
      </c>
      <c r="H8523" s="7">
        <v>0</v>
      </c>
    </row>
    <row r="8524" spans="1:8">
      <c r="A8524">
        <v>7</v>
      </c>
      <c r="B8524" t="s">
        <v>42</v>
      </c>
      <c r="C8524" t="s">
        <v>33</v>
      </c>
      <c r="D8524">
        <v>0</v>
      </c>
      <c r="E8524">
        <v>1</v>
      </c>
      <c r="F8524" s="7">
        <v>1497.25</v>
      </c>
      <c r="G8524">
        <v>0</v>
      </c>
      <c r="H8524" s="7">
        <v>0</v>
      </c>
    </row>
    <row r="8525" spans="1:8">
      <c r="A8525">
        <v>7</v>
      </c>
      <c r="B8525" t="s">
        <v>42</v>
      </c>
      <c r="C8525" t="s">
        <v>34</v>
      </c>
      <c r="D8525">
        <v>0</v>
      </c>
      <c r="E8525">
        <v>1</v>
      </c>
      <c r="F8525" s="7">
        <v>14609.16</v>
      </c>
      <c r="G8525">
        <v>0</v>
      </c>
      <c r="H8525" s="7">
        <v>0</v>
      </c>
    </row>
    <row r="8526" spans="1:8">
      <c r="A8526">
        <v>7</v>
      </c>
      <c r="B8526" t="s">
        <v>42</v>
      </c>
      <c r="C8526" t="s">
        <v>33</v>
      </c>
      <c r="D8526">
        <v>0</v>
      </c>
      <c r="E8526">
        <v>1</v>
      </c>
      <c r="F8526" s="7">
        <v>5826.48</v>
      </c>
      <c r="G8526">
        <v>0</v>
      </c>
      <c r="H8526" s="7">
        <v>0</v>
      </c>
    </row>
    <row r="8527" spans="1:8">
      <c r="A8527">
        <v>7</v>
      </c>
      <c r="B8527" t="s">
        <v>42</v>
      </c>
      <c r="C8527" t="s">
        <v>34</v>
      </c>
      <c r="D8527">
        <v>0</v>
      </c>
      <c r="E8527">
        <v>1</v>
      </c>
      <c r="F8527" s="7">
        <v>14463.47</v>
      </c>
      <c r="G8527">
        <v>0</v>
      </c>
      <c r="H8527" s="7">
        <v>0</v>
      </c>
    </row>
    <row r="8528" spans="1:8">
      <c r="A8528">
        <v>7</v>
      </c>
      <c r="B8528" t="s">
        <v>43</v>
      </c>
      <c r="C8528" t="s">
        <v>35</v>
      </c>
      <c r="D8528">
        <v>0</v>
      </c>
      <c r="E8528">
        <v>1</v>
      </c>
      <c r="F8528" s="7">
        <v>216297.45</v>
      </c>
      <c r="G8528">
        <v>0</v>
      </c>
      <c r="H8528" s="7">
        <v>0</v>
      </c>
    </row>
    <row r="8529" spans="1:8">
      <c r="A8529">
        <v>7</v>
      </c>
      <c r="B8529" t="s">
        <v>42</v>
      </c>
      <c r="C8529" t="s">
        <v>33</v>
      </c>
      <c r="D8529">
        <v>0</v>
      </c>
      <c r="E8529">
        <v>1</v>
      </c>
      <c r="F8529" s="7">
        <v>4252.44</v>
      </c>
      <c r="G8529">
        <v>0</v>
      </c>
      <c r="H8529" s="7">
        <v>0</v>
      </c>
    </row>
    <row r="8530" spans="1:8">
      <c r="A8530">
        <v>7</v>
      </c>
      <c r="B8530" t="s">
        <v>42</v>
      </c>
      <c r="C8530" t="s">
        <v>33</v>
      </c>
      <c r="D8530">
        <v>0</v>
      </c>
      <c r="E8530">
        <v>1</v>
      </c>
      <c r="F8530" s="7">
        <v>2632.9</v>
      </c>
      <c r="G8530">
        <v>0</v>
      </c>
      <c r="H8530" s="7">
        <v>0</v>
      </c>
    </row>
    <row r="8531" spans="1:8">
      <c r="A8531">
        <v>7</v>
      </c>
      <c r="B8531" t="s">
        <v>42</v>
      </c>
      <c r="C8531" t="s">
        <v>33</v>
      </c>
      <c r="D8531">
        <v>0</v>
      </c>
      <c r="E8531">
        <v>1</v>
      </c>
      <c r="F8531" s="7">
        <v>4738.28</v>
      </c>
      <c r="G8531">
        <v>0</v>
      </c>
      <c r="H8531" s="7">
        <v>0</v>
      </c>
    </row>
    <row r="8532" spans="1:8">
      <c r="A8532">
        <v>7</v>
      </c>
      <c r="B8532" t="s">
        <v>42</v>
      </c>
      <c r="C8532" t="s">
        <v>33</v>
      </c>
      <c r="D8532">
        <v>0</v>
      </c>
      <c r="E8532">
        <v>1</v>
      </c>
      <c r="F8532" s="7">
        <v>9325.37</v>
      </c>
      <c r="G8532">
        <v>0</v>
      </c>
      <c r="H8532" s="7">
        <v>0</v>
      </c>
    </row>
    <row r="8533" spans="1:8">
      <c r="A8533">
        <v>7</v>
      </c>
      <c r="B8533" t="s">
        <v>44</v>
      </c>
      <c r="C8533" t="s">
        <v>35</v>
      </c>
      <c r="D8533">
        <v>0</v>
      </c>
      <c r="E8533">
        <v>1</v>
      </c>
      <c r="F8533" s="7">
        <v>239781.45</v>
      </c>
      <c r="G8533">
        <v>0</v>
      </c>
      <c r="H8533" s="7">
        <v>0</v>
      </c>
    </row>
    <row r="8534" spans="1:8">
      <c r="A8534">
        <v>7</v>
      </c>
      <c r="B8534" t="s">
        <v>44</v>
      </c>
      <c r="C8534" t="s">
        <v>35</v>
      </c>
      <c r="D8534">
        <v>0</v>
      </c>
      <c r="E8534">
        <v>1</v>
      </c>
      <c r="F8534" s="7">
        <v>256193.3</v>
      </c>
      <c r="G8534">
        <v>0</v>
      </c>
      <c r="H8534" s="7">
        <v>0</v>
      </c>
    </row>
    <row r="8535" spans="1:8">
      <c r="A8535">
        <v>7</v>
      </c>
      <c r="B8535" t="s">
        <v>44</v>
      </c>
      <c r="C8535" t="s">
        <v>35</v>
      </c>
      <c r="D8535">
        <v>0</v>
      </c>
      <c r="E8535">
        <v>1</v>
      </c>
      <c r="F8535" s="7">
        <v>307111.99</v>
      </c>
      <c r="G8535">
        <v>0</v>
      </c>
      <c r="H8535" s="7">
        <v>0</v>
      </c>
    </row>
    <row r="8536" spans="1:8">
      <c r="A8536">
        <v>7</v>
      </c>
      <c r="B8536" t="s">
        <v>44</v>
      </c>
      <c r="C8536" t="s">
        <v>35</v>
      </c>
      <c r="D8536">
        <v>0</v>
      </c>
      <c r="E8536">
        <v>1</v>
      </c>
      <c r="F8536" s="7">
        <v>585853.28</v>
      </c>
      <c r="G8536">
        <v>0</v>
      </c>
      <c r="H8536" s="7">
        <v>0</v>
      </c>
    </row>
    <row r="8537" spans="1:8">
      <c r="A8537">
        <v>7</v>
      </c>
      <c r="B8537" t="s">
        <v>44</v>
      </c>
      <c r="C8537" t="s">
        <v>35</v>
      </c>
      <c r="D8537">
        <v>0</v>
      </c>
      <c r="E8537">
        <v>1</v>
      </c>
      <c r="F8537" s="7">
        <v>211258.63</v>
      </c>
      <c r="G8537">
        <v>0</v>
      </c>
      <c r="H8537" s="7">
        <v>0</v>
      </c>
    </row>
    <row r="8538" spans="1:8">
      <c r="A8538">
        <v>7</v>
      </c>
      <c r="B8538" t="s">
        <v>44</v>
      </c>
      <c r="C8538" t="s">
        <v>35</v>
      </c>
      <c r="D8538">
        <v>0</v>
      </c>
      <c r="E8538">
        <v>1</v>
      </c>
      <c r="F8538" s="7">
        <v>276036.61</v>
      </c>
      <c r="G8538">
        <v>0</v>
      </c>
      <c r="H8538" s="7">
        <v>0</v>
      </c>
    </row>
    <row r="8539" spans="1:8">
      <c r="A8539">
        <v>7</v>
      </c>
      <c r="B8539" t="s">
        <v>44</v>
      </c>
      <c r="C8539" t="s">
        <v>34</v>
      </c>
      <c r="D8539">
        <v>0</v>
      </c>
      <c r="E8539">
        <v>1</v>
      </c>
      <c r="F8539" s="7">
        <v>92754.39</v>
      </c>
      <c r="G8539">
        <v>0</v>
      </c>
      <c r="H8539" s="7">
        <v>0</v>
      </c>
    </row>
    <row r="8540" spans="1:8">
      <c r="A8540">
        <v>7</v>
      </c>
      <c r="B8540" t="s">
        <v>44</v>
      </c>
      <c r="C8540" t="s">
        <v>35</v>
      </c>
      <c r="D8540">
        <v>0</v>
      </c>
      <c r="E8540">
        <v>1</v>
      </c>
      <c r="F8540" s="7">
        <v>488632.1</v>
      </c>
      <c r="G8540">
        <v>0</v>
      </c>
      <c r="H8540" s="7">
        <v>0</v>
      </c>
    </row>
    <row r="8541" spans="1:8">
      <c r="A8541">
        <v>7</v>
      </c>
      <c r="B8541" t="s">
        <v>44</v>
      </c>
      <c r="C8541" t="s">
        <v>34</v>
      </c>
      <c r="D8541">
        <v>0</v>
      </c>
      <c r="E8541">
        <v>1</v>
      </c>
      <c r="F8541" s="7">
        <v>93077</v>
      </c>
      <c r="G8541">
        <v>0</v>
      </c>
      <c r="H8541" s="7">
        <v>0</v>
      </c>
    </row>
    <row r="8542" spans="1:8">
      <c r="A8542">
        <v>7</v>
      </c>
      <c r="B8542" t="s">
        <v>43</v>
      </c>
      <c r="C8542" t="s">
        <v>35</v>
      </c>
      <c r="D8542">
        <v>0</v>
      </c>
      <c r="E8542">
        <v>1</v>
      </c>
      <c r="F8542" s="7">
        <v>234734.39</v>
      </c>
      <c r="G8542">
        <v>0</v>
      </c>
      <c r="H8542" s="7">
        <v>0</v>
      </c>
    </row>
    <row r="8543" spans="1:8">
      <c r="A8543">
        <v>7</v>
      </c>
      <c r="B8543" t="s">
        <v>42</v>
      </c>
      <c r="C8543" t="s">
        <v>33</v>
      </c>
      <c r="D8543">
        <v>0</v>
      </c>
      <c r="E8543">
        <v>1</v>
      </c>
      <c r="F8543" s="7">
        <v>2162.91</v>
      </c>
      <c r="G8543">
        <v>0</v>
      </c>
      <c r="H8543" s="7">
        <v>0</v>
      </c>
    </row>
    <row r="8544" spans="1:8">
      <c r="A8544">
        <v>7</v>
      </c>
      <c r="B8544" t="s">
        <v>42</v>
      </c>
      <c r="C8544" t="s">
        <v>33</v>
      </c>
      <c r="D8544">
        <v>0</v>
      </c>
      <c r="E8544">
        <v>1</v>
      </c>
      <c r="F8544" s="7">
        <v>7456.1</v>
      </c>
      <c r="G8544">
        <v>0</v>
      </c>
      <c r="H8544" s="7">
        <v>0</v>
      </c>
    </row>
    <row r="8545" spans="1:8">
      <c r="A8545">
        <v>7</v>
      </c>
      <c r="B8545" t="s">
        <v>42</v>
      </c>
      <c r="C8545" t="s">
        <v>33</v>
      </c>
      <c r="D8545">
        <v>0</v>
      </c>
      <c r="E8545">
        <v>1</v>
      </c>
      <c r="F8545" s="7">
        <v>1601.61</v>
      </c>
      <c r="G8545">
        <v>0</v>
      </c>
      <c r="H8545" s="7">
        <v>0</v>
      </c>
    </row>
    <row r="8546" spans="1:8">
      <c r="A8546">
        <v>7</v>
      </c>
      <c r="B8546" t="s">
        <v>43</v>
      </c>
      <c r="C8546" t="s">
        <v>35</v>
      </c>
      <c r="D8546">
        <v>0</v>
      </c>
      <c r="E8546">
        <v>1</v>
      </c>
      <c r="F8546" s="7">
        <v>675184.96</v>
      </c>
      <c r="G8546">
        <v>0</v>
      </c>
      <c r="H8546" s="7">
        <v>0</v>
      </c>
    </row>
    <row r="8547" spans="1:8">
      <c r="A8547">
        <v>7</v>
      </c>
      <c r="B8547" t="s">
        <v>42</v>
      </c>
      <c r="C8547" t="s">
        <v>33</v>
      </c>
      <c r="D8547">
        <v>0</v>
      </c>
      <c r="E8547">
        <v>1</v>
      </c>
      <c r="F8547" s="7">
        <v>7285.45</v>
      </c>
      <c r="G8547">
        <v>0</v>
      </c>
      <c r="H8547" s="7">
        <v>0</v>
      </c>
    </row>
    <row r="8548" spans="1:8">
      <c r="A8548">
        <v>7</v>
      </c>
      <c r="B8548" t="s">
        <v>42</v>
      </c>
      <c r="C8548" t="s">
        <v>33</v>
      </c>
      <c r="D8548">
        <v>0</v>
      </c>
      <c r="E8548">
        <v>1</v>
      </c>
      <c r="F8548" s="7">
        <v>9250.16</v>
      </c>
      <c r="G8548">
        <v>0</v>
      </c>
      <c r="H8548" s="7">
        <v>0</v>
      </c>
    </row>
    <row r="8549" spans="1:8">
      <c r="A8549">
        <v>7</v>
      </c>
      <c r="B8549" t="s">
        <v>43</v>
      </c>
      <c r="C8549" t="s">
        <v>35</v>
      </c>
      <c r="D8549">
        <v>0</v>
      </c>
      <c r="E8549">
        <v>1</v>
      </c>
      <c r="F8549" s="7">
        <v>297193.49</v>
      </c>
      <c r="G8549">
        <v>0</v>
      </c>
      <c r="H8549" s="7">
        <v>0</v>
      </c>
    </row>
    <row r="8550" spans="1:8">
      <c r="A8550">
        <v>7</v>
      </c>
      <c r="B8550" t="s">
        <v>43</v>
      </c>
      <c r="C8550" t="s">
        <v>36</v>
      </c>
      <c r="D8550">
        <v>0</v>
      </c>
      <c r="E8550">
        <v>1</v>
      </c>
      <c r="F8550" s="7">
        <v>1465989.27</v>
      </c>
      <c r="G8550">
        <v>0</v>
      </c>
      <c r="H8550" s="7">
        <v>0</v>
      </c>
    </row>
    <row r="8551" spans="1:8">
      <c r="A8551">
        <v>7</v>
      </c>
      <c r="B8551" t="s">
        <v>42</v>
      </c>
      <c r="C8551" t="s">
        <v>32</v>
      </c>
      <c r="D8551">
        <v>0</v>
      </c>
      <c r="E8551">
        <v>1</v>
      </c>
      <c r="F8551" s="7">
        <v>68.09</v>
      </c>
      <c r="G8551">
        <v>0</v>
      </c>
      <c r="H8551" s="7">
        <v>0</v>
      </c>
    </row>
    <row r="8552" spans="1:8">
      <c r="A8552">
        <v>7</v>
      </c>
      <c r="B8552" t="s">
        <v>42</v>
      </c>
      <c r="C8552" t="s">
        <v>33</v>
      </c>
      <c r="D8552">
        <v>0</v>
      </c>
      <c r="E8552">
        <v>1</v>
      </c>
      <c r="F8552" s="7">
        <v>3263.66</v>
      </c>
      <c r="G8552">
        <v>0</v>
      </c>
      <c r="H8552" s="7">
        <v>0</v>
      </c>
    </row>
    <row r="8553" spans="1:8">
      <c r="A8553">
        <v>7</v>
      </c>
      <c r="B8553" t="s">
        <v>42</v>
      </c>
      <c r="C8553" t="s">
        <v>33</v>
      </c>
      <c r="D8553">
        <v>0</v>
      </c>
      <c r="E8553">
        <v>1</v>
      </c>
      <c r="F8553" s="7">
        <v>7735.32</v>
      </c>
      <c r="G8553">
        <v>0</v>
      </c>
      <c r="H8553" s="7">
        <v>0</v>
      </c>
    </row>
    <row r="8554" spans="1:8">
      <c r="A8554">
        <v>7</v>
      </c>
      <c r="B8554" t="s">
        <v>42</v>
      </c>
      <c r="C8554" t="s">
        <v>34</v>
      </c>
      <c r="D8554">
        <v>0</v>
      </c>
      <c r="E8554">
        <v>1</v>
      </c>
      <c r="F8554" s="7">
        <v>10264.83</v>
      </c>
      <c r="G8554">
        <v>0</v>
      </c>
      <c r="H8554" s="7">
        <v>0</v>
      </c>
    </row>
    <row r="8555" spans="1:8">
      <c r="A8555">
        <v>7</v>
      </c>
      <c r="B8555" t="s">
        <v>42</v>
      </c>
      <c r="C8555" t="s">
        <v>34</v>
      </c>
      <c r="D8555">
        <v>0</v>
      </c>
      <c r="E8555">
        <v>1</v>
      </c>
      <c r="F8555" s="7">
        <v>10024.27</v>
      </c>
      <c r="G8555">
        <v>0</v>
      </c>
      <c r="H8555" s="7">
        <v>0</v>
      </c>
    </row>
    <row r="8556" spans="1:8">
      <c r="A8556">
        <v>7</v>
      </c>
      <c r="B8556" t="s">
        <v>42</v>
      </c>
      <c r="C8556" t="s">
        <v>33</v>
      </c>
      <c r="D8556">
        <v>0</v>
      </c>
      <c r="E8556">
        <v>1</v>
      </c>
      <c r="F8556" s="7">
        <v>2329.92</v>
      </c>
      <c r="G8556">
        <v>0</v>
      </c>
      <c r="H8556" s="7">
        <v>0</v>
      </c>
    </row>
    <row r="8557" spans="1:8">
      <c r="A8557">
        <v>7</v>
      </c>
      <c r="B8557" t="s">
        <v>44</v>
      </c>
      <c r="C8557" t="s">
        <v>35</v>
      </c>
      <c r="D8557">
        <v>0</v>
      </c>
      <c r="E8557">
        <v>1</v>
      </c>
      <c r="F8557" s="7">
        <v>288884.1</v>
      </c>
      <c r="G8557">
        <v>0</v>
      </c>
      <c r="H8557" s="7">
        <v>0</v>
      </c>
    </row>
    <row r="8558" spans="1:8">
      <c r="A8558">
        <v>7</v>
      </c>
      <c r="B8558" t="s">
        <v>42</v>
      </c>
      <c r="C8558" t="s">
        <v>33</v>
      </c>
      <c r="D8558">
        <v>0</v>
      </c>
      <c r="E8558">
        <v>1</v>
      </c>
      <c r="F8558" s="7">
        <v>2638.93</v>
      </c>
      <c r="G8558">
        <v>0</v>
      </c>
      <c r="H8558" s="7">
        <v>0</v>
      </c>
    </row>
    <row r="8559" spans="1:8">
      <c r="A8559">
        <v>7</v>
      </c>
      <c r="B8559" t="s">
        <v>42</v>
      </c>
      <c r="C8559" t="s">
        <v>33</v>
      </c>
      <c r="D8559">
        <v>0</v>
      </c>
      <c r="E8559">
        <v>1</v>
      </c>
      <c r="F8559" s="7">
        <v>7033.55</v>
      </c>
      <c r="G8559">
        <v>0</v>
      </c>
      <c r="H8559" s="7">
        <v>0</v>
      </c>
    </row>
    <row r="8560" spans="1:8">
      <c r="A8560">
        <v>7</v>
      </c>
      <c r="B8560" t="s">
        <v>42</v>
      </c>
      <c r="C8560" t="s">
        <v>33</v>
      </c>
      <c r="D8560">
        <v>0</v>
      </c>
      <c r="E8560">
        <v>1</v>
      </c>
      <c r="F8560" s="7">
        <v>4219.8</v>
      </c>
      <c r="G8560">
        <v>0</v>
      </c>
      <c r="H8560" s="7">
        <v>0</v>
      </c>
    </row>
    <row r="8561" spans="1:8">
      <c r="A8561">
        <v>7</v>
      </c>
      <c r="B8561" t="s">
        <v>42</v>
      </c>
      <c r="C8561" t="s">
        <v>33</v>
      </c>
      <c r="D8561">
        <v>0</v>
      </c>
      <c r="E8561">
        <v>1</v>
      </c>
      <c r="F8561" s="7">
        <v>6786.69</v>
      </c>
      <c r="G8561">
        <v>0</v>
      </c>
      <c r="H8561" s="7">
        <v>0</v>
      </c>
    </row>
    <row r="8562" spans="1:8">
      <c r="A8562">
        <v>7</v>
      </c>
      <c r="B8562" t="s">
        <v>42</v>
      </c>
      <c r="C8562" t="s">
        <v>32</v>
      </c>
      <c r="D8562">
        <v>0</v>
      </c>
      <c r="E8562">
        <v>1</v>
      </c>
      <c r="F8562" s="7">
        <v>890.64</v>
      </c>
      <c r="G8562">
        <v>0</v>
      </c>
      <c r="H8562" s="7">
        <v>0</v>
      </c>
    </row>
    <row r="8563" spans="1:8">
      <c r="A8563">
        <v>7</v>
      </c>
      <c r="B8563" t="s">
        <v>42</v>
      </c>
      <c r="C8563" t="s">
        <v>33</v>
      </c>
      <c r="D8563">
        <v>0</v>
      </c>
      <c r="E8563">
        <v>1</v>
      </c>
      <c r="F8563" s="7">
        <v>3597.59</v>
      </c>
      <c r="G8563">
        <v>0</v>
      </c>
      <c r="H8563" s="7">
        <v>0</v>
      </c>
    </row>
    <row r="8564" spans="1:8">
      <c r="A8564">
        <v>7</v>
      </c>
      <c r="B8564" t="s">
        <v>43</v>
      </c>
      <c r="C8564" t="s">
        <v>35</v>
      </c>
      <c r="D8564">
        <v>0</v>
      </c>
      <c r="E8564">
        <v>1</v>
      </c>
      <c r="F8564" s="7">
        <v>840288.07</v>
      </c>
      <c r="G8564">
        <v>0</v>
      </c>
      <c r="H8564" s="7">
        <v>0</v>
      </c>
    </row>
    <row r="8565" spans="1:8">
      <c r="A8565">
        <v>7</v>
      </c>
      <c r="B8565" t="s">
        <v>42</v>
      </c>
      <c r="C8565" t="s">
        <v>33</v>
      </c>
      <c r="D8565">
        <v>0</v>
      </c>
      <c r="E8565">
        <v>1</v>
      </c>
      <c r="F8565" s="7">
        <v>6983.25</v>
      </c>
      <c r="G8565">
        <v>0</v>
      </c>
      <c r="H8565" s="7">
        <v>0</v>
      </c>
    </row>
    <row r="8566" spans="1:8">
      <c r="A8566">
        <v>7</v>
      </c>
      <c r="B8566" t="s">
        <v>45</v>
      </c>
      <c r="C8566" t="s">
        <v>33</v>
      </c>
      <c r="D8566">
        <v>0</v>
      </c>
      <c r="E8566">
        <v>1</v>
      </c>
      <c r="F8566" s="7">
        <v>3168.21</v>
      </c>
      <c r="G8566">
        <v>0</v>
      </c>
      <c r="H8566" s="7">
        <v>0</v>
      </c>
    </row>
    <row r="8567" spans="1:8">
      <c r="A8567">
        <v>7</v>
      </c>
      <c r="B8567" t="s">
        <v>46</v>
      </c>
      <c r="C8567" t="s">
        <v>35</v>
      </c>
      <c r="D8567">
        <v>0</v>
      </c>
      <c r="E8567">
        <v>1</v>
      </c>
      <c r="F8567" s="7">
        <v>223803.19</v>
      </c>
      <c r="G8567">
        <v>0</v>
      </c>
      <c r="H8567" s="7">
        <v>0</v>
      </c>
    </row>
    <row r="8568" spans="1:8">
      <c r="A8568">
        <v>7</v>
      </c>
      <c r="B8568" t="s">
        <v>46</v>
      </c>
      <c r="C8568" t="s">
        <v>35</v>
      </c>
      <c r="D8568">
        <v>0</v>
      </c>
      <c r="E8568">
        <v>1</v>
      </c>
      <c r="F8568" s="7">
        <v>318962.57</v>
      </c>
      <c r="G8568">
        <v>0</v>
      </c>
      <c r="H8568" s="7">
        <v>0</v>
      </c>
    </row>
    <row r="8569" spans="1:8">
      <c r="A8569">
        <v>7</v>
      </c>
      <c r="B8569" t="s">
        <v>46</v>
      </c>
      <c r="C8569" t="s">
        <v>35</v>
      </c>
      <c r="D8569">
        <v>0</v>
      </c>
      <c r="E8569">
        <v>1</v>
      </c>
      <c r="F8569" s="7">
        <v>341269.92</v>
      </c>
      <c r="G8569">
        <v>0</v>
      </c>
      <c r="H8569" s="7">
        <v>0</v>
      </c>
    </row>
    <row r="8570" spans="1:8">
      <c r="A8570">
        <v>7</v>
      </c>
      <c r="B8570" t="s">
        <v>46</v>
      </c>
      <c r="C8570" t="s">
        <v>35</v>
      </c>
      <c r="D8570">
        <v>0</v>
      </c>
      <c r="E8570">
        <v>1</v>
      </c>
      <c r="F8570" s="7">
        <v>116822.62</v>
      </c>
      <c r="G8570">
        <v>0</v>
      </c>
      <c r="H8570" s="7">
        <v>0</v>
      </c>
    </row>
    <row r="8571" spans="1:8">
      <c r="A8571">
        <v>7</v>
      </c>
      <c r="B8571" t="s">
        <v>46</v>
      </c>
      <c r="C8571" t="s">
        <v>35</v>
      </c>
      <c r="D8571">
        <v>0</v>
      </c>
      <c r="E8571">
        <v>1</v>
      </c>
      <c r="F8571" s="7">
        <v>543093.48</v>
      </c>
      <c r="G8571">
        <v>0</v>
      </c>
      <c r="H8571" s="7">
        <v>0</v>
      </c>
    </row>
    <row r="8572" spans="1:8">
      <c r="A8572">
        <v>7</v>
      </c>
      <c r="B8572" t="s">
        <v>46</v>
      </c>
      <c r="C8572" t="s">
        <v>35</v>
      </c>
      <c r="D8572">
        <v>0</v>
      </c>
      <c r="E8572">
        <v>1</v>
      </c>
      <c r="F8572" s="7">
        <v>181623.29</v>
      </c>
      <c r="G8572">
        <v>0</v>
      </c>
      <c r="H8572" s="7">
        <v>0</v>
      </c>
    </row>
    <row r="8573" spans="1:8">
      <c r="A8573">
        <v>7</v>
      </c>
      <c r="B8573" t="s">
        <v>46</v>
      </c>
      <c r="C8573" t="s">
        <v>34</v>
      </c>
      <c r="D8573">
        <v>0</v>
      </c>
      <c r="E8573">
        <v>1</v>
      </c>
      <c r="F8573" s="7">
        <v>25646.09</v>
      </c>
      <c r="G8573">
        <v>0</v>
      </c>
      <c r="H8573" s="7">
        <v>0</v>
      </c>
    </row>
    <row r="8574" spans="1:8">
      <c r="A8574">
        <v>7</v>
      </c>
      <c r="B8574" t="s">
        <v>46</v>
      </c>
      <c r="C8574" t="s">
        <v>34</v>
      </c>
      <c r="D8574">
        <v>0</v>
      </c>
      <c r="E8574">
        <v>1</v>
      </c>
      <c r="F8574" s="7">
        <v>33034.11</v>
      </c>
      <c r="G8574">
        <v>0</v>
      </c>
      <c r="H8574" s="7">
        <v>0</v>
      </c>
    </row>
    <row r="8575" spans="1:8">
      <c r="A8575">
        <v>7</v>
      </c>
      <c r="B8575" t="s">
        <v>46</v>
      </c>
      <c r="C8575" t="s">
        <v>35</v>
      </c>
      <c r="D8575">
        <v>0</v>
      </c>
      <c r="E8575">
        <v>1</v>
      </c>
      <c r="F8575" s="7">
        <v>343183.45</v>
      </c>
      <c r="G8575">
        <v>0</v>
      </c>
      <c r="H8575" s="7">
        <v>0</v>
      </c>
    </row>
    <row r="8576" spans="1:8">
      <c r="A8576">
        <v>7</v>
      </c>
      <c r="B8576" t="s">
        <v>46</v>
      </c>
      <c r="C8576" t="s">
        <v>34</v>
      </c>
      <c r="D8576">
        <v>0</v>
      </c>
      <c r="E8576">
        <v>1</v>
      </c>
      <c r="F8576" s="7">
        <v>77050.37</v>
      </c>
      <c r="G8576">
        <v>0</v>
      </c>
      <c r="H8576" s="7">
        <v>0</v>
      </c>
    </row>
    <row r="8577" spans="1:8">
      <c r="A8577">
        <v>7</v>
      </c>
      <c r="B8577" t="s">
        <v>46</v>
      </c>
      <c r="C8577" t="s">
        <v>35</v>
      </c>
      <c r="D8577">
        <v>0</v>
      </c>
      <c r="E8577">
        <v>1</v>
      </c>
      <c r="F8577" s="7">
        <v>131162.37</v>
      </c>
      <c r="G8577">
        <v>0</v>
      </c>
      <c r="H8577" s="7">
        <v>0</v>
      </c>
    </row>
    <row r="8578" spans="1:8">
      <c r="A8578">
        <v>7</v>
      </c>
      <c r="B8578" t="s">
        <v>46</v>
      </c>
      <c r="C8578" t="s">
        <v>34</v>
      </c>
      <c r="D8578">
        <v>0</v>
      </c>
      <c r="E8578">
        <v>1</v>
      </c>
      <c r="F8578" s="7">
        <v>35884.67</v>
      </c>
      <c r="G8578">
        <v>0</v>
      </c>
      <c r="H8578" s="7">
        <v>0</v>
      </c>
    </row>
    <row r="8579" spans="1:8">
      <c r="A8579">
        <v>7</v>
      </c>
      <c r="B8579" t="s">
        <v>46</v>
      </c>
      <c r="C8579" t="s">
        <v>35</v>
      </c>
      <c r="D8579">
        <v>0</v>
      </c>
      <c r="E8579">
        <v>1</v>
      </c>
      <c r="F8579" s="7">
        <v>232459.86</v>
      </c>
      <c r="G8579">
        <v>0</v>
      </c>
      <c r="H8579" s="7">
        <v>0</v>
      </c>
    </row>
    <row r="8580" spans="1:8">
      <c r="A8580">
        <v>7</v>
      </c>
      <c r="B8580" t="s">
        <v>46</v>
      </c>
      <c r="C8580" t="s">
        <v>35</v>
      </c>
      <c r="D8580">
        <v>0</v>
      </c>
      <c r="E8580">
        <v>1</v>
      </c>
      <c r="F8580" s="7">
        <v>195773.44</v>
      </c>
      <c r="G8580">
        <v>0</v>
      </c>
      <c r="H8580" s="7">
        <v>0</v>
      </c>
    </row>
    <row r="8581" spans="1:8">
      <c r="A8581">
        <v>7</v>
      </c>
      <c r="B8581" t="s">
        <v>46</v>
      </c>
      <c r="C8581" t="s">
        <v>34</v>
      </c>
      <c r="D8581">
        <v>0</v>
      </c>
      <c r="E8581">
        <v>1</v>
      </c>
      <c r="F8581" s="7">
        <v>18743.6</v>
      </c>
      <c r="G8581">
        <v>0</v>
      </c>
      <c r="H8581" s="7">
        <v>0</v>
      </c>
    </row>
    <row r="8582" spans="1:8">
      <c r="A8582">
        <v>7</v>
      </c>
      <c r="B8582" t="s">
        <v>46</v>
      </c>
      <c r="C8582" t="s">
        <v>35</v>
      </c>
      <c r="D8582">
        <v>0</v>
      </c>
      <c r="E8582">
        <v>1</v>
      </c>
      <c r="F8582" s="7">
        <v>266769.46</v>
      </c>
      <c r="G8582">
        <v>0</v>
      </c>
      <c r="H8582" s="7">
        <v>0</v>
      </c>
    </row>
    <row r="8583" spans="1:8">
      <c r="A8583">
        <v>7</v>
      </c>
      <c r="B8583" t="s">
        <v>46</v>
      </c>
      <c r="C8583" t="s">
        <v>35</v>
      </c>
      <c r="D8583">
        <v>0</v>
      </c>
      <c r="E8583">
        <v>1</v>
      </c>
      <c r="F8583" s="7">
        <v>198221.54</v>
      </c>
      <c r="G8583">
        <v>0</v>
      </c>
      <c r="H8583" s="7">
        <v>0</v>
      </c>
    </row>
    <row r="8584" spans="1:8">
      <c r="A8584">
        <v>7</v>
      </c>
      <c r="B8584" t="s">
        <v>46</v>
      </c>
      <c r="C8584" t="s">
        <v>35</v>
      </c>
      <c r="D8584">
        <v>0</v>
      </c>
      <c r="E8584">
        <v>1</v>
      </c>
      <c r="F8584" s="7">
        <v>300747.04</v>
      </c>
      <c r="G8584">
        <v>0</v>
      </c>
      <c r="H8584" s="7">
        <v>0</v>
      </c>
    </row>
    <row r="8585" spans="1:8">
      <c r="A8585">
        <v>7</v>
      </c>
      <c r="B8585" t="s">
        <v>46</v>
      </c>
      <c r="C8585" t="s">
        <v>34</v>
      </c>
      <c r="D8585">
        <v>0</v>
      </c>
      <c r="E8585">
        <v>1</v>
      </c>
      <c r="F8585" s="7">
        <v>88854</v>
      </c>
      <c r="G8585">
        <v>0</v>
      </c>
      <c r="H8585" s="7">
        <v>0</v>
      </c>
    </row>
    <row r="8586" spans="1:8">
      <c r="A8586">
        <v>7</v>
      </c>
      <c r="B8586" t="s">
        <v>46</v>
      </c>
      <c r="C8586" t="s">
        <v>34</v>
      </c>
      <c r="D8586">
        <v>0</v>
      </c>
      <c r="E8586">
        <v>1</v>
      </c>
      <c r="F8586" s="7">
        <v>42464.05</v>
      </c>
      <c r="G8586">
        <v>0</v>
      </c>
      <c r="H8586" s="7">
        <v>0</v>
      </c>
    </row>
    <row r="8587" spans="1:8">
      <c r="A8587">
        <v>7</v>
      </c>
      <c r="B8587" t="s">
        <v>46</v>
      </c>
      <c r="C8587" t="s">
        <v>34</v>
      </c>
      <c r="D8587">
        <v>0</v>
      </c>
      <c r="E8587">
        <v>1</v>
      </c>
      <c r="F8587" s="7">
        <v>81605.5</v>
      </c>
      <c r="G8587">
        <v>0</v>
      </c>
      <c r="H8587" s="7">
        <v>0</v>
      </c>
    </row>
    <row r="8588" spans="1:8">
      <c r="A8588">
        <v>7</v>
      </c>
      <c r="B8588" t="s">
        <v>46</v>
      </c>
      <c r="C8588" t="s">
        <v>35</v>
      </c>
      <c r="D8588">
        <v>0</v>
      </c>
      <c r="E8588">
        <v>1</v>
      </c>
      <c r="F8588" s="7">
        <v>328774.36</v>
      </c>
      <c r="G8588">
        <v>0</v>
      </c>
      <c r="H8588" s="7">
        <v>0</v>
      </c>
    </row>
    <row r="8589" spans="1:8">
      <c r="A8589">
        <v>7</v>
      </c>
      <c r="B8589" t="s">
        <v>46</v>
      </c>
      <c r="C8589" t="s">
        <v>34</v>
      </c>
      <c r="D8589">
        <v>0</v>
      </c>
      <c r="E8589">
        <v>1</v>
      </c>
      <c r="F8589" s="7">
        <v>32512.41</v>
      </c>
      <c r="G8589">
        <v>0</v>
      </c>
      <c r="H8589" s="7">
        <v>0</v>
      </c>
    </row>
    <row r="8590" spans="1:8">
      <c r="A8590">
        <v>7</v>
      </c>
      <c r="B8590" t="s">
        <v>46</v>
      </c>
      <c r="C8590" t="s">
        <v>34</v>
      </c>
      <c r="D8590">
        <v>0</v>
      </c>
      <c r="E8590">
        <v>1</v>
      </c>
      <c r="F8590" s="7">
        <v>36082.25</v>
      </c>
      <c r="G8590">
        <v>0</v>
      </c>
      <c r="H8590" s="7">
        <v>0</v>
      </c>
    </row>
    <row r="8591" spans="1:8">
      <c r="A8591">
        <v>7</v>
      </c>
      <c r="B8591" t="s">
        <v>46</v>
      </c>
      <c r="C8591" t="s">
        <v>34</v>
      </c>
      <c r="D8591">
        <v>0</v>
      </c>
      <c r="E8591">
        <v>1</v>
      </c>
      <c r="F8591" s="7">
        <v>69286.21</v>
      </c>
      <c r="G8591">
        <v>0</v>
      </c>
      <c r="H8591" s="7">
        <v>0</v>
      </c>
    </row>
    <row r="8592" spans="1:8">
      <c r="A8592">
        <v>7</v>
      </c>
      <c r="B8592" t="s">
        <v>46</v>
      </c>
      <c r="C8592" t="s">
        <v>35</v>
      </c>
      <c r="D8592">
        <v>0</v>
      </c>
      <c r="E8592">
        <v>1</v>
      </c>
      <c r="F8592" s="7">
        <v>356050.39</v>
      </c>
      <c r="G8592">
        <v>0</v>
      </c>
      <c r="H8592" s="7">
        <v>0</v>
      </c>
    </row>
    <row r="8593" spans="1:8">
      <c r="A8593">
        <v>7</v>
      </c>
      <c r="B8593" t="s">
        <v>46</v>
      </c>
      <c r="C8593" t="s">
        <v>35</v>
      </c>
      <c r="D8593">
        <v>0</v>
      </c>
      <c r="E8593">
        <v>1</v>
      </c>
      <c r="F8593" s="7">
        <v>367673.83</v>
      </c>
      <c r="G8593">
        <v>0</v>
      </c>
      <c r="H8593" s="7">
        <v>0</v>
      </c>
    </row>
    <row r="8594" spans="1:8">
      <c r="A8594">
        <v>7</v>
      </c>
      <c r="B8594" t="s">
        <v>46</v>
      </c>
      <c r="C8594" t="s">
        <v>34</v>
      </c>
      <c r="D8594">
        <v>0</v>
      </c>
      <c r="E8594">
        <v>1</v>
      </c>
      <c r="F8594" s="7">
        <v>85912.14</v>
      </c>
      <c r="G8594">
        <v>0</v>
      </c>
      <c r="H8594" s="7">
        <v>0</v>
      </c>
    </row>
    <row r="8595" spans="1:8">
      <c r="A8595">
        <v>7</v>
      </c>
      <c r="B8595" t="s">
        <v>46</v>
      </c>
      <c r="C8595" t="s">
        <v>35</v>
      </c>
      <c r="D8595">
        <v>0</v>
      </c>
      <c r="E8595">
        <v>1</v>
      </c>
      <c r="F8595" s="7">
        <v>434599.15</v>
      </c>
      <c r="G8595">
        <v>0</v>
      </c>
      <c r="H8595" s="7">
        <v>0</v>
      </c>
    </row>
    <row r="8596" spans="1:8">
      <c r="A8596">
        <v>7</v>
      </c>
      <c r="B8596" t="s">
        <v>46</v>
      </c>
      <c r="C8596" t="s">
        <v>34</v>
      </c>
      <c r="D8596">
        <v>0</v>
      </c>
      <c r="E8596">
        <v>1</v>
      </c>
      <c r="F8596" s="7">
        <v>35217.29</v>
      </c>
      <c r="G8596">
        <v>0</v>
      </c>
      <c r="H8596" s="7">
        <v>0</v>
      </c>
    </row>
    <row r="8597" spans="1:8">
      <c r="A8597">
        <v>7</v>
      </c>
      <c r="B8597" t="s">
        <v>46</v>
      </c>
      <c r="C8597" t="s">
        <v>33</v>
      </c>
      <c r="D8597">
        <v>0</v>
      </c>
      <c r="E8597">
        <v>1</v>
      </c>
      <c r="F8597" s="7">
        <v>1699.38</v>
      </c>
      <c r="G8597">
        <v>0</v>
      </c>
      <c r="H8597" s="7">
        <v>0</v>
      </c>
    </row>
    <row r="8598" spans="1:8">
      <c r="A8598">
        <v>7</v>
      </c>
      <c r="B8598" t="s">
        <v>46</v>
      </c>
      <c r="C8598" t="s">
        <v>34</v>
      </c>
      <c r="D8598">
        <v>0</v>
      </c>
      <c r="E8598">
        <v>1</v>
      </c>
      <c r="F8598" s="7">
        <v>37190.91</v>
      </c>
      <c r="G8598">
        <v>0</v>
      </c>
      <c r="H8598" s="7">
        <v>0</v>
      </c>
    </row>
    <row r="8599" spans="1:8">
      <c r="A8599">
        <v>7</v>
      </c>
      <c r="B8599" t="s">
        <v>46</v>
      </c>
      <c r="C8599" t="s">
        <v>34</v>
      </c>
      <c r="D8599">
        <v>0</v>
      </c>
      <c r="E8599">
        <v>1</v>
      </c>
      <c r="F8599" s="7">
        <v>35458.8</v>
      </c>
      <c r="G8599">
        <v>0</v>
      </c>
      <c r="H8599" s="7">
        <v>0</v>
      </c>
    </row>
    <row r="8600" spans="1:8">
      <c r="A8600">
        <v>7</v>
      </c>
      <c r="B8600" t="s">
        <v>46</v>
      </c>
      <c r="C8600" t="s">
        <v>34</v>
      </c>
      <c r="D8600">
        <v>0</v>
      </c>
      <c r="E8600">
        <v>1</v>
      </c>
      <c r="F8600" s="7">
        <v>91793.34</v>
      </c>
      <c r="G8600">
        <v>0</v>
      </c>
      <c r="H8600" s="7">
        <v>0</v>
      </c>
    </row>
    <row r="8601" spans="1:8">
      <c r="A8601">
        <v>7</v>
      </c>
      <c r="B8601" t="s">
        <v>46</v>
      </c>
      <c r="C8601" t="s">
        <v>35</v>
      </c>
      <c r="D8601">
        <v>0</v>
      </c>
      <c r="E8601">
        <v>1</v>
      </c>
      <c r="F8601" s="7">
        <v>167569.88</v>
      </c>
      <c r="G8601">
        <v>0</v>
      </c>
      <c r="H8601" s="7">
        <v>0</v>
      </c>
    </row>
    <row r="8602" spans="1:8">
      <c r="A8602">
        <v>7</v>
      </c>
      <c r="B8602" t="s">
        <v>46</v>
      </c>
      <c r="C8602" t="s">
        <v>35</v>
      </c>
      <c r="D8602">
        <v>0</v>
      </c>
      <c r="E8602">
        <v>1</v>
      </c>
      <c r="F8602" s="7">
        <v>238928.64</v>
      </c>
      <c r="G8602">
        <v>0</v>
      </c>
      <c r="H8602" s="7">
        <v>0</v>
      </c>
    </row>
    <row r="8603" spans="1:8">
      <c r="A8603">
        <v>7</v>
      </c>
      <c r="B8603" t="s">
        <v>46</v>
      </c>
      <c r="C8603" t="s">
        <v>35</v>
      </c>
      <c r="D8603">
        <v>0</v>
      </c>
      <c r="E8603">
        <v>1</v>
      </c>
      <c r="F8603" s="7">
        <v>314094.74</v>
      </c>
      <c r="G8603">
        <v>0</v>
      </c>
      <c r="H8603" s="7">
        <v>0</v>
      </c>
    </row>
    <row r="8604" spans="1:8">
      <c r="A8604">
        <v>7</v>
      </c>
      <c r="B8604" t="s">
        <v>46</v>
      </c>
      <c r="C8604" t="s">
        <v>35</v>
      </c>
      <c r="D8604">
        <v>0</v>
      </c>
      <c r="E8604">
        <v>1</v>
      </c>
      <c r="F8604" s="7">
        <v>101802.15</v>
      </c>
      <c r="G8604">
        <v>0</v>
      </c>
      <c r="H8604" s="7">
        <v>0</v>
      </c>
    </row>
    <row r="8605" spans="1:8">
      <c r="A8605">
        <v>7</v>
      </c>
      <c r="B8605" t="s">
        <v>46</v>
      </c>
      <c r="C8605" t="s">
        <v>35</v>
      </c>
      <c r="D8605">
        <v>0</v>
      </c>
      <c r="E8605">
        <v>1</v>
      </c>
      <c r="F8605" s="7">
        <v>125471.79</v>
      </c>
      <c r="G8605">
        <v>0</v>
      </c>
      <c r="H8605" s="7">
        <v>0</v>
      </c>
    </row>
    <row r="8606" spans="1:8">
      <c r="A8606">
        <v>7</v>
      </c>
      <c r="B8606" t="s">
        <v>46</v>
      </c>
      <c r="C8606" t="s">
        <v>35</v>
      </c>
      <c r="D8606">
        <v>0</v>
      </c>
      <c r="E8606">
        <v>1</v>
      </c>
      <c r="F8606" s="7">
        <v>191862.15</v>
      </c>
      <c r="G8606">
        <v>0</v>
      </c>
      <c r="H8606" s="7">
        <v>0</v>
      </c>
    </row>
    <row r="8607" spans="1:8">
      <c r="A8607">
        <v>7</v>
      </c>
      <c r="B8607" t="s">
        <v>46</v>
      </c>
      <c r="C8607" t="s">
        <v>35</v>
      </c>
      <c r="D8607">
        <v>0</v>
      </c>
      <c r="E8607">
        <v>1</v>
      </c>
      <c r="F8607" s="7">
        <v>197656.33</v>
      </c>
      <c r="G8607">
        <v>0</v>
      </c>
      <c r="H8607" s="7">
        <v>0</v>
      </c>
    </row>
    <row r="8608" spans="1:8">
      <c r="A8608">
        <v>7</v>
      </c>
      <c r="B8608" t="s">
        <v>46</v>
      </c>
      <c r="C8608" t="s">
        <v>35</v>
      </c>
      <c r="D8608">
        <v>0</v>
      </c>
      <c r="E8608">
        <v>1</v>
      </c>
      <c r="F8608" s="7">
        <v>184246.71</v>
      </c>
      <c r="G8608">
        <v>0</v>
      </c>
      <c r="H8608" s="7">
        <v>0</v>
      </c>
    </row>
    <row r="8609" spans="1:8">
      <c r="A8609">
        <v>7</v>
      </c>
      <c r="B8609" t="s">
        <v>46</v>
      </c>
      <c r="C8609" t="s">
        <v>34</v>
      </c>
      <c r="D8609">
        <v>0</v>
      </c>
      <c r="E8609">
        <v>1</v>
      </c>
      <c r="F8609" s="7">
        <v>62915.49</v>
      </c>
      <c r="G8609">
        <v>0</v>
      </c>
      <c r="H8609" s="7">
        <v>0</v>
      </c>
    </row>
    <row r="8610" spans="1:8">
      <c r="A8610">
        <v>7</v>
      </c>
      <c r="B8610" t="s">
        <v>46</v>
      </c>
      <c r="C8610" t="s">
        <v>35</v>
      </c>
      <c r="D8610">
        <v>0</v>
      </c>
      <c r="E8610">
        <v>1</v>
      </c>
      <c r="F8610" s="7">
        <v>154690.87</v>
      </c>
      <c r="G8610">
        <v>0</v>
      </c>
      <c r="H8610" s="7">
        <v>0</v>
      </c>
    </row>
    <row r="8611" spans="1:8">
      <c r="A8611">
        <v>7</v>
      </c>
      <c r="B8611" t="s">
        <v>46</v>
      </c>
      <c r="C8611" t="s">
        <v>35</v>
      </c>
      <c r="D8611">
        <v>0</v>
      </c>
      <c r="E8611">
        <v>1</v>
      </c>
      <c r="F8611" s="7">
        <v>384933.62</v>
      </c>
      <c r="G8611">
        <v>0</v>
      </c>
      <c r="H8611" s="7">
        <v>0</v>
      </c>
    </row>
    <row r="8612" spans="1:8">
      <c r="A8612">
        <v>7</v>
      </c>
      <c r="B8612" t="s">
        <v>46</v>
      </c>
      <c r="C8612" t="s">
        <v>34</v>
      </c>
      <c r="D8612">
        <v>0</v>
      </c>
      <c r="E8612">
        <v>1</v>
      </c>
      <c r="F8612" s="7">
        <v>66285.09</v>
      </c>
      <c r="G8612">
        <v>0</v>
      </c>
      <c r="H8612" s="7">
        <v>0</v>
      </c>
    </row>
    <row r="8613" spans="1:8">
      <c r="A8613">
        <v>7</v>
      </c>
      <c r="B8613" t="s">
        <v>46</v>
      </c>
      <c r="C8613" t="s">
        <v>34</v>
      </c>
      <c r="D8613">
        <v>0</v>
      </c>
      <c r="E8613">
        <v>1</v>
      </c>
      <c r="F8613" s="7">
        <v>75820.36</v>
      </c>
      <c r="G8613">
        <v>0</v>
      </c>
      <c r="H8613" s="7">
        <v>0</v>
      </c>
    </row>
    <row r="8614" spans="1:8">
      <c r="A8614">
        <v>7</v>
      </c>
      <c r="B8614" t="s">
        <v>46</v>
      </c>
      <c r="C8614" t="s">
        <v>33</v>
      </c>
      <c r="D8614">
        <v>0</v>
      </c>
      <c r="E8614">
        <v>1</v>
      </c>
      <c r="F8614" s="7">
        <v>7416.07</v>
      </c>
      <c r="G8614">
        <v>0</v>
      </c>
      <c r="H8614" s="7">
        <v>0</v>
      </c>
    </row>
    <row r="8615" spans="1:8">
      <c r="A8615">
        <v>7</v>
      </c>
      <c r="B8615" t="s">
        <v>46</v>
      </c>
      <c r="C8615" t="s">
        <v>34</v>
      </c>
      <c r="D8615">
        <v>0</v>
      </c>
      <c r="E8615">
        <v>1</v>
      </c>
      <c r="F8615" s="7">
        <v>54980.53</v>
      </c>
      <c r="G8615">
        <v>0</v>
      </c>
      <c r="H8615" s="7">
        <v>0</v>
      </c>
    </row>
    <row r="8616" spans="1:8">
      <c r="A8616">
        <v>7</v>
      </c>
      <c r="B8616" t="s">
        <v>46</v>
      </c>
      <c r="C8616" t="s">
        <v>34</v>
      </c>
      <c r="D8616">
        <v>0</v>
      </c>
      <c r="E8616">
        <v>1</v>
      </c>
      <c r="F8616" s="7">
        <v>80309.19</v>
      </c>
      <c r="G8616">
        <v>0</v>
      </c>
      <c r="H8616" s="7">
        <v>0</v>
      </c>
    </row>
    <row r="8617" spans="1:8">
      <c r="A8617">
        <v>7</v>
      </c>
      <c r="B8617" t="s">
        <v>46</v>
      </c>
      <c r="C8617" t="s">
        <v>35</v>
      </c>
      <c r="D8617">
        <v>0</v>
      </c>
      <c r="E8617">
        <v>1</v>
      </c>
      <c r="F8617" s="7">
        <v>118512.83</v>
      </c>
      <c r="G8617">
        <v>0</v>
      </c>
      <c r="H8617" s="7">
        <v>0</v>
      </c>
    </row>
    <row r="8618" spans="1:8">
      <c r="A8618">
        <v>7</v>
      </c>
      <c r="B8618" t="s">
        <v>46</v>
      </c>
      <c r="C8618" t="s">
        <v>34</v>
      </c>
      <c r="D8618">
        <v>0</v>
      </c>
      <c r="E8618">
        <v>1</v>
      </c>
      <c r="F8618" s="7">
        <v>61874.41</v>
      </c>
      <c r="G8618">
        <v>0</v>
      </c>
      <c r="H8618" s="7">
        <v>0</v>
      </c>
    </row>
    <row r="8619" spans="1:8">
      <c r="A8619">
        <v>7</v>
      </c>
      <c r="B8619" t="s">
        <v>46</v>
      </c>
      <c r="C8619" t="s">
        <v>34</v>
      </c>
      <c r="D8619">
        <v>0</v>
      </c>
      <c r="E8619">
        <v>1</v>
      </c>
      <c r="F8619" s="7">
        <v>53033.94</v>
      </c>
      <c r="G8619">
        <v>0</v>
      </c>
      <c r="H8619" s="7">
        <v>0</v>
      </c>
    </row>
    <row r="8620" spans="1:8">
      <c r="A8620">
        <v>7</v>
      </c>
      <c r="B8620" t="s">
        <v>46</v>
      </c>
      <c r="C8620" t="s">
        <v>34</v>
      </c>
      <c r="D8620">
        <v>0</v>
      </c>
      <c r="E8620">
        <v>1</v>
      </c>
      <c r="F8620" s="7">
        <v>16805.03</v>
      </c>
      <c r="G8620">
        <v>0</v>
      </c>
      <c r="H8620" s="7">
        <v>0</v>
      </c>
    </row>
    <row r="8621" spans="1:8">
      <c r="A8621">
        <v>7</v>
      </c>
      <c r="B8621" t="s">
        <v>46</v>
      </c>
      <c r="C8621" t="s">
        <v>35</v>
      </c>
      <c r="D8621">
        <v>0</v>
      </c>
      <c r="E8621">
        <v>1</v>
      </c>
      <c r="F8621" s="7">
        <v>264788.06</v>
      </c>
      <c r="G8621">
        <v>0</v>
      </c>
      <c r="H8621" s="7">
        <v>0</v>
      </c>
    </row>
    <row r="8622" spans="1:8">
      <c r="A8622">
        <v>7</v>
      </c>
      <c r="B8622" t="s">
        <v>46</v>
      </c>
      <c r="C8622" t="s">
        <v>35</v>
      </c>
      <c r="D8622">
        <v>0</v>
      </c>
      <c r="E8622">
        <v>1</v>
      </c>
      <c r="F8622" s="7">
        <v>398322.86</v>
      </c>
      <c r="G8622">
        <v>0</v>
      </c>
      <c r="H8622" s="7">
        <v>0</v>
      </c>
    </row>
    <row r="8623" spans="1:8">
      <c r="A8623">
        <v>7</v>
      </c>
      <c r="B8623" t="s">
        <v>46</v>
      </c>
      <c r="C8623" t="s">
        <v>35</v>
      </c>
      <c r="D8623">
        <v>0</v>
      </c>
      <c r="E8623">
        <v>1</v>
      </c>
      <c r="F8623" s="7">
        <v>327344.43</v>
      </c>
      <c r="G8623">
        <v>0</v>
      </c>
      <c r="H8623" s="7">
        <v>0</v>
      </c>
    </row>
    <row r="8624" spans="1:8">
      <c r="A8624">
        <v>7</v>
      </c>
      <c r="B8624" t="s">
        <v>46</v>
      </c>
      <c r="C8624" t="s">
        <v>34</v>
      </c>
      <c r="D8624">
        <v>0</v>
      </c>
      <c r="E8624">
        <v>1</v>
      </c>
      <c r="F8624" s="7">
        <v>57483.87</v>
      </c>
      <c r="G8624">
        <v>0</v>
      </c>
      <c r="H8624" s="7">
        <v>0</v>
      </c>
    </row>
    <row r="8625" spans="1:8">
      <c r="A8625">
        <v>7</v>
      </c>
      <c r="B8625" t="s">
        <v>46</v>
      </c>
      <c r="C8625" t="s">
        <v>35</v>
      </c>
      <c r="D8625">
        <v>0</v>
      </c>
      <c r="E8625">
        <v>1</v>
      </c>
      <c r="F8625" s="7">
        <v>340150.56</v>
      </c>
      <c r="G8625">
        <v>0</v>
      </c>
      <c r="H8625" s="7">
        <v>0</v>
      </c>
    </row>
    <row r="8626" spans="1:8">
      <c r="A8626">
        <v>7</v>
      </c>
      <c r="B8626" t="s">
        <v>46</v>
      </c>
      <c r="C8626" t="s">
        <v>35</v>
      </c>
      <c r="D8626">
        <v>0</v>
      </c>
      <c r="E8626">
        <v>1</v>
      </c>
      <c r="F8626" s="7">
        <v>445805.73</v>
      </c>
      <c r="G8626">
        <v>0</v>
      </c>
      <c r="H8626" s="7">
        <v>0</v>
      </c>
    </row>
    <row r="8627" spans="1:8">
      <c r="A8627">
        <v>7</v>
      </c>
      <c r="B8627" t="s">
        <v>46</v>
      </c>
      <c r="C8627" t="s">
        <v>35</v>
      </c>
      <c r="D8627">
        <v>0</v>
      </c>
      <c r="E8627">
        <v>1</v>
      </c>
      <c r="F8627" s="7">
        <v>124840.02</v>
      </c>
      <c r="G8627">
        <v>0</v>
      </c>
      <c r="H8627" s="7">
        <v>0</v>
      </c>
    </row>
    <row r="8628" spans="1:8">
      <c r="A8628">
        <v>7</v>
      </c>
      <c r="B8628" t="s">
        <v>46</v>
      </c>
      <c r="C8628" t="s">
        <v>35</v>
      </c>
      <c r="D8628">
        <v>0</v>
      </c>
      <c r="E8628">
        <v>1</v>
      </c>
      <c r="F8628" s="7">
        <v>135249.93</v>
      </c>
      <c r="G8628">
        <v>0</v>
      </c>
      <c r="H8628" s="7">
        <v>0</v>
      </c>
    </row>
    <row r="8629" spans="1:8">
      <c r="A8629">
        <v>7</v>
      </c>
      <c r="B8629" t="s">
        <v>46</v>
      </c>
      <c r="C8629" t="s">
        <v>35</v>
      </c>
      <c r="D8629">
        <v>0</v>
      </c>
      <c r="E8629">
        <v>1</v>
      </c>
      <c r="F8629" s="7">
        <v>187825.52</v>
      </c>
      <c r="G8629">
        <v>0</v>
      </c>
      <c r="H8629" s="7">
        <v>0</v>
      </c>
    </row>
    <row r="8630" spans="1:8">
      <c r="A8630">
        <v>7</v>
      </c>
      <c r="B8630" t="s">
        <v>46</v>
      </c>
      <c r="C8630" t="s">
        <v>34</v>
      </c>
      <c r="D8630">
        <v>0</v>
      </c>
      <c r="E8630">
        <v>1</v>
      </c>
      <c r="F8630" s="7">
        <v>25554.54</v>
      </c>
      <c r="G8630">
        <v>0</v>
      </c>
      <c r="H8630" s="7">
        <v>0</v>
      </c>
    </row>
    <row r="8631" spans="1:8">
      <c r="A8631">
        <v>7</v>
      </c>
      <c r="B8631" t="s">
        <v>46</v>
      </c>
      <c r="C8631" t="s">
        <v>35</v>
      </c>
      <c r="D8631">
        <v>0</v>
      </c>
      <c r="E8631">
        <v>1</v>
      </c>
      <c r="F8631" s="7">
        <v>285639.93</v>
      </c>
      <c r="G8631">
        <v>0</v>
      </c>
      <c r="H8631" s="7">
        <v>0</v>
      </c>
    </row>
    <row r="8632" spans="1:8">
      <c r="A8632">
        <v>7</v>
      </c>
      <c r="B8632" t="s">
        <v>46</v>
      </c>
      <c r="C8632" t="s">
        <v>35</v>
      </c>
      <c r="D8632">
        <v>0</v>
      </c>
      <c r="E8632">
        <v>1</v>
      </c>
      <c r="F8632" s="7">
        <v>170689.79</v>
      </c>
      <c r="G8632">
        <v>0</v>
      </c>
      <c r="H8632" s="7">
        <v>0</v>
      </c>
    </row>
    <row r="8633" spans="1:8">
      <c r="A8633">
        <v>7</v>
      </c>
      <c r="B8633" t="s">
        <v>42</v>
      </c>
      <c r="C8633" t="s">
        <v>33</v>
      </c>
      <c r="D8633">
        <v>0</v>
      </c>
      <c r="E8633">
        <v>1</v>
      </c>
      <c r="F8633" s="7">
        <v>2682.82</v>
      </c>
      <c r="G8633">
        <v>0</v>
      </c>
      <c r="H8633" s="7">
        <v>0</v>
      </c>
    </row>
    <row r="8634" spans="1:8">
      <c r="A8634">
        <v>7</v>
      </c>
      <c r="B8634" t="s">
        <v>42</v>
      </c>
      <c r="C8634" t="s">
        <v>34</v>
      </c>
      <c r="D8634">
        <v>0</v>
      </c>
      <c r="E8634">
        <v>1</v>
      </c>
      <c r="F8634" s="7">
        <v>13443.71</v>
      </c>
      <c r="G8634">
        <v>0</v>
      </c>
      <c r="H8634" s="7">
        <v>0</v>
      </c>
    </row>
    <row r="8635" spans="1:8">
      <c r="A8635">
        <v>7</v>
      </c>
      <c r="B8635" t="s">
        <v>42</v>
      </c>
      <c r="C8635" t="s">
        <v>32</v>
      </c>
      <c r="D8635">
        <v>0</v>
      </c>
      <c r="E8635">
        <v>1</v>
      </c>
      <c r="F8635" s="7">
        <v>594.18</v>
      </c>
      <c r="G8635">
        <v>0</v>
      </c>
      <c r="H8635" s="7">
        <v>0</v>
      </c>
    </row>
    <row r="8636" spans="1:8">
      <c r="A8636">
        <v>7</v>
      </c>
      <c r="B8636" t="s">
        <v>44</v>
      </c>
      <c r="C8636" t="s">
        <v>35</v>
      </c>
      <c r="D8636">
        <v>0</v>
      </c>
      <c r="E8636">
        <v>1</v>
      </c>
      <c r="F8636" s="7">
        <v>103928.78</v>
      </c>
      <c r="G8636">
        <v>0</v>
      </c>
      <c r="H8636" s="7">
        <v>0</v>
      </c>
    </row>
    <row r="8637" spans="1:8">
      <c r="A8637">
        <v>7</v>
      </c>
      <c r="B8637" t="s">
        <v>43</v>
      </c>
      <c r="C8637" t="s">
        <v>35</v>
      </c>
      <c r="D8637">
        <v>0</v>
      </c>
      <c r="E8637">
        <v>1</v>
      </c>
      <c r="F8637" s="7">
        <v>296833.68</v>
      </c>
      <c r="G8637">
        <v>0</v>
      </c>
      <c r="H8637" s="7">
        <v>0</v>
      </c>
    </row>
    <row r="8638" spans="1:8">
      <c r="A8638">
        <v>7</v>
      </c>
      <c r="B8638" t="s">
        <v>42</v>
      </c>
      <c r="C8638" t="s">
        <v>34</v>
      </c>
      <c r="D8638">
        <v>0</v>
      </c>
      <c r="E8638">
        <v>1</v>
      </c>
      <c r="F8638" s="7">
        <v>11695.85</v>
      </c>
      <c r="G8638">
        <v>0</v>
      </c>
      <c r="H8638" s="7">
        <v>0</v>
      </c>
    </row>
    <row r="8639" spans="1:8">
      <c r="A8639">
        <v>7</v>
      </c>
      <c r="B8639" t="s">
        <v>44</v>
      </c>
      <c r="C8639" t="s">
        <v>35</v>
      </c>
      <c r="D8639">
        <v>0</v>
      </c>
      <c r="E8639">
        <v>1</v>
      </c>
      <c r="F8639" s="7">
        <v>341128.83</v>
      </c>
      <c r="G8639">
        <v>0</v>
      </c>
      <c r="H8639" s="7">
        <v>0</v>
      </c>
    </row>
    <row r="8640" spans="1:8">
      <c r="A8640">
        <v>7</v>
      </c>
      <c r="B8640" t="s">
        <v>42</v>
      </c>
      <c r="C8640" t="s">
        <v>33</v>
      </c>
      <c r="D8640">
        <v>0</v>
      </c>
      <c r="E8640">
        <v>1</v>
      </c>
      <c r="F8640" s="7">
        <v>2990.38</v>
      </c>
      <c r="G8640">
        <v>0</v>
      </c>
      <c r="H8640" s="7">
        <v>0</v>
      </c>
    </row>
    <row r="8641" spans="1:8">
      <c r="A8641">
        <v>7</v>
      </c>
      <c r="B8641" t="s">
        <v>42</v>
      </c>
      <c r="C8641" t="s">
        <v>34</v>
      </c>
      <c r="D8641">
        <v>0</v>
      </c>
      <c r="E8641">
        <v>1</v>
      </c>
      <c r="F8641" s="7">
        <v>16251.8</v>
      </c>
      <c r="G8641">
        <v>0</v>
      </c>
      <c r="H8641" s="7">
        <v>0</v>
      </c>
    </row>
    <row r="8642" spans="1:8">
      <c r="A8642">
        <v>7</v>
      </c>
      <c r="B8642" t="s">
        <v>42</v>
      </c>
      <c r="C8642" t="s">
        <v>33</v>
      </c>
      <c r="D8642">
        <v>0</v>
      </c>
      <c r="E8642">
        <v>1</v>
      </c>
      <c r="F8642" s="7">
        <v>1353.75</v>
      </c>
      <c r="G8642">
        <v>0</v>
      </c>
      <c r="H8642" s="7">
        <v>0</v>
      </c>
    </row>
    <row r="8643" spans="1:8">
      <c r="A8643">
        <v>7</v>
      </c>
      <c r="B8643" t="s">
        <v>42</v>
      </c>
      <c r="C8643" t="s">
        <v>33</v>
      </c>
      <c r="D8643">
        <v>0</v>
      </c>
      <c r="E8643">
        <v>1</v>
      </c>
      <c r="F8643" s="7">
        <v>5297.9</v>
      </c>
      <c r="G8643">
        <v>0</v>
      </c>
      <c r="H8643" s="7">
        <v>0</v>
      </c>
    </row>
    <row r="8644" spans="1:8">
      <c r="A8644">
        <v>7</v>
      </c>
      <c r="B8644" t="s">
        <v>42</v>
      </c>
      <c r="C8644" t="s">
        <v>33</v>
      </c>
      <c r="D8644">
        <v>0</v>
      </c>
      <c r="E8644">
        <v>1</v>
      </c>
      <c r="F8644" s="7">
        <v>6081.69</v>
      </c>
      <c r="G8644">
        <v>0</v>
      </c>
      <c r="H8644" s="7">
        <v>0</v>
      </c>
    </row>
    <row r="8645" spans="1:8">
      <c r="A8645">
        <v>7</v>
      </c>
      <c r="B8645" t="s">
        <v>42</v>
      </c>
      <c r="C8645" t="s">
        <v>33</v>
      </c>
      <c r="D8645">
        <v>0</v>
      </c>
      <c r="E8645">
        <v>1</v>
      </c>
      <c r="F8645" s="7">
        <v>5067.26</v>
      </c>
      <c r="G8645">
        <v>0</v>
      </c>
      <c r="H8645" s="7">
        <v>0</v>
      </c>
    </row>
    <row r="8646" spans="1:8">
      <c r="A8646">
        <v>7</v>
      </c>
      <c r="B8646" t="s">
        <v>42</v>
      </c>
      <c r="C8646" t="s">
        <v>33</v>
      </c>
      <c r="D8646">
        <v>0</v>
      </c>
      <c r="E8646">
        <v>1</v>
      </c>
      <c r="F8646" s="7">
        <v>4264.39</v>
      </c>
      <c r="G8646">
        <v>0</v>
      </c>
      <c r="H8646" s="7">
        <v>0</v>
      </c>
    </row>
    <row r="8647" spans="1:8">
      <c r="A8647">
        <v>7</v>
      </c>
      <c r="B8647" t="s">
        <v>42</v>
      </c>
      <c r="C8647" t="s">
        <v>33</v>
      </c>
      <c r="D8647">
        <v>0</v>
      </c>
      <c r="E8647">
        <v>1</v>
      </c>
      <c r="F8647" s="7">
        <v>6109.04</v>
      </c>
      <c r="G8647">
        <v>0</v>
      </c>
      <c r="H8647" s="7">
        <v>0</v>
      </c>
    </row>
    <row r="8648" spans="1:8">
      <c r="A8648">
        <v>7</v>
      </c>
      <c r="B8648" t="s">
        <v>44</v>
      </c>
      <c r="C8648" t="s">
        <v>34</v>
      </c>
      <c r="D8648">
        <v>0</v>
      </c>
      <c r="E8648">
        <v>1</v>
      </c>
      <c r="F8648" s="7">
        <v>24050.25</v>
      </c>
      <c r="G8648">
        <v>0</v>
      </c>
      <c r="H8648" s="7">
        <v>0</v>
      </c>
    </row>
    <row r="8649" spans="1:8">
      <c r="A8649">
        <v>7</v>
      </c>
      <c r="B8649" t="s">
        <v>43</v>
      </c>
      <c r="C8649" t="s">
        <v>35</v>
      </c>
      <c r="D8649">
        <v>0</v>
      </c>
      <c r="E8649">
        <v>1</v>
      </c>
      <c r="F8649" s="7">
        <v>472132.78</v>
      </c>
      <c r="G8649">
        <v>0</v>
      </c>
      <c r="H8649" s="7">
        <v>0</v>
      </c>
    </row>
    <row r="8650" spans="1:8">
      <c r="A8650">
        <v>7</v>
      </c>
      <c r="B8650" t="s">
        <v>42</v>
      </c>
      <c r="C8650" t="s">
        <v>33</v>
      </c>
      <c r="D8650">
        <v>0</v>
      </c>
      <c r="E8650">
        <v>1</v>
      </c>
      <c r="F8650" s="7">
        <v>2752.29</v>
      </c>
      <c r="G8650">
        <v>0</v>
      </c>
      <c r="H8650" s="7">
        <v>0</v>
      </c>
    </row>
    <row r="8651" spans="1:8">
      <c r="A8651">
        <v>7</v>
      </c>
      <c r="B8651" t="s">
        <v>42</v>
      </c>
      <c r="C8651" t="s">
        <v>34</v>
      </c>
      <c r="D8651">
        <v>0</v>
      </c>
      <c r="E8651">
        <v>1</v>
      </c>
      <c r="F8651" s="7">
        <v>12102.76</v>
      </c>
      <c r="G8651">
        <v>0</v>
      </c>
      <c r="H8651" s="7">
        <v>0</v>
      </c>
    </row>
    <row r="8652" spans="1:8">
      <c r="A8652">
        <v>7</v>
      </c>
      <c r="B8652" t="s">
        <v>42</v>
      </c>
      <c r="C8652" t="s">
        <v>33</v>
      </c>
      <c r="D8652">
        <v>0</v>
      </c>
      <c r="E8652">
        <v>1</v>
      </c>
      <c r="F8652" s="7">
        <v>4400.63</v>
      </c>
      <c r="G8652">
        <v>0</v>
      </c>
      <c r="H8652" s="7">
        <v>0</v>
      </c>
    </row>
    <row r="8653" spans="1:8">
      <c r="A8653">
        <v>7</v>
      </c>
      <c r="B8653" t="s">
        <v>43</v>
      </c>
      <c r="C8653" t="s">
        <v>34</v>
      </c>
      <c r="D8653">
        <v>0</v>
      </c>
      <c r="E8653">
        <v>1</v>
      </c>
      <c r="F8653" s="7">
        <v>34789.73</v>
      </c>
      <c r="G8653">
        <v>0</v>
      </c>
      <c r="H8653" s="7">
        <v>0</v>
      </c>
    </row>
    <row r="8654" spans="1:8">
      <c r="A8654">
        <v>7</v>
      </c>
      <c r="B8654" t="s">
        <v>42</v>
      </c>
      <c r="C8654" t="s">
        <v>33</v>
      </c>
      <c r="D8654">
        <v>0</v>
      </c>
      <c r="E8654">
        <v>1</v>
      </c>
      <c r="F8654" s="7">
        <v>8047</v>
      </c>
      <c r="G8654">
        <v>0</v>
      </c>
      <c r="H8654" s="7">
        <v>0</v>
      </c>
    </row>
    <row r="8655" spans="1:8">
      <c r="A8655">
        <v>7</v>
      </c>
      <c r="B8655" t="s">
        <v>42</v>
      </c>
      <c r="C8655" t="s">
        <v>33</v>
      </c>
      <c r="D8655">
        <v>0</v>
      </c>
      <c r="E8655">
        <v>1</v>
      </c>
      <c r="F8655" s="7">
        <v>6692.42</v>
      </c>
      <c r="G8655">
        <v>0</v>
      </c>
      <c r="H8655" s="7">
        <v>0</v>
      </c>
    </row>
    <row r="8656" spans="1:8">
      <c r="A8656">
        <v>7</v>
      </c>
      <c r="B8656" t="s">
        <v>42</v>
      </c>
      <c r="C8656" t="s">
        <v>33</v>
      </c>
      <c r="D8656">
        <v>0</v>
      </c>
      <c r="E8656">
        <v>1</v>
      </c>
      <c r="F8656" s="7">
        <v>2362.37</v>
      </c>
      <c r="G8656">
        <v>0</v>
      </c>
      <c r="H8656" s="7">
        <v>0</v>
      </c>
    </row>
    <row r="8657" spans="1:8">
      <c r="A8657">
        <v>7</v>
      </c>
      <c r="B8657" t="s">
        <v>42</v>
      </c>
      <c r="C8657" t="s">
        <v>33</v>
      </c>
      <c r="D8657">
        <v>0</v>
      </c>
      <c r="E8657">
        <v>1</v>
      </c>
      <c r="F8657" s="7">
        <v>4897.95</v>
      </c>
      <c r="G8657">
        <v>0</v>
      </c>
      <c r="H8657" s="7">
        <v>0</v>
      </c>
    </row>
    <row r="8658" spans="1:8">
      <c r="A8658">
        <v>7</v>
      </c>
      <c r="B8658" t="s">
        <v>44</v>
      </c>
      <c r="C8658" t="s">
        <v>35</v>
      </c>
      <c r="D8658">
        <v>0</v>
      </c>
      <c r="E8658">
        <v>1</v>
      </c>
      <c r="F8658" s="7">
        <v>223690.38</v>
      </c>
      <c r="G8658">
        <v>0</v>
      </c>
      <c r="H8658" s="7">
        <v>0</v>
      </c>
    </row>
    <row r="8659" spans="1:8">
      <c r="A8659">
        <v>7</v>
      </c>
      <c r="B8659" t="s">
        <v>42</v>
      </c>
      <c r="C8659" t="s">
        <v>34</v>
      </c>
      <c r="D8659">
        <v>0</v>
      </c>
      <c r="E8659">
        <v>1</v>
      </c>
      <c r="F8659" s="7">
        <v>16636</v>
      </c>
      <c r="G8659">
        <v>0</v>
      </c>
      <c r="H8659" s="7">
        <v>0</v>
      </c>
    </row>
    <row r="8660" spans="1:8">
      <c r="A8660">
        <v>7</v>
      </c>
      <c r="B8660" t="s">
        <v>42</v>
      </c>
      <c r="C8660" t="s">
        <v>34</v>
      </c>
      <c r="D8660">
        <v>0</v>
      </c>
      <c r="E8660">
        <v>1</v>
      </c>
      <c r="F8660" s="7">
        <v>19860.3</v>
      </c>
      <c r="G8660">
        <v>0</v>
      </c>
      <c r="H8660" s="7">
        <v>0</v>
      </c>
    </row>
    <row r="8661" spans="1:8">
      <c r="A8661">
        <v>7</v>
      </c>
      <c r="B8661" t="s">
        <v>44</v>
      </c>
      <c r="C8661" t="s">
        <v>35</v>
      </c>
      <c r="D8661">
        <v>0</v>
      </c>
      <c r="E8661">
        <v>1</v>
      </c>
      <c r="F8661" s="7">
        <v>530888.87</v>
      </c>
      <c r="G8661">
        <v>0</v>
      </c>
      <c r="H8661" s="7">
        <v>0</v>
      </c>
    </row>
    <row r="8662" spans="1:8">
      <c r="A8662">
        <v>7</v>
      </c>
      <c r="B8662" t="s">
        <v>42</v>
      </c>
      <c r="C8662" t="s">
        <v>34</v>
      </c>
      <c r="D8662">
        <v>0</v>
      </c>
      <c r="E8662">
        <v>1</v>
      </c>
      <c r="F8662" s="7">
        <v>11167.76</v>
      </c>
      <c r="G8662">
        <v>0</v>
      </c>
      <c r="H8662" s="7">
        <v>0</v>
      </c>
    </row>
    <row r="8663" spans="1:8">
      <c r="A8663">
        <v>7</v>
      </c>
      <c r="B8663" t="s">
        <v>42</v>
      </c>
      <c r="C8663" t="s">
        <v>33</v>
      </c>
      <c r="D8663">
        <v>0</v>
      </c>
      <c r="E8663">
        <v>1</v>
      </c>
      <c r="F8663" s="7">
        <v>3674.17</v>
      </c>
      <c r="G8663">
        <v>0</v>
      </c>
      <c r="H8663" s="7">
        <v>0</v>
      </c>
    </row>
    <row r="8664" spans="1:8">
      <c r="A8664">
        <v>7</v>
      </c>
      <c r="B8664" t="s">
        <v>44</v>
      </c>
      <c r="C8664" t="s">
        <v>35</v>
      </c>
      <c r="D8664">
        <v>0</v>
      </c>
      <c r="E8664">
        <v>1</v>
      </c>
      <c r="F8664" s="7">
        <v>167410.09</v>
      </c>
      <c r="G8664">
        <v>0</v>
      </c>
      <c r="H8664" s="7">
        <v>0</v>
      </c>
    </row>
    <row r="8665" spans="1:8">
      <c r="A8665">
        <v>7</v>
      </c>
      <c r="B8665" t="s">
        <v>42</v>
      </c>
      <c r="C8665" t="s">
        <v>33</v>
      </c>
      <c r="D8665">
        <v>0</v>
      </c>
      <c r="E8665">
        <v>1</v>
      </c>
      <c r="F8665" s="7">
        <v>7298.21</v>
      </c>
      <c r="G8665">
        <v>0</v>
      </c>
      <c r="H8665" s="7">
        <v>0</v>
      </c>
    </row>
    <row r="8666" spans="1:8">
      <c r="A8666">
        <v>7</v>
      </c>
      <c r="B8666" t="s">
        <v>42</v>
      </c>
      <c r="C8666" t="s">
        <v>33</v>
      </c>
      <c r="D8666">
        <v>0</v>
      </c>
      <c r="E8666">
        <v>1</v>
      </c>
      <c r="F8666" s="7">
        <v>4741.37</v>
      </c>
      <c r="G8666">
        <v>0</v>
      </c>
      <c r="H8666" s="7">
        <v>0</v>
      </c>
    </row>
    <row r="8667" spans="1:8">
      <c r="A8667">
        <v>7</v>
      </c>
      <c r="B8667" t="s">
        <v>42</v>
      </c>
      <c r="C8667" t="s">
        <v>33</v>
      </c>
      <c r="D8667">
        <v>0</v>
      </c>
      <c r="E8667">
        <v>1</v>
      </c>
      <c r="F8667" s="7">
        <v>4602.77</v>
      </c>
      <c r="G8667">
        <v>0</v>
      </c>
      <c r="H8667" s="7">
        <v>0</v>
      </c>
    </row>
    <row r="8668" spans="1:8">
      <c r="A8668">
        <v>7</v>
      </c>
      <c r="B8668" t="s">
        <v>42</v>
      </c>
      <c r="C8668" t="s">
        <v>32</v>
      </c>
      <c r="D8668">
        <v>0</v>
      </c>
      <c r="E8668">
        <v>1</v>
      </c>
      <c r="F8668" s="7">
        <v>416.8</v>
      </c>
      <c r="G8668">
        <v>0</v>
      </c>
      <c r="H8668" s="7">
        <v>0</v>
      </c>
    </row>
    <row r="8669" spans="1:8">
      <c r="A8669">
        <v>7</v>
      </c>
      <c r="B8669" t="s">
        <v>44</v>
      </c>
      <c r="C8669" t="s">
        <v>35</v>
      </c>
      <c r="D8669">
        <v>0</v>
      </c>
      <c r="E8669">
        <v>1</v>
      </c>
      <c r="F8669" s="7">
        <v>255496.7</v>
      </c>
      <c r="G8669">
        <v>0</v>
      </c>
      <c r="H8669" s="7">
        <v>0</v>
      </c>
    </row>
    <row r="8670" spans="1:8">
      <c r="A8670">
        <v>7</v>
      </c>
      <c r="B8670" t="s">
        <v>44</v>
      </c>
      <c r="C8670" t="s">
        <v>35</v>
      </c>
      <c r="D8670">
        <v>0</v>
      </c>
      <c r="E8670">
        <v>1</v>
      </c>
      <c r="F8670" s="7">
        <v>232784.28</v>
      </c>
      <c r="G8670">
        <v>0</v>
      </c>
      <c r="H8670" s="7">
        <v>0</v>
      </c>
    </row>
    <row r="8671" spans="1:8">
      <c r="A8671">
        <v>7</v>
      </c>
      <c r="B8671" t="s">
        <v>45</v>
      </c>
      <c r="C8671" t="s">
        <v>33</v>
      </c>
      <c r="D8671">
        <v>0</v>
      </c>
      <c r="E8671">
        <v>1</v>
      </c>
      <c r="F8671" s="7">
        <v>4360.87</v>
      </c>
      <c r="G8671">
        <v>0</v>
      </c>
      <c r="H8671" s="7">
        <v>0</v>
      </c>
    </row>
    <row r="8672" spans="1:8">
      <c r="A8672">
        <v>7</v>
      </c>
      <c r="B8672" t="s">
        <v>42</v>
      </c>
      <c r="C8672" t="s">
        <v>32</v>
      </c>
      <c r="D8672">
        <v>0</v>
      </c>
      <c r="E8672">
        <v>1</v>
      </c>
      <c r="F8672" s="7">
        <v>174.29</v>
      </c>
      <c r="G8672">
        <v>0</v>
      </c>
      <c r="H8672" s="7">
        <v>0</v>
      </c>
    </row>
    <row r="8673" spans="1:8">
      <c r="A8673">
        <v>7</v>
      </c>
      <c r="B8673" t="s">
        <v>44</v>
      </c>
      <c r="C8673" t="s">
        <v>35</v>
      </c>
      <c r="D8673">
        <v>0</v>
      </c>
      <c r="E8673">
        <v>1</v>
      </c>
      <c r="F8673" s="7">
        <v>147392.81</v>
      </c>
      <c r="G8673">
        <v>0</v>
      </c>
      <c r="H8673" s="7">
        <v>0</v>
      </c>
    </row>
    <row r="8674" spans="1:8">
      <c r="A8674">
        <v>7</v>
      </c>
      <c r="B8674" t="s">
        <v>42</v>
      </c>
      <c r="C8674" t="s">
        <v>33</v>
      </c>
      <c r="D8674">
        <v>0</v>
      </c>
      <c r="E8674">
        <v>1</v>
      </c>
      <c r="F8674" s="7">
        <v>2669.69</v>
      </c>
      <c r="G8674">
        <v>0</v>
      </c>
      <c r="H8674" s="7">
        <v>0</v>
      </c>
    </row>
    <row r="8675" spans="1:8">
      <c r="A8675">
        <v>7</v>
      </c>
      <c r="B8675" t="s">
        <v>42</v>
      </c>
      <c r="C8675" t="s">
        <v>34</v>
      </c>
      <c r="D8675">
        <v>0</v>
      </c>
      <c r="E8675">
        <v>1</v>
      </c>
      <c r="F8675" s="7">
        <v>16038.8</v>
      </c>
      <c r="G8675">
        <v>0</v>
      </c>
      <c r="H8675" s="7">
        <v>0</v>
      </c>
    </row>
    <row r="8676" spans="1:8">
      <c r="A8676">
        <v>7</v>
      </c>
      <c r="B8676" t="s">
        <v>42</v>
      </c>
      <c r="C8676" t="s">
        <v>33</v>
      </c>
      <c r="D8676">
        <v>0</v>
      </c>
      <c r="E8676">
        <v>1</v>
      </c>
      <c r="F8676" s="7">
        <v>8663.77</v>
      </c>
      <c r="G8676">
        <v>0</v>
      </c>
      <c r="H8676" s="7">
        <v>0</v>
      </c>
    </row>
    <row r="8677" spans="1:8">
      <c r="A8677">
        <v>7</v>
      </c>
      <c r="B8677" t="s">
        <v>42</v>
      </c>
      <c r="C8677" t="s">
        <v>33</v>
      </c>
      <c r="D8677">
        <v>0</v>
      </c>
      <c r="E8677">
        <v>1</v>
      </c>
      <c r="F8677" s="7">
        <v>2837.05</v>
      </c>
      <c r="G8677">
        <v>0</v>
      </c>
      <c r="H8677" s="7">
        <v>0</v>
      </c>
    </row>
    <row r="8678" spans="1:8">
      <c r="A8678">
        <v>7</v>
      </c>
      <c r="B8678" t="s">
        <v>42</v>
      </c>
      <c r="C8678" t="s">
        <v>33</v>
      </c>
      <c r="D8678">
        <v>0</v>
      </c>
      <c r="E8678">
        <v>1</v>
      </c>
      <c r="F8678" s="7">
        <v>7335.24</v>
      </c>
      <c r="G8678">
        <v>0</v>
      </c>
      <c r="H8678" s="7">
        <v>0</v>
      </c>
    </row>
    <row r="8679" spans="1:8">
      <c r="A8679">
        <v>7</v>
      </c>
      <c r="B8679" t="s">
        <v>42</v>
      </c>
      <c r="C8679" t="s">
        <v>33</v>
      </c>
      <c r="D8679">
        <v>0</v>
      </c>
      <c r="E8679">
        <v>1</v>
      </c>
      <c r="F8679" s="7">
        <v>4300.78</v>
      </c>
      <c r="G8679">
        <v>0</v>
      </c>
      <c r="H8679" s="7">
        <v>0</v>
      </c>
    </row>
    <row r="8680" spans="1:8">
      <c r="A8680">
        <v>7</v>
      </c>
      <c r="B8680" t="s">
        <v>43</v>
      </c>
      <c r="C8680" t="s">
        <v>35</v>
      </c>
      <c r="D8680">
        <v>0</v>
      </c>
      <c r="E8680">
        <v>1</v>
      </c>
      <c r="F8680" s="7">
        <v>335362.53</v>
      </c>
      <c r="G8680">
        <v>0</v>
      </c>
      <c r="H8680" s="7">
        <v>0</v>
      </c>
    </row>
    <row r="8681" spans="1:8">
      <c r="A8681">
        <v>7</v>
      </c>
      <c r="B8681" t="s">
        <v>42</v>
      </c>
      <c r="C8681" t="s">
        <v>33</v>
      </c>
      <c r="D8681">
        <v>0</v>
      </c>
      <c r="E8681">
        <v>1</v>
      </c>
      <c r="F8681" s="7">
        <v>1483.31</v>
      </c>
      <c r="G8681">
        <v>0</v>
      </c>
      <c r="H8681" s="7">
        <v>0</v>
      </c>
    </row>
    <row r="8682" spans="1:8">
      <c r="A8682">
        <v>7</v>
      </c>
      <c r="B8682" t="s">
        <v>42</v>
      </c>
      <c r="C8682" t="s">
        <v>33</v>
      </c>
      <c r="D8682">
        <v>0</v>
      </c>
      <c r="E8682">
        <v>1</v>
      </c>
      <c r="F8682" s="7">
        <v>7744.38</v>
      </c>
      <c r="G8682">
        <v>0</v>
      </c>
      <c r="H8682" s="7">
        <v>0</v>
      </c>
    </row>
    <row r="8683" spans="1:8">
      <c r="A8683">
        <v>7</v>
      </c>
      <c r="B8683" t="s">
        <v>42</v>
      </c>
      <c r="C8683" t="s">
        <v>33</v>
      </c>
      <c r="D8683">
        <v>0</v>
      </c>
      <c r="E8683">
        <v>1</v>
      </c>
      <c r="F8683" s="7">
        <v>8000.09</v>
      </c>
      <c r="G8683">
        <v>0</v>
      </c>
      <c r="H8683" s="7">
        <v>0</v>
      </c>
    </row>
    <row r="8684" spans="1:8">
      <c r="A8684">
        <v>7</v>
      </c>
      <c r="B8684" t="s">
        <v>43</v>
      </c>
      <c r="C8684" t="s">
        <v>35</v>
      </c>
      <c r="D8684">
        <v>0</v>
      </c>
      <c r="E8684">
        <v>1</v>
      </c>
      <c r="F8684" s="7">
        <v>608944.62</v>
      </c>
      <c r="G8684">
        <v>0</v>
      </c>
      <c r="H8684" s="7">
        <v>0</v>
      </c>
    </row>
    <row r="8685" spans="1:8">
      <c r="A8685">
        <v>7</v>
      </c>
      <c r="B8685" t="s">
        <v>42</v>
      </c>
      <c r="C8685" t="s">
        <v>33</v>
      </c>
      <c r="D8685">
        <v>0</v>
      </c>
      <c r="E8685">
        <v>1</v>
      </c>
      <c r="F8685" s="7">
        <v>5579.16</v>
      </c>
      <c r="G8685">
        <v>0</v>
      </c>
      <c r="H8685" s="7">
        <v>0</v>
      </c>
    </row>
    <row r="8686" spans="1:8">
      <c r="A8686">
        <v>7</v>
      </c>
      <c r="B8686" t="s">
        <v>42</v>
      </c>
      <c r="C8686" t="s">
        <v>33</v>
      </c>
      <c r="D8686">
        <v>0</v>
      </c>
      <c r="E8686">
        <v>1</v>
      </c>
      <c r="F8686" s="7">
        <v>5744.47</v>
      </c>
      <c r="G8686">
        <v>0</v>
      </c>
      <c r="H8686" s="7">
        <v>0</v>
      </c>
    </row>
    <row r="8687" spans="1:8">
      <c r="A8687">
        <v>7</v>
      </c>
      <c r="B8687" t="s">
        <v>43</v>
      </c>
      <c r="C8687" t="s">
        <v>36</v>
      </c>
      <c r="D8687">
        <v>0</v>
      </c>
      <c r="E8687">
        <v>1</v>
      </c>
      <c r="F8687" s="7">
        <v>1174893.26</v>
      </c>
      <c r="G8687">
        <v>0</v>
      </c>
      <c r="H8687" s="7">
        <v>0</v>
      </c>
    </row>
    <row r="8688" spans="1:8">
      <c r="A8688">
        <v>7</v>
      </c>
      <c r="B8688" t="s">
        <v>43</v>
      </c>
      <c r="C8688" t="s">
        <v>35</v>
      </c>
      <c r="D8688">
        <v>0</v>
      </c>
      <c r="E8688">
        <v>1</v>
      </c>
      <c r="F8688" s="7">
        <v>249943.5</v>
      </c>
      <c r="G8688">
        <v>0</v>
      </c>
      <c r="H8688" s="7">
        <v>0</v>
      </c>
    </row>
    <row r="8689" spans="1:8">
      <c r="A8689">
        <v>7</v>
      </c>
      <c r="B8689" t="s">
        <v>43</v>
      </c>
      <c r="C8689" t="s">
        <v>36</v>
      </c>
      <c r="D8689">
        <v>0</v>
      </c>
      <c r="E8689">
        <v>1</v>
      </c>
      <c r="F8689" s="7">
        <v>1664987.6</v>
      </c>
      <c r="G8689">
        <v>0</v>
      </c>
      <c r="H8689" s="7">
        <v>0</v>
      </c>
    </row>
    <row r="8690" spans="1:8">
      <c r="A8690">
        <v>7</v>
      </c>
      <c r="B8690" t="s">
        <v>43</v>
      </c>
      <c r="C8690" t="s">
        <v>36</v>
      </c>
      <c r="D8690">
        <v>0</v>
      </c>
      <c r="E8690">
        <v>1</v>
      </c>
      <c r="F8690" s="7">
        <v>1236739.5</v>
      </c>
      <c r="G8690">
        <v>0</v>
      </c>
      <c r="H8690" s="7">
        <v>0</v>
      </c>
    </row>
    <row r="8691" spans="1:8">
      <c r="A8691">
        <v>7</v>
      </c>
      <c r="B8691" t="s">
        <v>43</v>
      </c>
      <c r="C8691" t="s">
        <v>35</v>
      </c>
      <c r="D8691">
        <v>0</v>
      </c>
      <c r="E8691">
        <v>1</v>
      </c>
      <c r="F8691" s="7">
        <v>572028.89</v>
      </c>
      <c r="G8691">
        <v>0</v>
      </c>
      <c r="H8691" s="7">
        <v>0</v>
      </c>
    </row>
    <row r="8692" spans="1:8">
      <c r="A8692">
        <v>7</v>
      </c>
      <c r="B8692" t="s">
        <v>43</v>
      </c>
      <c r="C8692" t="s">
        <v>36</v>
      </c>
      <c r="D8692">
        <v>0</v>
      </c>
      <c r="E8692">
        <v>1</v>
      </c>
      <c r="F8692" s="7">
        <v>1532087.16</v>
      </c>
      <c r="G8692">
        <v>0</v>
      </c>
      <c r="H8692" s="7">
        <v>0</v>
      </c>
    </row>
    <row r="8693" spans="1:8">
      <c r="A8693">
        <v>7</v>
      </c>
      <c r="B8693" t="s">
        <v>43</v>
      </c>
      <c r="C8693" t="s">
        <v>35</v>
      </c>
      <c r="D8693">
        <v>0</v>
      </c>
      <c r="E8693">
        <v>1</v>
      </c>
      <c r="F8693" s="7">
        <v>294581.69</v>
      </c>
      <c r="G8693">
        <v>0</v>
      </c>
      <c r="H8693" s="7">
        <v>0</v>
      </c>
    </row>
    <row r="8694" spans="1:8">
      <c r="A8694">
        <v>7</v>
      </c>
      <c r="B8694" t="s">
        <v>43</v>
      </c>
      <c r="C8694" t="s">
        <v>34</v>
      </c>
      <c r="D8694">
        <v>0</v>
      </c>
      <c r="E8694">
        <v>1</v>
      </c>
      <c r="F8694" s="7">
        <v>16639.07</v>
      </c>
      <c r="G8694">
        <v>0</v>
      </c>
      <c r="H8694" s="7">
        <v>0</v>
      </c>
    </row>
    <row r="8695" spans="1:8">
      <c r="A8695">
        <v>7</v>
      </c>
      <c r="B8695" t="s">
        <v>43</v>
      </c>
      <c r="C8695" t="s">
        <v>34</v>
      </c>
      <c r="D8695">
        <v>0</v>
      </c>
      <c r="E8695">
        <v>1</v>
      </c>
      <c r="F8695" s="7">
        <v>40108.55</v>
      </c>
      <c r="G8695">
        <v>0</v>
      </c>
      <c r="H8695" s="7">
        <v>0</v>
      </c>
    </row>
    <row r="8696" spans="1:8">
      <c r="A8696">
        <v>7</v>
      </c>
      <c r="B8696" t="s">
        <v>43</v>
      </c>
      <c r="C8696" t="s">
        <v>35</v>
      </c>
      <c r="D8696">
        <v>0</v>
      </c>
      <c r="E8696">
        <v>1</v>
      </c>
      <c r="F8696" s="7">
        <v>130712.08</v>
      </c>
      <c r="G8696">
        <v>0</v>
      </c>
      <c r="H8696" s="7">
        <v>0</v>
      </c>
    </row>
    <row r="8697" spans="1:8">
      <c r="A8697">
        <v>7</v>
      </c>
      <c r="B8697" t="s">
        <v>43</v>
      </c>
      <c r="C8697" t="s">
        <v>35</v>
      </c>
      <c r="D8697">
        <v>0</v>
      </c>
      <c r="E8697">
        <v>1</v>
      </c>
      <c r="F8697" s="7">
        <v>767924</v>
      </c>
      <c r="G8697">
        <v>0</v>
      </c>
      <c r="H8697" s="7">
        <v>0</v>
      </c>
    </row>
    <row r="8698" spans="1:8">
      <c r="A8698">
        <v>7</v>
      </c>
      <c r="B8698" t="s">
        <v>43</v>
      </c>
      <c r="C8698" t="s">
        <v>35</v>
      </c>
      <c r="D8698">
        <v>0</v>
      </c>
      <c r="E8698">
        <v>1</v>
      </c>
      <c r="F8698" s="7">
        <v>397080.05</v>
      </c>
      <c r="G8698">
        <v>0</v>
      </c>
      <c r="H8698" s="7">
        <v>0</v>
      </c>
    </row>
    <row r="8699" spans="1:8">
      <c r="A8699">
        <v>7</v>
      </c>
      <c r="B8699" t="s">
        <v>43</v>
      </c>
      <c r="C8699" t="s">
        <v>35</v>
      </c>
      <c r="D8699">
        <v>0</v>
      </c>
      <c r="E8699">
        <v>1</v>
      </c>
      <c r="F8699" s="7">
        <v>179180.78</v>
      </c>
      <c r="G8699">
        <v>0</v>
      </c>
      <c r="H8699" s="7">
        <v>0</v>
      </c>
    </row>
    <row r="8700" spans="1:8">
      <c r="A8700">
        <v>7</v>
      </c>
      <c r="B8700" t="s">
        <v>43</v>
      </c>
      <c r="C8700" t="s">
        <v>35</v>
      </c>
      <c r="D8700">
        <v>0</v>
      </c>
      <c r="E8700">
        <v>1</v>
      </c>
      <c r="F8700" s="7">
        <v>442422.28</v>
      </c>
      <c r="G8700">
        <v>0</v>
      </c>
      <c r="H8700" s="7">
        <v>0</v>
      </c>
    </row>
    <row r="8701" spans="1:8">
      <c r="A8701">
        <v>7</v>
      </c>
      <c r="B8701" t="s">
        <v>43</v>
      </c>
      <c r="C8701" t="s">
        <v>35</v>
      </c>
      <c r="D8701">
        <v>0</v>
      </c>
      <c r="E8701">
        <v>1</v>
      </c>
      <c r="F8701" s="7">
        <v>490606.82</v>
      </c>
      <c r="G8701">
        <v>0</v>
      </c>
      <c r="H8701" s="7">
        <v>0</v>
      </c>
    </row>
    <row r="8702" spans="1:8">
      <c r="A8702">
        <v>7</v>
      </c>
      <c r="B8702" t="s">
        <v>42</v>
      </c>
      <c r="C8702" t="s">
        <v>33</v>
      </c>
      <c r="D8702">
        <v>0</v>
      </c>
      <c r="E8702">
        <v>1</v>
      </c>
      <c r="F8702" s="7">
        <v>5785.53</v>
      </c>
      <c r="G8702">
        <v>0</v>
      </c>
      <c r="H8702" s="7">
        <v>0</v>
      </c>
    </row>
    <row r="8703" spans="1:8">
      <c r="A8703">
        <v>7</v>
      </c>
      <c r="B8703" t="s">
        <v>44</v>
      </c>
      <c r="C8703" t="s">
        <v>34</v>
      </c>
      <c r="D8703">
        <v>0</v>
      </c>
      <c r="E8703">
        <v>1</v>
      </c>
      <c r="F8703" s="7">
        <v>60329.37</v>
      </c>
      <c r="G8703">
        <v>0</v>
      </c>
      <c r="H8703" s="7">
        <v>0</v>
      </c>
    </row>
    <row r="8704" spans="1:8">
      <c r="A8704">
        <v>7</v>
      </c>
      <c r="B8704" t="s">
        <v>44</v>
      </c>
      <c r="C8704" t="s">
        <v>35</v>
      </c>
      <c r="D8704">
        <v>0</v>
      </c>
      <c r="E8704">
        <v>1</v>
      </c>
      <c r="F8704" s="7">
        <v>253387.93</v>
      </c>
      <c r="G8704">
        <v>0</v>
      </c>
      <c r="H8704" s="7">
        <v>0</v>
      </c>
    </row>
    <row r="8705" spans="1:8">
      <c r="A8705">
        <v>7</v>
      </c>
      <c r="B8705" t="s">
        <v>44</v>
      </c>
      <c r="C8705" t="s">
        <v>35</v>
      </c>
      <c r="D8705">
        <v>0</v>
      </c>
      <c r="E8705">
        <v>1</v>
      </c>
      <c r="F8705" s="7">
        <v>103041.57</v>
      </c>
      <c r="G8705">
        <v>0</v>
      </c>
      <c r="H8705" s="7">
        <v>0</v>
      </c>
    </row>
    <row r="8706" spans="1:8">
      <c r="A8706">
        <v>7</v>
      </c>
      <c r="B8706" t="s">
        <v>44</v>
      </c>
      <c r="C8706" t="s">
        <v>34</v>
      </c>
      <c r="D8706">
        <v>0</v>
      </c>
      <c r="E8706">
        <v>1</v>
      </c>
      <c r="F8706" s="7">
        <v>72244.19</v>
      </c>
      <c r="G8706">
        <v>0</v>
      </c>
      <c r="H8706" s="7">
        <v>0</v>
      </c>
    </row>
    <row r="8707" spans="1:8">
      <c r="A8707">
        <v>7</v>
      </c>
      <c r="B8707" t="s">
        <v>44</v>
      </c>
      <c r="C8707" t="s">
        <v>35</v>
      </c>
      <c r="D8707">
        <v>0</v>
      </c>
      <c r="E8707">
        <v>1</v>
      </c>
      <c r="F8707" s="7">
        <v>329109.11</v>
      </c>
      <c r="G8707">
        <v>0</v>
      </c>
      <c r="H8707" s="7">
        <v>0</v>
      </c>
    </row>
    <row r="8708" spans="1:8">
      <c r="A8708">
        <v>7</v>
      </c>
      <c r="B8708" t="s">
        <v>44</v>
      </c>
      <c r="C8708" t="s">
        <v>35</v>
      </c>
      <c r="D8708">
        <v>0</v>
      </c>
      <c r="E8708">
        <v>1</v>
      </c>
      <c r="F8708" s="7">
        <v>140231.37</v>
      </c>
      <c r="G8708">
        <v>0</v>
      </c>
      <c r="H8708" s="7">
        <v>0</v>
      </c>
    </row>
    <row r="8709" spans="1:8">
      <c r="A8709">
        <v>7</v>
      </c>
      <c r="B8709" t="s">
        <v>44</v>
      </c>
      <c r="C8709" t="s">
        <v>35</v>
      </c>
      <c r="D8709">
        <v>0</v>
      </c>
      <c r="E8709">
        <v>1</v>
      </c>
      <c r="F8709" s="7">
        <v>166504.74</v>
      </c>
      <c r="G8709">
        <v>0</v>
      </c>
      <c r="H8709" s="7">
        <v>0</v>
      </c>
    </row>
    <row r="8710" spans="1:8">
      <c r="A8710">
        <v>7</v>
      </c>
      <c r="B8710" t="s">
        <v>44</v>
      </c>
      <c r="C8710" t="s">
        <v>35</v>
      </c>
      <c r="D8710">
        <v>0</v>
      </c>
      <c r="E8710">
        <v>1</v>
      </c>
      <c r="F8710" s="7">
        <v>105316.57</v>
      </c>
      <c r="G8710">
        <v>0</v>
      </c>
      <c r="H8710" s="7">
        <v>0</v>
      </c>
    </row>
    <row r="8711" spans="1:8">
      <c r="A8711">
        <v>7</v>
      </c>
      <c r="B8711" t="s">
        <v>44</v>
      </c>
      <c r="C8711" t="s">
        <v>34</v>
      </c>
      <c r="D8711">
        <v>0</v>
      </c>
      <c r="E8711">
        <v>1</v>
      </c>
      <c r="F8711" s="7">
        <v>10754.33</v>
      </c>
      <c r="G8711">
        <v>0</v>
      </c>
      <c r="H8711" s="7">
        <v>0</v>
      </c>
    </row>
    <row r="8712" spans="1:8">
      <c r="A8712">
        <v>7</v>
      </c>
      <c r="B8712" t="s">
        <v>44</v>
      </c>
      <c r="C8712" t="s">
        <v>35</v>
      </c>
      <c r="D8712">
        <v>0</v>
      </c>
      <c r="E8712">
        <v>1</v>
      </c>
      <c r="F8712" s="7">
        <v>315257.69</v>
      </c>
      <c r="G8712">
        <v>0</v>
      </c>
      <c r="H8712" s="7">
        <v>0</v>
      </c>
    </row>
    <row r="8713" spans="1:8">
      <c r="A8713">
        <v>7</v>
      </c>
      <c r="B8713" t="s">
        <v>44</v>
      </c>
      <c r="C8713" t="s">
        <v>35</v>
      </c>
      <c r="D8713">
        <v>0</v>
      </c>
      <c r="E8713">
        <v>1</v>
      </c>
      <c r="F8713" s="7">
        <v>177159.82</v>
      </c>
      <c r="G8713">
        <v>0</v>
      </c>
      <c r="H8713" s="7">
        <v>0</v>
      </c>
    </row>
    <row r="8714" spans="1:8">
      <c r="A8714">
        <v>7</v>
      </c>
      <c r="B8714" t="s">
        <v>44</v>
      </c>
      <c r="C8714" t="s">
        <v>35</v>
      </c>
      <c r="D8714">
        <v>0</v>
      </c>
      <c r="E8714">
        <v>1</v>
      </c>
      <c r="F8714" s="7">
        <v>156151.52</v>
      </c>
      <c r="G8714">
        <v>0</v>
      </c>
      <c r="H8714" s="7">
        <v>0</v>
      </c>
    </row>
    <row r="8715" spans="1:8">
      <c r="A8715">
        <v>7</v>
      </c>
      <c r="B8715" t="s">
        <v>44</v>
      </c>
      <c r="C8715" t="s">
        <v>35</v>
      </c>
      <c r="D8715">
        <v>0</v>
      </c>
      <c r="E8715">
        <v>1</v>
      </c>
      <c r="F8715" s="7">
        <v>109654.05</v>
      </c>
      <c r="G8715">
        <v>0</v>
      </c>
      <c r="H8715" s="7">
        <v>0</v>
      </c>
    </row>
    <row r="8716" spans="1:8">
      <c r="A8716">
        <v>7</v>
      </c>
      <c r="B8716" t="s">
        <v>44</v>
      </c>
      <c r="C8716" t="s">
        <v>35</v>
      </c>
      <c r="D8716">
        <v>0</v>
      </c>
      <c r="E8716">
        <v>1</v>
      </c>
      <c r="F8716" s="7">
        <v>309043.71</v>
      </c>
      <c r="G8716">
        <v>0</v>
      </c>
      <c r="H8716" s="7">
        <v>0</v>
      </c>
    </row>
    <row r="8717" spans="1:8">
      <c r="A8717">
        <v>7</v>
      </c>
      <c r="B8717" t="s">
        <v>44</v>
      </c>
      <c r="C8717" t="s">
        <v>35</v>
      </c>
      <c r="D8717">
        <v>0</v>
      </c>
      <c r="E8717">
        <v>1</v>
      </c>
      <c r="F8717" s="7">
        <v>109247.89</v>
      </c>
      <c r="G8717">
        <v>0</v>
      </c>
      <c r="H8717" s="7">
        <v>0</v>
      </c>
    </row>
    <row r="8718" spans="1:8">
      <c r="A8718">
        <v>7</v>
      </c>
      <c r="B8718" t="s">
        <v>44</v>
      </c>
      <c r="C8718" t="s">
        <v>35</v>
      </c>
      <c r="D8718">
        <v>0</v>
      </c>
      <c r="E8718">
        <v>1</v>
      </c>
      <c r="F8718" s="7">
        <v>191490.24</v>
      </c>
      <c r="G8718">
        <v>0</v>
      </c>
      <c r="H8718" s="7">
        <v>0</v>
      </c>
    </row>
    <row r="8719" spans="1:8">
      <c r="A8719">
        <v>7</v>
      </c>
      <c r="B8719" t="s">
        <v>44</v>
      </c>
      <c r="C8719" t="s">
        <v>35</v>
      </c>
      <c r="D8719">
        <v>0</v>
      </c>
      <c r="E8719">
        <v>1</v>
      </c>
      <c r="F8719" s="7">
        <v>140158.67</v>
      </c>
      <c r="G8719">
        <v>0</v>
      </c>
      <c r="H8719" s="7">
        <v>0</v>
      </c>
    </row>
    <row r="8720" spans="1:8">
      <c r="A8720">
        <v>7</v>
      </c>
      <c r="B8720" t="s">
        <v>44</v>
      </c>
      <c r="C8720" t="s">
        <v>35</v>
      </c>
      <c r="D8720">
        <v>0</v>
      </c>
      <c r="E8720">
        <v>1</v>
      </c>
      <c r="F8720" s="7">
        <v>126714.16</v>
      </c>
      <c r="G8720">
        <v>0</v>
      </c>
      <c r="H8720" s="7">
        <v>0</v>
      </c>
    </row>
    <row r="8721" spans="1:8">
      <c r="A8721">
        <v>7</v>
      </c>
      <c r="B8721" t="s">
        <v>44</v>
      </c>
      <c r="C8721" t="s">
        <v>34</v>
      </c>
      <c r="D8721">
        <v>0</v>
      </c>
      <c r="E8721">
        <v>1</v>
      </c>
      <c r="F8721" s="7">
        <v>47819.39</v>
      </c>
      <c r="G8721">
        <v>0</v>
      </c>
      <c r="H8721" s="7">
        <v>0</v>
      </c>
    </row>
    <row r="8722" spans="1:8">
      <c r="A8722">
        <v>7</v>
      </c>
      <c r="B8722" t="s">
        <v>44</v>
      </c>
      <c r="C8722" t="s">
        <v>34</v>
      </c>
      <c r="D8722">
        <v>0</v>
      </c>
      <c r="E8722">
        <v>1</v>
      </c>
      <c r="F8722" s="7">
        <v>78023.16</v>
      </c>
      <c r="G8722">
        <v>0</v>
      </c>
      <c r="H8722" s="7">
        <v>0</v>
      </c>
    </row>
    <row r="8723" spans="1:8">
      <c r="A8723">
        <v>7</v>
      </c>
      <c r="B8723" t="s">
        <v>44</v>
      </c>
      <c r="C8723" t="s">
        <v>34</v>
      </c>
      <c r="D8723">
        <v>0</v>
      </c>
      <c r="E8723">
        <v>1</v>
      </c>
      <c r="F8723" s="7">
        <v>55230.19</v>
      </c>
      <c r="G8723">
        <v>0</v>
      </c>
      <c r="H8723" s="7">
        <v>0</v>
      </c>
    </row>
    <row r="8724" spans="1:8">
      <c r="A8724">
        <v>7</v>
      </c>
      <c r="B8724" t="s">
        <v>44</v>
      </c>
      <c r="C8724" t="s">
        <v>35</v>
      </c>
      <c r="D8724">
        <v>0</v>
      </c>
      <c r="E8724">
        <v>1</v>
      </c>
      <c r="F8724" s="7">
        <v>123522.3</v>
      </c>
      <c r="G8724">
        <v>0</v>
      </c>
      <c r="H8724" s="7">
        <v>0</v>
      </c>
    </row>
    <row r="8725" spans="1:8">
      <c r="A8725">
        <v>7</v>
      </c>
      <c r="B8725" t="s">
        <v>44</v>
      </c>
      <c r="C8725" t="s">
        <v>35</v>
      </c>
      <c r="D8725">
        <v>0</v>
      </c>
      <c r="E8725">
        <v>1</v>
      </c>
      <c r="F8725" s="7">
        <v>281934.86</v>
      </c>
      <c r="G8725">
        <v>0</v>
      </c>
      <c r="H8725" s="7">
        <v>0</v>
      </c>
    </row>
    <row r="8726" spans="1:8">
      <c r="A8726">
        <v>7</v>
      </c>
      <c r="B8726" t="s">
        <v>44</v>
      </c>
      <c r="C8726" t="s">
        <v>35</v>
      </c>
      <c r="D8726">
        <v>0</v>
      </c>
      <c r="E8726">
        <v>1</v>
      </c>
      <c r="F8726" s="7">
        <v>261370.99</v>
      </c>
      <c r="G8726">
        <v>0</v>
      </c>
      <c r="H8726" s="7">
        <v>0</v>
      </c>
    </row>
    <row r="8727" spans="1:8">
      <c r="A8727">
        <v>7</v>
      </c>
      <c r="B8727" t="s">
        <v>44</v>
      </c>
      <c r="C8727" t="s">
        <v>34</v>
      </c>
      <c r="D8727">
        <v>0</v>
      </c>
      <c r="E8727">
        <v>1</v>
      </c>
      <c r="F8727" s="7">
        <v>48145.49</v>
      </c>
      <c r="G8727">
        <v>0</v>
      </c>
      <c r="H8727" s="7">
        <v>0</v>
      </c>
    </row>
    <row r="8728" spans="1:8">
      <c r="A8728">
        <v>7</v>
      </c>
      <c r="B8728" t="s">
        <v>44</v>
      </c>
      <c r="C8728" t="s">
        <v>35</v>
      </c>
      <c r="D8728">
        <v>0</v>
      </c>
      <c r="E8728">
        <v>1</v>
      </c>
      <c r="F8728" s="7">
        <v>284121.32</v>
      </c>
      <c r="G8728">
        <v>0</v>
      </c>
      <c r="H8728" s="7">
        <v>0</v>
      </c>
    </row>
    <row r="8729" spans="1:8">
      <c r="A8729">
        <v>7</v>
      </c>
      <c r="B8729" t="s">
        <v>44</v>
      </c>
      <c r="C8729" t="s">
        <v>35</v>
      </c>
      <c r="D8729">
        <v>0</v>
      </c>
      <c r="E8729">
        <v>1</v>
      </c>
      <c r="F8729" s="7">
        <v>578514.87</v>
      </c>
      <c r="G8729">
        <v>0</v>
      </c>
      <c r="H8729" s="7">
        <v>0</v>
      </c>
    </row>
    <row r="8730" spans="1:8">
      <c r="A8730">
        <v>7</v>
      </c>
      <c r="B8730" t="s">
        <v>44</v>
      </c>
      <c r="C8730" t="s">
        <v>34</v>
      </c>
      <c r="D8730">
        <v>0</v>
      </c>
      <c r="E8730">
        <v>1</v>
      </c>
      <c r="F8730" s="7">
        <v>74364.75</v>
      </c>
      <c r="G8730">
        <v>0</v>
      </c>
      <c r="H8730" s="7">
        <v>0</v>
      </c>
    </row>
    <row r="8731" spans="1:8">
      <c r="A8731">
        <v>7</v>
      </c>
      <c r="B8731" t="s">
        <v>44</v>
      </c>
      <c r="C8731" t="s">
        <v>35</v>
      </c>
      <c r="D8731">
        <v>0</v>
      </c>
      <c r="E8731">
        <v>1</v>
      </c>
      <c r="F8731" s="7">
        <v>151749.75</v>
      </c>
      <c r="G8731">
        <v>0</v>
      </c>
      <c r="H8731" s="7">
        <v>0</v>
      </c>
    </row>
    <row r="8732" spans="1:8">
      <c r="A8732">
        <v>7</v>
      </c>
      <c r="B8732" t="s">
        <v>44</v>
      </c>
      <c r="C8732" t="s">
        <v>34</v>
      </c>
      <c r="D8732">
        <v>0</v>
      </c>
      <c r="E8732">
        <v>1</v>
      </c>
      <c r="F8732" s="7">
        <v>72588.32</v>
      </c>
      <c r="G8732">
        <v>0</v>
      </c>
      <c r="H8732" s="7">
        <v>0</v>
      </c>
    </row>
    <row r="8733" spans="1:8">
      <c r="A8733">
        <v>7</v>
      </c>
      <c r="B8733" t="s">
        <v>44</v>
      </c>
      <c r="C8733" t="s">
        <v>35</v>
      </c>
      <c r="D8733">
        <v>0</v>
      </c>
      <c r="E8733">
        <v>1</v>
      </c>
      <c r="F8733" s="7">
        <v>248431.72</v>
      </c>
      <c r="G8733">
        <v>0</v>
      </c>
      <c r="H8733" s="7">
        <v>0</v>
      </c>
    </row>
    <row r="8734" spans="1:8">
      <c r="A8734">
        <v>7</v>
      </c>
      <c r="B8734" t="s">
        <v>44</v>
      </c>
      <c r="C8734" t="s">
        <v>35</v>
      </c>
      <c r="D8734">
        <v>0</v>
      </c>
      <c r="E8734">
        <v>1</v>
      </c>
      <c r="F8734" s="7">
        <v>243580.55</v>
      </c>
      <c r="G8734">
        <v>0</v>
      </c>
      <c r="H8734" s="7">
        <v>0</v>
      </c>
    </row>
    <row r="8735" spans="1:8">
      <c r="A8735">
        <v>7</v>
      </c>
      <c r="B8735" t="s">
        <v>44</v>
      </c>
      <c r="C8735" t="s">
        <v>35</v>
      </c>
      <c r="D8735">
        <v>0</v>
      </c>
      <c r="E8735">
        <v>1</v>
      </c>
      <c r="F8735" s="7">
        <v>239998.35</v>
      </c>
      <c r="G8735">
        <v>0</v>
      </c>
      <c r="H8735" s="7">
        <v>0</v>
      </c>
    </row>
    <row r="8736" spans="1:8">
      <c r="A8736">
        <v>7</v>
      </c>
      <c r="B8736" t="s">
        <v>44</v>
      </c>
      <c r="C8736" t="s">
        <v>35</v>
      </c>
      <c r="D8736">
        <v>0</v>
      </c>
      <c r="E8736">
        <v>1</v>
      </c>
      <c r="F8736" s="7">
        <v>385479.54</v>
      </c>
      <c r="G8736">
        <v>0</v>
      </c>
      <c r="H8736" s="7">
        <v>0</v>
      </c>
    </row>
    <row r="8737" spans="1:8">
      <c r="A8737">
        <v>7</v>
      </c>
      <c r="B8737" t="s">
        <v>44</v>
      </c>
      <c r="C8737" t="s">
        <v>34</v>
      </c>
      <c r="D8737">
        <v>0</v>
      </c>
      <c r="E8737">
        <v>1</v>
      </c>
      <c r="F8737" s="7">
        <v>97217.75</v>
      </c>
      <c r="G8737">
        <v>0</v>
      </c>
      <c r="H8737" s="7">
        <v>0</v>
      </c>
    </row>
    <row r="8738" spans="1:8">
      <c r="A8738">
        <v>7</v>
      </c>
      <c r="B8738" t="s">
        <v>44</v>
      </c>
      <c r="C8738" t="s">
        <v>35</v>
      </c>
      <c r="D8738">
        <v>0</v>
      </c>
      <c r="E8738">
        <v>1</v>
      </c>
      <c r="F8738" s="7">
        <v>386367.23</v>
      </c>
      <c r="G8738">
        <v>0</v>
      </c>
      <c r="H8738" s="7">
        <v>0</v>
      </c>
    </row>
    <row r="8739" spans="1:8">
      <c r="A8739">
        <v>7</v>
      </c>
      <c r="B8739" t="s">
        <v>44</v>
      </c>
      <c r="C8739" t="s">
        <v>35</v>
      </c>
      <c r="D8739">
        <v>0</v>
      </c>
      <c r="E8739">
        <v>1</v>
      </c>
      <c r="F8739" s="7">
        <v>128048.76</v>
      </c>
      <c r="G8739">
        <v>0</v>
      </c>
      <c r="H8739" s="7">
        <v>0</v>
      </c>
    </row>
    <row r="8740" spans="1:8">
      <c r="A8740">
        <v>7</v>
      </c>
      <c r="B8740" t="s">
        <v>44</v>
      </c>
      <c r="C8740" t="s">
        <v>35</v>
      </c>
      <c r="D8740">
        <v>0</v>
      </c>
      <c r="E8740">
        <v>1</v>
      </c>
      <c r="F8740" s="7">
        <v>171905.69</v>
      </c>
      <c r="G8740">
        <v>0</v>
      </c>
      <c r="H8740" s="7">
        <v>0</v>
      </c>
    </row>
    <row r="8741" spans="1:8">
      <c r="A8741">
        <v>7</v>
      </c>
      <c r="B8741" t="s">
        <v>44</v>
      </c>
      <c r="C8741" t="s">
        <v>34</v>
      </c>
      <c r="D8741">
        <v>0</v>
      </c>
      <c r="E8741">
        <v>1</v>
      </c>
      <c r="F8741" s="7">
        <v>26210.38</v>
      </c>
      <c r="G8741">
        <v>0</v>
      </c>
      <c r="H8741" s="7">
        <v>0</v>
      </c>
    </row>
    <row r="8742" spans="1:8">
      <c r="A8742">
        <v>7</v>
      </c>
      <c r="B8742" t="s">
        <v>44</v>
      </c>
      <c r="C8742" t="s">
        <v>34</v>
      </c>
      <c r="D8742">
        <v>0</v>
      </c>
      <c r="E8742">
        <v>1</v>
      </c>
      <c r="F8742" s="7">
        <v>36312.69</v>
      </c>
      <c r="G8742">
        <v>0</v>
      </c>
      <c r="H8742" s="7">
        <v>0</v>
      </c>
    </row>
    <row r="8743" spans="1:8">
      <c r="A8743">
        <v>7</v>
      </c>
      <c r="B8743" t="s">
        <v>44</v>
      </c>
      <c r="C8743" t="s">
        <v>33</v>
      </c>
      <c r="D8743">
        <v>0</v>
      </c>
      <c r="E8743">
        <v>1</v>
      </c>
      <c r="F8743" s="7">
        <v>7398.24</v>
      </c>
      <c r="G8743">
        <v>0</v>
      </c>
      <c r="H8743" s="7">
        <v>0</v>
      </c>
    </row>
    <row r="8744" spans="1:8">
      <c r="A8744">
        <v>7</v>
      </c>
      <c r="B8744" t="s">
        <v>44</v>
      </c>
      <c r="C8744" t="s">
        <v>34</v>
      </c>
      <c r="D8744">
        <v>0</v>
      </c>
      <c r="E8744">
        <v>1</v>
      </c>
      <c r="F8744" s="7">
        <v>67152.15</v>
      </c>
      <c r="G8744">
        <v>0</v>
      </c>
      <c r="H8744" s="7">
        <v>0</v>
      </c>
    </row>
    <row r="8745" spans="1:8">
      <c r="A8745">
        <v>7</v>
      </c>
      <c r="B8745" t="s">
        <v>44</v>
      </c>
      <c r="C8745" t="s">
        <v>35</v>
      </c>
      <c r="D8745">
        <v>0</v>
      </c>
      <c r="E8745">
        <v>1</v>
      </c>
      <c r="F8745" s="7">
        <v>306323.63</v>
      </c>
      <c r="G8745">
        <v>0</v>
      </c>
      <c r="H8745" s="7">
        <v>0</v>
      </c>
    </row>
    <row r="8746" spans="1:8">
      <c r="A8746">
        <v>7</v>
      </c>
      <c r="B8746" t="s">
        <v>44</v>
      </c>
      <c r="C8746" t="s">
        <v>35</v>
      </c>
      <c r="D8746">
        <v>0</v>
      </c>
      <c r="E8746">
        <v>1</v>
      </c>
      <c r="F8746" s="7">
        <v>116600.79</v>
      </c>
      <c r="G8746">
        <v>0</v>
      </c>
      <c r="H8746" s="7">
        <v>0</v>
      </c>
    </row>
    <row r="8747" spans="1:8">
      <c r="A8747">
        <v>7</v>
      </c>
      <c r="B8747" t="s">
        <v>44</v>
      </c>
      <c r="C8747" t="s">
        <v>35</v>
      </c>
      <c r="D8747">
        <v>0</v>
      </c>
      <c r="E8747">
        <v>1</v>
      </c>
      <c r="F8747" s="7">
        <v>104135.08</v>
      </c>
      <c r="G8747">
        <v>0</v>
      </c>
      <c r="H8747" s="7">
        <v>0</v>
      </c>
    </row>
    <row r="8748" spans="1:8">
      <c r="A8748">
        <v>7</v>
      </c>
      <c r="B8748" t="s">
        <v>44</v>
      </c>
      <c r="C8748" t="s">
        <v>35</v>
      </c>
      <c r="D8748">
        <v>0</v>
      </c>
      <c r="E8748">
        <v>1</v>
      </c>
      <c r="F8748" s="7">
        <v>102077.16</v>
      </c>
      <c r="G8748">
        <v>0</v>
      </c>
      <c r="H8748" s="7">
        <v>0</v>
      </c>
    </row>
    <row r="8749" spans="1:8">
      <c r="A8749">
        <v>7</v>
      </c>
      <c r="B8749" t="s">
        <v>44</v>
      </c>
      <c r="C8749" t="s">
        <v>34</v>
      </c>
      <c r="D8749">
        <v>0</v>
      </c>
      <c r="E8749">
        <v>1</v>
      </c>
      <c r="F8749" s="7">
        <v>67429.27</v>
      </c>
      <c r="G8749">
        <v>0</v>
      </c>
      <c r="H8749" s="7">
        <v>0</v>
      </c>
    </row>
    <row r="8750" spans="1:8">
      <c r="A8750">
        <v>7</v>
      </c>
      <c r="B8750" t="s">
        <v>44</v>
      </c>
      <c r="C8750" t="s">
        <v>34</v>
      </c>
      <c r="D8750">
        <v>0</v>
      </c>
      <c r="E8750">
        <v>1</v>
      </c>
      <c r="F8750" s="7">
        <v>13845.82</v>
      </c>
      <c r="G8750">
        <v>0</v>
      </c>
      <c r="H8750" s="7">
        <v>0</v>
      </c>
    </row>
    <row r="8751" spans="1:8">
      <c r="A8751">
        <v>7</v>
      </c>
      <c r="B8751" t="s">
        <v>44</v>
      </c>
      <c r="C8751" t="s">
        <v>34</v>
      </c>
      <c r="D8751">
        <v>0</v>
      </c>
      <c r="E8751">
        <v>1</v>
      </c>
      <c r="F8751" s="7">
        <v>64974.45</v>
      </c>
      <c r="G8751">
        <v>0</v>
      </c>
      <c r="H8751" s="7">
        <v>0</v>
      </c>
    </row>
    <row r="8752" spans="1:8">
      <c r="A8752">
        <v>7</v>
      </c>
      <c r="B8752" t="s">
        <v>44</v>
      </c>
      <c r="C8752" t="s">
        <v>34</v>
      </c>
      <c r="D8752">
        <v>0</v>
      </c>
      <c r="E8752">
        <v>1</v>
      </c>
      <c r="F8752" s="7">
        <v>35426.93</v>
      </c>
      <c r="G8752">
        <v>0</v>
      </c>
      <c r="H8752" s="7">
        <v>0</v>
      </c>
    </row>
    <row r="8753" spans="1:8">
      <c r="A8753">
        <v>7</v>
      </c>
      <c r="B8753" t="s">
        <v>44</v>
      </c>
      <c r="C8753" t="s">
        <v>34</v>
      </c>
      <c r="D8753">
        <v>0</v>
      </c>
      <c r="E8753">
        <v>1</v>
      </c>
      <c r="F8753" s="7">
        <v>97919.82</v>
      </c>
      <c r="G8753">
        <v>0</v>
      </c>
      <c r="H8753" s="7">
        <v>0</v>
      </c>
    </row>
    <row r="8754" spans="1:8">
      <c r="A8754">
        <v>7</v>
      </c>
      <c r="B8754" t="s">
        <v>44</v>
      </c>
      <c r="C8754" t="s">
        <v>35</v>
      </c>
      <c r="D8754">
        <v>0</v>
      </c>
      <c r="E8754">
        <v>1</v>
      </c>
      <c r="F8754" s="7">
        <v>153966.29</v>
      </c>
      <c r="G8754">
        <v>0</v>
      </c>
      <c r="H8754" s="7">
        <v>0</v>
      </c>
    </row>
    <row r="8755" spans="1:8">
      <c r="A8755">
        <v>7</v>
      </c>
      <c r="B8755" t="s">
        <v>44</v>
      </c>
      <c r="C8755" t="s">
        <v>34</v>
      </c>
      <c r="D8755">
        <v>0</v>
      </c>
      <c r="E8755">
        <v>1</v>
      </c>
      <c r="F8755" s="7">
        <v>41309.02</v>
      </c>
      <c r="G8755">
        <v>0</v>
      </c>
      <c r="H8755" s="7">
        <v>0</v>
      </c>
    </row>
    <row r="8756" spans="1:8">
      <c r="A8756">
        <v>7</v>
      </c>
      <c r="B8756" t="s">
        <v>44</v>
      </c>
      <c r="C8756" t="s">
        <v>34</v>
      </c>
      <c r="D8756">
        <v>0</v>
      </c>
      <c r="E8756">
        <v>1</v>
      </c>
      <c r="F8756" s="7">
        <v>43093.35</v>
      </c>
      <c r="G8756">
        <v>0</v>
      </c>
      <c r="H8756" s="7">
        <v>0</v>
      </c>
    </row>
    <row r="8757" spans="1:8">
      <c r="A8757">
        <v>7</v>
      </c>
      <c r="B8757" t="s">
        <v>44</v>
      </c>
      <c r="C8757" t="s">
        <v>35</v>
      </c>
      <c r="D8757">
        <v>0</v>
      </c>
      <c r="E8757">
        <v>1</v>
      </c>
      <c r="F8757" s="7">
        <v>499343.04</v>
      </c>
      <c r="G8757">
        <v>0</v>
      </c>
      <c r="H8757" s="7">
        <v>0</v>
      </c>
    </row>
    <row r="8758" spans="1:8">
      <c r="A8758">
        <v>7</v>
      </c>
      <c r="B8758" t="s">
        <v>44</v>
      </c>
      <c r="C8758" t="s">
        <v>35</v>
      </c>
      <c r="D8758">
        <v>0</v>
      </c>
      <c r="E8758">
        <v>1</v>
      </c>
      <c r="F8758" s="7">
        <v>379699.71</v>
      </c>
      <c r="G8758">
        <v>0</v>
      </c>
      <c r="H8758" s="7">
        <v>0</v>
      </c>
    </row>
    <row r="8759" spans="1:8">
      <c r="A8759">
        <v>7</v>
      </c>
      <c r="B8759" t="s">
        <v>44</v>
      </c>
      <c r="C8759" t="s">
        <v>34</v>
      </c>
      <c r="D8759">
        <v>0</v>
      </c>
      <c r="E8759">
        <v>1</v>
      </c>
      <c r="F8759" s="7">
        <v>27060.81</v>
      </c>
      <c r="G8759">
        <v>0</v>
      </c>
      <c r="H8759" s="7">
        <v>0</v>
      </c>
    </row>
    <row r="8760" spans="1:8">
      <c r="A8760">
        <v>7</v>
      </c>
      <c r="B8760" t="s">
        <v>44</v>
      </c>
      <c r="C8760" t="s">
        <v>35</v>
      </c>
      <c r="D8760">
        <v>0</v>
      </c>
      <c r="E8760">
        <v>1</v>
      </c>
      <c r="F8760" s="7">
        <v>402663.46</v>
      </c>
      <c r="G8760">
        <v>0</v>
      </c>
      <c r="H8760" s="7">
        <v>0</v>
      </c>
    </row>
    <row r="8761" spans="1:8">
      <c r="A8761">
        <v>7</v>
      </c>
      <c r="B8761" t="s">
        <v>44</v>
      </c>
      <c r="C8761" t="s">
        <v>35</v>
      </c>
      <c r="D8761">
        <v>0</v>
      </c>
      <c r="E8761">
        <v>1</v>
      </c>
      <c r="F8761" s="7">
        <v>578730.75</v>
      </c>
      <c r="G8761">
        <v>0</v>
      </c>
      <c r="H8761" s="7">
        <v>0</v>
      </c>
    </row>
    <row r="8762" spans="1:8">
      <c r="A8762">
        <v>7</v>
      </c>
      <c r="B8762" t="s">
        <v>44</v>
      </c>
      <c r="C8762" t="s">
        <v>35</v>
      </c>
      <c r="D8762">
        <v>0</v>
      </c>
      <c r="E8762">
        <v>1</v>
      </c>
      <c r="F8762" s="7">
        <v>471390.8</v>
      </c>
      <c r="G8762">
        <v>0</v>
      </c>
      <c r="H8762" s="7">
        <v>0</v>
      </c>
    </row>
    <row r="8763" spans="1:8">
      <c r="A8763">
        <v>7</v>
      </c>
      <c r="B8763" t="s">
        <v>44</v>
      </c>
      <c r="C8763" t="s">
        <v>35</v>
      </c>
      <c r="D8763">
        <v>0</v>
      </c>
      <c r="E8763">
        <v>1</v>
      </c>
      <c r="F8763" s="7">
        <v>405812.31</v>
      </c>
      <c r="G8763">
        <v>0</v>
      </c>
      <c r="H8763" s="7">
        <v>0</v>
      </c>
    </row>
    <row r="8764" spans="1:8">
      <c r="A8764">
        <v>7</v>
      </c>
      <c r="B8764" t="s">
        <v>44</v>
      </c>
      <c r="C8764" t="s">
        <v>35</v>
      </c>
      <c r="D8764">
        <v>0</v>
      </c>
      <c r="E8764">
        <v>1</v>
      </c>
      <c r="F8764" s="7">
        <v>239972.3</v>
      </c>
      <c r="G8764">
        <v>0</v>
      </c>
      <c r="H8764" s="7">
        <v>0</v>
      </c>
    </row>
    <row r="8765" spans="1:8">
      <c r="A8765">
        <v>7</v>
      </c>
      <c r="B8765" t="s">
        <v>43</v>
      </c>
      <c r="C8765" t="s">
        <v>35</v>
      </c>
      <c r="D8765">
        <v>0</v>
      </c>
      <c r="E8765">
        <v>1</v>
      </c>
      <c r="F8765" s="7">
        <v>233938.4</v>
      </c>
      <c r="G8765">
        <v>0</v>
      </c>
      <c r="H8765" s="7">
        <v>0</v>
      </c>
    </row>
    <row r="8766" spans="1:8">
      <c r="A8766">
        <v>7</v>
      </c>
      <c r="B8766" t="s">
        <v>45</v>
      </c>
      <c r="C8766" t="s">
        <v>32</v>
      </c>
      <c r="D8766">
        <v>0</v>
      </c>
      <c r="E8766">
        <v>1</v>
      </c>
      <c r="F8766" s="7">
        <v>660.23</v>
      </c>
      <c r="G8766">
        <v>0</v>
      </c>
      <c r="H8766" s="7">
        <v>0</v>
      </c>
    </row>
    <row r="8767" spans="1:8">
      <c r="A8767">
        <v>7</v>
      </c>
      <c r="B8767" t="s">
        <v>42</v>
      </c>
      <c r="C8767" t="s">
        <v>32</v>
      </c>
      <c r="D8767">
        <v>0</v>
      </c>
      <c r="E8767">
        <v>1</v>
      </c>
      <c r="F8767" s="7">
        <v>515.09</v>
      </c>
      <c r="G8767">
        <v>0</v>
      </c>
      <c r="H8767" s="7">
        <v>0</v>
      </c>
    </row>
    <row r="8768" spans="1:8">
      <c r="A8768">
        <v>7</v>
      </c>
      <c r="B8768" t="s">
        <v>44</v>
      </c>
      <c r="C8768" t="s">
        <v>34</v>
      </c>
      <c r="D8768">
        <v>0</v>
      </c>
      <c r="E8768">
        <v>1</v>
      </c>
      <c r="F8768" s="7">
        <v>50575.73</v>
      </c>
      <c r="G8768">
        <v>0</v>
      </c>
      <c r="H8768" s="7">
        <v>0</v>
      </c>
    </row>
    <row r="8769" spans="1:8">
      <c r="A8769">
        <v>7</v>
      </c>
      <c r="B8769" t="s">
        <v>42</v>
      </c>
      <c r="C8769" t="s">
        <v>33</v>
      </c>
      <c r="D8769">
        <v>0</v>
      </c>
      <c r="E8769">
        <v>1</v>
      </c>
      <c r="F8769" s="7">
        <v>3421.65</v>
      </c>
      <c r="G8769">
        <v>0</v>
      </c>
      <c r="H8769" s="7">
        <v>0</v>
      </c>
    </row>
    <row r="8770" spans="1:8">
      <c r="A8770">
        <v>7</v>
      </c>
      <c r="B8770" t="s">
        <v>42</v>
      </c>
      <c r="C8770" t="s">
        <v>32</v>
      </c>
      <c r="D8770">
        <v>0</v>
      </c>
      <c r="E8770">
        <v>1</v>
      </c>
      <c r="F8770" s="7">
        <v>646.76</v>
      </c>
      <c r="G8770">
        <v>0</v>
      </c>
      <c r="H8770" s="7">
        <v>0</v>
      </c>
    </row>
    <row r="8771" spans="1:8">
      <c r="A8771">
        <v>7</v>
      </c>
      <c r="B8771" t="s">
        <v>42</v>
      </c>
      <c r="C8771" t="s">
        <v>34</v>
      </c>
      <c r="D8771">
        <v>0</v>
      </c>
      <c r="E8771">
        <v>1</v>
      </c>
      <c r="F8771" s="7">
        <v>19021.43</v>
      </c>
      <c r="G8771">
        <v>0</v>
      </c>
      <c r="H8771" s="7">
        <v>0</v>
      </c>
    </row>
    <row r="8772" spans="1:8">
      <c r="A8772">
        <v>7</v>
      </c>
      <c r="B8772" t="s">
        <v>42</v>
      </c>
      <c r="C8772" t="s">
        <v>33</v>
      </c>
      <c r="D8772">
        <v>0</v>
      </c>
      <c r="E8772">
        <v>1</v>
      </c>
      <c r="F8772" s="7">
        <v>4962</v>
      </c>
      <c r="G8772">
        <v>0</v>
      </c>
      <c r="H8772" s="7">
        <v>0</v>
      </c>
    </row>
    <row r="8773" spans="1:8">
      <c r="A8773">
        <v>7</v>
      </c>
      <c r="B8773" t="s">
        <v>42</v>
      </c>
      <c r="C8773" t="s">
        <v>34</v>
      </c>
      <c r="D8773">
        <v>0</v>
      </c>
      <c r="E8773">
        <v>1</v>
      </c>
      <c r="F8773" s="7">
        <v>16889.35</v>
      </c>
      <c r="G8773">
        <v>0</v>
      </c>
      <c r="H8773" s="7">
        <v>0</v>
      </c>
    </row>
    <row r="8774" spans="1:8">
      <c r="A8774">
        <v>7</v>
      </c>
      <c r="B8774" t="s">
        <v>42</v>
      </c>
      <c r="C8774" t="s">
        <v>33</v>
      </c>
      <c r="D8774">
        <v>0</v>
      </c>
      <c r="E8774">
        <v>1</v>
      </c>
      <c r="F8774" s="7">
        <v>1539.57</v>
      </c>
      <c r="G8774">
        <v>0</v>
      </c>
      <c r="H8774" s="7">
        <v>0</v>
      </c>
    </row>
    <row r="8775" spans="1:8">
      <c r="A8775">
        <v>7</v>
      </c>
      <c r="B8775" t="s">
        <v>42</v>
      </c>
      <c r="C8775" t="s">
        <v>34</v>
      </c>
      <c r="D8775">
        <v>0</v>
      </c>
      <c r="E8775">
        <v>1</v>
      </c>
      <c r="F8775" s="7">
        <v>13615.05</v>
      </c>
      <c r="G8775">
        <v>0</v>
      </c>
      <c r="H8775" s="7">
        <v>0</v>
      </c>
    </row>
    <row r="8776" spans="1:8">
      <c r="A8776">
        <v>7</v>
      </c>
      <c r="B8776" t="s">
        <v>43</v>
      </c>
      <c r="C8776" t="s">
        <v>35</v>
      </c>
      <c r="D8776">
        <v>0</v>
      </c>
      <c r="E8776">
        <v>1</v>
      </c>
      <c r="F8776" s="7">
        <v>520367.43</v>
      </c>
      <c r="G8776">
        <v>0</v>
      </c>
      <c r="H8776" s="7">
        <v>0</v>
      </c>
    </row>
    <row r="8777" spans="1:8">
      <c r="A8777">
        <v>7</v>
      </c>
      <c r="B8777" t="s">
        <v>42</v>
      </c>
      <c r="C8777" t="s">
        <v>33</v>
      </c>
      <c r="D8777">
        <v>0</v>
      </c>
      <c r="E8777">
        <v>1</v>
      </c>
      <c r="F8777" s="7">
        <v>5975.73</v>
      </c>
      <c r="G8777">
        <v>0</v>
      </c>
      <c r="H8777" s="7">
        <v>0</v>
      </c>
    </row>
    <row r="8778" spans="1:8">
      <c r="A8778">
        <v>7</v>
      </c>
      <c r="B8778" t="s">
        <v>42</v>
      </c>
      <c r="C8778" t="s">
        <v>33</v>
      </c>
      <c r="D8778">
        <v>0</v>
      </c>
      <c r="E8778">
        <v>1</v>
      </c>
      <c r="F8778" s="7">
        <v>3602.91</v>
      </c>
      <c r="G8778">
        <v>0</v>
      </c>
      <c r="H8778" s="7">
        <v>0</v>
      </c>
    </row>
    <row r="8779" spans="1:8">
      <c r="A8779">
        <v>7</v>
      </c>
      <c r="B8779" t="s">
        <v>43</v>
      </c>
      <c r="C8779" t="s">
        <v>35</v>
      </c>
      <c r="D8779">
        <v>0</v>
      </c>
      <c r="E8779">
        <v>1</v>
      </c>
      <c r="F8779" s="7">
        <v>155379.43</v>
      </c>
      <c r="G8779">
        <v>0</v>
      </c>
      <c r="H8779" s="7">
        <v>0</v>
      </c>
    </row>
    <row r="8780" spans="1:8">
      <c r="A8780">
        <v>7</v>
      </c>
      <c r="B8780" t="s">
        <v>42</v>
      </c>
      <c r="C8780" t="s">
        <v>33</v>
      </c>
      <c r="D8780">
        <v>0</v>
      </c>
      <c r="E8780">
        <v>1</v>
      </c>
      <c r="F8780" s="7">
        <v>3747.13</v>
      </c>
      <c r="G8780">
        <v>0</v>
      </c>
      <c r="H8780" s="7">
        <v>0</v>
      </c>
    </row>
    <row r="8781" spans="1:8">
      <c r="A8781">
        <v>7</v>
      </c>
      <c r="B8781" t="s">
        <v>45</v>
      </c>
      <c r="C8781" t="s">
        <v>33</v>
      </c>
      <c r="D8781">
        <v>0</v>
      </c>
      <c r="E8781">
        <v>1</v>
      </c>
      <c r="F8781" s="7">
        <v>2627.14</v>
      </c>
      <c r="G8781">
        <v>0</v>
      </c>
      <c r="H8781" s="7">
        <v>0</v>
      </c>
    </row>
    <row r="8782" spans="1:8">
      <c r="A8782">
        <v>7</v>
      </c>
      <c r="B8782" t="s">
        <v>45</v>
      </c>
      <c r="C8782" t="s">
        <v>33</v>
      </c>
      <c r="D8782">
        <v>0</v>
      </c>
      <c r="E8782">
        <v>1</v>
      </c>
      <c r="F8782" s="7">
        <v>1676.14</v>
      </c>
      <c r="G8782">
        <v>0</v>
      </c>
      <c r="H8782" s="7">
        <v>0</v>
      </c>
    </row>
    <row r="8783" spans="1:8">
      <c r="A8783">
        <v>7</v>
      </c>
      <c r="B8783" t="s">
        <v>44</v>
      </c>
      <c r="C8783" t="s">
        <v>34</v>
      </c>
      <c r="D8783">
        <v>0</v>
      </c>
      <c r="E8783">
        <v>1</v>
      </c>
      <c r="F8783" s="7">
        <v>90608.01</v>
      </c>
      <c r="G8783">
        <v>0</v>
      </c>
      <c r="H8783" s="7">
        <v>0</v>
      </c>
    </row>
    <row r="8784" spans="1:8">
      <c r="A8784">
        <v>7</v>
      </c>
      <c r="B8784" t="s">
        <v>42</v>
      </c>
      <c r="C8784" t="s">
        <v>34</v>
      </c>
      <c r="D8784">
        <v>0</v>
      </c>
      <c r="E8784">
        <v>1</v>
      </c>
      <c r="F8784" s="7">
        <v>15736.28</v>
      </c>
      <c r="G8784">
        <v>0</v>
      </c>
      <c r="H8784" s="7">
        <v>0</v>
      </c>
    </row>
    <row r="8785" spans="1:8">
      <c r="A8785">
        <v>7</v>
      </c>
      <c r="B8785" t="s">
        <v>42</v>
      </c>
      <c r="C8785" t="s">
        <v>33</v>
      </c>
      <c r="D8785">
        <v>0</v>
      </c>
      <c r="E8785">
        <v>1</v>
      </c>
      <c r="F8785" s="7">
        <v>8349.69</v>
      </c>
      <c r="G8785">
        <v>0</v>
      </c>
      <c r="H8785" s="7">
        <v>0</v>
      </c>
    </row>
    <row r="8786" spans="1:8">
      <c r="A8786">
        <v>7</v>
      </c>
      <c r="B8786" t="s">
        <v>42</v>
      </c>
      <c r="C8786" t="s">
        <v>33</v>
      </c>
      <c r="D8786">
        <v>0</v>
      </c>
      <c r="E8786">
        <v>1</v>
      </c>
      <c r="F8786" s="7">
        <v>8269.87</v>
      </c>
      <c r="G8786">
        <v>0</v>
      </c>
      <c r="H8786" s="7">
        <v>0</v>
      </c>
    </row>
    <row r="8787" spans="1:8">
      <c r="A8787">
        <v>7</v>
      </c>
      <c r="B8787" t="s">
        <v>46</v>
      </c>
      <c r="C8787" t="s">
        <v>34</v>
      </c>
      <c r="D8787">
        <v>0</v>
      </c>
      <c r="E8787">
        <v>1</v>
      </c>
      <c r="F8787" s="7">
        <v>39717.52</v>
      </c>
      <c r="G8787">
        <v>0</v>
      </c>
      <c r="H8787" s="7">
        <v>0</v>
      </c>
    </row>
    <row r="8788" spans="1:8">
      <c r="A8788">
        <v>7</v>
      </c>
      <c r="B8788" t="s">
        <v>42</v>
      </c>
      <c r="C8788" t="s">
        <v>33</v>
      </c>
      <c r="D8788">
        <v>0</v>
      </c>
      <c r="E8788">
        <v>1</v>
      </c>
      <c r="F8788" s="7">
        <v>1753.6</v>
      </c>
      <c r="G8788">
        <v>0</v>
      </c>
      <c r="H8788" s="7">
        <v>0</v>
      </c>
    </row>
    <row r="8789" spans="1:8">
      <c r="A8789">
        <v>7</v>
      </c>
      <c r="B8789" t="s">
        <v>42</v>
      </c>
      <c r="C8789" t="s">
        <v>32</v>
      </c>
      <c r="D8789">
        <v>0</v>
      </c>
      <c r="E8789">
        <v>1</v>
      </c>
      <c r="F8789" s="7">
        <v>636.76</v>
      </c>
      <c r="G8789">
        <v>0</v>
      </c>
      <c r="H8789" s="7">
        <v>0</v>
      </c>
    </row>
    <row r="8790" spans="1:8">
      <c r="A8790">
        <v>7</v>
      </c>
      <c r="B8790" t="s">
        <v>42</v>
      </c>
      <c r="C8790" t="s">
        <v>33</v>
      </c>
      <c r="D8790">
        <v>0</v>
      </c>
      <c r="E8790">
        <v>1</v>
      </c>
      <c r="F8790" s="7">
        <v>6476.38</v>
      </c>
      <c r="G8790">
        <v>0</v>
      </c>
      <c r="H8790" s="7">
        <v>0</v>
      </c>
    </row>
    <row r="8791" spans="1:8">
      <c r="A8791">
        <v>7</v>
      </c>
      <c r="B8791" t="s">
        <v>42</v>
      </c>
      <c r="C8791" t="s">
        <v>33</v>
      </c>
      <c r="D8791">
        <v>0</v>
      </c>
      <c r="E8791">
        <v>1</v>
      </c>
      <c r="F8791" s="7">
        <v>6990.79</v>
      </c>
      <c r="G8791">
        <v>0</v>
      </c>
      <c r="H8791" s="7">
        <v>0</v>
      </c>
    </row>
    <row r="8792" spans="1:8">
      <c r="A8792">
        <v>7</v>
      </c>
      <c r="B8792" t="s">
        <v>42</v>
      </c>
      <c r="C8792" t="s">
        <v>33</v>
      </c>
      <c r="D8792">
        <v>0</v>
      </c>
      <c r="E8792">
        <v>1</v>
      </c>
      <c r="F8792" s="7">
        <v>6858.7</v>
      </c>
      <c r="G8792">
        <v>0</v>
      </c>
      <c r="H8792" s="7">
        <v>0</v>
      </c>
    </row>
    <row r="8793" spans="1:8">
      <c r="A8793">
        <v>7</v>
      </c>
      <c r="B8793" t="s">
        <v>42</v>
      </c>
      <c r="C8793" t="s">
        <v>34</v>
      </c>
      <c r="D8793">
        <v>0</v>
      </c>
      <c r="E8793">
        <v>1</v>
      </c>
      <c r="F8793" s="7">
        <v>32118.97</v>
      </c>
      <c r="G8793">
        <v>0</v>
      </c>
      <c r="H8793" s="7">
        <v>0</v>
      </c>
    </row>
    <row r="8794" spans="1:8">
      <c r="A8794">
        <v>7</v>
      </c>
      <c r="B8794" t="s">
        <v>42</v>
      </c>
      <c r="C8794" t="s">
        <v>34</v>
      </c>
      <c r="D8794">
        <v>0</v>
      </c>
      <c r="E8794">
        <v>1</v>
      </c>
      <c r="F8794" s="7">
        <v>30180.07</v>
      </c>
      <c r="G8794">
        <v>0</v>
      </c>
      <c r="H8794" s="7">
        <v>0</v>
      </c>
    </row>
    <row r="8795" spans="1:8">
      <c r="A8795">
        <v>7</v>
      </c>
      <c r="B8795" t="s">
        <v>42</v>
      </c>
      <c r="C8795" t="s">
        <v>33</v>
      </c>
      <c r="D8795">
        <v>0</v>
      </c>
      <c r="E8795">
        <v>1</v>
      </c>
      <c r="F8795" s="7">
        <v>7048.35</v>
      </c>
      <c r="G8795">
        <v>0</v>
      </c>
      <c r="H8795" s="7">
        <v>0</v>
      </c>
    </row>
    <row r="8796" spans="1:8">
      <c r="A8796">
        <v>7</v>
      </c>
      <c r="B8796" t="s">
        <v>42</v>
      </c>
      <c r="C8796" t="s">
        <v>33</v>
      </c>
      <c r="D8796">
        <v>0</v>
      </c>
      <c r="E8796">
        <v>1</v>
      </c>
      <c r="F8796" s="7">
        <v>2103.29</v>
      </c>
      <c r="G8796">
        <v>0</v>
      </c>
      <c r="H8796" s="7">
        <v>0</v>
      </c>
    </row>
    <row r="8797" spans="1:8">
      <c r="A8797">
        <v>7</v>
      </c>
      <c r="B8797" t="s">
        <v>42</v>
      </c>
      <c r="C8797" t="s">
        <v>33</v>
      </c>
      <c r="D8797">
        <v>0</v>
      </c>
      <c r="E8797">
        <v>1</v>
      </c>
      <c r="F8797" s="7">
        <v>2549.04</v>
      </c>
      <c r="G8797">
        <v>0</v>
      </c>
      <c r="H8797" s="7">
        <v>0</v>
      </c>
    </row>
    <row r="8798" spans="1:8">
      <c r="A8798">
        <v>7</v>
      </c>
      <c r="B8798" t="s">
        <v>42</v>
      </c>
      <c r="C8798" t="s">
        <v>33</v>
      </c>
      <c r="D8798">
        <v>0</v>
      </c>
      <c r="E8798">
        <v>1</v>
      </c>
      <c r="F8798" s="7">
        <v>9302.99</v>
      </c>
      <c r="G8798">
        <v>0</v>
      </c>
      <c r="H8798" s="7">
        <v>0</v>
      </c>
    </row>
    <row r="8799" spans="1:8">
      <c r="A8799">
        <v>7</v>
      </c>
      <c r="B8799" t="s">
        <v>42</v>
      </c>
      <c r="C8799" t="s">
        <v>34</v>
      </c>
      <c r="D8799">
        <v>0</v>
      </c>
      <c r="E8799">
        <v>1</v>
      </c>
      <c r="F8799" s="7">
        <v>11703.97</v>
      </c>
      <c r="G8799">
        <v>0</v>
      </c>
      <c r="H8799" s="7">
        <v>0</v>
      </c>
    </row>
    <row r="8800" spans="1:8">
      <c r="A8800">
        <v>7</v>
      </c>
      <c r="B8800" t="s">
        <v>42</v>
      </c>
      <c r="C8800" t="s">
        <v>34</v>
      </c>
      <c r="D8800">
        <v>0</v>
      </c>
      <c r="E8800">
        <v>1</v>
      </c>
      <c r="F8800" s="7">
        <v>19608.07</v>
      </c>
      <c r="G8800">
        <v>0</v>
      </c>
      <c r="H8800" s="7">
        <v>0</v>
      </c>
    </row>
    <row r="8801" spans="1:8">
      <c r="A8801">
        <v>7</v>
      </c>
      <c r="B8801" t="s">
        <v>42</v>
      </c>
      <c r="C8801" t="s">
        <v>33</v>
      </c>
      <c r="D8801">
        <v>0</v>
      </c>
      <c r="E8801">
        <v>1</v>
      </c>
      <c r="F8801" s="7">
        <v>5275.62</v>
      </c>
      <c r="G8801">
        <v>0</v>
      </c>
      <c r="H8801" s="7">
        <v>0</v>
      </c>
    </row>
    <row r="8802" spans="1:8">
      <c r="A8802">
        <v>7</v>
      </c>
      <c r="B8802" t="s">
        <v>42</v>
      </c>
      <c r="C8802" t="s">
        <v>33</v>
      </c>
      <c r="D8802">
        <v>0</v>
      </c>
      <c r="E8802">
        <v>1</v>
      </c>
      <c r="F8802" s="7">
        <v>8809.29</v>
      </c>
      <c r="G8802">
        <v>0</v>
      </c>
      <c r="H8802" s="7">
        <v>0</v>
      </c>
    </row>
    <row r="8803" spans="1:8">
      <c r="A8803">
        <v>7</v>
      </c>
      <c r="B8803" t="s">
        <v>42</v>
      </c>
      <c r="C8803" t="s">
        <v>33</v>
      </c>
      <c r="D8803">
        <v>0</v>
      </c>
      <c r="E8803">
        <v>1</v>
      </c>
      <c r="F8803" s="7">
        <v>5698.67</v>
      </c>
      <c r="G8803">
        <v>0</v>
      </c>
      <c r="H8803" s="7">
        <v>0</v>
      </c>
    </row>
    <row r="8804" spans="1:8">
      <c r="A8804">
        <v>7</v>
      </c>
      <c r="B8804" t="s">
        <v>42</v>
      </c>
      <c r="C8804" t="s">
        <v>33</v>
      </c>
      <c r="D8804">
        <v>0</v>
      </c>
      <c r="E8804">
        <v>1</v>
      </c>
      <c r="F8804" s="7">
        <v>7037.51</v>
      </c>
      <c r="G8804">
        <v>0</v>
      </c>
      <c r="H8804" s="7">
        <v>0</v>
      </c>
    </row>
    <row r="8805" spans="1:8">
      <c r="A8805">
        <v>7</v>
      </c>
      <c r="B8805" t="s">
        <v>42</v>
      </c>
      <c r="C8805" t="s">
        <v>34</v>
      </c>
      <c r="D8805">
        <v>0</v>
      </c>
      <c r="E8805">
        <v>1</v>
      </c>
      <c r="F8805" s="7">
        <v>14503.24</v>
      </c>
      <c r="G8805">
        <v>0</v>
      </c>
      <c r="H8805" s="7">
        <v>0</v>
      </c>
    </row>
    <row r="8806" spans="1:8">
      <c r="A8806">
        <v>7</v>
      </c>
      <c r="B8806" t="s">
        <v>42</v>
      </c>
      <c r="C8806" t="s">
        <v>33</v>
      </c>
      <c r="D8806">
        <v>0</v>
      </c>
      <c r="E8806">
        <v>1</v>
      </c>
      <c r="F8806" s="7">
        <v>6568.75</v>
      </c>
      <c r="G8806">
        <v>0</v>
      </c>
      <c r="H8806" s="7">
        <v>0</v>
      </c>
    </row>
    <row r="8807" spans="1:8">
      <c r="A8807">
        <v>7</v>
      </c>
      <c r="B8807" t="s">
        <v>42</v>
      </c>
      <c r="C8807" t="s">
        <v>34</v>
      </c>
      <c r="D8807">
        <v>0</v>
      </c>
      <c r="E8807">
        <v>1</v>
      </c>
      <c r="F8807" s="7">
        <v>15960.1</v>
      </c>
      <c r="G8807">
        <v>0</v>
      </c>
      <c r="H8807" s="7">
        <v>0</v>
      </c>
    </row>
    <row r="8808" spans="1:8">
      <c r="A8808">
        <v>7</v>
      </c>
      <c r="B8808" t="s">
        <v>42</v>
      </c>
      <c r="C8808" t="s">
        <v>33</v>
      </c>
      <c r="D8808">
        <v>0</v>
      </c>
      <c r="E8808">
        <v>1</v>
      </c>
      <c r="F8808" s="7">
        <v>8372.5</v>
      </c>
      <c r="G8808">
        <v>0</v>
      </c>
      <c r="H8808" s="7">
        <v>0</v>
      </c>
    </row>
    <row r="8809" spans="1:8">
      <c r="A8809">
        <v>7</v>
      </c>
      <c r="B8809" t="s">
        <v>42</v>
      </c>
      <c r="C8809" t="s">
        <v>33</v>
      </c>
      <c r="D8809">
        <v>0</v>
      </c>
      <c r="E8809">
        <v>1</v>
      </c>
      <c r="F8809" s="7">
        <v>2036.46</v>
      </c>
      <c r="G8809">
        <v>0</v>
      </c>
      <c r="H8809" s="7">
        <v>0</v>
      </c>
    </row>
    <row r="8810" spans="1:8">
      <c r="A8810">
        <v>7</v>
      </c>
      <c r="B8810" t="s">
        <v>42</v>
      </c>
      <c r="C8810" t="s">
        <v>33</v>
      </c>
      <c r="D8810">
        <v>0</v>
      </c>
      <c r="E8810">
        <v>1</v>
      </c>
      <c r="F8810" s="7">
        <v>2641.37</v>
      </c>
      <c r="G8810">
        <v>0</v>
      </c>
      <c r="H8810" s="7">
        <v>0</v>
      </c>
    </row>
    <row r="8811" spans="1:8">
      <c r="A8811">
        <v>7</v>
      </c>
      <c r="B8811" t="s">
        <v>42</v>
      </c>
      <c r="C8811" t="s">
        <v>33</v>
      </c>
      <c r="D8811">
        <v>0</v>
      </c>
      <c r="E8811">
        <v>1</v>
      </c>
      <c r="F8811" s="7">
        <v>3956.77</v>
      </c>
      <c r="G8811">
        <v>0</v>
      </c>
      <c r="H8811" s="7">
        <v>0</v>
      </c>
    </row>
    <row r="8812" spans="1:8">
      <c r="A8812">
        <v>7</v>
      </c>
      <c r="B8812" t="s">
        <v>44</v>
      </c>
      <c r="C8812" t="s">
        <v>34</v>
      </c>
      <c r="D8812">
        <v>0</v>
      </c>
      <c r="E8812">
        <v>1</v>
      </c>
      <c r="F8812" s="7">
        <v>60351.62</v>
      </c>
      <c r="G8812">
        <v>0</v>
      </c>
      <c r="H8812" s="7">
        <v>0</v>
      </c>
    </row>
    <row r="8813" spans="1:8">
      <c r="A8813">
        <v>7</v>
      </c>
      <c r="B8813" t="s">
        <v>44</v>
      </c>
      <c r="C8813" t="s">
        <v>35</v>
      </c>
      <c r="D8813">
        <v>0</v>
      </c>
      <c r="E8813">
        <v>1</v>
      </c>
      <c r="F8813" s="7">
        <v>129760</v>
      </c>
      <c r="G8813">
        <v>0</v>
      </c>
      <c r="H8813" s="7">
        <v>0</v>
      </c>
    </row>
    <row r="8814" spans="1:8">
      <c r="A8814">
        <v>7</v>
      </c>
      <c r="B8814" t="s">
        <v>44</v>
      </c>
      <c r="C8814" t="s">
        <v>35</v>
      </c>
      <c r="D8814">
        <v>0</v>
      </c>
      <c r="E8814">
        <v>1</v>
      </c>
      <c r="F8814" s="7">
        <v>302317.81</v>
      </c>
      <c r="G8814">
        <v>0</v>
      </c>
      <c r="H8814" s="7">
        <v>0</v>
      </c>
    </row>
    <row r="8815" spans="1:8">
      <c r="A8815">
        <v>7</v>
      </c>
      <c r="B8815" t="s">
        <v>44</v>
      </c>
      <c r="C8815" t="s">
        <v>34</v>
      </c>
      <c r="D8815">
        <v>0</v>
      </c>
      <c r="E8815">
        <v>1</v>
      </c>
      <c r="F8815" s="7">
        <v>18019</v>
      </c>
      <c r="G8815">
        <v>0</v>
      </c>
      <c r="H8815" s="7">
        <v>0</v>
      </c>
    </row>
    <row r="8816" spans="1:8">
      <c r="A8816">
        <v>7</v>
      </c>
      <c r="B8816" t="s">
        <v>44</v>
      </c>
      <c r="C8816" t="s">
        <v>35</v>
      </c>
      <c r="D8816">
        <v>0</v>
      </c>
      <c r="E8816">
        <v>1</v>
      </c>
      <c r="F8816" s="7">
        <v>228162.38</v>
      </c>
      <c r="G8816">
        <v>0</v>
      </c>
      <c r="H8816" s="7">
        <v>0</v>
      </c>
    </row>
    <row r="8817" spans="1:8">
      <c r="A8817">
        <v>7</v>
      </c>
      <c r="B8817" t="s">
        <v>44</v>
      </c>
      <c r="C8817" t="s">
        <v>34</v>
      </c>
      <c r="D8817">
        <v>0</v>
      </c>
      <c r="E8817">
        <v>1</v>
      </c>
      <c r="F8817" s="7">
        <v>90962.75</v>
      </c>
      <c r="G8817">
        <v>0</v>
      </c>
      <c r="H8817" s="7">
        <v>0</v>
      </c>
    </row>
    <row r="8818" spans="1:8">
      <c r="A8818">
        <v>7</v>
      </c>
      <c r="B8818" t="s">
        <v>44</v>
      </c>
      <c r="C8818" t="s">
        <v>35</v>
      </c>
      <c r="D8818">
        <v>0</v>
      </c>
      <c r="E8818">
        <v>1</v>
      </c>
      <c r="F8818" s="7">
        <v>284677.82</v>
      </c>
      <c r="G8818">
        <v>0</v>
      </c>
      <c r="H8818" s="7">
        <v>0</v>
      </c>
    </row>
    <row r="8819" spans="1:8">
      <c r="A8819">
        <v>7</v>
      </c>
      <c r="B8819" t="s">
        <v>44</v>
      </c>
      <c r="C8819" t="s">
        <v>35</v>
      </c>
      <c r="D8819">
        <v>0</v>
      </c>
      <c r="E8819">
        <v>1</v>
      </c>
      <c r="F8819" s="7">
        <v>126296.47</v>
      </c>
      <c r="G8819">
        <v>0</v>
      </c>
      <c r="H8819" s="7">
        <v>0</v>
      </c>
    </row>
    <row r="8820" spans="1:8">
      <c r="A8820">
        <v>7</v>
      </c>
      <c r="B8820" t="s">
        <v>44</v>
      </c>
      <c r="C8820" t="s">
        <v>33</v>
      </c>
      <c r="D8820">
        <v>0</v>
      </c>
      <c r="E8820">
        <v>1</v>
      </c>
      <c r="F8820" s="7">
        <v>9140.92</v>
      </c>
      <c r="G8820">
        <v>0</v>
      </c>
      <c r="H8820" s="7">
        <v>0</v>
      </c>
    </row>
    <row r="8821" spans="1:8">
      <c r="A8821">
        <v>7</v>
      </c>
      <c r="B8821" t="s">
        <v>44</v>
      </c>
      <c r="C8821" t="s">
        <v>35</v>
      </c>
      <c r="D8821">
        <v>0</v>
      </c>
      <c r="E8821">
        <v>1</v>
      </c>
      <c r="F8821" s="7">
        <v>230623.52</v>
      </c>
      <c r="G8821">
        <v>0</v>
      </c>
      <c r="H8821" s="7">
        <v>0</v>
      </c>
    </row>
    <row r="8822" spans="1:8">
      <c r="A8822">
        <v>7</v>
      </c>
      <c r="B8822" t="s">
        <v>44</v>
      </c>
      <c r="C8822" t="s">
        <v>34</v>
      </c>
      <c r="D8822">
        <v>0</v>
      </c>
      <c r="E8822">
        <v>1</v>
      </c>
      <c r="F8822" s="7">
        <v>95485.52</v>
      </c>
      <c r="G8822">
        <v>0</v>
      </c>
      <c r="H8822" s="7">
        <v>0</v>
      </c>
    </row>
    <row r="8823" spans="1:8">
      <c r="A8823">
        <v>7</v>
      </c>
      <c r="B8823" t="s">
        <v>44</v>
      </c>
      <c r="C8823" t="s">
        <v>35</v>
      </c>
      <c r="D8823">
        <v>0</v>
      </c>
      <c r="E8823">
        <v>1</v>
      </c>
      <c r="F8823" s="7">
        <v>135471.58</v>
      </c>
      <c r="G8823">
        <v>0</v>
      </c>
      <c r="H8823" s="7">
        <v>0</v>
      </c>
    </row>
    <row r="8824" spans="1:8">
      <c r="A8824">
        <v>7</v>
      </c>
      <c r="B8824" t="s">
        <v>44</v>
      </c>
      <c r="C8824" t="s">
        <v>35</v>
      </c>
      <c r="D8824">
        <v>0</v>
      </c>
      <c r="E8824">
        <v>1</v>
      </c>
      <c r="F8824" s="7">
        <v>126928.94</v>
      </c>
      <c r="G8824">
        <v>0</v>
      </c>
      <c r="H8824" s="7">
        <v>0</v>
      </c>
    </row>
    <row r="8825" spans="1:8">
      <c r="A8825">
        <v>7</v>
      </c>
      <c r="B8825" t="s">
        <v>44</v>
      </c>
      <c r="C8825" t="s">
        <v>35</v>
      </c>
      <c r="D8825">
        <v>0</v>
      </c>
      <c r="E8825">
        <v>1</v>
      </c>
      <c r="F8825" s="7">
        <v>116598.79</v>
      </c>
      <c r="G8825">
        <v>0</v>
      </c>
      <c r="H8825" s="7">
        <v>0</v>
      </c>
    </row>
    <row r="8826" spans="1:8">
      <c r="A8826">
        <v>7</v>
      </c>
      <c r="B8826" t="s">
        <v>44</v>
      </c>
      <c r="C8826" t="s">
        <v>33</v>
      </c>
      <c r="D8826">
        <v>0</v>
      </c>
      <c r="E8826">
        <v>1</v>
      </c>
      <c r="F8826" s="7">
        <v>8826.61</v>
      </c>
      <c r="G8826">
        <v>0</v>
      </c>
      <c r="H8826" s="7">
        <v>0</v>
      </c>
    </row>
    <row r="8827" spans="1:8">
      <c r="A8827">
        <v>7</v>
      </c>
      <c r="B8827" t="s">
        <v>44</v>
      </c>
      <c r="C8827" t="s">
        <v>35</v>
      </c>
      <c r="D8827">
        <v>0</v>
      </c>
      <c r="E8827">
        <v>1</v>
      </c>
      <c r="F8827" s="7">
        <v>112327.1</v>
      </c>
      <c r="G8827">
        <v>0</v>
      </c>
      <c r="H8827" s="7">
        <v>0</v>
      </c>
    </row>
    <row r="8828" spans="1:8">
      <c r="A8828">
        <v>7</v>
      </c>
      <c r="B8828" t="s">
        <v>44</v>
      </c>
      <c r="C8828" t="s">
        <v>34</v>
      </c>
      <c r="D8828">
        <v>0</v>
      </c>
      <c r="E8828">
        <v>1</v>
      </c>
      <c r="F8828" s="7">
        <v>95155.95</v>
      </c>
      <c r="G8828">
        <v>0</v>
      </c>
      <c r="H8828" s="7">
        <v>0</v>
      </c>
    </row>
    <row r="8829" spans="1:8">
      <c r="A8829">
        <v>7</v>
      </c>
      <c r="B8829" t="s">
        <v>44</v>
      </c>
      <c r="C8829" t="s">
        <v>34</v>
      </c>
      <c r="D8829">
        <v>0</v>
      </c>
      <c r="E8829">
        <v>1</v>
      </c>
      <c r="F8829" s="7">
        <v>65006.66</v>
      </c>
      <c r="G8829">
        <v>0</v>
      </c>
      <c r="H8829" s="7">
        <v>0</v>
      </c>
    </row>
    <row r="8830" spans="1:8">
      <c r="A8830">
        <v>7</v>
      </c>
      <c r="B8830" t="s">
        <v>44</v>
      </c>
      <c r="C8830" t="s">
        <v>35</v>
      </c>
      <c r="D8830">
        <v>0</v>
      </c>
      <c r="E8830">
        <v>1</v>
      </c>
      <c r="F8830" s="7">
        <v>120223.54</v>
      </c>
      <c r="G8830">
        <v>0</v>
      </c>
      <c r="H8830" s="7">
        <v>0</v>
      </c>
    </row>
    <row r="8831" spans="1:8">
      <c r="A8831">
        <v>7</v>
      </c>
      <c r="B8831" t="s">
        <v>44</v>
      </c>
      <c r="C8831" t="s">
        <v>34</v>
      </c>
      <c r="D8831">
        <v>0</v>
      </c>
      <c r="E8831">
        <v>1</v>
      </c>
      <c r="F8831" s="7">
        <v>16322.98</v>
      </c>
      <c r="G8831">
        <v>0</v>
      </c>
      <c r="H8831" s="7">
        <v>0</v>
      </c>
    </row>
    <row r="8832" spans="1:8">
      <c r="A8832">
        <v>7</v>
      </c>
      <c r="B8832" t="s">
        <v>44</v>
      </c>
      <c r="C8832" t="s">
        <v>34</v>
      </c>
      <c r="D8832">
        <v>0</v>
      </c>
      <c r="E8832">
        <v>1</v>
      </c>
      <c r="F8832" s="7">
        <v>86050.93</v>
      </c>
      <c r="G8832">
        <v>0</v>
      </c>
      <c r="H8832" s="7">
        <v>0</v>
      </c>
    </row>
    <row r="8833" spans="1:8">
      <c r="A8833">
        <v>7</v>
      </c>
      <c r="B8833" t="s">
        <v>44</v>
      </c>
      <c r="C8833" t="s">
        <v>34</v>
      </c>
      <c r="D8833">
        <v>0</v>
      </c>
      <c r="E8833">
        <v>1</v>
      </c>
      <c r="F8833" s="7">
        <v>83162.16</v>
      </c>
      <c r="G8833">
        <v>0</v>
      </c>
      <c r="H8833" s="7">
        <v>0</v>
      </c>
    </row>
    <row r="8834" spans="1:8">
      <c r="A8834">
        <v>7</v>
      </c>
      <c r="B8834" t="s">
        <v>44</v>
      </c>
      <c r="C8834" t="s">
        <v>35</v>
      </c>
      <c r="D8834">
        <v>0</v>
      </c>
      <c r="E8834">
        <v>1</v>
      </c>
      <c r="F8834" s="7">
        <v>115166.62</v>
      </c>
      <c r="G8834">
        <v>0</v>
      </c>
      <c r="H8834" s="7">
        <v>0</v>
      </c>
    </row>
    <row r="8835" spans="1:8">
      <c r="A8835">
        <v>7</v>
      </c>
      <c r="B8835" t="s">
        <v>44</v>
      </c>
      <c r="C8835" t="s">
        <v>35</v>
      </c>
      <c r="D8835">
        <v>0</v>
      </c>
      <c r="E8835">
        <v>1</v>
      </c>
      <c r="F8835" s="7">
        <v>299337.21</v>
      </c>
      <c r="G8835">
        <v>0</v>
      </c>
      <c r="H8835" s="7">
        <v>0</v>
      </c>
    </row>
    <row r="8836" spans="1:8">
      <c r="A8836">
        <v>7</v>
      </c>
      <c r="B8836" t="s">
        <v>44</v>
      </c>
      <c r="C8836" t="s">
        <v>35</v>
      </c>
      <c r="D8836">
        <v>0</v>
      </c>
      <c r="E8836">
        <v>1</v>
      </c>
      <c r="F8836" s="7">
        <v>122585.87</v>
      </c>
      <c r="G8836">
        <v>0</v>
      </c>
      <c r="H8836" s="7">
        <v>0</v>
      </c>
    </row>
    <row r="8837" spans="1:8">
      <c r="A8837">
        <v>7</v>
      </c>
      <c r="B8837" t="s">
        <v>44</v>
      </c>
      <c r="C8837" t="s">
        <v>34</v>
      </c>
      <c r="D8837">
        <v>0</v>
      </c>
      <c r="E8837">
        <v>1</v>
      </c>
      <c r="F8837" s="7">
        <v>25784.58</v>
      </c>
      <c r="G8837">
        <v>0</v>
      </c>
      <c r="H8837" s="7">
        <v>0</v>
      </c>
    </row>
    <row r="8838" spans="1:8">
      <c r="A8838">
        <v>7</v>
      </c>
      <c r="B8838" t="s">
        <v>44</v>
      </c>
      <c r="C8838" t="s">
        <v>35</v>
      </c>
      <c r="D8838">
        <v>0</v>
      </c>
      <c r="E8838">
        <v>1</v>
      </c>
      <c r="F8838" s="7">
        <v>713465.67</v>
      </c>
      <c r="G8838">
        <v>0</v>
      </c>
      <c r="H8838" s="7">
        <v>0</v>
      </c>
    </row>
    <row r="8839" spans="1:8">
      <c r="A8839">
        <v>7</v>
      </c>
      <c r="B8839" t="s">
        <v>44</v>
      </c>
      <c r="C8839" t="s">
        <v>35</v>
      </c>
      <c r="D8839">
        <v>0</v>
      </c>
      <c r="E8839">
        <v>1</v>
      </c>
      <c r="F8839" s="7">
        <v>110439.98</v>
      </c>
      <c r="G8839">
        <v>0</v>
      </c>
      <c r="H8839" s="7">
        <v>0</v>
      </c>
    </row>
    <row r="8840" spans="1:8">
      <c r="A8840">
        <v>7</v>
      </c>
      <c r="B8840" t="s">
        <v>44</v>
      </c>
      <c r="C8840" t="s">
        <v>34</v>
      </c>
      <c r="D8840">
        <v>0</v>
      </c>
      <c r="E8840">
        <v>1</v>
      </c>
      <c r="F8840" s="7">
        <v>39048.51</v>
      </c>
      <c r="G8840">
        <v>0</v>
      </c>
      <c r="H8840" s="7">
        <v>0</v>
      </c>
    </row>
    <row r="8841" spans="1:8">
      <c r="A8841">
        <v>7</v>
      </c>
      <c r="B8841" t="s">
        <v>44</v>
      </c>
      <c r="C8841" t="s">
        <v>35</v>
      </c>
      <c r="D8841">
        <v>0</v>
      </c>
      <c r="E8841">
        <v>1</v>
      </c>
      <c r="F8841" s="7">
        <v>228982.7</v>
      </c>
      <c r="G8841">
        <v>0</v>
      </c>
      <c r="H8841" s="7">
        <v>0</v>
      </c>
    </row>
    <row r="8842" spans="1:8">
      <c r="A8842">
        <v>7</v>
      </c>
      <c r="B8842" t="s">
        <v>44</v>
      </c>
      <c r="C8842" t="s">
        <v>35</v>
      </c>
      <c r="D8842">
        <v>0</v>
      </c>
      <c r="E8842">
        <v>1</v>
      </c>
      <c r="F8842" s="7">
        <v>135528.52</v>
      </c>
      <c r="G8842">
        <v>0</v>
      </c>
      <c r="H8842" s="7">
        <v>0</v>
      </c>
    </row>
    <row r="8843" spans="1:8">
      <c r="A8843">
        <v>7</v>
      </c>
      <c r="B8843" t="s">
        <v>44</v>
      </c>
      <c r="C8843" t="s">
        <v>35</v>
      </c>
      <c r="D8843">
        <v>0</v>
      </c>
      <c r="E8843">
        <v>1</v>
      </c>
      <c r="F8843" s="7">
        <v>455512.07</v>
      </c>
      <c r="G8843">
        <v>0</v>
      </c>
      <c r="H8843" s="7">
        <v>0</v>
      </c>
    </row>
    <row r="8844" spans="1:8">
      <c r="A8844">
        <v>7</v>
      </c>
      <c r="B8844" t="s">
        <v>44</v>
      </c>
      <c r="C8844" t="s">
        <v>35</v>
      </c>
      <c r="D8844">
        <v>0</v>
      </c>
      <c r="E8844">
        <v>1</v>
      </c>
      <c r="F8844" s="7">
        <v>104669.17</v>
      </c>
      <c r="G8844">
        <v>0</v>
      </c>
      <c r="H8844" s="7">
        <v>0</v>
      </c>
    </row>
    <row r="8845" spans="1:8">
      <c r="A8845">
        <v>7</v>
      </c>
      <c r="B8845" t="s">
        <v>44</v>
      </c>
      <c r="C8845" t="s">
        <v>35</v>
      </c>
      <c r="D8845">
        <v>0</v>
      </c>
      <c r="E8845">
        <v>1</v>
      </c>
      <c r="F8845" s="7">
        <v>111608.93</v>
      </c>
      <c r="G8845">
        <v>0</v>
      </c>
      <c r="H8845" s="7">
        <v>0</v>
      </c>
    </row>
    <row r="8846" spans="1:8">
      <c r="A8846">
        <v>7</v>
      </c>
      <c r="B8846" t="s">
        <v>44</v>
      </c>
      <c r="C8846" t="s">
        <v>34</v>
      </c>
      <c r="D8846">
        <v>0</v>
      </c>
      <c r="E8846">
        <v>1</v>
      </c>
      <c r="F8846" s="7">
        <v>10606.95</v>
      </c>
      <c r="G8846">
        <v>0</v>
      </c>
      <c r="H8846" s="7">
        <v>0</v>
      </c>
    </row>
    <row r="8847" spans="1:8">
      <c r="A8847">
        <v>7</v>
      </c>
      <c r="B8847" t="s">
        <v>44</v>
      </c>
      <c r="C8847" t="s">
        <v>35</v>
      </c>
      <c r="D8847">
        <v>0</v>
      </c>
      <c r="E8847">
        <v>1</v>
      </c>
      <c r="F8847" s="7">
        <v>178055.24</v>
      </c>
      <c r="G8847">
        <v>0</v>
      </c>
      <c r="H8847" s="7">
        <v>0</v>
      </c>
    </row>
    <row r="8848" spans="1:8">
      <c r="A8848">
        <v>7</v>
      </c>
      <c r="B8848" t="s">
        <v>44</v>
      </c>
      <c r="C8848" t="s">
        <v>34</v>
      </c>
      <c r="D8848">
        <v>0</v>
      </c>
      <c r="E8848">
        <v>1</v>
      </c>
      <c r="F8848" s="7">
        <v>55593.37</v>
      </c>
      <c r="G8848">
        <v>0</v>
      </c>
      <c r="H8848" s="7">
        <v>0</v>
      </c>
    </row>
    <row r="8849" spans="1:8">
      <c r="A8849">
        <v>7</v>
      </c>
      <c r="B8849" t="s">
        <v>44</v>
      </c>
      <c r="C8849" t="s">
        <v>35</v>
      </c>
      <c r="D8849">
        <v>0</v>
      </c>
      <c r="E8849">
        <v>1</v>
      </c>
      <c r="F8849" s="7">
        <v>287860.49</v>
      </c>
      <c r="G8849">
        <v>0</v>
      </c>
      <c r="H8849" s="7">
        <v>0</v>
      </c>
    </row>
    <row r="8850" spans="1:8">
      <c r="A8850">
        <v>7</v>
      </c>
      <c r="B8850" t="s">
        <v>44</v>
      </c>
      <c r="C8850" t="s">
        <v>35</v>
      </c>
      <c r="D8850">
        <v>0</v>
      </c>
      <c r="E8850">
        <v>1</v>
      </c>
      <c r="F8850" s="7">
        <v>112423.36</v>
      </c>
      <c r="G8850">
        <v>0</v>
      </c>
      <c r="H8850" s="7">
        <v>0</v>
      </c>
    </row>
    <row r="8851" spans="1:8">
      <c r="A8851">
        <v>7</v>
      </c>
      <c r="B8851" t="s">
        <v>44</v>
      </c>
      <c r="C8851" t="s">
        <v>34</v>
      </c>
      <c r="D8851">
        <v>0</v>
      </c>
      <c r="E8851">
        <v>1</v>
      </c>
      <c r="F8851" s="7">
        <v>41059.08</v>
      </c>
      <c r="G8851">
        <v>0</v>
      </c>
      <c r="H8851" s="7">
        <v>0</v>
      </c>
    </row>
    <row r="8852" spans="1:8">
      <c r="A8852">
        <v>7</v>
      </c>
      <c r="B8852" t="s">
        <v>44</v>
      </c>
      <c r="C8852" t="s">
        <v>35</v>
      </c>
      <c r="D8852">
        <v>0</v>
      </c>
      <c r="E8852">
        <v>1</v>
      </c>
      <c r="F8852" s="7">
        <v>357427.06</v>
      </c>
      <c r="G8852">
        <v>0</v>
      </c>
      <c r="H8852" s="7">
        <v>0</v>
      </c>
    </row>
    <row r="8853" spans="1:8">
      <c r="A8853">
        <v>7</v>
      </c>
      <c r="B8853" t="s">
        <v>44</v>
      </c>
      <c r="C8853" t="s">
        <v>34</v>
      </c>
      <c r="D8853">
        <v>0</v>
      </c>
      <c r="E8853">
        <v>1</v>
      </c>
      <c r="F8853" s="7">
        <v>26205.91</v>
      </c>
      <c r="G8853">
        <v>0</v>
      </c>
      <c r="H8853" s="7">
        <v>0</v>
      </c>
    </row>
    <row r="8854" spans="1:8">
      <c r="A8854">
        <v>7</v>
      </c>
      <c r="B8854" t="s">
        <v>44</v>
      </c>
      <c r="C8854" t="s">
        <v>34</v>
      </c>
      <c r="D8854">
        <v>0</v>
      </c>
      <c r="E8854">
        <v>1</v>
      </c>
      <c r="F8854" s="7">
        <v>94641.18</v>
      </c>
      <c r="G8854">
        <v>0</v>
      </c>
      <c r="H8854" s="7">
        <v>0</v>
      </c>
    </row>
    <row r="8855" spans="1:8">
      <c r="A8855">
        <v>7</v>
      </c>
      <c r="B8855" t="s">
        <v>44</v>
      </c>
      <c r="C8855" t="s">
        <v>35</v>
      </c>
      <c r="D8855">
        <v>0</v>
      </c>
      <c r="E8855">
        <v>1</v>
      </c>
      <c r="F8855" s="7">
        <v>176673.12</v>
      </c>
      <c r="G8855">
        <v>0</v>
      </c>
      <c r="H8855" s="7">
        <v>0</v>
      </c>
    </row>
    <row r="8856" spans="1:8">
      <c r="A8856">
        <v>7</v>
      </c>
      <c r="B8856" t="s">
        <v>44</v>
      </c>
      <c r="C8856" t="s">
        <v>34</v>
      </c>
      <c r="D8856">
        <v>0</v>
      </c>
      <c r="E8856">
        <v>1</v>
      </c>
      <c r="F8856" s="7">
        <v>80085.58</v>
      </c>
      <c r="G8856">
        <v>0</v>
      </c>
      <c r="H8856" s="7">
        <v>0</v>
      </c>
    </row>
    <row r="8857" spans="1:8">
      <c r="A8857">
        <v>7</v>
      </c>
      <c r="B8857" t="s">
        <v>43</v>
      </c>
      <c r="C8857" t="s">
        <v>35</v>
      </c>
      <c r="D8857">
        <v>0</v>
      </c>
      <c r="E8857">
        <v>1</v>
      </c>
      <c r="F8857" s="7">
        <v>733678.95</v>
      </c>
      <c r="G8857">
        <v>0</v>
      </c>
      <c r="H8857" s="7">
        <v>0</v>
      </c>
    </row>
    <row r="8858" spans="1:8">
      <c r="A8858">
        <v>7</v>
      </c>
      <c r="B8858" t="s">
        <v>45</v>
      </c>
      <c r="C8858" t="s">
        <v>33</v>
      </c>
      <c r="D8858">
        <v>0</v>
      </c>
      <c r="E8858">
        <v>1</v>
      </c>
      <c r="F8858" s="7">
        <v>2360.49</v>
      </c>
      <c r="G8858">
        <v>0</v>
      </c>
      <c r="H8858" s="7">
        <v>0</v>
      </c>
    </row>
    <row r="8859" spans="1:8">
      <c r="A8859">
        <v>7</v>
      </c>
      <c r="B8859" t="s">
        <v>42</v>
      </c>
      <c r="C8859" t="s">
        <v>33</v>
      </c>
      <c r="D8859">
        <v>0</v>
      </c>
      <c r="E8859">
        <v>1</v>
      </c>
      <c r="F8859" s="7">
        <v>7426.25</v>
      </c>
      <c r="G8859">
        <v>0</v>
      </c>
      <c r="H8859" s="7">
        <v>0</v>
      </c>
    </row>
    <row r="8860" spans="1:8">
      <c r="A8860">
        <v>7</v>
      </c>
      <c r="B8860" t="s">
        <v>42</v>
      </c>
      <c r="C8860" t="s">
        <v>34</v>
      </c>
      <c r="D8860">
        <v>0</v>
      </c>
      <c r="E8860">
        <v>1</v>
      </c>
      <c r="F8860" s="7">
        <v>15242.93</v>
      </c>
      <c r="G8860">
        <v>0</v>
      </c>
      <c r="H8860" s="7">
        <v>0</v>
      </c>
    </row>
    <row r="8861" spans="1:8">
      <c r="A8861">
        <v>7</v>
      </c>
      <c r="B8861" t="s">
        <v>46</v>
      </c>
      <c r="C8861" t="s">
        <v>34</v>
      </c>
      <c r="D8861">
        <v>0</v>
      </c>
      <c r="E8861">
        <v>1</v>
      </c>
      <c r="F8861" s="7">
        <v>64569.23</v>
      </c>
      <c r="G8861">
        <v>0</v>
      </c>
      <c r="H8861" s="7">
        <v>0</v>
      </c>
    </row>
    <row r="8862" spans="1:8">
      <c r="A8862">
        <v>7</v>
      </c>
      <c r="B8862" t="s">
        <v>42</v>
      </c>
      <c r="C8862" t="s">
        <v>33</v>
      </c>
      <c r="D8862">
        <v>0</v>
      </c>
      <c r="E8862">
        <v>1</v>
      </c>
      <c r="F8862" s="7">
        <v>1348.98</v>
      </c>
      <c r="G8862">
        <v>0</v>
      </c>
      <c r="H8862" s="7">
        <v>0</v>
      </c>
    </row>
    <row r="8863" spans="1:8">
      <c r="A8863">
        <v>7</v>
      </c>
      <c r="B8863" t="s">
        <v>42</v>
      </c>
      <c r="C8863" t="s">
        <v>33</v>
      </c>
      <c r="D8863">
        <v>0</v>
      </c>
      <c r="E8863">
        <v>1</v>
      </c>
      <c r="F8863" s="7">
        <v>8414.46</v>
      </c>
      <c r="G8863">
        <v>0</v>
      </c>
      <c r="H8863" s="7">
        <v>0</v>
      </c>
    </row>
    <row r="8864" spans="1:8">
      <c r="A8864">
        <v>7</v>
      </c>
      <c r="B8864" t="s">
        <v>42</v>
      </c>
      <c r="C8864" t="s">
        <v>33</v>
      </c>
      <c r="D8864">
        <v>0</v>
      </c>
      <c r="E8864">
        <v>1</v>
      </c>
      <c r="F8864" s="7">
        <v>5784.92</v>
      </c>
      <c r="G8864">
        <v>0</v>
      </c>
      <c r="H8864" s="7">
        <v>0</v>
      </c>
    </row>
    <row r="8865" spans="1:8">
      <c r="A8865">
        <v>7</v>
      </c>
      <c r="B8865" t="s">
        <v>42</v>
      </c>
      <c r="C8865" t="s">
        <v>33</v>
      </c>
      <c r="D8865">
        <v>0</v>
      </c>
      <c r="E8865">
        <v>1</v>
      </c>
      <c r="F8865" s="7">
        <v>9390.53</v>
      </c>
      <c r="G8865">
        <v>0</v>
      </c>
      <c r="H8865" s="7">
        <v>0</v>
      </c>
    </row>
    <row r="8866" spans="1:8">
      <c r="A8866">
        <v>7</v>
      </c>
      <c r="B8866" t="s">
        <v>42</v>
      </c>
      <c r="C8866" t="s">
        <v>33</v>
      </c>
      <c r="D8866">
        <v>0</v>
      </c>
      <c r="E8866">
        <v>1</v>
      </c>
      <c r="F8866" s="7">
        <v>9677.9</v>
      </c>
      <c r="G8866">
        <v>0</v>
      </c>
      <c r="H8866" s="7">
        <v>0</v>
      </c>
    </row>
    <row r="8867" spans="1:8">
      <c r="A8867">
        <v>7</v>
      </c>
      <c r="B8867" t="s">
        <v>42</v>
      </c>
      <c r="C8867" t="s">
        <v>33</v>
      </c>
      <c r="D8867">
        <v>0</v>
      </c>
      <c r="E8867">
        <v>1</v>
      </c>
      <c r="F8867" s="7">
        <v>4172.18</v>
      </c>
      <c r="G8867">
        <v>0</v>
      </c>
      <c r="H8867" s="7">
        <v>0</v>
      </c>
    </row>
    <row r="8868" spans="1:8">
      <c r="A8868">
        <v>7</v>
      </c>
      <c r="B8868" t="s">
        <v>44</v>
      </c>
      <c r="C8868" t="s">
        <v>35</v>
      </c>
      <c r="D8868">
        <v>0</v>
      </c>
      <c r="E8868">
        <v>1</v>
      </c>
      <c r="F8868" s="7">
        <v>309799.7</v>
      </c>
      <c r="G8868">
        <v>0</v>
      </c>
      <c r="H8868" s="7">
        <v>0</v>
      </c>
    </row>
    <row r="8869" spans="1:8">
      <c r="A8869">
        <v>7</v>
      </c>
      <c r="B8869" t="s">
        <v>45</v>
      </c>
      <c r="C8869" t="s">
        <v>33</v>
      </c>
      <c r="D8869">
        <v>0</v>
      </c>
      <c r="E8869">
        <v>1</v>
      </c>
      <c r="F8869" s="7">
        <v>2859.77</v>
      </c>
      <c r="G8869">
        <v>0</v>
      </c>
      <c r="H8869" s="7">
        <v>0</v>
      </c>
    </row>
    <row r="8870" spans="1:8">
      <c r="A8870">
        <v>7</v>
      </c>
      <c r="B8870" t="s">
        <v>42</v>
      </c>
      <c r="C8870" t="s">
        <v>34</v>
      </c>
      <c r="D8870">
        <v>0</v>
      </c>
      <c r="E8870">
        <v>1</v>
      </c>
      <c r="F8870" s="7">
        <v>10414.2</v>
      </c>
      <c r="G8870">
        <v>0</v>
      </c>
      <c r="H8870" s="7">
        <v>0</v>
      </c>
    </row>
    <row r="8871" spans="1:8">
      <c r="A8871">
        <v>7</v>
      </c>
      <c r="B8871" t="s">
        <v>42</v>
      </c>
      <c r="C8871" t="s">
        <v>33</v>
      </c>
      <c r="D8871">
        <v>0</v>
      </c>
      <c r="E8871">
        <v>1</v>
      </c>
      <c r="F8871" s="7">
        <v>5803.59</v>
      </c>
      <c r="G8871">
        <v>0</v>
      </c>
      <c r="H8871" s="7">
        <v>0</v>
      </c>
    </row>
    <row r="8872" spans="1:8">
      <c r="A8872">
        <v>7</v>
      </c>
      <c r="B8872" t="s">
        <v>43</v>
      </c>
      <c r="C8872" t="s">
        <v>35</v>
      </c>
      <c r="D8872">
        <v>0</v>
      </c>
      <c r="E8872">
        <v>1</v>
      </c>
      <c r="F8872" s="7">
        <v>915732.43</v>
      </c>
      <c r="G8872">
        <v>0</v>
      </c>
      <c r="H8872" s="7">
        <v>0</v>
      </c>
    </row>
    <row r="8873" spans="1:8">
      <c r="A8873">
        <v>7</v>
      </c>
      <c r="B8873" t="s">
        <v>42</v>
      </c>
      <c r="C8873" t="s">
        <v>33</v>
      </c>
      <c r="D8873">
        <v>0</v>
      </c>
      <c r="E8873">
        <v>1</v>
      </c>
      <c r="F8873" s="7">
        <v>3215.11</v>
      </c>
      <c r="G8873">
        <v>0</v>
      </c>
      <c r="H8873" s="7">
        <v>0</v>
      </c>
    </row>
    <row r="8874" spans="1:8">
      <c r="A8874">
        <v>7</v>
      </c>
      <c r="B8874" t="s">
        <v>42</v>
      </c>
      <c r="C8874" t="s">
        <v>33</v>
      </c>
      <c r="D8874">
        <v>0</v>
      </c>
      <c r="E8874">
        <v>1</v>
      </c>
      <c r="F8874" s="7">
        <v>7462.87</v>
      </c>
      <c r="G8874">
        <v>0</v>
      </c>
      <c r="H8874" s="7">
        <v>0</v>
      </c>
    </row>
    <row r="8875" spans="1:8">
      <c r="A8875">
        <v>7</v>
      </c>
      <c r="B8875" t="s">
        <v>42</v>
      </c>
      <c r="C8875" t="s">
        <v>33</v>
      </c>
      <c r="D8875">
        <v>0</v>
      </c>
      <c r="E8875">
        <v>1</v>
      </c>
      <c r="F8875" s="7">
        <v>2070.68</v>
      </c>
      <c r="G8875">
        <v>0</v>
      </c>
      <c r="H8875" s="7">
        <v>0</v>
      </c>
    </row>
    <row r="8876" spans="1:8">
      <c r="A8876">
        <v>7</v>
      </c>
      <c r="B8876" t="s">
        <v>42</v>
      </c>
      <c r="C8876" t="s">
        <v>33</v>
      </c>
      <c r="D8876">
        <v>0</v>
      </c>
      <c r="E8876">
        <v>1</v>
      </c>
      <c r="F8876" s="7">
        <v>3702.2</v>
      </c>
      <c r="G8876">
        <v>0</v>
      </c>
      <c r="H8876" s="7">
        <v>0</v>
      </c>
    </row>
    <row r="8877" spans="1:8">
      <c r="A8877">
        <v>7</v>
      </c>
      <c r="B8877" t="s">
        <v>42</v>
      </c>
      <c r="C8877" t="s">
        <v>33</v>
      </c>
      <c r="D8877">
        <v>0</v>
      </c>
      <c r="E8877">
        <v>1</v>
      </c>
      <c r="F8877" s="7">
        <v>2686.44</v>
      </c>
      <c r="G8877">
        <v>0</v>
      </c>
      <c r="H8877" s="7">
        <v>0</v>
      </c>
    </row>
    <row r="8878" spans="1:8">
      <c r="A8878">
        <v>7</v>
      </c>
      <c r="B8878" t="s">
        <v>44</v>
      </c>
      <c r="C8878" t="s">
        <v>35</v>
      </c>
      <c r="D8878">
        <v>0</v>
      </c>
      <c r="E8878">
        <v>1</v>
      </c>
      <c r="F8878" s="7">
        <v>175236.79</v>
      </c>
      <c r="G8878">
        <v>0</v>
      </c>
      <c r="H8878" s="7">
        <v>0</v>
      </c>
    </row>
    <row r="8879" spans="1:8">
      <c r="A8879">
        <v>7</v>
      </c>
      <c r="B8879" t="s">
        <v>42</v>
      </c>
      <c r="C8879" t="s">
        <v>33</v>
      </c>
      <c r="D8879">
        <v>0</v>
      </c>
      <c r="E8879">
        <v>1</v>
      </c>
      <c r="F8879" s="7">
        <v>7176.58</v>
      </c>
      <c r="G8879">
        <v>0</v>
      </c>
      <c r="H8879" s="7">
        <v>0</v>
      </c>
    </row>
    <row r="8880" spans="1:8">
      <c r="A8880">
        <v>7</v>
      </c>
      <c r="B8880" t="s">
        <v>44</v>
      </c>
      <c r="C8880" t="s">
        <v>35</v>
      </c>
      <c r="D8880">
        <v>0</v>
      </c>
      <c r="E8880">
        <v>1</v>
      </c>
      <c r="F8880" s="7">
        <v>316493.12</v>
      </c>
      <c r="G8880">
        <v>0</v>
      </c>
      <c r="H8880" s="7">
        <v>0</v>
      </c>
    </row>
    <row r="8881" spans="1:8">
      <c r="A8881">
        <v>7</v>
      </c>
      <c r="B8881" t="s">
        <v>42</v>
      </c>
      <c r="C8881" t="s">
        <v>33</v>
      </c>
      <c r="D8881">
        <v>0</v>
      </c>
      <c r="E8881">
        <v>1</v>
      </c>
      <c r="F8881" s="7">
        <v>1703.96</v>
      </c>
      <c r="G8881">
        <v>0</v>
      </c>
      <c r="H8881" s="7">
        <v>0</v>
      </c>
    </row>
    <row r="8882" spans="1:8">
      <c r="A8882">
        <v>7</v>
      </c>
      <c r="B8882" t="s">
        <v>42</v>
      </c>
      <c r="C8882" t="s">
        <v>33</v>
      </c>
      <c r="D8882">
        <v>0</v>
      </c>
      <c r="E8882">
        <v>1</v>
      </c>
      <c r="F8882" s="7">
        <v>4307.38</v>
      </c>
      <c r="G8882">
        <v>0</v>
      </c>
      <c r="H8882" s="7">
        <v>0</v>
      </c>
    </row>
    <row r="8883" spans="1:8">
      <c r="A8883">
        <v>7</v>
      </c>
      <c r="B8883" t="s">
        <v>44</v>
      </c>
      <c r="C8883" t="s">
        <v>35</v>
      </c>
      <c r="D8883">
        <v>0</v>
      </c>
      <c r="E8883">
        <v>1</v>
      </c>
      <c r="F8883" s="7">
        <v>228251.68</v>
      </c>
      <c r="G8883">
        <v>0</v>
      </c>
      <c r="H8883" s="7">
        <v>0</v>
      </c>
    </row>
    <row r="8884" spans="1:8">
      <c r="A8884">
        <v>7</v>
      </c>
      <c r="B8884" t="s">
        <v>42</v>
      </c>
      <c r="C8884" t="s">
        <v>33</v>
      </c>
      <c r="D8884">
        <v>0</v>
      </c>
      <c r="E8884">
        <v>1</v>
      </c>
      <c r="F8884" s="7">
        <v>4465.5</v>
      </c>
      <c r="G8884">
        <v>0</v>
      </c>
      <c r="H8884" s="7">
        <v>0</v>
      </c>
    </row>
    <row r="8885" spans="1:8">
      <c r="A8885">
        <v>7</v>
      </c>
      <c r="B8885" t="s">
        <v>42</v>
      </c>
      <c r="C8885" t="s">
        <v>34</v>
      </c>
      <c r="D8885">
        <v>0</v>
      </c>
      <c r="E8885">
        <v>1</v>
      </c>
      <c r="F8885" s="7">
        <v>10399.11</v>
      </c>
      <c r="G8885">
        <v>0</v>
      </c>
      <c r="H8885" s="7">
        <v>0</v>
      </c>
    </row>
    <row r="8886" spans="1:8">
      <c r="A8886">
        <v>7</v>
      </c>
      <c r="B8886" t="s">
        <v>42</v>
      </c>
      <c r="C8886" t="s">
        <v>33</v>
      </c>
      <c r="D8886">
        <v>0</v>
      </c>
      <c r="E8886">
        <v>1</v>
      </c>
      <c r="F8886" s="7">
        <v>6301.93</v>
      </c>
      <c r="G8886">
        <v>0</v>
      </c>
      <c r="H8886" s="7">
        <v>0</v>
      </c>
    </row>
    <row r="8887" spans="1:8">
      <c r="A8887">
        <v>7</v>
      </c>
      <c r="B8887" t="s">
        <v>44</v>
      </c>
      <c r="C8887" t="s">
        <v>35</v>
      </c>
      <c r="D8887">
        <v>0</v>
      </c>
      <c r="E8887">
        <v>1</v>
      </c>
      <c r="F8887" s="7">
        <v>156329.61</v>
      </c>
      <c r="G8887">
        <v>0</v>
      </c>
      <c r="H8887" s="7">
        <v>0</v>
      </c>
    </row>
    <row r="8888" spans="1:8">
      <c r="A8888">
        <v>7</v>
      </c>
      <c r="B8888" t="s">
        <v>43</v>
      </c>
      <c r="C8888" t="s">
        <v>35</v>
      </c>
      <c r="D8888">
        <v>0</v>
      </c>
      <c r="E8888">
        <v>1</v>
      </c>
      <c r="F8888" s="7">
        <v>392940.08</v>
      </c>
      <c r="G8888">
        <v>0</v>
      </c>
      <c r="H8888" s="7">
        <v>0</v>
      </c>
    </row>
    <row r="8889" spans="1:8">
      <c r="A8889">
        <v>7</v>
      </c>
      <c r="B8889" t="s">
        <v>46</v>
      </c>
      <c r="C8889" t="s">
        <v>34</v>
      </c>
      <c r="D8889">
        <v>0</v>
      </c>
      <c r="E8889">
        <v>1</v>
      </c>
      <c r="F8889" s="7">
        <v>24035.29</v>
      </c>
      <c r="G8889">
        <v>0</v>
      </c>
      <c r="H8889" s="7">
        <v>0</v>
      </c>
    </row>
    <row r="8890" spans="1:8">
      <c r="A8890">
        <v>7</v>
      </c>
      <c r="B8890" t="s">
        <v>42</v>
      </c>
      <c r="C8890" t="s">
        <v>34</v>
      </c>
      <c r="D8890">
        <v>0</v>
      </c>
      <c r="E8890">
        <v>1</v>
      </c>
      <c r="F8890" s="7">
        <v>13878.21</v>
      </c>
      <c r="G8890">
        <v>0</v>
      </c>
      <c r="H8890" s="7">
        <v>0</v>
      </c>
    </row>
    <row r="8891" spans="1:8">
      <c r="A8891">
        <v>7</v>
      </c>
      <c r="B8891" t="s">
        <v>42</v>
      </c>
      <c r="C8891" t="s">
        <v>32</v>
      </c>
      <c r="D8891">
        <v>0</v>
      </c>
      <c r="E8891">
        <v>1</v>
      </c>
      <c r="F8891" s="7">
        <v>502.38</v>
      </c>
      <c r="G8891">
        <v>0</v>
      </c>
      <c r="H8891" s="7">
        <v>0</v>
      </c>
    </row>
    <row r="8892" spans="1:8">
      <c r="A8892">
        <v>7</v>
      </c>
      <c r="B8892" t="s">
        <v>42</v>
      </c>
      <c r="C8892" t="s">
        <v>33</v>
      </c>
      <c r="D8892">
        <v>0</v>
      </c>
      <c r="E8892">
        <v>1</v>
      </c>
      <c r="F8892" s="7">
        <v>1589.74</v>
      </c>
      <c r="G8892">
        <v>0</v>
      </c>
      <c r="H8892" s="7">
        <v>0</v>
      </c>
    </row>
    <row r="8893" spans="1:8">
      <c r="A8893">
        <v>7</v>
      </c>
      <c r="B8893" t="s">
        <v>42</v>
      </c>
      <c r="C8893" t="s">
        <v>33</v>
      </c>
      <c r="D8893">
        <v>0</v>
      </c>
      <c r="E8893">
        <v>1</v>
      </c>
      <c r="F8893" s="7">
        <v>2043.74</v>
      </c>
      <c r="G8893">
        <v>0</v>
      </c>
      <c r="H8893" s="7">
        <v>0</v>
      </c>
    </row>
    <row r="8894" spans="1:8">
      <c r="A8894">
        <v>7</v>
      </c>
      <c r="B8894" t="s">
        <v>42</v>
      </c>
      <c r="C8894" t="s">
        <v>34</v>
      </c>
      <c r="D8894">
        <v>0</v>
      </c>
      <c r="E8894">
        <v>1</v>
      </c>
      <c r="F8894" s="7">
        <v>11943.88</v>
      </c>
      <c r="G8894">
        <v>0</v>
      </c>
      <c r="H8894" s="7">
        <v>0</v>
      </c>
    </row>
    <row r="8895" spans="1:8">
      <c r="A8895">
        <v>7</v>
      </c>
      <c r="B8895" t="s">
        <v>42</v>
      </c>
      <c r="C8895" t="s">
        <v>33</v>
      </c>
      <c r="D8895">
        <v>0</v>
      </c>
      <c r="E8895">
        <v>1</v>
      </c>
      <c r="F8895" s="7">
        <v>5245.79</v>
      </c>
      <c r="G8895">
        <v>0</v>
      </c>
      <c r="H8895" s="7">
        <v>0</v>
      </c>
    </row>
    <row r="8896" spans="1:8">
      <c r="A8896">
        <v>7</v>
      </c>
      <c r="B8896" t="s">
        <v>42</v>
      </c>
      <c r="C8896" t="s">
        <v>33</v>
      </c>
      <c r="D8896">
        <v>0</v>
      </c>
      <c r="E8896">
        <v>1</v>
      </c>
      <c r="F8896" s="7">
        <v>8976.18</v>
      </c>
      <c r="G8896">
        <v>0</v>
      </c>
      <c r="H8896" s="7">
        <v>0</v>
      </c>
    </row>
    <row r="8897" spans="1:8">
      <c r="A8897">
        <v>7</v>
      </c>
      <c r="B8897" t="s">
        <v>44</v>
      </c>
      <c r="C8897" t="s">
        <v>35</v>
      </c>
      <c r="D8897">
        <v>0</v>
      </c>
      <c r="E8897">
        <v>1</v>
      </c>
      <c r="F8897" s="7">
        <v>175416.04</v>
      </c>
      <c r="G8897">
        <v>0</v>
      </c>
      <c r="H8897" s="7">
        <v>0</v>
      </c>
    </row>
    <row r="8898" spans="1:8">
      <c r="A8898">
        <v>7</v>
      </c>
      <c r="B8898" t="s">
        <v>44</v>
      </c>
      <c r="C8898" t="s">
        <v>35</v>
      </c>
      <c r="D8898">
        <v>0</v>
      </c>
      <c r="E8898">
        <v>1</v>
      </c>
      <c r="F8898" s="7">
        <v>107057.5</v>
      </c>
      <c r="G8898">
        <v>0</v>
      </c>
      <c r="H8898" s="7">
        <v>0</v>
      </c>
    </row>
    <row r="8899" spans="1:8">
      <c r="A8899">
        <v>7</v>
      </c>
      <c r="B8899" t="s">
        <v>44</v>
      </c>
      <c r="C8899" t="s">
        <v>34</v>
      </c>
      <c r="D8899">
        <v>0</v>
      </c>
      <c r="E8899">
        <v>1</v>
      </c>
      <c r="F8899" s="7">
        <v>63751.96</v>
      </c>
      <c r="G8899">
        <v>0</v>
      </c>
      <c r="H8899" s="7">
        <v>0</v>
      </c>
    </row>
    <row r="8900" spans="1:8">
      <c r="A8900">
        <v>7</v>
      </c>
      <c r="B8900" t="s">
        <v>44</v>
      </c>
      <c r="C8900" t="s">
        <v>34</v>
      </c>
      <c r="D8900">
        <v>0</v>
      </c>
      <c r="E8900">
        <v>1</v>
      </c>
      <c r="F8900" s="7">
        <v>41210.57</v>
      </c>
      <c r="G8900">
        <v>0</v>
      </c>
      <c r="H8900" s="7">
        <v>0</v>
      </c>
    </row>
    <row r="8901" spans="1:8">
      <c r="A8901">
        <v>7</v>
      </c>
      <c r="B8901" t="s">
        <v>44</v>
      </c>
      <c r="C8901" t="s">
        <v>35</v>
      </c>
      <c r="D8901">
        <v>0</v>
      </c>
      <c r="E8901">
        <v>1</v>
      </c>
      <c r="F8901" s="7">
        <v>284451.31</v>
      </c>
      <c r="G8901">
        <v>0</v>
      </c>
      <c r="H8901" s="7">
        <v>0</v>
      </c>
    </row>
    <row r="8902" spans="1:8">
      <c r="A8902">
        <v>7</v>
      </c>
      <c r="B8902" t="s">
        <v>44</v>
      </c>
      <c r="C8902" t="s">
        <v>35</v>
      </c>
      <c r="D8902">
        <v>0</v>
      </c>
      <c r="E8902">
        <v>1</v>
      </c>
      <c r="F8902" s="7">
        <v>224221.08</v>
      </c>
      <c r="G8902">
        <v>0</v>
      </c>
      <c r="H8902" s="7">
        <v>0</v>
      </c>
    </row>
    <row r="8903" spans="1:8">
      <c r="A8903">
        <v>7</v>
      </c>
      <c r="B8903" t="s">
        <v>44</v>
      </c>
      <c r="C8903" t="s">
        <v>35</v>
      </c>
      <c r="D8903">
        <v>0</v>
      </c>
      <c r="E8903">
        <v>1</v>
      </c>
      <c r="F8903" s="7">
        <v>512425.51</v>
      </c>
      <c r="G8903">
        <v>0</v>
      </c>
      <c r="H8903" s="7">
        <v>0</v>
      </c>
    </row>
    <row r="8904" spans="1:8">
      <c r="A8904">
        <v>7</v>
      </c>
      <c r="B8904" t="s">
        <v>44</v>
      </c>
      <c r="C8904" t="s">
        <v>35</v>
      </c>
      <c r="D8904">
        <v>0</v>
      </c>
      <c r="E8904">
        <v>1</v>
      </c>
      <c r="F8904" s="7">
        <v>185882.89</v>
      </c>
      <c r="G8904">
        <v>0</v>
      </c>
      <c r="H8904" s="7">
        <v>0</v>
      </c>
    </row>
    <row r="8905" spans="1:8">
      <c r="A8905">
        <v>7</v>
      </c>
      <c r="B8905" t="s">
        <v>44</v>
      </c>
      <c r="C8905" t="s">
        <v>35</v>
      </c>
      <c r="D8905">
        <v>0</v>
      </c>
      <c r="E8905">
        <v>1</v>
      </c>
      <c r="F8905" s="7">
        <v>162684.74</v>
      </c>
      <c r="G8905">
        <v>0</v>
      </c>
      <c r="H8905" s="7">
        <v>0</v>
      </c>
    </row>
    <row r="8906" spans="1:8">
      <c r="A8906">
        <v>7</v>
      </c>
      <c r="B8906" t="s">
        <v>44</v>
      </c>
      <c r="C8906" t="s">
        <v>33</v>
      </c>
      <c r="D8906">
        <v>0</v>
      </c>
      <c r="E8906">
        <v>1</v>
      </c>
      <c r="F8906" s="7">
        <v>6392.64</v>
      </c>
      <c r="G8906">
        <v>0</v>
      </c>
      <c r="H8906" s="7">
        <v>0</v>
      </c>
    </row>
    <row r="8907" spans="1:8">
      <c r="A8907">
        <v>7</v>
      </c>
      <c r="B8907" t="s">
        <v>44</v>
      </c>
      <c r="C8907" t="s">
        <v>35</v>
      </c>
      <c r="D8907">
        <v>0</v>
      </c>
      <c r="E8907">
        <v>1</v>
      </c>
      <c r="F8907" s="7">
        <v>183547.99</v>
      </c>
      <c r="G8907">
        <v>0</v>
      </c>
      <c r="H8907" s="7">
        <v>0</v>
      </c>
    </row>
    <row r="8908" spans="1:8">
      <c r="A8908">
        <v>7</v>
      </c>
      <c r="B8908" t="s">
        <v>44</v>
      </c>
      <c r="C8908" t="s">
        <v>34</v>
      </c>
      <c r="D8908">
        <v>0</v>
      </c>
      <c r="E8908">
        <v>1</v>
      </c>
      <c r="F8908" s="7">
        <v>27416.73</v>
      </c>
      <c r="G8908">
        <v>0</v>
      </c>
      <c r="H8908" s="7">
        <v>0</v>
      </c>
    </row>
    <row r="8909" spans="1:8">
      <c r="A8909">
        <v>7</v>
      </c>
      <c r="B8909" t="s">
        <v>44</v>
      </c>
      <c r="C8909" t="s">
        <v>34</v>
      </c>
      <c r="D8909">
        <v>0</v>
      </c>
      <c r="E8909">
        <v>1</v>
      </c>
      <c r="F8909" s="7">
        <v>89608.08</v>
      </c>
      <c r="G8909">
        <v>0</v>
      </c>
      <c r="H8909" s="7">
        <v>0</v>
      </c>
    </row>
    <row r="8910" spans="1:8">
      <c r="A8910">
        <v>7</v>
      </c>
      <c r="B8910" t="s">
        <v>42</v>
      </c>
      <c r="C8910" t="s">
        <v>33</v>
      </c>
      <c r="D8910">
        <v>0</v>
      </c>
      <c r="E8910">
        <v>1</v>
      </c>
      <c r="F8910" s="7">
        <v>4171.95</v>
      </c>
      <c r="G8910">
        <v>0</v>
      </c>
      <c r="H8910" s="7">
        <v>0</v>
      </c>
    </row>
    <row r="8911" spans="1:8">
      <c r="A8911">
        <v>7</v>
      </c>
      <c r="B8911" t="s">
        <v>44</v>
      </c>
      <c r="C8911" t="s">
        <v>34</v>
      </c>
      <c r="D8911">
        <v>0</v>
      </c>
      <c r="E8911">
        <v>1</v>
      </c>
      <c r="F8911" s="7">
        <v>78278.45</v>
      </c>
      <c r="G8911">
        <v>0</v>
      </c>
      <c r="H8911" s="7">
        <v>0</v>
      </c>
    </row>
    <row r="8912" spans="1:8">
      <c r="A8912">
        <v>7</v>
      </c>
      <c r="B8912" t="s">
        <v>42</v>
      </c>
      <c r="C8912" t="s">
        <v>34</v>
      </c>
      <c r="D8912">
        <v>0</v>
      </c>
      <c r="E8912">
        <v>1</v>
      </c>
      <c r="F8912" s="7">
        <v>10659.13</v>
      </c>
      <c r="G8912">
        <v>0</v>
      </c>
      <c r="H8912" s="7">
        <v>0</v>
      </c>
    </row>
    <row r="8913" spans="1:8">
      <c r="A8913">
        <v>7</v>
      </c>
      <c r="B8913" t="s">
        <v>42</v>
      </c>
      <c r="C8913" t="s">
        <v>33</v>
      </c>
      <c r="D8913">
        <v>0</v>
      </c>
      <c r="E8913">
        <v>1</v>
      </c>
      <c r="F8913" s="7">
        <v>8936.88</v>
      </c>
      <c r="G8913">
        <v>0</v>
      </c>
      <c r="H8913" s="7">
        <v>0</v>
      </c>
    </row>
    <row r="8914" spans="1:8">
      <c r="A8914">
        <v>7</v>
      </c>
      <c r="B8914" t="s">
        <v>42</v>
      </c>
      <c r="C8914" t="s">
        <v>32</v>
      </c>
      <c r="D8914">
        <v>0</v>
      </c>
      <c r="E8914">
        <v>1</v>
      </c>
      <c r="F8914" s="7">
        <v>653.16</v>
      </c>
      <c r="G8914">
        <v>0</v>
      </c>
      <c r="H8914" s="7">
        <v>0</v>
      </c>
    </row>
    <row r="8915" spans="1:8">
      <c r="A8915">
        <v>7</v>
      </c>
      <c r="B8915" t="s">
        <v>42</v>
      </c>
      <c r="C8915" t="s">
        <v>34</v>
      </c>
      <c r="D8915">
        <v>0</v>
      </c>
      <c r="E8915">
        <v>1</v>
      </c>
      <c r="F8915" s="7">
        <v>13397.45</v>
      </c>
      <c r="G8915">
        <v>0</v>
      </c>
      <c r="H8915" s="7">
        <v>0</v>
      </c>
    </row>
    <row r="8916" spans="1:8">
      <c r="A8916">
        <v>7</v>
      </c>
      <c r="B8916" t="s">
        <v>43</v>
      </c>
      <c r="C8916" t="s">
        <v>35</v>
      </c>
      <c r="D8916">
        <v>0</v>
      </c>
      <c r="E8916">
        <v>1</v>
      </c>
      <c r="F8916" s="7">
        <v>452835.39</v>
      </c>
      <c r="G8916">
        <v>0</v>
      </c>
      <c r="H8916" s="7">
        <v>0</v>
      </c>
    </row>
    <row r="8917" spans="1:8">
      <c r="A8917">
        <v>7</v>
      </c>
      <c r="B8917" t="s">
        <v>42</v>
      </c>
      <c r="C8917" t="s">
        <v>34</v>
      </c>
      <c r="D8917">
        <v>0</v>
      </c>
      <c r="E8917">
        <v>1</v>
      </c>
      <c r="F8917" s="7">
        <v>12187.12</v>
      </c>
      <c r="G8917">
        <v>0</v>
      </c>
      <c r="H8917" s="7">
        <v>0</v>
      </c>
    </row>
    <row r="8918" spans="1:8">
      <c r="A8918">
        <v>7</v>
      </c>
      <c r="B8918" t="s">
        <v>43</v>
      </c>
      <c r="C8918" t="s">
        <v>35</v>
      </c>
      <c r="D8918">
        <v>0</v>
      </c>
      <c r="E8918">
        <v>1</v>
      </c>
      <c r="F8918" s="7">
        <v>141257.69</v>
      </c>
      <c r="G8918">
        <v>0</v>
      </c>
      <c r="H8918" s="7">
        <v>0</v>
      </c>
    </row>
    <row r="8919" spans="1:8">
      <c r="A8919">
        <v>7</v>
      </c>
      <c r="B8919" t="s">
        <v>42</v>
      </c>
      <c r="C8919" t="s">
        <v>33</v>
      </c>
      <c r="D8919">
        <v>0</v>
      </c>
      <c r="E8919">
        <v>1</v>
      </c>
      <c r="F8919" s="7">
        <v>9801.54</v>
      </c>
      <c r="G8919">
        <v>0</v>
      </c>
      <c r="H8919" s="7">
        <v>0</v>
      </c>
    </row>
    <row r="8920" spans="1:8">
      <c r="A8920">
        <v>7</v>
      </c>
      <c r="B8920" t="s">
        <v>42</v>
      </c>
      <c r="C8920" t="s">
        <v>33</v>
      </c>
      <c r="D8920">
        <v>0</v>
      </c>
      <c r="E8920">
        <v>1</v>
      </c>
      <c r="F8920" s="7">
        <v>7951.32</v>
      </c>
      <c r="G8920">
        <v>0</v>
      </c>
      <c r="H8920" s="7">
        <v>0</v>
      </c>
    </row>
    <row r="8921" spans="1:8">
      <c r="A8921">
        <v>7</v>
      </c>
      <c r="B8921" t="s">
        <v>42</v>
      </c>
      <c r="C8921" t="s">
        <v>33</v>
      </c>
      <c r="D8921">
        <v>0</v>
      </c>
      <c r="E8921">
        <v>1</v>
      </c>
      <c r="F8921" s="7">
        <v>6929.73</v>
      </c>
      <c r="G8921">
        <v>0</v>
      </c>
      <c r="H8921" s="7">
        <v>0</v>
      </c>
    </row>
    <row r="8922" spans="1:8">
      <c r="A8922">
        <v>7</v>
      </c>
      <c r="B8922" t="s">
        <v>42</v>
      </c>
      <c r="C8922" t="s">
        <v>33</v>
      </c>
      <c r="D8922">
        <v>0</v>
      </c>
      <c r="E8922">
        <v>1</v>
      </c>
      <c r="F8922" s="7">
        <v>3941.31</v>
      </c>
      <c r="G8922">
        <v>0</v>
      </c>
      <c r="H8922" s="7">
        <v>0</v>
      </c>
    </row>
    <row r="8923" spans="1:8">
      <c r="A8923">
        <v>7</v>
      </c>
      <c r="B8923" t="s">
        <v>42</v>
      </c>
      <c r="C8923" t="s">
        <v>33</v>
      </c>
      <c r="D8923">
        <v>0</v>
      </c>
      <c r="E8923">
        <v>1</v>
      </c>
      <c r="F8923" s="7">
        <v>4522.72</v>
      </c>
      <c r="G8923">
        <v>0</v>
      </c>
      <c r="H8923" s="7">
        <v>0</v>
      </c>
    </row>
    <row r="8924" spans="1:8">
      <c r="A8924">
        <v>7</v>
      </c>
      <c r="B8924" t="s">
        <v>42</v>
      </c>
      <c r="C8924" t="s">
        <v>32</v>
      </c>
      <c r="D8924">
        <v>0</v>
      </c>
      <c r="E8924">
        <v>1</v>
      </c>
      <c r="F8924" s="7">
        <v>323.01</v>
      </c>
      <c r="G8924">
        <v>0</v>
      </c>
      <c r="H8924" s="7">
        <v>0</v>
      </c>
    </row>
    <row r="8925" spans="1:8">
      <c r="A8925">
        <v>7</v>
      </c>
      <c r="B8925" t="s">
        <v>42</v>
      </c>
      <c r="C8925" t="s">
        <v>33</v>
      </c>
      <c r="D8925">
        <v>0</v>
      </c>
      <c r="E8925">
        <v>1</v>
      </c>
      <c r="F8925" s="7">
        <v>6817.11</v>
      </c>
      <c r="G8925">
        <v>0</v>
      </c>
      <c r="H8925" s="7">
        <v>0</v>
      </c>
    </row>
    <row r="8926" spans="1:8">
      <c r="A8926">
        <v>7</v>
      </c>
      <c r="B8926" t="s">
        <v>42</v>
      </c>
      <c r="C8926" t="s">
        <v>34</v>
      </c>
      <c r="D8926">
        <v>0</v>
      </c>
      <c r="E8926">
        <v>1</v>
      </c>
      <c r="F8926" s="7">
        <v>13201.91</v>
      </c>
      <c r="G8926">
        <v>0</v>
      </c>
      <c r="H8926" s="7">
        <v>0</v>
      </c>
    </row>
    <row r="8927" spans="1:8">
      <c r="A8927">
        <v>7</v>
      </c>
      <c r="B8927" t="s">
        <v>42</v>
      </c>
      <c r="C8927" t="s">
        <v>33</v>
      </c>
      <c r="D8927">
        <v>0</v>
      </c>
      <c r="E8927">
        <v>1</v>
      </c>
      <c r="F8927" s="7">
        <v>2836.24</v>
      </c>
      <c r="G8927">
        <v>0</v>
      </c>
      <c r="H8927" s="7">
        <v>0</v>
      </c>
    </row>
    <row r="8928" spans="1:8">
      <c r="A8928">
        <v>7</v>
      </c>
      <c r="B8928" t="s">
        <v>42</v>
      </c>
      <c r="C8928" t="s">
        <v>33</v>
      </c>
      <c r="D8928">
        <v>0</v>
      </c>
      <c r="E8928">
        <v>1</v>
      </c>
      <c r="F8928" s="7">
        <v>5044.45</v>
      </c>
      <c r="G8928">
        <v>0</v>
      </c>
      <c r="H8928" s="7">
        <v>0</v>
      </c>
    </row>
    <row r="8929" spans="1:8">
      <c r="A8929">
        <v>7</v>
      </c>
      <c r="B8929" t="s">
        <v>44</v>
      </c>
      <c r="C8929" t="s">
        <v>35</v>
      </c>
      <c r="D8929">
        <v>0</v>
      </c>
      <c r="E8929">
        <v>1</v>
      </c>
      <c r="F8929" s="7">
        <v>117762.75</v>
      </c>
      <c r="G8929">
        <v>0</v>
      </c>
      <c r="H8929" s="7">
        <v>0</v>
      </c>
    </row>
    <row r="8930" spans="1:8">
      <c r="A8930">
        <v>7</v>
      </c>
      <c r="B8930" t="s">
        <v>42</v>
      </c>
      <c r="C8930" t="s">
        <v>33</v>
      </c>
      <c r="D8930">
        <v>0</v>
      </c>
      <c r="E8930">
        <v>1</v>
      </c>
      <c r="F8930" s="7">
        <v>2278.82</v>
      </c>
      <c r="G8930">
        <v>0</v>
      </c>
      <c r="H8930" s="7">
        <v>0</v>
      </c>
    </row>
    <row r="8931" spans="1:8">
      <c r="A8931">
        <v>7</v>
      </c>
      <c r="B8931" t="s">
        <v>42</v>
      </c>
      <c r="C8931" t="s">
        <v>33</v>
      </c>
      <c r="D8931">
        <v>0</v>
      </c>
      <c r="E8931">
        <v>1</v>
      </c>
      <c r="F8931" s="7">
        <v>3256.98</v>
      </c>
      <c r="G8931">
        <v>0</v>
      </c>
      <c r="H8931" s="7">
        <v>0</v>
      </c>
    </row>
    <row r="8932" spans="1:8">
      <c r="A8932">
        <v>7</v>
      </c>
      <c r="B8932" t="s">
        <v>42</v>
      </c>
      <c r="C8932" t="s">
        <v>34</v>
      </c>
      <c r="D8932">
        <v>0</v>
      </c>
      <c r="E8932">
        <v>1</v>
      </c>
      <c r="F8932" s="7">
        <v>10446.63</v>
      </c>
      <c r="G8932">
        <v>0</v>
      </c>
      <c r="H8932" s="7">
        <v>0</v>
      </c>
    </row>
    <row r="8933" spans="1:8">
      <c r="A8933">
        <v>7</v>
      </c>
      <c r="B8933" t="s">
        <v>42</v>
      </c>
      <c r="C8933" t="s">
        <v>33</v>
      </c>
      <c r="D8933">
        <v>0</v>
      </c>
      <c r="E8933">
        <v>1</v>
      </c>
      <c r="F8933" s="7">
        <v>1520.66</v>
      </c>
      <c r="G8933">
        <v>0</v>
      </c>
      <c r="H8933" s="7">
        <v>0</v>
      </c>
    </row>
    <row r="8934" spans="1:8">
      <c r="A8934">
        <v>7</v>
      </c>
      <c r="B8934" t="s">
        <v>42</v>
      </c>
      <c r="C8934" t="s">
        <v>33</v>
      </c>
      <c r="D8934">
        <v>0</v>
      </c>
      <c r="E8934">
        <v>1</v>
      </c>
      <c r="F8934" s="7">
        <v>5961.64</v>
      </c>
      <c r="G8934">
        <v>0</v>
      </c>
      <c r="H8934" s="7">
        <v>0</v>
      </c>
    </row>
    <row r="8935" spans="1:8">
      <c r="A8935">
        <v>7</v>
      </c>
      <c r="B8935" t="s">
        <v>42</v>
      </c>
      <c r="C8935" t="s">
        <v>33</v>
      </c>
      <c r="D8935">
        <v>0</v>
      </c>
      <c r="E8935">
        <v>1</v>
      </c>
      <c r="F8935" s="7">
        <v>9450.61</v>
      </c>
      <c r="G8935">
        <v>0</v>
      </c>
      <c r="H8935" s="7">
        <v>0</v>
      </c>
    </row>
    <row r="8936" spans="1:8">
      <c r="A8936">
        <v>7</v>
      </c>
      <c r="B8936" t="s">
        <v>46</v>
      </c>
      <c r="C8936" t="s">
        <v>34</v>
      </c>
      <c r="D8936">
        <v>0</v>
      </c>
      <c r="E8936">
        <v>1</v>
      </c>
      <c r="F8936" s="7">
        <v>51940.57</v>
      </c>
      <c r="G8936">
        <v>0</v>
      </c>
      <c r="H8936" s="7">
        <v>0</v>
      </c>
    </row>
    <row r="8937" spans="1:8">
      <c r="A8937">
        <v>7</v>
      </c>
      <c r="B8937" t="s">
        <v>44</v>
      </c>
      <c r="C8937" t="s">
        <v>34</v>
      </c>
      <c r="D8937">
        <v>0</v>
      </c>
      <c r="E8937">
        <v>1</v>
      </c>
      <c r="F8937" s="7">
        <v>29181.32</v>
      </c>
      <c r="G8937">
        <v>0</v>
      </c>
      <c r="H8937" s="7">
        <v>0</v>
      </c>
    </row>
    <row r="8938" spans="1:8">
      <c r="A8938">
        <v>7</v>
      </c>
      <c r="B8938" t="s">
        <v>46</v>
      </c>
      <c r="C8938" t="s">
        <v>34</v>
      </c>
      <c r="D8938">
        <v>0</v>
      </c>
      <c r="E8938">
        <v>1</v>
      </c>
      <c r="F8938" s="7">
        <v>76185.26</v>
      </c>
      <c r="G8938">
        <v>0</v>
      </c>
      <c r="H8938" s="7">
        <v>0</v>
      </c>
    </row>
    <row r="8939" spans="1:8">
      <c r="A8939">
        <v>7</v>
      </c>
      <c r="B8939" t="s">
        <v>42</v>
      </c>
      <c r="C8939" t="s">
        <v>33</v>
      </c>
      <c r="D8939">
        <v>0</v>
      </c>
      <c r="E8939">
        <v>1</v>
      </c>
      <c r="F8939" s="7">
        <v>3585.4</v>
      </c>
      <c r="G8939">
        <v>0</v>
      </c>
      <c r="H8939" s="7">
        <v>0</v>
      </c>
    </row>
    <row r="8940" spans="1:8">
      <c r="A8940">
        <v>7</v>
      </c>
      <c r="B8940" t="s">
        <v>42</v>
      </c>
      <c r="C8940" t="s">
        <v>32</v>
      </c>
      <c r="D8940">
        <v>0</v>
      </c>
      <c r="E8940">
        <v>1</v>
      </c>
      <c r="F8940" s="7">
        <v>543.6</v>
      </c>
      <c r="G8940">
        <v>0</v>
      </c>
      <c r="H8940" s="7">
        <v>0</v>
      </c>
    </row>
    <row r="8941" spans="1:8">
      <c r="A8941">
        <v>7</v>
      </c>
      <c r="B8941" t="s">
        <v>42</v>
      </c>
      <c r="C8941" t="s">
        <v>34</v>
      </c>
      <c r="D8941">
        <v>0</v>
      </c>
      <c r="E8941">
        <v>1</v>
      </c>
      <c r="F8941" s="7">
        <v>12333.76</v>
      </c>
      <c r="G8941">
        <v>0</v>
      </c>
      <c r="H8941" s="7">
        <v>0</v>
      </c>
    </row>
    <row r="8942" spans="1:8">
      <c r="A8942">
        <v>7</v>
      </c>
      <c r="B8942" t="s">
        <v>42</v>
      </c>
      <c r="C8942" t="s">
        <v>33</v>
      </c>
      <c r="D8942">
        <v>0</v>
      </c>
      <c r="E8942">
        <v>1</v>
      </c>
      <c r="F8942" s="7">
        <v>1864.36</v>
      </c>
      <c r="G8942">
        <v>0</v>
      </c>
      <c r="H8942" s="7">
        <v>0</v>
      </c>
    </row>
    <row r="8943" spans="1:8">
      <c r="A8943">
        <v>7</v>
      </c>
      <c r="B8943" t="s">
        <v>42</v>
      </c>
      <c r="C8943" t="s">
        <v>33</v>
      </c>
      <c r="D8943">
        <v>0</v>
      </c>
      <c r="E8943">
        <v>1</v>
      </c>
      <c r="F8943" s="7">
        <v>5563.16</v>
      </c>
      <c r="G8943">
        <v>0</v>
      </c>
      <c r="H8943" s="7">
        <v>0</v>
      </c>
    </row>
    <row r="8944" spans="1:8">
      <c r="A8944">
        <v>7</v>
      </c>
      <c r="B8944" t="s">
        <v>42</v>
      </c>
      <c r="C8944" t="s">
        <v>32</v>
      </c>
      <c r="D8944">
        <v>0</v>
      </c>
      <c r="E8944">
        <v>1</v>
      </c>
      <c r="F8944" s="7">
        <v>991.87</v>
      </c>
      <c r="G8944">
        <v>0</v>
      </c>
      <c r="H8944" s="7">
        <v>0</v>
      </c>
    </row>
    <row r="8945" spans="1:8">
      <c r="A8945">
        <v>7</v>
      </c>
      <c r="B8945" t="s">
        <v>42</v>
      </c>
      <c r="C8945" t="s">
        <v>33</v>
      </c>
      <c r="D8945">
        <v>0</v>
      </c>
      <c r="E8945">
        <v>1</v>
      </c>
      <c r="F8945" s="7">
        <v>1042.26</v>
      </c>
      <c r="G8945">
        <v>0</v>
      </c>
      <c r="H8945" s="7">
        <v>0</v>
      </c>
    </row>
    <row r="8946" spans="1:8">
      <c r="A8946">
        <v>7</v>
      </c>
      <c r="B8946" t="s">
        <v>46</v>
      </c>
      <c r="C8946" t="s">
        <v>34</v>
      </c>
      <c r="D8946">
        <v>0</v>
      </c>
      <c r="E8946">
        <v>1</v>
      </c>
      <c r="F8946" s="7">
        <v>56968.61</v>
      </c>
      <c r="G8946">
        <v>0</v>
      </c>
      <c r="H8946" s="7">
        <v>0</v>
      </c>
    </row>
    <row r="8947" spans="1:8">
      <c r="A8947">
        <v>7</v>
      </c>
      <c r="B8947" t="s">
        <v>42</v>
      </c>
      <c r="C8947" t="s">
        <v>34</v>
      </c>
      <c r="D8947">
        <v>0</v>
      </c>
      <c r="E8947">
        <v>1</v>
      </c>
      <c r="F8947" s="7">
        <v>17399.44</v>
      </c>
      <c r="G8947">
        <v>0</v>
      </c>
      <c r="H8947" s="7">
        <v>0</v>
      </c>
    </row>
    <row r="8948" spans="1:8">
      <c r="A8948">
        <v>7</v>
      </c>
      <c r="B8948" t="s">
        <v>42</v>
      </c>
      <c r="C8948" t="s">
        <v>33</v>
      </c>
      <c r="D8948">
        <v>0</v>
      </c>
      <c r="E8948">
        <v>1</v>
      </c>
      <c r="F8948" s="7">
        <v>7839.9</v>
      </c>
      <c r="G8948">
        <v>0</v>
      </c>
      <c r="H8948" s="7">
        <v>0</v>
      </c>
    </row>
    <row r="8949" spans="1:8">
      <c r="A8949">
        <v>7</v>
      </c>
      <c r="B8949" t="s">
        <v>43</v>
      </c>
      <c r="C8949" t="s">
        <v>35</v>
      </c>
      <c r="D8949">
        <v>0</v>
      </c>
      <c r="E8949">
        <v>1</v>
      </c>
      <c r="F8949" s="7">
        <v>393091.2</v>
      </c>
      <c r="G8949">
        <v>0</v>
      </c>
      <c r="H8949" s="7">
        <v>0</v>
      </c>
    </row>
    <row r="8950" spans="1:8">
      <c r="A8950">
        <v>7</v>
      </c>
      <c r="B8950" t="s">
        <v>43</v>
      </c>
      <c r="C8950" t="s">
        <v>34</v>
      </c>
      <c r="D8950">
        <v>0</v>
      </c>
      <c r="E8950">
        <v>1</v>
      </c>
      <c r="F8950" s="7">
        <v>25900.29</v>
      </c>
      <c r="G8950">
        <v>0</v>
      </c>
      <c r="H8950" s="7">
        <v>0</v>
      </c>
    </row>
    <row r="8951" spans="1:8">
      <c r="A8951">
        <v>7</v>
      </c>
      <c r="B8951" t="s">
        <v>42</v>
      </c>
      <c r="C8951" t="s">
        <v>33</v>
      </c>
      <c r="D8951">
        <v>0</v>
      </c>
      <c r="E8951">
        <v>1</v>
      </c>
      <c r="F8951" s="7">
        <v>3872.79</v>
      </c>
      <c r="G8951">
        <v>0</v>
      </c>
      <c r="H8951" s="7">
        <v>0</v>
      </c>
    </row>
    <row r="8952" spans="1:8">
      <c r="A8952">
        <v>7</v>
      </c>
      <c r="B8952" t="s">
        <v>42</v>
      </c>
      <c r="C8952" t="s">
        <v>33</v>
      </c>
      <c r="D8952">
        <v>0</v>
      </c>
      <c r="E8952">
        <v>1</v>
      </c>
      <c r="F8952" s="7">
        <v>7396.44</v>
      </c>
      <c r="G8952">
        <v>0</v>
      </c>
      <c r="H8952" s="7">
        <v>0</v>
      </c>
    </row>
    <row r="8953" spans="1:8">
      <c r="A8953">
        <v>7</v>
      </c>
      <c r="B8953" t="s">
        <v>42</v>
      </c>
      <c r="C8953" t="s">
        <v>33</v>
      </c>
      <c r="D8953">
        <v>0</v>
      </c>
      <c r="E8953">
        <v>1</v>
      </c>
      <c r="F8953" s="7">
        <v>5920.5</v>
      </c>
      <c r="G8953">
        <v>0</v>
      </c>
      <c r="H8953" s="7">
        <v>0</v>
      </c>
    </row>
    <row r="8954" spans="1:8">
      <c r="A8954">
        <v>7</v>
      </c>
      <c r="B8954" t="s">
        <v>43</v>
      </c>
      <c r="C8954" t="s">
        <v>35</v>
      </c>
      <c r="D8954">
        <v>0</v>
      </c>
      <c r="E8954">
        <v>1</v>
      </c>
      <c r="F8954" s="7">
        <v>700223.91</v>
      </c>
      <c r="G8954">
        <v>0</v>
      </c>
      <c r="H8954" s="7">
        <v>0</v>
      </c>
    </row>
    <row r="8955" spans="1:8">
      <c r="A8955">
        <v>7</v>
      </c>
      <c r="B8955" t="s">
        <v>43</v>
      </c>
      <c r="C8955" t="s">
        <v>35</v>
      </c>
      <c r="D8955">
        <v>0</v>
      </c>
      <c r="E8955">
        <v>1</v>
      </c>
      <c r="F8955" s="7">
        <v>229105.83</v>
      </c>
      <c r="G8955">
        <v>0</v>
      </c>
      <c r="H8955" s="7">
        <v>0</v>
      </c>
    </row>
    <row r="8956" spans="1:8">
      <c r="A8956">
        <v>7</v>
      </c>
      <c r="B8956" t="s">
        <v>45</v>
      </c>
      <c r="C8956" t="s">
        <v>33</v>
      </c>
      <c r="D8956">
        <v>0</v>
      </c>
      <c r="E8956">
        <v>1</v>
      </c>
      <c r="F8956" s="7">
        <v>2512.95</v>
      </c>
      <c r="G8956">
        <v>0</v>
      </c>
      <c r="H8956" s="7">
        <v>0</v>
      </c>
    </row>
    <row r="8957" spans="1:8">
      <c r="A8957">
        <v>7</v>
      </c>
      <c r="B8957" t="s">
        <v>42</v>
      </c>
      <c r="C8957" t="s">
        <v>33</v>
      </c>
      <c r="D8957">
        <v>0</v>
      </c>
      <c r="E8957">
        <v>1</v>
      </c>
      <c r="F8957" s="7">
        <v>4405.43</v>
      </c>
      <c r="G8957">
        <v>0</v>
      </c>
      <c r="H8957" s="7">
        <v>0</v>
      </c>
    </row>
    <row r="8958" spans="1:8">
      <c r="A8958">
        <v>7</v>
      </c>
      <c r="B8958" t="s">
        <v>43</v>
      </c>
      <c r="C8958" t="s">
        <v>35</v>
      </c>
      <c r="D8958">
        <v>0</v>
      </c>
      <c r="E8958">
        <v>1</v>
      </c>
      <c r="F8958" s="7">
        <v>351561.05</v>
      </c>
      <c r="G8958">
        <v>0</v>
      </c>
      <c r="H8958" s="7">
        <v>0</v>
      </c>
    </row>
    <row r="8959" spans="1:8">
      <c r="A8959">
        <v>7</v>
      </c>
      <c r="B8959" t="s">
        <v>43</v>
      </c>
      <c r="C8959" t="s">
        <v>35</v>
      </c>
      <c r="D8959">
        <v>0</v>
      </c>
      <c r="E8959">
        <v>1</v>
      </c>
      <c r="F8959" s="7">
        <v>740951.52</v>
      </c>
      <c r="G8959">
        <v>0</v>
      </c>
      <c r="H8959" s="7">
        <v>0</v>
      </c>
    </row>
    <row r="8960" spans="1:8">
      <c r="A8960">
        <v>7</v>
      </c>
      <c r="B8960" t="s">
        <v>42</v>
      </c>
      <c r="C8960" t="s">
        <v>34</v>
      </c>
      <c r="D8960">
        <v>0</v>
      </c>
      <c r="E8960">
        <v>1</v>
      </c>
      <c r="F8960" s="7">
        <v>16918.31</v>
      </c>
      <c r="G8960">
        <v>0</v>
      </c>
      <c r="H8960" s="7">
        <v>0</v>
      </c>
    </row>
    <row r="8961" spans="1:8">
      <c r="A8961">
        <v>7</v>
      </c>
      <c r="B8961" t="s">
        <v>42</v>
      </c>
      <c r="C8961" t="s">
        <v>33</v>
      </c>
      <c r="D8961">
        <v>0</v>
      </c>
      <c r="E8961">
        <v>1</v>
      </c>
      <c r="F8961" s="7">
        <v>9463.64</v>
      </c>
      <c r="G8961">
        <v>0</v>
      </c>
      <c r="H8961" s="7">
        <v>0</v>
      </c>
    </row>
    <row r="8962" spans="1:8">
      <c r="A8962">
        <v>7</v>
      </c>
      <c r="B8962" t="s">
        <v>42</v>
      </c>
      <c r="C8962" t="s">
        <v>33</v>
      </c>
      <c r="D8962">
        <v>0</v>
      </c>
      <c r="E8962">
        <v>1</v>
      </c>
      <c r="F8962" s="7">
        <v>1980.51</v>
      </c>
      <c r="G8962">
        <v>0</v>
      </c>
      <c r="H8962" s="7">
        <v>0</v>
      </c>
    </row>
    <row r="8963" spans="1:8">
      <c r="A8963">
        <v>7</v>
      </c>
      <c r="B8963" t="s">
        <v>42</v>
      </c>
      <c r="C8963" t="s">
        <v>33</v>
      </c>
      <c r="D8963">
        <v>0</v>
      </c>
      <c r="E8963">
        <v>1</v>
      </c>
      <c r="F8963" s="7">
        <v>3643.91</v>
      </c>
      <c r="G8963">
        <v>0</v>
      </c>
      <c r="H8963" s="7">
        <v>0</v>
      </c>
    </row>
    <row r="8964" spans="1:8">
      <c r="A8964">
        <v>7</v>
      </c>
      <c r="B8964" t="s">
        <v>42</v>
      </c>
      <c r="C8964" t="s">
        <v>33</v>
      </c>
      <c r="D8964">
        <v>0</v>
      </c>
      <c r="E8964">
        <v>1</v>
      </c>
      <c r="F8964" s="7">
        <v>5196.35</v>
      </c>
      <c r="G8964">
        <v>0</v>
      </c>
      <c r="H8964" s="7">
        <v>0</v>
      </c>
    </row>
    <row r="8965" spans="1:8">
      <c r="A8965">
        <v>7</v>
      </c>
      <c r="B8965" t="s">
        <v>43</v>
      </c>
      <c r="C8965" t="s">
        <v>36</v>
      </c>
      <c r="D8965">
        <v>0</v>
      </c>
      <c r="E8965">
        <v>1</v>
      </c>
      <c r="F8965" s="7">
        <v>1626960.47</v>
      </c>
      <c r="G8965">
        <v>0</v>
      </c>
      <c r="H8965" s="7">
        <v>0</v>
      </c>
    </row>
    <row r="8966" spans="1:8">
      <c r="A8966">
        <v>7</v>
      </c>
      <c r="B8966" t="s">
        <v>42</v>
      </c>
      <c r="C8966" t="s">
        <v>33</v>
      </c>
      <c r="D8966">
        <v>0</v>
      </c>
      <c r="E8966">
        <v>1</v>
      </c>
      <c r="F8966" s="7">
        <v>1937.5</v>
      </c>
      <c r="G8966">
        <v>0</v>
      </c>
      <c r="H8966" s="7">
        <v>0</v>
      </c>
    </row>
    <row r="8967" spans="1:8">
      <c r="A8967">
        <v>7</v>
      </c>
      <c r="B8967" t="s">
        <v>42</v>
      </c>
      <c r="C8967" t="s">
        <v>33</v>
      </c>
      <c r="D8967">
        <v>0</v>
      </c>
      <c r="E8967">
        <v>1</v>
      </c>
      <c r="F8967" s="7">
        <v>9024.06</v>
      </c>
      <c r="G8967">
        <v>0</v>
      </c>
      <c r="H8967" s="7">
        <v>0</v>
      </c>
    </row>
    <row r="8968" spans="1:8">
      <c r="A8968">
        <v>7</v>
      </c>
      <c r="B8968" t="s">
        <v>42</v>
      </c>
      <c r="C8968" t="s">
        <v>34</v>
      </c>
      <c r="D8968">
        <v>0</v>
      </c>
      <c r="E8968">
        <v>1</v>
      </c>
      <c r="F8968" s="7">
        <v>10916.1</v>
      </c>
      <c r="G8968">
        <v>0</v>
      </c>
      <c r="H8968" s="7">
        <v>0</v>
      </c>
    </row>
    <row r="8969" spans="1:8">
      <c r="A8969">
        <v>7</v>
      </c>
      <c r="B8969" t="s">
        <v>42</v>
      </c>
      <c r="C8969" t="s">
        <v>34</v>
      </c>
      <c r="D8969">
        <v>0</v>
      </c>
      <c r="E8969">
        <v>1</v>
      </c>
      <c r="F8969" s="7">
        <v>14709.78</v>
      </c>
      <c r="G8969">
        <v>0</v>
      </c>
      <c r="H8969" s="7">
        <v>0</v>
      </c>
    </row>
    <row r="8970" spans="1:8">
      <c r="A8970">
        <v>7</v>
      </c>
      <c r="B8970" t="s">
        <v>43</v>
      </c>
      <c r="C8970" t="s">
        <v>35</v>
      </c>
      <c r="D8970">
        <v>0</v>
      </c>
      <c r="E8970">
        <v>1</v>
      </c>
      <c r="F8970" s="7">
        <v>457456.67</v>
      </c>
      <c r="G8970">
        <v>0</v>
      </c>
      <c r="H8970" s="7">
        <v>0</v>
      </c>
    </row>
    <row r="8971" spans="1:8">
      <c r="A8971">
        <v>7</v>
      </c>
      <c r="B8971" t="s">
        <v>42</v>
      </c>
      <c r="C8971" t="s">
        <v>33</v>
      </c>
      <c r="D8971">
        <v>0</v>
      </c>
      <c r="E8971">
        <v>1</v>
      </c>
      <c r="F8971" s="7">
        <v>2327.84</v>
      </c>
      <c r="G8971">
        <v>0</v>
      </c>
      <c r="H8971" s="7">
        <v>0</v>
      </c>
    </row>
    <row r="8972" spans="1:8">
      <c r="A8972">
        <v>7</v>
      </c>
      <c r="B8972" t="s">
        <v>42</v>
      </c>
      <c r="C8972" t="s">
        <v>33</v>
      </c>
      <c r="D8972">
        <v>0</v>
      </c>
      <c r="E8972">
        <v>1</v>
      </c>
      <c r="F8972" s="7">
        <v>1722.22</v>
      </c>
      <c r="G8972">
        <v>0</v>
      </c>
      <c r="H8972" s="7">
        <v>0</v>
      </c>
    </row>
    <row r="8973" spans="1:8">
      <c r="A8973">
        <v>7</v>
      </c>
      <c r="B8973" t="s">
        <v>42</v>
      </c>
      <c r="C8973" t="s">
        <v>33</v>
      </c>
      <c r="D8973">
        <v>0</v>
      </c>
      <c r="E8973">
        <v>1</v>
      </c>
      <c r="F8973" s="7">
        <v>7519.45</v>
      </c>
      <c r="G8973">
        <v>0</v>
      </c>
      <c r="H8973" s="7">
        <v>0</v>
      </c>
    </row>
    <row r="8974" spans="1:8">
      <c r="A8974">
        <v>7</v>
      </c>
      <c r="B8974" t="s">
        <v>42</v>
      </c>
      <c r="C8974" t="s">
        <v>33</v>
      </c>
      <c r="D8974">
        <v>0</v>
      </c>
      <c r="E8974">
        <v>1</v>
      </c>
      <c r="F8974" s="7">
        <v>4839.18</v>
      </c>
      <c r="G8974">
        <v>0</v>
      </c>
      <c r="H8974" s="7">
        <v>0</v>
      </c>
    </row>
    <row r="8975" spans="1:8">
      <c r="A8975">
        <v>7</v>
      </c>
      <c r="B8975" t="s">
        <v>42</v>
      </c>
      <c r="C8975" t="s">
        <v>33</v>
      </c>
      <c r="D8975">
        <v>0</v>
      </c>
      <c r="E8975">
        <v>1</v>
      </c>
      <c r="F8975" s="7">
        <v>5285.09</v>
      </c>
      <c r="G8975">
        <v>0</v>
      </c>
      <c r="H8975" s="7">
        <v>0</v>
      </c>
    </row>
    <row r="8976" spans="1:8">
      <c r="A8976">
        <v>7</v>
      </c>
      <c r="B8976" t="s">
        <v>42</v>
      </c>
      <c r="C8976" t="s">
        <v>33</v>
      </c>
      <c r="D8976">
        <v>0</v>
      </c>
      <c r="E8976">
        <v>1</v>
      </c>
      <c r="F8976" s="7">
        <v>7806.89</v>
      </c>
      <c r="G8976">
        <v>0</v>
      </c>
      <c r="H8976" s="7">
        <v>0</v>
      </c>
    </row>
    <row r="8977" spans="1:8">
      <c r="A8977">
        <v>7</v>
      </c>
      <c r="B8977" t="s">
        <v>44</v>
      </c>
      <c r="C8977" t="s">
        <v>34</v>
      </c>
      <c r="D8977">
        <v>0</v>
      </c>
      <c r="E8977">
        <v>1</v>
      </c>
      <c r="F8977" s="7">
        <v>15325.4</v>
      </c>
      <c r="G8977">
        <v>0</v>
      </c>
      <c r="H8977" s="7">
        <v>0</v>
      </c>
    </row>
    <row r="8978" spans="1:8">
      <c r="A8978">
        <v>7</v>
      </c>
      <c r="B8978" t="s">
        <v>43</v>
      </c>
      <c r="C8978" t="s">
        <v>35</v>
      </c>
      <c r="D8978">
        <v>0</v>
      </c>
      <c r="E8978">
        <v>1</v>
      </c>
      <c r="F8978" s="7">
        <v>875756.9</v>
      </c>
      <c r="G8978">
        <v>0</v>
      </c>
      <c r="H8978" s="7">
        <v>0</v>
      </c>
    </row>
    <row r="8979" spans="1:8">
      <c r="A8979">
        <v>7</v>
      </c>
      <c r="B8979" t="s">
        <v>42</v>
      </c>
      <c r="C8979" t="s">
        <v>34</v>
      </c>
      <c r="D8979">
        <v>0</v>
      </c>
      <c r="E8979">
        <v>1</v>
      </c>
      <c r="F8979" s="7">
        <v>21374.64</v>
      </c>
      <c r="G8979">
        <v>0</v>
      </c>
      <c r="H8979" s="7">
        <v>0</v>
      </c>
    </row>
    <row r="8980" spans="1:8">
      <c r="A8980">
        <v>7</v>
      </c>
      <c r="B8980" t="s">
        <v>42</v>
      </c>
      <c r="C8980" t="s">
        <v>32</v>
      </c>
      <c r="D8980">
        <v>0</v>
      </c>
      <c r="E8980">
        <v>1</v>
      </c>
      <c r="F8980" s="7">
        <v>908.3</v>
      </c>
      <c r="G8980">
        <v>0</v>
      </c>
      <c r="H8980" s="7">
        <v>0</v>
      </c>
    </row>
    <row r="8981" spans="1:8">
      <c r="A8981">
        <v>7</v>
      </c>
      <c r="B8981" t="s">
        <v>43</v>
      </c>
      <c r="C8981" t="s">
        <v>35</v>
      </c>
      <c r="D8981">
        <v>0</v>
      </c>
      <c r="E8981">
        <v>1</v>
      </c>
      <c r="F8981" s="7">
        <v>399635.37</v>
      </c>
      <c r="G8981">
        <v>0</v>
      </c>
      <c r="H8981" s="7">
        <v>0</v>
      </c>
    </row>
    <row r="8982" spans="1:8">
      <c r="A8982">
        <v>7</v>
      </c>
      <c r="B8982" t="s">
        <v>44</v>
      </c>
      <c r="C8982" t="s">
        <v>35</v>
      </c>
      <c r="D8982">
        <v>0</v>
      </c>
      <c r="E8982">
        <v>1</v>
      </c>
      <c r="F8982" s="7">
        <v>218466.18</v>
      </c>
      <c r="G8982">
        <v>0</v>
      </c>
      <c r="H8982" s="7">
        <v>0</v>
      </c>
    </row>
    <row r="8983" spans="1:8">
      <c r="A8983">
        <v>7</v>
      </c>
      <c r="B8983" t="s">
        <v>44</v>
      </c>
      <c r="C8983" t="s">
        <v>35</v>
      </c>
      <c r="D8983">
        <v>0</v>
      </c>
      <c r="E8983">
        <v>1</v>
      </c>
      <c r="F8983" s="7">
        <v>211384.58</v>
      </c>
      <c r="G8983">
        <v>0</v>
      </c>
      <c r="H8983" s="7">
        <v>0</v>
      </c>
    </row>
    <row r="8984" spans="1:8">
      <c r="A8984">
        <v>7</v>
      </c>
      <c r="B8984" t="s">
        <v>42</v>
      </c>
      <c r="C8984" t="s">
        <v>33</v>
      </c>
      <c r="D8984">
        <v>0</v>
      </c>
      <c r="E8984">
        <v>1</v>
      </c>
      <c r="F8984" s="7">
        <v>7718.37</v>
      </c>
      <c r="G8984">
        <v>0</v>
      </c>
      <c r="H8984" s="7">
        <v>0</v>
      </c>
    </row>
    <row r="8985" spans="1:8">
      <c r="A8985">
        <v>7</v>
      </c>
      <c r="B8985" t="s">
        <v>44</v>
      </c>
      <c r="C8985" t="s">
        <v>34</v>
      </c>
      <c r="D8985">
        <v>0</v>
      </c>
      <c r="E8985">
        <v>1</v>
      </c>
      <c r="F8985" s="7">
        <v>72428.51</v>
      </c>
      <c r="G8985">
        <v>0</v>
      </c>
      <c r="H8985" s="7">
        <v>0</v>
      </c>
    </row>
    <row r="8986" spans="1:8">
      <c r="A8986">
        <v>7</v>
      </c>
      <c r="B8986" t="s">
        <v>42</v>
      </c>
      <c r="C8986" t="s">
        <v>33</v>
      </c>
      <c r="D8986">
        <v>0</v>
      </c>
      <c r="E8986">
        <v>1</v>
      </c>
      <c r="F8986" s="7">
        <v>1312.68</v>
      </c>
      <c r="G8986">
        <v>0</v>
      </c>
      <c r="H8986" s="7">
        <v>0</v>
      </c>
    </row>
    <row r="8987" spans="1:8">
      <c r="A8987">
        <v>7</v>
      </c>
      <c r="B8987" t="s">
        <v>44</v>
      </c>
      <c r="C8987" t="s">
        <v>35</v>
      </c>
      <c r="D8987">
        <v>0</v>
      </c>
      <c r="E8987">
        <v>1</v>
      </c>
      <c r="F8987" s="7">
        <v>329503.27</v>
      </c>
      <c r="G8987">
        <v>0</v>
      </c>
      <c r="H8987" s="7">
        <v>0</v>
      </c>
    </row>
    <row r="8988" spans="1:8">
      <c r="A8988">
        <v>7</v>
      </c>
      <c r="B8988" t="s">
        <v>43</v>
      </c>
      <c r="C8988" t="s">
        <v>35</v>
      </c>
      <c r="D8988">
        <v>0</v>
      </c>
      <c r="E8988">
        <v>1</v>
      </c>
      <c r="F8988" s="7">
        <v>419296.35</v>
      </c>
      <c r="G8988">
        <v>0</v>
      </c>
      <c r="H8988" s="7">
        <v>0</v>
      </c>
    </row>
    <row r="8989" spans="1:8">
      <c r="A8989">
        <v>7</v>
      </c>
      <c r="B8989" t="s">
        <v>44</v>
      </c>
      <c r="C8989" t="s">
        <v>35</v>
      </c>
      <c r="D8989">
        <v>0</v>
      </c>
      <c r="E8989">
        <v>1</v>
      </c>
      <c r="F8989" s="7">
        <v>154960.56</v>
      </c>
      <c r="G8989">
        <v>0</v>
      </c>
      <c r="H8989" s="7">
        <v>0</v>
      </c>
    </row>
    <row r="8990" spans="1:8">
      <c r="A8990">
        <v>7</v>
      </c>
      <c r="B8990" t="s">
        <v>44</v>
      </c>
      <c r="C8990" t="s">
        <v>35</v>
      </c>
      <c r="D8990">
        <v>0</v>
      </c>
      <c r="E8990">
        <v>1</v>
      </c>
      <c r="F8990" s="7">
        <v>286381.33</v>
      </c>
      <c r="G8990">
        <v>0</v>
      </c>
      <c r="H8990" s="7">
        <v>0</v>
      </c>
    </row>
    <row r="8991" spans="1:8">
      <c r="A8991">
        <v>7</v>
      </c>
      <c r="B8991" t="s">
        <v>43</v>
      </c>
      <c r="C8991" t="s">
        <v>35</v>
      </c>
      <c r="D8991">
        <v>0</v>
      </c>
      <c r="E8991">
        <v>1</v>
      </c>
      <c r="F8991" s="7">
        <v>126315.46</v>
      </c>
      <c r="G8991">
        <v>0</v>
      </c>
      <c r="H8991" s="7">
        <v>0</v>
      </c>
    </row>
    <row r="8992" spans="1:8">
      <c r="A8992">
        <v>7</v>
      </c>
      <c r="B8992" t="s">
        <v>42</v>
      </c>
      <c r="C8992" t="s">
        <v>34</v>
      </c>
      <c r="D8992">
        <v>0</v>
      </c>
      <c r="E8992">
        <v>1</v>
      </c>
      <c r="F8992" s="7">
        <v>13155.28</v>
      </c>
      <c r="G8992">
        <v>0</v>
      </c>
      <c r="H8992" s="7">
        <v>0</v>
      </c>
    </row>
    <row r="8993" spans="1:8">
      <c r="A8993">
        <v>7</v>
      </c>
      <c r="B8993" t="s">
        <v>42</v>
      </c>
      <c r="C8993" t="s">
        <v>34</v>
      </c>
      <c r="D8993">
        <v>0</v>
      </c>
      <c r="E8993">
        <v>1</v>
      </c>
      <c r="F8993" s="7">
        <v>17126.69</v>
      </c>
      <c r="G8993">
        <v>0</v>
      </c>
      <c r="H8993" s="7">
        <v>0</v>
      </c>
    </row>
    <row r="8994" spans="1:8">
      <c r="A8994">
        <v>7</v>
      </c>
      <c r="B8994" t="s">
        <v>44</v>
      </c>
      <c r="C8994" t="s">
        <v>35</v>
      </c>
      <c r="D8994">
        <v>0</v>
      </c>
      <c r="E8994">
        <v>1</v>
      </c>
      <c r="F8994" s="7">
        <v>170108.96</v>
      </c>
      <c r="G8994">
        <v>0</v>
      </c>
      <c r="H8994" s="7">
        <v>0</v>
      </c>
    </row>
    <row r="8995" spans="1:8">
      <c r="A8995">
        <v>7</v>
      </c>
      <c r="B8995" t="s">
        <v>42</v>
      </c>
      <c r="C8995" t="s">
        <v>34</v>
      </c>
      <c r="D8995">
        <v>0</v>
      </c>
      <c r="E8995">
        <v>1</v>
      </c>
      <c r="F8995" s="7">
        <v>10521.67</v>
      </c>
      <c r="G8995">
        <v>0</v>
      </c>
      <c r="H8995" s="7">
        <v>0</v>
      </c>
    </row>
    <row r="8996" spans="1:8">
      <c r="A8996">
        <v>7</v>
      </c>
      <c r="B8996" t="s">
        <v>44</v>
      </c>
      <c r="C8996" t="s">
        <v>35</v>
      </c>
      <c r="D8996">
        <v>0</v>
      </c>
      <c r="E8996">
        <v>1</v>
      </c>
      <c r="F8996" s="7">
        <v>116118.94</v>
      </c>
      <c r="G8996">
        <v>0</v>
      </c>
      <c r="H8996" s="7">
        <v>0</v>
      </c>
    </row>
    <row r="8997" spans="1:8">
      <c r="A8997">
        <v>7</v>
      </c>
      <c r="B8997" t="s">
        <v>42</v>
      </c>
      <c r="C8997" t="s">
        <v>34</v>
      </c>
      <c r="D8997">
        <v>0</v>
      </c>
      <c r="E8997">
        <v>1</v>
      </c>
      <c r="F8997" s="7">
        <v>11168.84</v>
      </c>
      <c r="G8997">
        <v>0</v>
      </c>
      <c r="H8997" s="7">
        <v>0</v>
      </c>
    </row>
    <row r="8998" spans="1:8">
      <c r="A8998">
        <v>7</v>
      </c>
      <c r="B8998" t="s">
        <v>44</v>
      </c>
      <c r="C8998" t="s">
        <v>35</v>
      </c>
      <c r="D8998">
        <v>0</v>
      </c>
      <c r="E8998">
        <v>1</v>
      </c>
      <c r="F8998" s="7">
        <v>126589.22</v>
      </c>
      <c r="G8998">
        <v>0</v>
      </c>
      <c r="H8998" s="7">
        <v>0</v>
      </c>
    </row>
    <row r="8999" spans="1:8">
      <c r="A8999">
        <v>7</v>
      </c>
      <c r="B8999" t="s">
        <v>43</v>
      </c>
      <c r="C8999" t="s">
        <v>35</v>
      </c>
      <c r="D8999">
        <v>0</v>
      </c>
      <c r="E8999">
        <v>1</v>
      </c>
      <c r="F8999" s="7">
        <v>643137.09</v>
      </c>
      <c r="G8999">
        <v>0</v>
      </c>
      <c r="H8999" s="7">
        <v>0</v>
      </c>
    </row>
    <row r="9000" spans="1:8">
      <c r="A9000">
        <v>7</v>
      </c>
      <c r="B9000" t="s">
        <v>42</v>
      </c>
      <c r="C9000" t="s">
        <v>33</v>
      </c>
      <c r="D9000">
        <v>0</v>
      </c>
      <c r="E9000">
        <v>1</v>
      </c>
      <c r="F9000" s="7">
        <v>7436.99</v>
      </c>
      <c r="G9000">
        <v>0</v>
      </c>
      <c r="H9000" s="7">
        <v>0</v>
      </c>
    </row>
    <row r="9001" spans="1:8">
      <c r="A9001">
        <v>7</v>
      </c>
      <c r="B9001" t="s">
        <v>43</v>
      </c>
      <c r="C9001" t="s">
        <v>35</v>
      </c>
      <c r="D9001">
        <v>0</v>
      </c>
      <c r="E9001">
        <v>1</v>
      </c>
      <c r="F9001" s="7">
        <v>548931.88</v>
      </c>
      <c r="G9001">
        <v>0</v>
      </c>
      <c r="H9001" s="7">
        <v>0</v>
      </c>
    </row>
    <row r="9002" spans="1:8">
      <c r="A9002">
        <v>7</v>
      </c>
      <c r="B9002" t="s">
        <v>42</v>
      </c>
      <c r="C9002" t="s">
        <v>33</v>
      </c>
      <c r="D9002">
        <v>0</v>
      </c>
      <c r="E9002">
        <v>1</v>
      </c>
      <c r="F9002" s="7">
        <v>3919.19</v>
      </c>
      <c r="G9002">
        <v>0</v>
      </c>
      <c r="H9002" s="7">
        <v>0</v>
      </c>
    </row>
    <row r="9003" spans="1:8">
      <c r="A9003">
        <v>7</v>
      </c>
      <c r="B9003" t="s">
        <v>42</v>
      </c>
      <c r="C9003" t="s">
        <v>33</v>
      </c>
      <c r="D9003">
        <v>0</v>
      </c>
      <c r="E9003">
        <v>1</v>
      </c>
      <c r="F9003" s="7">
        <v>8598.19</v>
      </c>
      <c r="G9003">
        <v>0</v>
      </c>
      <c r="H9003" s="7">
        <v>0</v>
      </c>
    </row>
    <row r="9004" spans="1:8">
      <c r="A9004">
        <v>7</v>
      </c>
      <c r="B9004" t="s">
        <v>42</v>
      </c>
      <c r="C9004" t="s">
        <v>33</v>
      </c>
      <c r="D9004">
        <v>0</v>
      </c>
      <c r="E9004">
        <v>1</v>
      </c>
      <c r="F9004" s="7">
        <v>7598.75</v>
      </c>
      <c r="G9004">
        <v>0</v>
      </c>
      <c r="H9004" s="7">
        <v>0</v>
      </c>
    </row>
    <row r="9005" spans="1:8">
      <c r="A9005">
        <v>7</v>
      </c>
      <c r="B9005" t="s">
        <v>44</v>
      </c>
      <c r="C9005" t="s">
        <v>35</v>
      </c>
      <c r="D9005">
        <v>0</v>
      </c>
      <c r="E9005">
        <v>1</v>
      </c>
      <c r="F9005" s="7">
        <v>267174.86</v>
      </c>
      <c r="G9005">
        <v>0</v>
      </c>
      <c r="H9005" s="7">
        <v>0</v>
      </c>
    </row>
    <row r="9006" spans="1:8">
      <c r="A9006">
        <v>7</v>
      </c>
      <c r="B9006" t="s">
        <v>42</v>
      </c>
      <c r="C9006" t="s">
        <v>33</v>
      </c>
      <c r="D9006">
        <v>0</v>
      </c>
      <c r="E9006">
        <v>1</v>
      </c>
      <c r="F9006" s="7">
        <v>2475.15</v>
      </c>
      <c r="G9006">
        <v>0</v>
      </c>
      <c r="H9006" s="7">
        <v>0</v>
      </c>
    </row>
    <row r="9007" spans="1:8">
      <c r="A9007">
        <v>7</v>
      </c>
      <c r="B9007" t="s">
        <v>42</v>
      </c>
      <c r="C9007" t="s">
        <v>33</v>
      </c>
      <c r="D9007">
        <v>0</v>
      </c>
      <c r="E9007">
        <v>1</v>
      </c>
      <c r="F9007" s="7">
        <v>5875.72</v>
      </c>
      <c r="G9007">
        <v>0</v>
      </c>
      <c r="H9007" s="7">
        <v>0</v>
      </c>
    </row>
    <row r="9008" spans="1:8">
      <c r="A9008">
        <v>7</v>
      </c>
      <c r="B9008" t="s">
        <v>42</v>
      </c>
      <c r="C9008" t="s">
        <v>33</v>
      </c>
      <c r="D9008">
        <v>0</v>
      </c>
      <c r="E9008">
        <v>1</v>
      </c>
      <c r="F9008" s="7">
        <v>4185.71</v>
      </c>
      <c r="G9008">
        <v>0</v>
      </c>
      <c r="H9008" s="7">
        <v>0</v>
      </c>
    </row>
    <row r="9009" spans="1:8">
      <c r="A9009">
        <v>7</v>
      </c>
      <c r="B9009" t="s">
        <v>42</v>
      </c>
      <c r="C9009" t="s">
        <v>33</v>
      </c>
      <c r="D9009">
        <v>0</v>
      </c>
      <c r="E9009">
        <v>1</v>
      </c>
      <c r="F9009" s="7">
        <v>2361.09</v>
      </c>
      <c r="G9009">
        <v>0</v>
      </c>
      <c r="H9009" s="7">
        <v>0</v>
      </c>
    </row>
    <row r="9010" spans="1:8">
      <c r="A9010">
        <v>7</v>
      </c>
      <c r="B9010" t="s">
        <v>42</v>
      </c>
      <c r="C9010" t="s">
        <v>32</v>
      </c>
      <c r="D9010">
        <v>0</v>
      </c>
      <c r="E9010">
        <v>1</v>
      </c>
      <c r="F9010" s="7">
        <v>180.45</v>
      </c>
      <c r="G9010">
        <v>0</v>
      </c>
      <c r="H9010" s="7">
        <v>0</v>
      </c>
    </row>
    <row r="9011" spans="1:8">
      <c r="A9011">
        <v>7</v>
      </c>
      <c r="B9011" t="s">
        <v>42</v>
      </c>
      <c r="C9011" t="s">
        <v>33</v>
      </c>
      <c r="D9011">
        <v>0</v>
      </c>
      <c r="E9011">
        <v>1</v>
      </c>
      <c r="F9011" s="7">
        <v>5955.29</v>
      </c>
      <c r="G9011">
        <v>0</v>
      </c>
      <c r="H9011" s="7">
        <v>0</v>
      </c>
    </row>
    <row r="9012" spans="1:8">
      <c r="A9012">
        <v>7</v>
      </c>
      <c r="B9012" t="s">
        <v>42</v>
      </c>
      <c r="C9012" t="s">
        <v>33</v>
      </c>
      <c r="D9012">
        <v>0</v>
      </c>
      <c r="E9012">
        <v>1</v>
      </c>
      <c r="F9012" s="7">
        <v>3549.07</v>
      </c>
      <c r="G9012">
        <v>0</v>
      </c>
      <c r="H9012" s="7">
        <v>0</v>
      </c>
    </row>
    <row r="9013" spans="1:8">
      <c r="A9013">
        <v>7</v>
      </c>
      <c r="B9013" t="s">
        <v>42</v>
      </c>
      <c r="C9013" t="s">
        <v>34</v>
      </c>
      <c r="D9013">
        <v>0</v>
      </c>
      <c r="E9013">
        <v>1</v>
      </c>
      <c r="F9013" s="7">
        <v>10837.97</v>
      </c>
      <c r="G9013">
        <v>0</v>
      </c>
      <c r="H9013" s="7">
        <v>0</v>
      </c>
    </row>
    <row r="9014" spans="1:8">
      <c r="A9014">
        <v>7</v>
      </c>
      <c r="B9014" t="s">
        <v>42</v>
      </c>
      <c r="C9014" t="s">
        <v>33</v>
      </c>
      <c r="D9014">
        <v>0</v>
      </c>
      <c r="E9014">
        <v>1</v>
      </c>
      <c r="F9014" s="7">
        <v>6373.65</v>
      </c>
      <c r="G9014">
        <v>0</v>
      </c>
      <c r="H9014" s="7">
        <v>0</v>
      </c>
    </row>
    <row r="9015" spans="1:8">
      <c r="A9015">
        <v>7</v>
      </c>
      <c r="B9015" t="s">
        <v>42</v>
      </c>
      <c r="C9015" t="s">
        <v>34</v>
      </c>
      <c r="D9015">
        <v>0</v>
      </c>
      <c r="E9015">
        <v>1</v>
      </c>
      <c r="F9015" s="7">
        <v>10266.02</v>
      </c>
      <c r="G9015">
        <v>0</v>
      </c>
      <c r="H9015" s="7">
        <v>0</v>
      </c>
    </row>
    <row r="9016" spans="1:8">
      <c r="A9016">
        <v>7</v>
      </c>
      <c r="B9016" t="s">
        <v>42</v>
      </c>
      <c r="C9016" t="s">
        <v>33</v>
      </c>
      <c r="D9016">
        <v>0</v>
      </c>
      <c r="E9016">
        <v>1</v>
      </c>
      <c r="F9016" s="7">
        <v>2420.65</v>
      </c>
      <c r="G9016">
        <v>0</v>
      </c>
      <c r="H9016" s="7">
        <v>0</v>
      </c>
    </row>
    <row r="9017" spans="1:8">
      <c r="A9017">
        <v>7</v>
      </c>
      <c r="B9017" t="s">
        <v>42</v>
      </c>
      <c r="C9017" t="s">
        <v>33</v>
      </c>
      <c r="D9017">
        <v>0</v>
      </c>
      <c r="E9017">
        <v>1</v>
      </c>
      <c r="F9017" s="7">
        <v>5306.41</v>
      </c>
      <c r="G9017">
        <v>0</v>
      </c>
      <c r="H9017" s="7">
        <v>0</v>
      </c>
    </row>
    <row r="9018" spans="1:8">
      <c r="A9018">
        <v>7</v>
      </c>
      <c r="B9018" t="s">
        <v>42</v>
      </c>
      <c r="C9018" t="s">
        <v>33</v>
      </c>
      <c r="D9018">
        <v>0</v>
      </c>
      <c r="E9018">
        <v>1</v>
      </c>
      <c r="F9018" s="7">
        <v>1564.23</v>
      </c>
      <c r="G9018">
        <v>0</v>
      </c>
      <c r="H9018" s="7">
        <v>0</v>
      </c>
    </row>
    <row r="9019" spans="1:8">
      <c r="A9019">
        <v>7</v>
      </c>
      <c r="B9019" t="s">
        <v>42</v>
      </c>
      <c r="C9019" t="s">
        <v>33</v>
      </c>
      <c r="D9019">
        <v>0</v>
      </c>
      <c r="E9019">
        <v>1</v>
      </c>
      <c r="F9019" s="7">
        <v>8309.89</v>
      </c>
      <c r="G9019">
        <v>0</v>
      </c>
      <c r="H9019" s="7">
        <v>0</v>
      </c>
    </row>
    <row r="9020" spans="1:8">
      <c r="A9020">
        <v>7</v>
      </c>
      <c r="B9020" t="s">
        <v>44</v>
      </c>
      <c r="C9020" t="s">
        <v>35</v>
      </c>
      <c r="D9020">
        <v>0</v>
      </c>
      <c r="E9020">
        <v>1</v>
      </c>
      <c r="F9020" s="7">
        <v>506721.82</v>
      </c>
      <c r="G9020">
        <v>0</v>
      </c>
      <c r="H9020" s="7">
        <v>0</v>
      </c>
    </row>
    <row r="9021" spans="1:8">
      <c r="A9021">
        <v>7</v>
      </c>
      <c r="B9021" t="s">
        <v>42</v>
      </c>
      <c r="C9021" t="s">
        <v>33</v>
      </c>
      <c r="D9021">
        <v>0</v>
      </c>
      <c r="E9021">
        <v>1</v>
      </c>
      <c r="F9021" s="7">
        <v>1623</v>
      </c>
      <c r="G9021">
        <v>0</v>
      </c>
      <c r="H9021" s="7">
        <v>0</v>
      </c>
    </row>
    <row r="9022" spans="1:8">
      <c r="A9022">
        <v>7</v>
      </c>
      <c r="B9022" t="s">
        <v>43</v>
      </c>
      <c r="C9022" t="s">
        <v>35</v>
      </c>
      <c r="D9022">
        <v>0</v>
      </c>
      <c r="E9022">
        <v>1</v>
      </c>
      <c r="F9022" s="7">
        <v>134905.99</v>
      </c>
      <c r="G9022">
        <v>0</v>
      </c>
      <c r="H9022" s="7">
        <v>0</v>
      </c>
    </row>
    <row r="9023" spans="1:8">
      <c r="A9023">
        <v>7</v>
      </c>
      <c r="B9023" t="s">
        <v>42</v>
      </c>
      <c r="C9023" t="s">
        <v>33</v>
      </c>
      <c r="D9023">
        <v>0</v>
      </c>
      <c r="E9023">
        <v>1</v>
      </c>
      <c r="F9023" s="7">
        <v>4068.24</v>
      </c>
      <c r="G9023">
        <v>0</v>
      </c>
      <c r="H9023" s="7">
        <v>0</v>
      </c>
    </row>
    <row r="9024" spans="1:8">
      <c r="A9024">
        <v>7</v>
      </c>
      <c r="B9024" t="s">
        <v>44</v>
      </c>
      <c r="C9024" t="s">
        <v>35</v>
      </c>
      <c r="D9024">
        <v>0</v>
      </c>
      <c r="E9024">
        <v>1</v>
      </c>
      <c r="F9024" s="7">
        <v>217951.1</v>
      </c>
      <c r="G9024">
        <v>0</v>
      </c>
      <c r="H9024" s="7">
        <v>0</v>
      </c>
    </row>
    <row r="9025" spans="1:8">
      <c r="A9025">
        <v>7</v>
      </c>
      <c r="B9025" t="s">
        <v>42</v>
      </c>
      <c r="C9025" t="s">
        <v>33</v>
      </c>
      <c r="D9025">
        <v>0</v>
      </c>
      <c r="E9025">
        <v>1</v>
      </c>
      <c r="F9025" s="7">
        <v>8494.23</v>
      </c>
      <c r="G9025">
        <v>0</v>
      </c>
      <c r="H9025" s="7">
        <v>0</v>
      </c>
    </row>
    <row r="9026" spans="1:8">
      <c r="A9026">
        <v>7</v>
      </c>
      <c r="B9026" t="s">
        <v>42</v>
      </c>
      <c r="C9026" t="s">
        <v>33</v>
      </c>
      <c r="D9026">
        <v>0</v>
      </c>
      <c r="E9026">
        <v>1</v>
      </c>
      <c r="F9026" s="7">
        <v>7775.56</v>
      </c>
      <c r="G9026">
        <v>0</v>
      </c>
      <c r="H9026" s="7">
        <v>0</v>
      </c>
    </row>
    <row r="9027" spans="1:8">
      <c r="A9027">
        <v>7</v>
      </c>
      <c r="B9027" t="s">
        <v>42</v>
      </c>
      <c r="C9027" t="s">
        <v>33</v>
      </c>
      <c r="D9027">
        <v>0</v>
      </c>
      <c r="E9027">
        <v>1</v>
      </c>
      <c r="F9027" s="7">
        <v>6917.79</v>
      </c>
      <c r="G9027">
        <v>0</v>
      </c>
      <c r="H9027" s="7">
        <v>0</v>
      </c>
    </row>
    <row r="9028" spans="1:8">
      <c r="A9028">
        <v>7</v>
      </c>
      <c r="B9028" t="s">
        <v>45</v>
      </c>
      <c r="C9028" t="s">
        <v>33</v>
      </c>
      <c r="D9028">
        <v>0</v>
      </c>
      <c r="E9028">
        <v>1</v>
      </c>
      <c r="F9028" s="7">
        <v>1618.72</v>
      </c>
      <c r="G9028">
        <v>0</v>
      </c>
      <c r="H9028" s="7">
        <v>0</v>
      </c>
    </row>
    <row r="9029" spans="1:8">
      <c r="A9029">
        <v>7</v>
      </c>
      <c r="B9029" t="s">
        <v>44</v>
      </c>
      <c r="C9029" t="s">
        <v>35</v>
      </c>
      <c r="D9029">
        <v>0</v>
      </c>
      <c r="E9029">
        <v>1</v>
      </c>
      <c r="F9029" s="7">
        <v>252921.55</v>
      </c>
      <c r="G9029">
        <v>0</v>
      </c>
      <c r="H9029" s="7">
        <v>0</v>
      </c>
    </row>
    <row r="9030" spans="1:8">
      <c r="A9030">
        <v>7</v>
      </c>
      <c r="B9030" t="s">
        <v>44</v>
      </c>
      <c r="C9030" t="s">
        <v>35</v>
      </c>
      <c r="D9030">
        <v>0</v>
      </c>
      <c r="E9030">
        <v>1</v>
      </c>
      <c r="F9030" s="7">
        <v>396017.83</v>
      </c>
      <c r="G9030">
        <v>0</v>
      </c>
      <c r="H9030" s="7">
        <v>0</v>
      </c>
    </row>
    <row r="9031" spans="1:8">
      <c r="A9031">
        <v>7</v>
      </c>
      <c r="B9031" t="s">
        <v>44</v>
      </c>
      <c r="C9031" t="s">
        <v>35</v>
      </c>
      <c r="D9031">
        <v>0</v>
      </c>
      <c r="E9031">
        <v>1</v>
      </c>
      <c r="F9031" s="7">
        <v>435330.06</v>
      </c>
      <c r="G9031">
        <v>0</v>
      </c>
      <c r="H9031" s="7">
        <v>0</v>
      </c>
    </row>
    <row r="9032" spans="1:8">
      <c r="A9032">
        <v>7</v>
      </c>
      <c r="B9032" t="s">
        <v>44</v>
      </c>
      <c r="C9032" t="s">
        <v>35</v>
      </c>
      <c r="D9032">
        <v>0</v>
      </c>
      <c r="E9032">
        <v>1</v>
      </c>
      <c r="F9032" s="7">
        <v>346519.18</v>
      </c>
      <c r="G9032">
        <v>0</v>
      </c>
      <c r="H9032" s="7">
        <v>0</v>
      </c>
    </row>
    <row r="9033" spans="1:8">
      <c r="A9033">
        <v>7</v>
      </c>
      <c r="B9033" t="s">
        <v>44</v>
      </c>
      <c r="C9033" t="s">
        <v>35</v>
      </c>
      <c r="D9033">
        <v>0</v>
      </c>
      <c r="E9033">
        <v>1</v>
      </c>
      <c r="F9033" s="7">
        <v>351726.3</v>
      </c>
      <c r="G9033">
        <v>0</v>
      </c>
      <c r="H9033" s="7">
        <v>0</v>
      </c>
    </row>
    <row r="9034" spans="1:8">
      <c r="A9034">
        <v>7</v>
      </c>
      <c r="B9034" t="s">
        <v>44</v>
      </c>
      <c r="C9034" t="s">
        <v>35</v>
      </c>
      <c r="D9034">
        <v>0</v>
      </c>
      <c r="E9034">
        <v>1</v>
      </c>
      <c r="F9034" s="7">
        <v>349036</v>
      </c>
      <c r="G9034">
        <v>0</v>
      </c>
      <c r="H9034" s="7">
        <v>0</v>
      </c>
    </row>
    <row r="9035" spans="1:8">
      <c r="A9035">
        <v>7</v>
      </c>
      <c r="B9035" t="s">
        <v>44</v>
      </c>
      <c r="C9035" t="s">
        <v>34</v>
      </c>
      <c r="D9035">
        <v>0</v>
      </c>
      <c r="E9035">
        <v>1</v>
      </c>
      <c r="F9035" s="7">
        <v>90106.13</v>
      </c>
      <c r="G9035">
        <v>0</v>
      </c>
      <c r="H9035" s="7">
        <v>0</v>
      </c>
    </row>
    <row r="9036" spans="1:8">
      <c r="A9036">
        <v>7</v>
      </c>
      <c r="B9036" t="s">
        <v>44</v>
      </c>
      <c r="C9036" t="s">
        <v>35</v>
      </c>
      <c r="D9036">
        <v>0</v>
      </c>
      <c r="E9036">
        <v>1</v>
      </c>
      <c r="F9036" s="7">
        <v>290975.16</v>
      </c>
      <c r="G9036">
        <v>0</v>
      </c>
      <c r="H9036" s="7">
        <v>0</v>
      </c>
    </row>
    <row r="9037" spans="1:8">
      <c r="A9037">
        <v>7</v>
      </c>
      <c r="B9037" t="s">
        <v>44</v>
      </c>
      <c r="C9037" t="s">
        <v>35</v>
      </c>
      <c r="D9037">
        <v>0</v>
      </c>
      <c r="E9037">
        <v>1</v>
      </c>
      <c r="F9037" s="7">
        <v>208168.06</v>
      </c>
      <c r="G9037">
        <v>0</v>
      </c>
      <c r="H9037" s="7">
        <v>0</v>
      </c>
    </row>
    <row r="9038" spans="1:8">
      <c r="A9038">
        <v>7</v>
      </c>
      <c r="B9038" t="s">
        <v>44</v>
      </c>
      <c r="C9038" t="s">
        <v>35</v>
      </c>
      <c r="D9038">
        <v>0</v>
      </c>
      <c r="E9038">
        <v>1</v>
      </c>
      <c r="F9038" s="7">
        <v>280436.1</v>
      </c>
      <c r="G9038">
        <v>0</v>
      </c>
      <c r="H9038" s="7">
        <v>0</v>
      </c>
    </row>
    <row r="9039" spans="1:8">
      <c r="A9039">
        <v>7</v>
      </c>
      <c r="B9039" t="s">
        <v>44</v>
      </c>
      <c r="C9039" t="s">
        <v>35</v>
      </c>
      <c r="D9039">
        <v>0</v>
      </c>
      <c r="E9039">
        <v>1</v>
      </c>
      <c r="F9039" s="7">
        <v>107752.32</v>
      </c>
      <c r="G9039">
        <v>0</v>
      </c>
      <c r="H9039" s="7">
        <v>0</v>
      </c>
    </row>
    <row r="9040" spans="1:8">
      <c r="A9040">
        <v>7</v>
      </c>
      <c r="B9040" t="s">
        <v>44</v>
      </c>
      <c r="C9040" t="s">
        <v>34</v>
      </c>
      <c r="D9040">
        <v>0</v>
      </c>
      <c r="E9040">
        <v>1</v>
      </c>
      <c r="F9040" s="7">
        <v>41088.35</v>
      </c>
      <c r="G9040">
        <v>0</v>
      </c>
      <c r="H9040" s="7">
        <v>0</v>
      </c>
    </row>
    <row r="9041" spans="1:8">
      <c r="A9041">
        <v>7</v>
      </c>
      <c r="B9041" t="s">
        <v>44</v>
      </c>
      <c r="C9041" t="s">
        <v>35</v>
      </c>
      <c r="D9041">
        <v>0</v>
      </c>
      <c r="E9041">
        <v>1</v>
      </c>
      <c r="F9041" s="7">
        <v>186948.68</v>
      </c>
      <c r="G9041">
        <v>0</v>
      </c>
      <c r="H9041" s="7">
        <v>0</v>
      </c>
    </row>
    <row r="9042" spans="1:8">
      <c r="A9042">
        <v>7</v>
      </c>
      <c r="B9042" t="s">
        <v>42</v>
      </c>
      <c r="C9042" t="s">
        <v>34</v>
      </c>
      <c r="D9042">
        <v>0</v>
      </c>
      <c r="E9042">
        <v>1</v>
      </c>
      <c r="F9042" s="7">
        <v>14621.24</v>
      </c>
      <c r="G9042">
        <v>0</v>
      </c>
      <c r="H9042" s="7">
        <v>0</v>
      </c>
    </row>
    <row r="9043" spans="1:8">
      <c r="A9043">
        <v>7</v>
      </c>
      <c r="B9043" t="s">
        <v>42</v>
      </c>
      <c r="C9043" t="s">
        <v>33</v>
      </c>
      <c r="D9043">
        <v>0</v>
      </c>
      <c r="E9043">
        <v>1</v>
      </c>
      <c r="F9043" s="7">
        <v>6687.89</v>
      </c>
      <c r="G9043">
        <v>0</v>
      </c>
      <c r="H9043" s="7">
        <v>0</v>
      </c>
    </row>
    <row r="9044" spans="1:8">
      <c r="A9044">
        <v>7</v>
      </c>
      <c r="B9044" t="s">
        <v>42</v>
      </c>
      <c r="C9044" t="s">
        <v>33</v>
      </c>
      <c r="D9044">
        <v>0</v>
      </c>
      <c r="E9044">
        <v>1</v>
      </c>
      <c r="F9044" s="7">
        <v>2058.78</v>
      </c>
      <c r="G9044">
        <v>0</v>
      </c>
      <c r="H9044" s="7">
        <v>0</v>
      </c>
    </row>
    <row r="9045" spans="1:8">
      <c r="A9045">
        <v>7</v>
      </c>
      <c r="B9045" t="s">
        <v>42</v>
      </c>
      <c r="C9045" t="s">
        <v>33</v>
      </c>
      <c r="D9045">
        <v>0</v>
      </c>
      <c r="E9045">
        <v>1</v>
      </c>
      <c r="F9045" s="7">
        <v>8284.33</v>
      </c>
      <c r="G9045">
        <v>0</v>
      </c>
      <c r="H9045" s="7">
        <v>0</v>
      </c>
    </row>
    <row r="9046" spans="1:8">
      <c r="A9046">
        <v>7</v>
      </c>
      <c r="B9046" t="s">
        <v>42</v>
      </c>
      <c r="C9046" t="s">
        <v>33</v>
      </c>
      <c r="D9046">
        <v>0</v>
      </c>
      <c r="E9046">
        <v>1</v>
      </c>
      <c r="F9046" s="7">
        <v>9537.3</v>
      </c>
      <c r="G9046">
        <v>0</v>
      </c>
      <c r="H9046" s="7">
        <v>0</v>
      </c>
    </row>
    <row r="9047" spans="1:8">
      <c r="A9047">
        <v>7</v>
      </c>
      <c r="B9047" t="s">
        <v>42</v>
      </c>
      <c r="C9047" t="s">
        <v>32</v>
      </c>
      <c r="D9047">
        <v>0</v>
      </c>
      <c r="E9047">
        <v>1</v>
      </c>
      <c r="F9047" s="7">
        <v>337.38</v>
      </c>
      <c r="G9047">
        <v>0</v>
      </c>
      <c r="H9047" s="7">
        <v>0</v>
      </c>
    </row>
    <row r="9048" spans="1:8">
      <c r="A9048">
        <v>7</v>
      </c>
      <c r="B9048" t="s">
        <v>42</v>
      </c>
      <c r="C9048" t="s">
        <v>33</v>
      </c>
      <c r="D9048">
        <v>0</v>
      </c>
      <c r="E9048">
        <v>1</v>
      </c>
      <c r="F9048" s="7">
        <v>9953.07</v>
      </c>
      <c r="G9048">
        <v>0</v>
      </c>
      <c r="H9048" s="7">
        <v>0</v>
      </c>
    </row>
    <row r="9049" spans="1:8">
      <c r="A9049">
        <v>7</v>
      </c>
      <c r="B9049" t="s">
        <v>42</v>
      </c>
      <c r="C9049" t="s">
        <v>34</v>
      </c>
      <c r="D9049">
        <v>0</v>
      </c>
      <c r="E9049">
        <v>1</v>
      </c>
      <c r="F9049" s="7">
        <v>14279.36</v>
      </c>
      <c r="G9049">
        <v>0</v>
      </c>
      <c r="H9049" s="7">
        <v>0</v>
      </c>
    </row>
    <row r="9050" spans="1:8">
      <c r="A9050">
        <v>7</v>
      </c>
      <c r="B9050" t="s">
        <v>42</v>
      </c>
      <c r="C9050" t="s">
        <v>34</v>
      </c>
      <c r="D9050">
        <v>0</v>
      </c>
      <c r="E9050">
        <v>1</v>
      </c>
      <c r="F9050" s="7">
        <v>12687.23</v>
      </c>
      <c r="G9050">
        <v>0</v>
      </c>
      <c r="H9050" s="7">
        <v>0</v>
      </c>
    </row>
    <row r="9051" spans="1:8">
      <c r="A9051">
        <v>7</v>
      </c>
      <c r="B9051" t="s">
        <v>42</v>
      </c>
      <c r="C9051" t="s">
        <v>32</v>
      </c>
      <c r="D9051">
        <v>0</v>
      </c>
      <c r="E9051">
        <v>1</v>
      </c>
      <c r="F9051" s="7">
        <v>267.33</v>
      </c>
      <c r="G9051">
        <v>0</v>
      </c>
      <c r="H9051" s="7">
        <v>0</v>
      </c>
    </row>
    <row r="9052" spans="1:8">
      <c r="A9052">
        <v>7</v>
      </c>
      <c r="B9052" t="s">
        <v>42</v>
      </c>
      <c r="C9052" t="s">
        <v>33</v>
      </c>
      <c r="D9052">
        <v>0</v>
      </c>
      <c r="E9052">
        <v>1</v>
      </c>
      <c r="F9052" s="7">
        <v>5672.99</v>
      </c>
      <c r="G9052">
        <v>0</v>
      </c>
      <c r="H9052" s="7">
        <v>0</v>
      </c>
    </row>
    <row r="9053" spans="1:8">
      <c r="A9053">
        <v>7</v>
      </c>
      <c r="B9053" t="s">
        <v>42</v>
      </c>
      <c r="C9053" t="s">
        <v>34</v>
      </c>
      <c r="D9053">
        <v>0</v>
      </c>
      <c r="E9053">
        <v>1</v>
      </c>
      <c r="F9053" s="7">
        <v>14978.23</v>
      </c>
      <c r="G9053">
        <v>0</v>
      </c>
      <c r="H9053" s="7">
        <v>0</v>
      </c>
    </row>
    <row r="9054" spans="1:8">
      <c r="A9054">
        <v>7</v>
      </c>
      <c r="B9054" t="s">
        <v>42</v>
      </c>
      <c r="C9054" t="s">
        <v>34</v>
      </c>
      <c r="D9054">
        <v>0</v>
      </c>
      <c r="E9054">
        <v>1</v>
      </c>
      <c r="F9054" s="7">
        <v>13451.6</v>
      </c>
      <c r="G9054">
        <v>0</v>
      </c>
      <c r="H9054" s="7">
        <v>0</v>
      </c>
    </row>
    <row r="9055" spans="1:8">
      <c r="A9055">
        <v>7</v>
      </c>
      <c r="B9055" t="s">
        <v>42</v>
      </c>
      <c r="C9055" t="s">
        <v>34</v>
      </c>
      <c r="D9055">
        <v>0</v>
      </c>
      <c r="E9055">
        <v>1</v>
      </c>
      <c r="F9055" s="7">
        <v>14731.43</v>
      </c>
      <c r="G9055">
        <v>0</v>
      </c>
      <c r="H9055" s="7">
        <v>0</v>
      </c>
    </row>
    <row r="9056" spans="1:8">
      <c r="A9056">
        <v>7</v>
      </c>
      <c r="B9056" t="s">
        <v>42</v>
      </c>
      <c r="C9056" t="s">
        <v>34</v>
      </c>
      <c r="D9056">
        <v>0</v>
      </c>
      <c r="E9056">
        <v>1</v>
      </c>
      <c r="F9056" s="7">
        <v>10236.7</v>
      </c>
      <c r="G9056">
        <v>0</v>
      </c>
      <c r="H9056" s="7">
        <v>0</v>
      </c>
    </row>
    <row r="9057" spans="1:8">
      <c r="A9057">
        <v>7</v>
      </c>
      <c r="B9057" t="s">
        <v>42</v>
      </c>
      <c r="C9057" t="s">
        <v>34</v>
      </c>
      <c r="D9057">
        <v>0</v>
      </c>
      <c r="E9057">
        <v>1</v>
      </c>
      <c r="F9057" s="7">
        <v>66345.42</v>
      </c>
      <c r="G9057">
        <v>0</v>
      </c>
      <c r="H9057" s="7">
        <v>0</v>
      </c>
    </row>
    <row r="9058" spans="1:8">
      <c r="A9058">
        <v>7</v>
      </c>
      <c r="B9058" t="s">
        <v>42</v>
      </c>
      <c r="C9058" t="s">
        <v>33</v>
      </c>
      <c r="D9058">
        <v>0</v>
      </c>
      <c r="E9058">
        <v>1</v>
      </c>
      <c r="F9058" s="7">
        <v>3032.91</v>
      </c>
      <c r="G9058">
        <v>0</v>
      </c>
      <c r="H9058" s="7">
        <v>0</v>
      </c>
    </row>
    <row r="9059" spans="1:8">
      <c r="A9059">
        <v>7</v>
      </c>
      <c r="B9059" t="s">
        <v>42</v>
      </c>
      <c r="C9059" t="s">
        <v>33</v>
      </c>
      <c r="D9059">
        <v>0</v>
      </c>
      <c r="E9059">
        <v>1</v>
      </c>
      <c r="F9059" s="7">
        <v>9246.48</v>
      </c>
      <c r="G9059">
        <v>0</v>
      </c>
      <c r="H9059" s="7">
        <v>0</v>
      </c>
    </row>
    <row r="9060" spans="1:8">
      <c r="A9060">
        <v>7</v>
      </c>
      <c r="B9060" t="s">
        <v>42</v>
      </c>
      <c r="C9060" t="s">
        <v>33</v>
      </c>
      <c r="D9060">
        <v>0</v>
      </c>
      <c r="E9060">
        <v>1</v>
      </c>
      <c r="F9060" s="7">
        <v>1724.87</v>
      </c>
      <c r="G9060">
        <v>0</v>
      </c>
      <c r="H9060" s="7">
        <v>0</v>
      </c>
    </row>
    <row r="9061" spans="1:8">
      <c r="A9061">
        <v>7</v>
      </c>
      <c r="B9061" t="s">
        <v>42</v>
      </c>
      <c r="C9061" t="s">
        <v>33</v>
      </c>
      <c r="D9061">
        <v>0</v>
      </c>
      <c r="E9061">
        <v>1</v>
      </c>
      <c r="F9061" s="7">
        <v>1023.05</v>
      </c>
      <c r="G9061">
        <v>0</v>
      </c>
      <c r="H9061" s="7">
        <v>0</v>
      </c>
    </row>
    <row r="9062" spans="1:8">
      <c r="A9062">
        <v>7</v>
      </c>
      <c r="B9062" t="s">
        <v>42</v>
      </c>
      <c r="C9062" t="s">
        <v>34</v>
      </c>
      <c r="D9062">
        <v>0</v>
      </c>
      <c r="E9062">
        <v>1</v>
      </c>
      <c r="F9062" s="7">
        <v>14298.19</v>
      </c>
      <c r="G9062">
        <v>0</v>
      </c>
      <c r="H9062" s="7">
        <v>0</v>
      </c>
    </row>
    <row r="9063" spans="1:8">
      <c r="A9063">
        <v>7</v>
      </c>
      <c r="B9063" t="s">
        <v>42</v>
      </c>
      <c r="C9063" t="s">
        <v>33</v>
      </c>
      <c r="D9063">
        <v>0</v>
      </c>
      <c r="E9063">
        <v>1</v>
      </c>
      <c r="F9063" s="7">
        <v>3157.28</v>
      </c>
      <c r="G9063">
        <v>0</v>
      </c>
      <c r="H9063" s="7">
        <v>0</v>
      </c>
    </row>
    <row r="9064" spans="1:8">
      <c r="A9064">
        <v>7</v>
      </c>
      <c r="B9064" t="s">
        <v>42</v>
      </c>
      <c r="C9064" t="s">
        <v>34</v>
      </c>
      <c r="D9064">
        <v>0</v>
      </c>
      <c r="E9064">
        <v>1</v>
      </c>
      <c r="F9064" s="7">
        <v>21227</v>
      </c>
      <c r="G9064">
        <v>0</v>
      </c>
      <c r="H9064" s="7">
        <v>0</v>
      </c>
    </row>
    <row r="9065" spans="1:8">
      <c r="A9065">
        <v>7</v>
      </c>
      <c r="B9065" t="s">
        <v>42</v>
      </c>
      <c r="C9065" t="s">
        <v>33</v>
      </c>
      <c r="D9065">
        <v>0</v>
      </c>
      <c r="E9065">
        <v>1</v>
      </c>
      <c r="F9065" s="7">
        <v>2268.74</v>
      </c>
      <c r="G9065">
        <v>0</v>
      </c>
      <c r="H9065" s="7">
        <v>0</v>
      </c>
    </row>
    <row r="9066" spans="1:8">
      <c r="A9066">
        <v>7</v>
      </c>
      <c r="B9066" t="s">
        <v>42</v>
      </c>
      <c r="C9066" t="s">
        <v>33</v>
      </c>
      <c r="D9066">
        <v>0</v>
      </c>
      <c r="E9066">
        <v>1</v>
      </c>
      <c r="F9066" s="7">
        <v>1417.84</v>
      </c>
      <c r="G9066">
        <v>0</v>
      </c>
      <c r="H9066" s="7">
        <v>0</v>
      </c>
    </row>
    <row r="9067" spans="1:8">
      <c r="A9067">
        <v>7</v>
      </c>
      <c r="B9067" t="s">
        <v>42</v>
      </c>
      <c r="C9067" t="s">
        <v>33</v>
      </c>
      <c r="D9067">
        <v>0</v>
      </c>
      <c r="E9067">
        <v>1</v>
      </c>
      <c r="F9067" s="7">
        <v>6454.56</v>
      </c>
      <c r="G9067">
        <v>0</v>
      </c>
      <c r="H9067" s="7">
        <v>0</v>
      </c>
    </row>
    <row r="9068" spans="1:8">
      <c r="A9068">
        <v>7</v>
      </c>
      <c r="B9068" t="s">
        <v>42</v>
      </c>
      <c r="C9068" t="s">
        <v>33</v>
      </c>
      <c r="D9068">
        <v>0</v>
      </c>
      <c r="E9068">
        <v>1</v>
      </c>
      <c r="F9068" s="7">
        <v>3442.37</v>
      </c>
      <c r="G9068">
        <v>0</v>
      </c>
      <c r="H9068" s="7">
        <v>0</v>
      </c>
    </row>
    <row r="9069" spans="1:8">
      <c r="A9069">
        <v>7</v>
      </c>
      <c r="B9069" t="s">
        <v>42</v>
      </c>
      <c r="C9069" t="s">
        <v>33</v>
      </c>
      <c r="D9069">
        <v>0</v>
      </c>
      <c r="E9069">
        <v>1</v>
      </c>
      <c r="F9069" s="7">
        <v>1476.92</v>
      </c>
      <c r="G9069">
        <v>0</v>
      </c>
      <c r="H9069" s="7">
        <v>0</v>
      </c>
    </row>
    <row r="9070" spans="1:8">
      <c r="A9070">
        <v>7</v>
      </c>
      <c r="B9070" t="s">
        <v>42</v>
      </c>
      <c r="C9070" t="s">
        <v>33</v>
      </c>
      <c r="D9070">
        <v>0</v>
      </c>
      <c r="E9070">
        <v>1</v>
      </c>
      <c r="F9070" s="7">
        <v>7898.5</v>
      </c>
      <c r="G9070">
        <v>0</v>
      </c>
      <c r="H9070" s="7">
        <v>0</v>
      </c>
    </row>
    <row r="9071" spans="1:8">
      <c r="A9071">
        <v>7</v>
      </c>
      <c r="B9071" t="s">
        <v>42</v>
      </c>
      <c r="C9071" t="s">
        <v>34</v>
      </c>
      <c r="D9071">
        <v>0</v>
      </c>
      <c r="E9071">
        <v>1</v>
      </c>
      <c r="F9071" s="7">
        <v>15171.77</v>
      </c>
      <c r="G9071">
        <v>0</v>
      </c>
      <c r="H9071" s="7">
        <v>0</v>
      </c>
    </row>
    <row r="9072" spans="1:8">
      <c r="A9072">
        <v>7</v>
      </c>
      <c r="B9072" t="s">
        <v>42</v>
      </c>
      <c r="C9072" t="s">
        <v>33</v>
      </c>
      <c r="D9072">
        <v>0</v>
      </c>
      <c r="E9072">
        <v>1</v>
      </c>
      <c r="F9072" s="7">
        <v>6159.12</v>
      </c>
      <c r="G9072">
        <v>0</v>
      </c>
      <c r="H9072" s="7">
        <v>0</v>
      </c>
    </row>
    <row r="9073" spans="1:8">
      <c r="A9073">
        <v>7</v>
      </c>
      <c r="B9073" t="s">
        <v>42</v>
      </c>
      <c r="C9073" t="s">
        <v>34</v>
      </c>
      <c r="D9073">
        <v>0</v>
      </c>
      <c r="E9073">
        <v>1</v>
      </c>
      <c r="F9073" s="7">
        <v>11396.93</v>
      </c>
      <c r="G9073">
        <v>0</v>
      </c>
      <c r="H9073" s="7">
        <v>0</v>
      </c>
    </row>
    <row r="9074" spans="1:8">
      <c r="A9074">
        <v>7</v>
      </c>
      <c r="B9074" t="s">
        <v>42</v>
      </c>
      <c r="C9074" t="s">
        <v>33</v>
      </c>
      <c r="D9074">
        <v>0</v>
      </c>
      <c r="E9074">
        <v>1</v>
      </c>
      <c r="F9074" s="7">
        <v>1784.87</v>
      </c>
      <c r="G9074">
        <v>0</v>
      </c>
      <c r="H9074" s="7">
        <v>0</v>
      </c>
    </row>
    <row r="9075" spans="1:8">
      <c r="A9075">
        <v>7</v>
      </c>
      <c r="B9075" t="s">
        <v>42</v>
      </c>
      <c r="C9075" t="s">
        <v>34</v>
      </c>
      <c r="D9075">
        <v>0</v>
      </c>
      <c r="E9075">
        <v>1</v>
      </c>
      <c r="F9075" s="7">
        <v>19895.93</v>
      </c>
      <c r="G9075">
        <v>0</v>
      </c>
      <c r="H9075" s="7">
        <v>0</v>
      </c>
    </row>
    <row r="9076" spans="1:8">
      <c r="A9076">
        <v>7</v>
      </c>
      <c r="B9076" t="s">
        <v>42</v>
      </c>
      <c r="C9076" t="s">
        <v>34</v>
      </c>
      <c r="D9076">
        <v>0</v>
      </c>
      <c r="E9076">
        <v>1</v>
      </c>
      <c r="F9076" s="7">
        <v>11079.34</v>
      </c>
      <c r="G9076">
        <v>0</v>
      </c>
      <c r="H9076" s="7">
        <v>0</v>
      </c>
    </row>
    <row r="9077" spans="1:8">
      <c r="A9077">
        <v>7</v>
      </c>
      <c r="B9077" t="s">
        <v>42</v>
      </c>
      <c r="C9077" t="s">
        <v>34</v>
      </c>
      <c r="D9077">
        <v>0</v>
      </c>
      <c r="E9077">
        <v>1</v>
      </c>
      <c r="F9077" s="7">
        <v>31142.75</v>
      </c>
      <c r="G9077">
        <v>0</v>
      </c>
      <c r="H9077" s="7">
        <v>0</v>
      </c>
    </row>
    <row r="9078" spans="1:8">
      <c r="A9078">
        <v>7</v>
      </c>
      <c r="B9078" t="s">
        <v>42</v>
      </c>
      <c r="C9078" t="s">
        <v>34</v>
      </c>
      <c r="D9078">
        <v>0</v>
      </c>
      <c r="E9078">
        <v>1</v>
      </c>
      <c r="F9078" s="7">
        <v>12060.01</v>
      </c>
      <c r="G9078">
        <v>0</v>
      </c>
      <c r="H9078" s="7">
        <v>0</v>
      </c>
    </row>
    <row r="9079" spans="1:8">
      <c r="A9079">
        <v>7</v>
      </c>
      <c r="B9079" t="s">
        <v>42</v>
      </c>
      <c r="C9079" t="s">
        <v>34</v>
      </c>
      <c r="D9079">
        <v>0</v>
      </c>
      <c r="E9079">
        <v>1</v>
      </c>
      <c r="F9079" s="7">
        <v>11527.48</v>
      </c>
      <c r="G9079">
        <v>0</v>
      </c>
      <c r="H9079" s="7">
        <v>0</v>
      </c>
    </row>
    <row r="9080" spans="1:8">
      <c r="A9080">
        <v>7</v>
      </c>
      <c r="B9080" t="s">
        <v>42</v>
      </c>
      <c r="C9080" t="s">
        <v>33</v>
      </c>
      <c r="D9080">
        <v>0</v>
      </c>
      <c r="E9080">
        <v>1</v>
      </c>
      <c r="F9080" s="7">
        <v>5783.05</v>
      </c>
      <c r="G9080">
        <v>0</v>
      </c>
      <c r="H9080" s="7">
        <v>0</v>
      </c>
    </row>
    <row r="9081" spans="1:8">
      <c r="A9081">
        <v>7</v>
      </c>
      <c r="B9081" t="s">
        <v>42</v>
      </c>
      <c r="C9081" t="s">
        <v>34</v>
      </c>
      <c r="D9081">
        <v>0</v>
      </c>
      <c r="E9081">
        <v>1</v>
      </c>
      <c r="F9081" s="7">
        <v>11454.41</v>
      </c>
      <c r="G9081">
        <v>0</v>
      </c>
      <c r="H9081" s="7">
        <v>0</v>
      </c>
    </row>
    <row r="9082" spans="1:8">
      <c r="A9082">
        <v>7</v>
      </c>
      <c r="B9082" t="s">
        <v>42</v>
      </c>
      <c r="C9082" t="s">
        <v>34</v>
      </c>
      <c r="D9082">
        <v>0</v>
      </c>
      <c r="E9082">
        <v>1</v>
      </c>
      <c r="F9082" s="7">
        <v>13117.45</v>
      </c>
      <c r="G9082">
        <v>0</v>
      </c>
      <c r="H9082" s="7">
        <v>0</v>
      </c>
    </row>
    <row r="9083" spans="1:8">
      <c r="A9083">
        <v>7</v>
      </c>
      <c r="B9083" t="s">
        <v>42</v>
      </c>
      <c r="C9083" t="s">
        <v>33</v>
      </c>
      <c r="D9083">
        <v>0</v>
      </c>
      <c r="E9083">
        <v>1</v>
      </c>
      <c r="F9083" s="7">
        <v>7663.31</v>
      </c>
      <c r="G9083">
        <v>0</v>
      </c>
      <c r="H9083" s="7">
        <v>0</v>
      </c>
    </row>
    <row r="9084" spans="1:8">
      <c r="A9084">
        <v>7</v>
      </c>
      <c r="B9084" t="s">
        <v>42</v>
      </c>
      <c r="C9084" t="s">
        <v>33</v>
      </c>
      <c r="D9084">
        <v>0</v>
      </c>
      <c r="E9084">
        <v>1</v>
      </c>
      <c r="F9084" s="7">
        <v>1309.47</v>
      </c>
      <c r="G9084">
        <v>0</v>
      </c>
      <c r="H9084" s="7">
        <v>0</v>
      </c>
    </row>
    <row r="9085" spans="1:8">
      <c r="A9085">
        <v>7</v>
      </c>
      <c r="B9085" t="s">
        <v>42</v>
      </c>
      <c r="C9085" t="s">
        <v>34</v>
      </c>
      <c r="D9085">
        <v>0</v>
      </c>
      <c r="E9085">
        <v>1</v>
      </c>
      <c r="F9085" s="7">
        <v>14436.95</v>
      </c>
      <c r="G9085">
        <v>0</v>
      </c>
      <c r="H9085" s="7">
        <v>0</v>
      </c>
    </row>
    <row r="9086" spans="1:8">
      <c r="A9086">
        <v>7</v>
      </c>
      <c r="B9086" t="s">
        <v>42</v>
      </c>
      <c r="C9086" t="s">
        <v>33</v>
      </c>
      <c r="D9086">
        <v>0</v>
      </c>
      <c r="E9086">
        <v>1</v>
      </c>
      <c r="F9086" s="7">
        <v>5680.34</v>
      </c>
      <c r="G9086">
        <v>0</v>
      </c>
      <c r="H9086" s="7">
        <v>0</v>
      </c>
    </row>
    <row r="9087" spans="1:8">
      <c r="A9087">
        <v>7</v>
      </c>
      <c r="B9087" t="s">
        <v>42</v>
      </c>
      <c r="C9087" t="s">
        <v>34</v>
      </c>
      <c r="D9087">
        <v>0</v>
      </c>
      <c r="E9087">
        <v>1</v>
      </c>
      <c r="F9087" s="7">
        <v>15698.38</v>
      </c>
      <c r="G9087">
        <v>0</v>
      </c>
      <c r="H9087" s="7">
        <v>0</v>
      </c>
    </row>
    <row r="9088" spans="1:8">
      <c r="A9088">
        <v>7</v>
      </c>
      <c r="B9088" t="s">
        <v>42</v>
      </c>
      <c r="C9088" t="s">
        <v>33</v>
      </c>
      <c r="D9088">
        <v>0</v>
      </c>
      <c r="E9088">
        <v>1</v>
      </c>
      <c r="F9088" s="7">
        <v>1945.7</v>
      </c>
      <c r="G9088">
        <v>0</v>
      </c>
      <c r="H9088" s="7">
        <v>0</v>
      </c>
    </row>
    <row r="9089" spans="1:8">
      <c r="A9089">
        <v>7</v>
      </c>
      <c r="B9089" t="s">
        <v>42</v>
      </c>
      <c r="C9089" t="s">
        <v>33</v>
      </c>
      <c r="D9089">
        <v>0</v>
      </c>
      <c r="E9089">
        <v>1</v>
      </c>
      <c r="F9089" s="7">
        <v>1740.54</v>
      </c>
      <c r="G9089">
        <v>0</v>
      </c>
      <c r="H9089" s="7">
        <v>0</v>
      </c>
    </row>
    <row r="9090" spans="1:8">
      <c r="A9090">
        <v>7</v>
      </c>
      <c r="B9090" t="s">
        <v>42</v>
      </c>
      <c r="C9090" t="s">
        <v>33</v>
      </c>
      <c r="D9090">
        <v>0</v>
      </c>
      <c r="E9090">
        <v>1</v>
      </c>
      <c r="F9090" s="7">
        <v>3226.39</v>
      </c>
      <c r="G9090">
        <v>0</v>
      </c>
      <c r="H9090" s="7">
        <v>0</v>
      </c>
    </row>
    <row r="9091" spans="1:8">
      <c r="A9091">
        <v>7</v>
      </c>
      <c r="B9091" t="s">
        <v>42</v>
      </c>
      <c r="C9091" t="s">
        <v>33</v>
      </c>
      <c r="D9091">
        <v>0</v>
      </c>
      <c r="E9091">
        <v>1</v>
      </c>
      <c r="F9091" s="7">
        <v>9854.52</v>
      </c>
      <c r="G9091">
        <v>0</v>
      </c>
      <c r="H9091" s="7">
        <v>0</v>
      </c>
    </row>
    <row r="9092" spans="1:8">
      <c r="A9092">
        <v>7</v>
      </c>
      <c r="B9092" t="s">
        <v>42</v>
      </c>
      <c r="C9092" t="s">
        <v>33</v>
      </c>
      <c r="D9092">
        <v>0</v>
      </c>
      <c r="E9092">
        <v>1</v>
      </c>
      <c r="F9092" s="7">
        <v>2640.32</v>
      </c>
      <c r="G9092">
        <v>0</v>
      </c>
      <c r="H9092" s="7">
        <v>0</v>
      </c>
    </row>
    <row r="9093" spans="1:8">
      <c r="A9093">
        <v>7</v>
      </c>
      <c r="B9093" t="s">
        <v>42</v>
      </c>
      <c r="C9093" t="s">
        <v>34</v>
      </c>
      <c r="D9093">
        <v>0</v>
      </c>
      <c r="E9093">
        <v>1</v>
      </c>
      <c r="F9093" s="7">
        <v>10114.65</v>
      </c>
      <c r="G9093">
        <v>0</v>
      </c>
      <c r="H9093" s="7">
        <v>0</v>
      </c>
    </row>
    <row r="9094" spans="1:8">
      <c r="A9094">
        <v>7</v>
      </c>
      <c r="B9094" t="s">
        <v>42</v>
      </c>
      <c r="C9094" t="s">
        <v>33</v>
      </c>
      <c r="D9094">
        <v>0</v>
      </c>
      <c r="E9094">
        <v>1</v>
      </c>
      <c r="F9094" s="7">
        <v>3545.3</v>
      </c>
      <c r="G9094">
        <v>0</v>
      </c>
      <c r="H9094" s="7">
        <v>0</v>
      </c>
    </row>
    <row r="9095" spans="1:8">
      <c r="A9095">
        <v>7</v>
      </c>
      <c r="B9095" t="s">
        <v>42</v>
      </c>
      <c r="C9095" t="s">
        <v>33</v>
      </c>
      <c r="D9095">
        <v>0</v>
      </c>
      <c r="E9095">
        <v>1</v>
      </c>
      <c r="F9095" s="7">
        <v>2545.53</v>
      </c>
      <c r="G9095">
        <v>0</v>
      </c>
      <c r="H9095" s="7">
        <v>0</v>
      </c>
    </row>
    <row r="9096" spans="1:8">
      <c r="A9096">
        <v>7</v>
      </c>
      <c r="B9096" t="s">
        <v>42</v>
      </c>
      <c r="C9096" t="s">
        <v>33</v>
      </c>
      <c r="D9096">
        <v>0</v>
      </c>
      <c r="E9096">
        <v>1</v>
      </c>
      <c r="F9096" s="7">
        <v>8450.18</v>
      </c>
      <c r="G9096">
        <v>0</v>
      </c>
      <c r="H9096" s="7">
        <v>0</v>
      </c>
    </row>
    <row r="9097" spans="1:8">
      <c r="A9097">
        <v>7</v>
      </c>
      <c r="B9097" t="s">
        <v>42</v>
      </c>
      <c r="C9097" t="s">
        <v>33</v>
      </c>
      <c r="D9097">
        <v>0</v>
      </c>
      <c r="E9097">
        <v>1</v>
      </c>
      <c r="F9097" s="7">
        <v>5238.34</v>
      </c>
      <c r="G9097">
        <v>0</v>
      </c>
      <c r="H9097" s="7">
        <v>0</v>
      </c>
    </row>
    <row r="9098" spans="1:8">
      <c r="A9098">
        <v>7</v>
      </c>
      <c r="B9098" t="s">
        <v>42</v>
      </c>
      <c r="C9098" t="s">
        <v>33</v>
      </c>
      <c r="D9098">
        <v>0</v>
      </c>
      <c r="E9098">
        <v>1</v>
      </c>
      <c r="F9098" s="7">
        <v>4689.72</v>
      </c>
      <c r="G9098">
        <v>0</v>
      </c>
      <c r="H9098" s="7">
        <v>0</v>
      </c>
    </row>
    <row r="9099" spans="1:8">
      <c r="A9099">
        <v>7</v>
      </c>
      <c r="B9099" t="s">
        <v>42</v>
      </c>
      <c r="C9099" t="s">
        <v>33</v>
      </c>
      <c r="D9099">
        <v>0</v>
      </c>
      <c r="E9099">
        <v>1</v>
      </c>
      <c r="F9099" s="7">
        <v>6548.13</v>
      </c>
      <c r="G9099">
        <v>0</v>
      </c>
      <c r="H9099" s="7">
        <v>0</v>
      </c>
    </row>
    <row r="9100" spans="1:8">
      <c r="A9100">
        <v>7</v>
      </c>
      <c r="B9100" t="s">
        <v>42</v>
      </c>
      <c r="C9100" t="s">
        <v>33</v>
      </c>
      <c r="D9100">
        <v>0</v>
      </c>
      <c r="E9100">
        <v>1</v>
      </c>
      <c r="F9100" s="7">
        <v>5821.46</v>
      </c>
      <c r="G9100">
        <v>0</v>
      </c>
      <c r="H9100" s="7">
        <v>0</v>
      </c>
    </row>
    <row r="9101" spans="1:8">
      <c r="A9101">
        <v>7</v>
      </c>
      <c r="B9101" t="s">
        <v>42</v>
      </c>
      <c r="C9101" t="s">
        <v>32</v>
      </c>
      <c r="D9101">
        <v>0</v>
      </c>
      <c r="E9101">
        <v>1</v>
      </c>
      <c r="F9101" s="7">
        <v>741.48</v>
      </c>
      <c r="G9101">
        <v>0</v>
      </c>
      <c r="H9101" s="7">
        <v>0</v>
      </c>
    </row>
    <row r="9102" spans="1:8">
      <c r="A9102">
        <v>7</v>
      </c>
      <c r="B9102" t="s">
        <v>42</v>
      </c>
      <c r="C9102" t="s">
        <v>33</v>
      </c>
      <c r="D9102">
        <v>0</v>
      </c>
      <c r="E9102">
        <v>1</v>
      </c>
      <c r="F9102" s="7">
        <v>1349.38</v>
      </c>
      <c r="G9102">
        <v>0</v>
      </c>
      <c r="H9102" s="7">
        <v>0</v>
      </c>
    </row>
    <row r="9103" spans="1:8">
      <c r="A9103">
        <v>7</v>
      </c>
      <c r="B9103" t="s">
        <v>42</v>
      </c>
      <c r="C9103" t="s">
        <v>32</v>
      </c>
      <c r="D9103">
        <v>0</v>
      </c>
      <c r="E9103">
        <v>1</v>
      </c>
      <c r="F9103" s="7">
        <v>993.62</v>
      </c>
      <c r="G9103">
        <v>0</v>
      </c>
      <c r="H9103" s="7">
        <v>0</v>
      </c>
    </row>
    <row r="9104" spans="1:8">
      <c r="A9104">
        <v>7</v>
      </c>
      <c r="B9104" t="s">
        <v>42</v>
      </c>
      <c r="C9104" t="s">
        <v>33</v>
      </c>
      <c r="D9104">
        <v>0</v>
      </c>
      <c r="E9104">
        <v>1</v>
      </c>
      <c r="F9104" s="7">
        <v>2952.13</v>
      </c>
      <c r="G9104">
        <v>0</v>
      </c>
      <c r="H9104" s="7">
        <v>0</v>
      </c>
    </row>
    <row r="9105" spans="1:8">
      <c r="A9105">
        <v>7</v>
      </c>
      <c r="B9105" t="s">
        <v>42</v>
      </c>
      <c r="C9105" t="s">
        <v>33</v>
      </c>
      <c r="D9105">
        <v>0</v>
      </c>
      <c r="E9105">
        <v>1</v>
      </c>
      <c r="F9105" s="7">
        <v>6453.67</v>
      </c>
      <c r="G9105">
        <v>0</v>
      </c>
      <c r="H9105" s="7">
        <v>0</v>
      </c>
    </row>
    <row r="9106" spans="1:8">
      <c r="A9106">
        <v>7</v>
      </c>
      <c r="B9106" t="s">
        <v>42</v>
      </c>
      <c r="C9106" t="s">
        <v>33</v>
      </c>
      <c r="D9106">
        <v>0</v>
      </c>
      <c r="E9106">
        <v>1</v>
      </c>
      <c r="F9106" s="7">
        <v>8674.41</v>
      </c>
      <c r="G9106">
        <v>0</v>
      </c>
      <c r="H9106" s="7">
        <v>0</v>
      </c>
    </row>
    <row r="9107" spans="1:8">
      <c r="A9107">
        <v>7</v>
      </c>
      <c r="B9107" t="s">
        <v>42</v>
      </c>
      <c r="C9107" t="s">
        <v>34</v>
      </c>
      <c r="D9107">
        <v>0</v>
      </c>
      <c r="E9107">
        <v>1</v>
      </c>
      <c r="F9107" s="7">
        <v>17602.85</v>
      </c>
      <c r="G9107">
        <v>0</v>
      </c>
      <c r="H9107" s="7">
        <v>0</v>
      </c>
    </row>
    <row r="9108" spans="1:8">
      <c r="A9108">
        <v>7</v>
      </c>
      <c r="B9108" t="s">
        <v>42</v>
      </c>
      <c r="C9108" t="s">
        <v>34</v>
      </c>
      <c r="D9108">
        <v>0</v>
      </c>
      <c r="E9108">
        <v>1</v>
      </c>
      <c r="F9108" s="7">
        <v>24285.62</v>
      </c>
      <c r="G9108">
        <v>0</v>
      </c>
      <c r="H9108" s="7">
        <v>0</v>
      </c>
    </row>
    <row r="9109" spans="1:8">
      <c r="A9109">
        <v>7</v>
      </c>
      <c r="B9109" t="s">
        <v>42</v>
      </c>
      <c r="C9109" t="s">
        <v>34</v>
      </c>
      <c r="D9109">
        <v>0</v>
      </c>
      <c r="E9109">
        <v>1</v>
      </c>
      <c r="F9109" s="7">
        <v>34057.28</v>
      </c>
      <c r="G9109">
        <v>0</v>
      </c>
      <c r="H9109" s="7">
        <v>0</v>
      </c>
    </row>
    <row r="9110" spans="1:8">
      <c r="A9110">
        <v>7</v>
      </c>
      <c r="B9110" t="s">
        <v>42</v>
      </c>
      <c r="C9110" t="s">
        <v>34</v>
      </c>
      <c r="D9110">
        <v>0</v>
      </c>
      <c r="E9110">
        <v>1</v>
      </c>
      <c r="F9110" s="7">
        <v>47696.49</v>
      </c>
      <c r="G9110">
        <v>0</v>
      </c>
      <c r="H9110" s="7">
        <v>0</v>
      </c>
    </row>
    <row r="9111" spans="1:8">
      <c r="A9111">
        <v>7</v>
      </c>
      <c r="B9111" t="s">
        <v>43</v>
      </c>
      <c r="C9111" t="s">
        <v>34</v>
      </c>
      <c r="D9111">
        <v>0</v>
      </c>
      <c r="E9111">
        <v>1</v>
      </c>
      <c r="F9111" s="7">
        <v>27494.69</v>
      </c>
      <c r="G9111">
        <v>0</v>
      </c>
      <c r="H9111" s="7">
        <v>0</v>
      </c>
    </row>
    <row r="9112" spans="1:8">
      <c r="A9112">
        <v>7</v>
      </c>
      <c r="B9112" t="s">
        <v>42</v>
      </c>
      <c r="C9112" t="s">
        <v>33</v>
      </c>
      <c r="D9112">
        <v>0</v>
      </c>
      <c r="E9112">
        <v>1</v>
      </c>
      <c r="F9112" s="7">
        <v>2153.52</v>
      </c>
      <c r="G9112">
        <v>0</v>
      </c>
      <c r="H9112" s="7">
        <v>0</v>
      </c>
    </row>
    <row r="9113" spans="1:8">
      <c r="A9113">
        <v>7</v>
      </c>
      <c r="B9113" t="s">
        <v>42</v>
      </c>
      <c r="C9113" t="s">
        <v>34</v>
      </c>
      <c r="D9113">
        <v>0</v>
      </c>
      <c r="E9113">
        <v>1</v>
      </c>
      <c r="F9113" s="7">
        <v>16132.3</v>
      </c>
      <c r="G9113">
        <v>0</v>
      </c>
      <c r="H9113" s="7">
        <v>0</v>
      </c>
    </row>
    <row r="9114" spans="1:8">
      <c r="A9114">
        <v>7</v>
      </c>
      <c r="B9114" t="s">
        <v>42</v>
      </c>
      <c r="C9114" t="s">
        <v>34</v>
      </c>
      <c r="D9114">
        <v>0</v>
      </c>
      <c r="E9114">
        <v>1</v>
      </c>
      <c r="F9114" s="7">
        <v>26499.11</v>
      </c>
      <c r="G9114">
        <v>0</v>
      </c>
      <c r="H9114" s="7">
        <v>0</v>
      </c>
    </row>
    <row r="9115" spans="1:8">
      <c r="A9115">
        <v>7</v>
      </c>
      <c r="B9115" t="s">
        <v>42</v>
      </c>
      <c r="C9115" t="s">
        <v>33</v>
      </c>
      <c r="D9115">
        <v>0</v>
      </c>
      <c r="E9115">
        <v>1</v>
      </c>
      <c r="F9115" s="7">
        <v>1534.09</v>
      </c>
      <c r="G9115">
        <v>0</v>
      </c>
      <c r="H9115" s="7">
        <v>0</v>
      </c>
    </row>
    <row r="9116" spans="1:8">
      <c r="A9116">
        <v>7</v>
      </c>
      <c r="B9116" t="s">
        <v>44</v>
      </c>
      <c r="C9116" t="s">
        <v>35</v>
      </c>
      <c r="D9116">
        <v>0</v>
      </c>
      <c r="E9116">
        <v>1</v>
      </c>
      <c r="F9116" s="7">
        <v>440226.25</v>
      </c>
      <c r="G9116">
        <v>0</v>
      </c>
      <c r="H9116" s="7">
        <v>0</v>
      </c>
    </row>
    <row r="9117" spans="1:8">
      <c r="A9117">
        <v>7</v>
      </c>
      <c r="B9117" t="s">
        <v>42</v>
      </c>
      <c r="C9117" t="s">
        <v>33</v>
      </c>
      <c r="D9117">
        <v>0</v>
      </c>
      <c r="E9117">
        <v>1</v>
      </c>
      <c r="F9117" s="7">
        <v>4139.79</v>
      </c>
      <c r="G9117">
        <v>0</v>
      </c>
      <c r="H9117" s="7">
        <v>0</v>
      </c>
    </row>
    <row r="9118" spans="1:8">
      <c r="A9118">
        <v>7</v>
      </c>
      <c r="B9118" t="s">
        <v>42</v>
      </c>
      <c r="C9118" t="s">
        <v>34</v>
      </c>
      <c r="D9118">
        <v>0</v>
      </c>
      <c r="E9118">
        <v>1</v>
      </c>
      <c r="F9118" s="7">
        <v>10315.37</v>
      </c>
      <c r="G9118">
        <v>0</v>
      </c>
      <c r="H9118" s="7">
        <v>0</v>
      </c>
    </row>
    <row r="9119" spans="1:8">
      <c r="A9119">
        <v>7</v>
      </c>
      <c r="B9119" t="s">
        <v>42</v>
      </c>
      <c r="C9119" t="s">
        <v>34</v>
      </c>
      <c r="D9119">
        <v>0</v>
      </c>
      <c r="E9119">
        <v>1</v>
      </c>
      <c r="F9119" s="7">
        <v>12434.3</v>
      </c>
      <c r="G9119">
        <v>0</v>
      </c>
      <c r="H9119" s="7">
        <v>0</v>
      </c>
    </row>
    <row r="9120" spans="1:8">
      <c r="A9120">
        <v>7</v>
      </c>
      <c r="B9120" t="s">
        <v>42</v>
      </c>
      <c r="C9120" t="s">
        <v>33</v>
      </c>
      <c r="D9120">
        <v>0</v>
      </c>
      <c r="E9120">
        <v>1</v>
      </c>
      <c r="F9120" s="7">
        <v>6137.82</v>
      </c>
      <c r="G9120">
        <v>0</v>
      </c>
      <c r="H9120" s="7">
        <v>0</v>
      </c>
    </row>
    <row r="9121" spans="1:8">
      <c r="A9121">
        <v>7</v>
      </c>
      <c r="B9121" t="s">
        <v>42</v>
      </c>
      <c r="C9121" t="s">
        <v>34</v>
      </c>
      <c r="D9121">
        <v>0</v>
      </c>
      <c r="E9121">
        <v>1</v>
      </c>
      <c r="F9121" s="7">
        <v>12667.99</v>
      </c>
      <c r="G9121">
        <v>0</v>
      </c>
      <c r="H9121" s="7">
        <v>0</v>
      </c>
    </row>
    <row r="9122" spans="1:8">
      <c r="A9122">
        <v>7</v>
      </c>
      <c r="B9122" t="s">
        <v>42</v>
      </c>
      <c r="C9122" t="s">
        <v>34</v>
      </c>
      <c r="D9122">
        <v>0</v>
      </c>
      <c r="E9122">
        <v>1</v>
      </c>
      <c r="F9122" s="7">
        <v>28016.57</v>
      </c>
      <c r="G9122">
        <v>0</v>
      </c>
      <c r="H9122" s="7">
        <v>0</v>
      </c>
    </row>
    <row r="9123" spans="1:8">
      <c r="A9123">
        <v>7</v>
      </c>
      <c r="B9123" t="s">
        <v>42</v>
      </c>
      <c r="C9123" t="s">
        <v>32</v>
      </c>
      <c r="D9123">
        <v>0</v>
      </c>
      <c r="E9123">
        <v>1</v>
      </c>
      <c r="F9123" s="7">
        <v>642.57</v>
      </c>
      <c r="G9123">
        <v>0</v>
      </c>
      <c r="H9123" s="7">
        <v>0</v>
      </c>
    </row>
    <row r="9124" spans="1:8">
      <c r="A9124">
        <v>7</v>
      </c>
      <c r="B9124" t="s">
        <v>42</v>
      </c>
      <c r="C9124" t="s">
        <v>33</v>
      </c>
      <c r="D9124">
        <v>0</v>
      </c>
      <c r="E9124">
        <v>1</v>
      </c>
      <c r="F9124" s="7">
        <v>3451.03</v>
      </c>
      <c r="G9124">
        <v>0</v>
      </c>
      <c r="H9124" s="7">
        <v>0</v>
      </c>
    </row>
    <row r="9125" spans="1:8">
      <c r="A9125">
        <v>7</v>
      </c>
      <c r="B9125" t="s">
        <v>42</v>
      </c>
      <c r="C9125" t="s">
        <v>33</v>
      </c>
      <c r="D9125">
        <v>0</v>
      </c>
      <c r="E9125">
        <v>1</v>
      </c>
      <c r="F9125" s="7">
        <v>1892.29</v>
      </c>
      <c r="G9125">
        <v>0</v>
      </c>
      <c r="H9125" s="7">
        <v>0</v>
      </c>
    </row>
    <row r="9126" spans="1:8">
      <c r="A9126">
        <v>7</v>
      </c>
      <c r="B9126" t="s">
        <v>42</v>
      </c>
      <c r="C9126" t="s">
        <v>32</v>
      </c>
      <c r="D9126">
        <v>0</v>
      </c>
      <c r="E9126">
        <v>1</v>
      </c>
      <c r="F9126" s="7">
        <v>115.94</v>
      </c>
      <c r="G9126">
        <v>0</v>
      </c>
      <c r="H9126" s="7">
        <v>0</v>
      </c>
    </row>
    <row r="9127" spans="1:8">
      <c r="A9127">
        <v>7</v>
      </c>
      <c r="B9127" t="s">
        <v>42</v>
      </c>
      <c r="C9127" t="s">
        <v>34</v>
      </c>
      <c r="D9127">
        <v>0</v>
      </c>
      <c r="E9127">
        <v>1</v>
      </c>
      <c r="F9127" s="7">
        <v>13476.01</v>
      </c>
      <c r="G9127">
        <v>0</v>
      </c>
      <c r="H9127" s="7">
        <v>0</v>
      </c>
    </row>
    <row r="9128" spans="1:8">
      <c r="A9128">
        <v>7</v>
      </c>
      <c r="B9128" t="s">
        <v>42</v>
      </c>
      <c r="C9128" t="s">
        <v>34</v>
      </c>
      <c r="D9128">
        <v>0</v>
      </c>
      <c r="E9128">
        <v>1</v>
      </c>
      <c r="F9128" s="7">
        <v>15743.57</v>
      </c>
      <c r="G9128">
        <v>0</v>
      </c>
      <c r="H9128" s="7">
        <v>0</v>
      </c>
    </row>
    <row r="9129" spans="1:8">
      <c r="A9129">
        <v>7</v>
      </c>
      <c r="B9129" t="s">
        <v>42</v>
      </c>
      <c r="C9129" t="s">
        <v>33</v>
      </c>
      <c r="D9129">
        <v>0</v>
      </c>
      <c r="E9129">
        <v>1</v>
      </c>
      <c r="F9129" s="7">
        <v>3325.01</v>
      </c>
      <c r="G9129">
        <v>0</v>
      </c>
      <c r="H9129" s="7">
        <v>0</v>
      </c>
    </row>
    <row r="9130" spans="1:8">
      <c r="A9130">
        <v>7</v>
      </c>
      <c r="B9130" t="s">
        <v>42</v>
      </c>
      <c r="C9130" t="s">
        <v>33</v>
      </c>
      <c r="D9130">
        <v>0</v>
      </c>
      <c r="E9130">
        <v>1</v>
      </c>
      <c r="F9130" s="7">
        <v>1632.27</v>
      </c>
      <c r="G9130">
        <v>0</v>
      </c>
      <c r="H9130" s="7">
        <v>0</v>
      </c>
    </row>
    <row r="9131" spans="1:8">
      <c r="A9131">
        <v>7</v>
      </c>
      <c r="B9131" t="s">
        <v>42</v>
      </c>
      <c r="C9131" t="s">
        <v>32</v>
      </c>
      <c r="D9131">
        <v>0</v>
      </c>
      <c r="E9131">
        <v>1</v>
      </c>
      <c r="F9131" s="7">
        <v>108.11</v>
      </c>
      <c r="G9131">
        <v>0</v>
      </c>
      <c r="H9131" s="7">
        <v>0</v>
      </c>
    </row>
    <row r="9132" spans="1:8">
      <c r="A9132">
        <v>7</v>
      </c>
      <c r="B9132" t="s">
        <v>44</v>
      </c>
      <c r="C9132" t="s">
        <v>35</v>
      </c>
      <c r="D9132">
        <v>0</v>
      </c>
      <c r="E9132">
        <v>1</v>
      </c>
      <c r="F9132" s="7">
        <v>213745.3</v>
      </c>
      <c r="G9132">
        <v>0</v>
      </c>
      <c r="H9132" s="7">
        <v>0</v>
      </c>
    </row>
    <row r="9133" spans="1:8">
      <c r="A9133">
        <v>7</v>
      </c>
      <c r="B9133" t="s">
        <v>42</v>
      </c>
      <c r="C9133" t="s">
        <v>33</v>
      </c>
      <c r="D9133">
        <v>0</v>
      </c>
      <c r="E9133">
        <v>1</v>
      </c>
      <c r="F9133" s="7">
        <v>3285.1</v>
      </c>
      <c r="G9133">
        <v>0</v>
      </c>
      <c r="H9133" s="7">
        <v>0</v>
      </c>
    </row>
    <row r="9134" spans="1:8">
      <c r="A9134">
        <v>7</v>
      </c>
      <c r="B9134" t="s">
        <v>42</v>
      </c>
      <c r="C9134" t="s">
        <v>32</v>
      </c>
      <c r="D9134">
        <v>0</v>
      </c>
      <c r="E9134">
        <v>1</v>
      </c>
      <c r="F9134" s="7">
        <v>769.58</v>
      </c>
      <c r="G9134">
        <v>0</v>
      </c>
      <c r="H9134" s="7">
        <v>0</v>
      </c>
    </row>
    <row r="9135" spans="1:8">
      <c r="A9135">
        <v>7</v>
      </c>
      <c r="B9135" t="s">
        <v>44</v>
      </c>
      <c r="C9135" t="s">
        <v>35</v>
      </c>
      <c r="D9135">
        <v>0</v>
      </c>
      <c r="E9135">
        <v>1</v>
      </c>
      <c r="F9135" s="7">
        <v>456997.53</v>
      </c>
      <c r="G9135">
        <v>0</v>
      </c>
      <c r="H9135" s="7">
        <v>0</v>
      </c>
    </row>
    <row r="9136" spans="1:8">
      <c r="A9136">
        <v>7</v>
      </c>
      <c r="B9136" t="s">
        <v>44</v>
      </c>
      <c r="C9136" t="s">
        <v>35</v>
      </c>
      <c r="D9136">
        <v>0</v>
      </c>
      <c r="E9136">
        <v>1</v>
      </c>
      <c r="F9136" s="7">
        <v>211918.4</v>
      </c>
      <c r="G9136">
        <v>0</v>
      </c>
      <c r="H9136" s="7">
        <v>0</v>
      </c>
    </row>
    <row r="9137" spans="1:8">
      <c r="A9137">
        <v>7</v>
      </c>
      <c r="B9137" t="s">
        <v>44</v>
      </c>
      <c r="C9137" t="s">
        <v>35</v>
      </c>
      <c r="D9137">
        <v>0</v>
      </c>
      <c r="E9137">
        <v>1</v>
      </c>
      <c r="F9137" s="7">
        <v>347259.03</v>
      </c>
      <c r="G9137">
        <v>0</v>
      </c>
      <c r="H9137" s="7">
        <v>0</v>
      </c>
    </row>
    <row r="9138" spans="1:8">
      <c r="A9138">
        <v>7</v>
      </c>
      <c r="B9138" t="s">
        <v>44</v>
      </c>
      <c r="C9138" t="s">
        <v>35</v>
      </c>
      <c r="D9138">
        <v>0</v>
      </c>
      <c r="E9138">
        <v>1</v>
      </c>
      <c r="F9138" s="7">
        <v>192190.94</v>
      </c>
      <c r="G9138">
        <v>0</v>
      </c>
      <c r="H9138" s="7">
        <v>0</v>
      </c>
    </row>
    <row r="9139" spans="1:8">
      <c r="A9139">
        <v>7</v>
      </c>
      <c r="B9139" t="s">
        <v>44</v>
      </c>
      <c r="C9139" t="s">
        <v>35</v>
      </c>
      <c r="D9139">
        <v>0</v>
      </c>
      <c r="E9139">
        <v>1</v>
      </c>
      <c r="F9139" s="7">
        <v>205238.71</v>
      </c>
      <c r="G9139">
        <v>0</v>
      </c>
      <c r="H9139" s="7">
        <v>0</v>
      </c>
    </row>
    <row r="9140" spans="1:8">
      <c r="A9140">
        <v>7</v>
      </c>
      <c r="B9140" t="s">
        <v>44</v>
      </c>
      <c r="C9140" t="s">
        <v>35</v>
      </c>
      <c r="D9140">
        <v>0</v>
      </c>
      <c r="E9140">
        <v>1</v>
      </c>
      <c r="F9140" s="7">
        <v>171921.96</v>
      </c>
      <c r="G9140">
        <v>0</v>
      </c>
      <c r="H9140" s="7">
        <v>0</v>
      </c>
    </row>
    <row r="9141" spans="1:8">
      <c r="A9141">
        <v>7</v>
      </c>
      <c r="B9141" t="s">
        <v>44</v>
      </c>
      <c r="C9141" t="s">
        <v>34</v>
      </c>
      <c r="D9141">
        <v>0</v>
      </c>
      <c r="E9141">
        <v>1</v>
      </c>
      <c r="F9141" s="7">
        <v>64055.98</v>
      </c>
      <c r="G9141">
        <v>0</v>
      </c>
      <c r="H9141" s="7">
        <v>0</v>
      </c>
    </row>
    <row r="9142" spans="1:8">
      <c r="A9142">
        <v>7</v>
      </c>
      <c r="B9142" t="s">
        <v>44</v>
      </c>
      <c r="C9142" t="s">
        <v>35</v>
      </c>
      <c r="D9142">
        <v>0</v>
      </c>
      <c r="E9142">
        <v>1</v>
      </c>
      <c r="F9142" s="7">
        <v>197243.16</v>
      </c>
      <c r="G9142">
        <v>0</v>
      </c>
      <c r="H9142" s="7">
        <v>0</v>
      </c>
    </row>
    <row r="9143" spans="1:8">
      <c r="A9143">
        <v>7</v>
      </c>
      <c r="B9143" t="s">
        <v>44</v>
      </c>
      <c r="C9143" t="s">
        <v>34</v>
      </c>
      <c r="D9143">
        <v>0</v>
      </c>
      <c r="E9143">
        <v>1</v>
      </c>
      <c r="F9143" s="7">
        <v>13279.36</v>
      </c>
      <c r="G9143">
        <v>0</v>
      </c>
      <c r="H9143" s="7">
        <v>0</v>
      </c>
    </row>
    <row r="9144" spans="1:8">
      <c r="A9144">
        <v>7</v>
      </c>
      <c r="B9144" t="s">
        <v>44</v>
      </c>
      <c r="C9144" t="s">
        <v>35</v>
      </c>
      <c r="D9144">
        <v>0</v>
      </c>
      <c r="E9144">
        <v>1</v>
      </c>
      <c r="F9144" s="7">
        <v>199710.23</v>
      </c>
      <c r="G9144">
        <v>0</v>
      </c>
      <c r="H9144" s="7">
        <v>0</v>
      </c>
    </row>
    <row r="9145" spans="1:8">
      <c r="A9145">
        <v>7</v>
      </c>
      <c r="B9145" t="s">
        <v>44</v>
      </c>
      <c r="C9145" t="s">
        <v>35</v>
      </c>
      <c r="D9145">
        <v>0</v>
      </c>
      <c r="E9145">
        <v>1</v>
      </c>
      <c r="F9145" s="7">
        <v>114066.94</v>
      </c>
      <c r="G9145">
        <v>0</v>
      </c>
      <c r="H9145" s="7">
        <v>0</v>
      </c>
    </row>
    <row r="9146" spans="1:8">
      <c r="A9146">
        <v>7</v>
      </c>
      <c r="B9146" t="s">
        <v>44</v>
      </c>
      <c r="C9146" t="s">
        <v>34</v>
      </c>
      <c r="D9146">
        <v>0</v>
      </c>
      <c r="E9146">
        <v>1</v>
      </c>
      <c r="F9146" s="7">
        <v>66908.47</v>
      </c>
      <c r="G9146">
        <v>0</v>
      </c>
      <c r="H9146" s="7">
        <v>0</v>
      </c>
    </row>
    <row r="9147" spans="1:8">
      <c r="A9147">
        <v>7</v>
      </c>
      <c r="B9147" t="s">
        <v>44</v>
      </c>
      <c r="C9147" t="s">
        <v>34</v>
      </c>
      <c r="D9147">
        <v>0</v>
      </c>
      <c r="E9147">
        <v>1</v>
      </c>
      <c r="F9147" s="7">
        <v>59241.82</v>
      </c>
      <c r="G9147">
        <v>0</v>
      </c>
      <c r="H9147" s="7">
        <v>0</v>
      </c>
    </row>
    <row r="9148" spans="1:8">
      <c r="A9148">
        <v>7</v>
      </c>
      <c r="B9148" t="s">
        <v>44</v>
      </c>
      <c r="C9148" t="s">
        <v>34</v>
      </c>
      <c r="D9148">
        <v>0</v>
      </c>
      <c r="E9148">
        <v>1</v>
      </c>
      <c r="F9148" s="7">
        <v>77276.07</v>
      </c>
      <c r="G9148">
        <v>0</v>
      </c>
      <c r="H9148" s="7">
        <v>0</v>
      </c>
    </row>
    <row r="9149" spans="1:8">
      <c r="A9149">
        <v>7</v>
      </c>
      <c r="B9149" t="s">
        <v>44</v>
      </c>
      <c r="C9149" t="s">
        <v>35</v>
      </c>
      <c r="D9149">
        <v>0</v>
      </c>
      <c r="E9149">
        <v>1</v>
      </c>
      <c r="F9149" s="7">
        <v>123875.88</v>
      </c>
      <c r="G9149">
        <v>0</v>
      </c>
      <c r="H9149" s="7">
        <v>0</v>
      </c>
    </row>
    <row r="9150" spans="1:8">
      <c r="A9150">
        <v>7</v>
      </c>
      <c r="B9150" t="s">
        <v>44</v>
      </c>
      <c r="C9150" t="s">
        <v>35</v>
      </c>
      <c r="D9150">
        <v>0</v>
      </c>
      <c r="E9150">
        <v>1</v>
      </c>
      <c r="F9150" s="7">
        <v>123168.11</v>
      </c>
      <c r="G9150">
        <v>0</v>
      </c>
      <c r="H9150" s="7">
        <v>0</v>
      </c>
    </row>
    <row r="9151" spans="1:8">
      <c r="A9151">
        <v>7</v>
      </c>
      <c r="B9151" t="s">
        <v>44</v>
      </c>
      <c r="C9151" t="s">
        <v>35</v>
      </c>
      <c r="D9151">
        <v>0</v>
      </c>
      <c r="E9151">
        <v>1</v>
      </c>
      <c r="F9151" s="7">
        <v>101552.76</v>
      </c>
      <c r="G9151">
        <v>0</v>
      </c>
      <c r="H9151" s="7">
        <v>0</v>
      </c>
    </row>
    <row r="9152" spans="1:8">
      <c r="A9152">
        <v>7</v>
      </c>
      <c r="B9152" t="s">
        <v>44</v>
      </c>
      <c r="C9152" t="s">
        <v>34</v>
      </c>
      <c r="D9152">
        <v>0</v>
      </c>
      <c r="E9152">
        <v>1</v>
      </c>
      <c r="F9152" s="7">
        <v>56299.7</v>
      </c>
      <c r="G9152">
        <v>0</v>
      </c>
      <c r="H9152" s="7">
        <v>0</v>
      </c>
    </row>
    <row r="9153" spans="1:8">
      <c r="A9153">
        <v>7</v>
      </c>
      <c r="B9153" t="s">
        <v>42</v>
      </c>
      <c r="C9153" t="s">
        <v>33</v>
      </c>
      <c r="D9153">
        <v>0</v>
      </c>
      <c r="E9153">
        <v>1</v>
      </c>
      <c r="F9153" s="7">
        <v>4943.15</v>
      </c>
      <c r="G9153">
        <v>0</v>
      </c>
      <c r="H9153" s="7">
        <v>0</v>
      </c>
    </row>
    <row r="9154" spans="1:8">
      <c r="A9154">
        <v>7</v>
      </c>
      <c r="B9154" t="s">
        <v>42</v>
      </c>
      <c r="C9154" t="s">
        <v>33</v>
      </c>
      <c r="D9154">
        <v>0</v>
      </c>
      <c r="E9154">
        <v>1</v>
      </c>
      <c r="F9154" s="7">
        <v>8014.39</v>
      </c>
      <c r="G9154">
        <v>0</v>
      </c>
      <c r="H9154" s="7">
        <v>0</v>
      </c>
    </row>
    <row r="9155" spans="1:8">
      <c r="A9155">
        <v>7</v>
      </c>
      <c r="B9155" t="s">
        <v>42</v>
      </c>
      <c r="C9155" t="s">
        <v>33</v>
      </c>
      <c r="D9155">
        <v>0</v>
      </c>
      <c r="E9155">
        <v>1</v>
      </c>
      <c r="F9155" s="7">
        <v>2998.32</v>
      </c>
      <c r="G9155">
        <v>0</v>
      </c>
      <c r="H9155" s="7">
        <v>0</v>
      </c>
    </row>
    <row r="9156" spans="1:8">
      <c r="A9156">
        <v>7</v>
      </c>
      <c r="B9156" t="s">
        <v>45</v>
      </c>
      <c r="C9156" t="s">
        <v>32</v>
      </c>
      <c r="D9156">
        <v>0</v>
      </c>
      <c r="E9156">
        <v>1</v>
      </c>
      <c r="F9156" s="7">
        <v>332.23</v>
      </c>
      <c r="G9156">
        <v>0</v>
      </c>
      <c r="H9156" s="7">
        <v>0</v>
      </c>
    </row>
    <row r="9157" spans="1:8">
      <c r="A9157">
        <v>7</v>
      </c>
      <c r="B9157" t="s">
        <v>42</v>
      </c>
      <c r="C9157" t="s">
        <v>33</v>
      </c>
      <c r="D9157">
        <v>0</v>
      </c>
      <c r="E9157">
        <v>1</v>
      </c>
      <c r="F9157" s="7">
        <v>5623.13</v>
      </c>
      <c r="G9157">
        <v>0</v>
      </c>
      <c r="H9157" s="7">
        <v>0</v>
      </c>
    </row>
    <row r="9158" spans="1:8">
      <c r="A9158">
        <v>7</v>
      </c>
      <c r="B9158" t="s">
        <v>42</v>
      </c>
      <c r="C9158" t="s">
        <v>33</v>
      </c>
      <c r="D9158">
        <v>0</v>
      </c>
      <c r="E9158">
        <v>1</v>
      </c>
      <c r="F9158" s="7">
        <v>7847.31</v>
      </c>
      <c r="G9158">
        <v>0</v>
      </c>
      <c r="H9158" s="7">
        <v>0</v>
      </c>
    </row>
    <row r="9159" spans="1:8">
      <c r="A9159">
        <v>7</v>
      </c>
      <c r="B9159" t="s">
        <v>44</v>
      </c>
      <c r="C9159" t="s">
        <v>35</v>
      </c>
      <c r="D9159">
        <v>0</v>
      </c>
      <c r="E9159">
        <v>1</v>
      </c>
      <c r="F9159" s="7">
        <v>191112.23</v>
      </c>
      <c r="G9159">
        <v>0</v>
      </c>
      <c r="H9159" s="7">
        <v>0</v>
      </c>
    </row>
    <row r="9160" spans="1:8">
      <c r="A9160">
        <v>7</v>
      </c>
      <c r="B9160" t="s">
        <v>42</v>
      </c>
      <c r="C9160" t="s">
        <v>33</v>
      </c>
      <c r="D9160">
        <v>0</v>
      </c>
      <c r="E9160">
        <v>1</v>
      </c>
      <c r="F9160" s="7">
        <v>7095.04</v>
      </c>
      <c r="G9160">
        <v>0</v>
      </c>
      <c r="H9160" s="7">
        <v>0</v>
      </c>
    </row>
    <row r="9161" spans="1:8">
      <c r="A9161">
        <v>7</v>
      </c>
      <c r="B9161" t="s">
        <v>44</v>
      </c>
      <c r="C9161" t="s">
        <v>35</v>
      </c>
      <c r="D9161">
        <v>0</v>
      </c>
      <c r="E9161">
        <v>1</v>
      </c>
      <c r="F9161" s="7">
        <v>174895.86</v>
      </c>
      <c r="G9161">
        <v>0</v>
      </c>
      <c r="H9161" s="7">
        <v>0</v>
      </c>
    </row>
    <row r="9162" spans="1:8">
      <c r="A9162">
        <v>7</v>
      </c>
      <c r="B9162" t="s">
        <v>44</v>
      </c>
      <c r="C9162" t="s">
        <v>35</v>
      </c>
      <c r="D9162">
        <v>0</v>
      </c>
      <c r="E9162">
        <v>1</v>
      </c>
      <c r="F9162" s="7">
        <v>342464.49</v>
      </c>
      <c r="G9162">
        <v>0</v>
      </c>
      <c r="H9162" s="7">
        <v>0</v>
      </c>
    </row>
    <row r="9163" spans="1:8">
      <c r="A9163">
        <v>7</v>
      </c>
      <c r="B9163" t="s">
        <v>42</v>
      </c>
      <c r="C9163" t="s">
        <v>33</v>
      </c>
      <c r="D9163">
        <v>0</v>
      </c>
      <c r="E9163">
        <v>1</v>
      </c>
      <c r="F9163" s="7">
        <v>8666.76</v>
      </c>
      <c r="G9163">
        <v>0</v>
      </c>
      <c r="H9163" s="7">
        <v>0</v>
      </c>
    </row>
    <row r="9164" spans="1:8">
      <c r="A9164">
        <v>7</v>
      </c>
      <c r="B9164" t="s">
        <v>42</v>
      </c>
      <c r="C9164" t="s">
        <v>33</v>
      </c>
      <c r="D9164">
        <v>0</v>
      </c>
      <c r="E9164">
        <v>1</v>
      </c>
      <c r="F9164" s="7">
        <v>3161.35</v>
      </c>
      <c r="G9164">
        <v>0</v>
      </c>
      <c r="H9164" s="7">
        <v>0</v>
      </c>
    </row>
    <row r="9165" spans="1:8">
      <c r="A9165">
        <v>7</v>
      </c>
      <c r="B9165" t="s">
        <v>42</v>
      </c>
      <c r="C9165" t="s">
        <v>34</v>
      </c>
      <c r="D9165">
        <v>0</v>
      </c>
      <c r="E9165">
        <v>1</v>
      </c>
      <c r="F9165" s="7">
        <v>11855.45</v>
      </c>
      <c r="G9165">
        <v>0</v>
      </c>
      <c r="H9165" s="7">
        <v>0</v>
      </c>
    </row>
    <row r="9166" spans="1:8">
      <c r="A9166">
        <v>7</v>
      </c>
      <c r="B9166" t="s">
        <v>42</v>
      </c>
      <c r="C9166" t="s">
        <v>33</v>
      </c>
      <c r="D9166">
        <v>0</v>
      </c>
      <c r="E9166">
        <v>1</v>
      </c>
      <c r="F9166" s="7">
        <v>4696.68</v>
      </c>
      <c r="G9166">
        <v>0</v>
      </c>
      <c r="H9166" s="7">
        <v>0</v>
      </c>
    </row>
    <row r="9167" spans="1:8">
      <c r="A9167">
        <v>7</v>
      </c>
      <c r="B9167" t="s">
        <v>42</v>
      </c>
      <c r="C9167" t="s">
        <v>32</v>
      </c>
      <c r="D9167">
        <v>0</v>
      </c>
      <c r="E9167">
        <v>1</v>
      </c>
      <c r="F9167" s="7">
        <v>573.28</v>
      </c>
      <c r="G9167">
        <v>0</v>
      </c>
      <c r="H9167" s="7">
        <v>0</v>
      </c>
    </row>
    <row r="9168" spans="1:8">
      <c r="A9168">
        <v>7</v>
      </c>
      <c r="B9168" t="s">
        <v>42</v>
      </c>
      <c r="C9168" t="s">
        <v>33</v>
      </c>
      <c r="D9168">
        <v>0</v>
      </c>
      <c r="E9168">
        <v>1</v>
      </c>
      <c r="F9168" s="7">
        <v>9345.74</v>
      </c>
      <c r="G9168">
        <v>0</v>
      </c>
      <c r="H9168" s="7">
        <v>0</v>
      </c>
    </row>
    <row r="9169" spans="1:8">
      <c r="A9169">
        <v>7</v>
      </c>
      <c r="B9169" t="s">
        <v>42</v>
      </c>
      <c r="C9169" t="s">
        <v>34</v>
      </c>
      <c r="D9169">
        <v>0</v>
      </c>
      <c r="E9169">
        <v>1</v>
      </c>
      <c r="F9169" s="7">
        <v>10087.12</v>
      </c>
      <c r="G9169">
        <v>0</v>
      </c>
      <c r="H9169" s="7">
        <v>0</v>
      </c>
    </row>
    <row r="9170" spans="1:8">
      <c r="A9170">
        <v>7</v>
      </c>
      <c r="B9170" t="s">
        <v>42</v>
      </c>
      <c r="C9170" t="s">
        <v>33</v>
      </c>
      <c r="D9170">
        <v>0</v>
      </c>
      <c r="E9170">
        <v>1</v>
      </c>
      <c r="F9170" s="7">
        <v>5138.36</v>
      </c>
      <c r="G9170">
        <v>0</v>
      </c>
      <c r="H9170" s="7">
        <v>0</v>
      </c>
    </row>
    <row r="9171" spans="1:8">
      <c r="A9171">
        <v>7</v>
      </c>
      <c r="B9171" t="s">
        <v>45</v>
      </c>
      <c r="C9171" t="s">
        <v>33</v>
      </c>
      <c r="D9171">
        <v>0</v>
      </c>
      <c r="E9171">
        <v>1</v>
      </c>
      <c r="F9171" s="7">
        <v>5087.96</v>
      </c>
      <c r="G9171">
        <v>0</v>
      </c>
      <c r="H9171" s="7">
        <v>0</v>
      </c>
    </row>
    <row r="9172" spans="1:8">
      <c r="A9172">
        <v>7</v>
      </c>
      <c r="B9172" t="s">
        <v>42</v>
      </c>
      <c r="C9172" t="s">
        <v>33</v>
      </c>
      <c r="D9172">
        <v>0</v>
      </c>
      <c r="E9172">
        <v>1</v>
      </c>
      <c r="F9172" s="7">
        <v>6008.89</v>
      </c>
      <c r="G9172">
        <v>0</v>
      </c>
      <c r="H9172" s="7">
        <v>0</v>
      </c>
    </row>
    <row r="9173" spans="1:8">
      <c r="A9173">
        <v>7</v>
      </c>
      <c r="B9173" t="s">
        <v>42</v>
      </c>
      <c r="C9173" t="s">
        <v>33</v>
      </c>
      <c r="D9173">
        <v>0</v>
      </c>
      <c r="E9173">
        <v>1</v>
      </c>
      <c r="F9173" s="7">
        <v>8014.59</v>
      </c>
      <c r="G9173">
        <v>0</v>
      </c>
      <c r="H9173" s="7">
        <v>0</v>
      </c>
    </row>
    <row r="9174" spans="1:8">
      <c r="A9174">
        <v>7</v>
      </c>
      <c r="B9174" t="s">
        <v>42</v>
      </c>
      <c r="C9174" t="s">
        <v>34</v>
      </c>
      <c r="D9174">
        <v>0</v>
      </c>
      <c r="E9174">
        <v>1</v>
      </c>
      <c r="F9174" s="7">
        <v>12840.44</v>
      </c>
      <c r="G9174">
        <v>0</v>
      </c>
      <c r="H9174" s="7">
        <v>0</v>
      </c>
    </row>
    <row r="9175" spans="1:8">
      <c r="A9175">
        <v>7</v>
      </c>
      <c r="B9175" t="s">
        <v>43</v>
      </c>
      <c r="C9175" t="s">
        <v>36</v>
      </c>
      <c r="D9175">
        <v>0</v>
      </c>
      <c r="E9175">
        <v>1</v>
      </c>
      <c r="F9175" s="7">
        <v>1067743.66</v>
      </c>
      <c r="G9175">
        <v>0</v>
      </c>
      <c r="H9175" s="7">
        <v>0</v>
      </c>
    </row>
    <row r="9176" spans="1:8">
      <c r="A9176">
        <v>7</v>
      </c>
      <c r="B9176" t="s">
        <v>42</v>
      </c>
      <c r="C9176" t="s">
        <v>33</v>
      </c>
      <c r="D9176">
        <v>0</v>
      </c>
      <c r="E9176">
        <v>1</v>
      </c>
      <c r="F9176" s="7">
        <v>2832.34</v>
      </c>
      <c r="G9176">
        <v>0</v>
      </c>
      <c r="H9176" s="7">
        <v>0</v>
      </c>
    </row>
    <row r="9177" spans="1:8">
      <c r="A9177">
        <v>7</v>
      </c>
      <c r="B9177" t="s">
        <v>42</v>
      </c>
      <c r="C9177" t="s">
        <v>33</v>
      </c>
      <c r="D9177">
        <v>0</v>
      </c>
      <c r="E9177">
        <v>1</v>
      </c>
      <c r="F9177" s="7">
        <v>4008.38</v>
      </c>
      <c r="G9177">
        <v>0</v>
      </c>
      <c r="H9177" s="7">
        <v>0</v>
      </c>
    </row>
    <row r="9178" spans="1:8">
      <c r="A9178">
        <v>7</v>
      </c>
      <c r="B9178" t="s">
        <v>42</v>
      </c>
      <c r="C9178" t="s">
        <v>32</v>
      </c>
      <c r="D9178">
        <v>0</v>
      </c>
      <c r="E9178">
        <v>1</v>
      </c>
      <c r="F9178" s="7">
        <v>332.63</v>
      </c>
      <c r="G9178">
        <v>0</v>
      </c>
      <c r="H9178" s="7">
        <v>0</v>
      </c>
    </row>
    <row r="9179" spans="1:8">
      <c r="A9179">
        <v>7</v>
      </c>
      <c r="B9179" t="s">
        <v>42</v>
      </c>
      <c r="C9179" t="s">
        <v>34</v>
      </c>
      <c r="D9179">
        <v>0</v>
      </c>
      <c r="E9179">
        <v>1</v>
      </c>
      <c r="F9179" s="7">
        <v>28378.48</v>
      </c>
      <c r="G9179">
        <v>0</v>
      </c>
      <c r="H9179" s="7">
        <v>0</v>
      </c>
    </row>
    <row r="9180" spans="1:8">
      <c r="A9180">
        <v>7</v>
      </c>
      <c r="B9180" t="s">
        <v>42</v>
      </c>
      <c r="C9180" t="s">
        <v>33</v>
      </c>
      <c r="D9180">
        <v>0</v>
      </c>
      <c r="E9180">
        <v>1</v>
      </c>
      <c r="F9180" s="7">
        <v>8001.95</v>
      </c>
      <c r="G9180">
        <v>0</v>
      </c>
      <c r="H9180" s="7">
        <v>0</v>
      </c>
    </row>
    <row r="9181" spans="1:8">
      <c r="A9181">
        <v>7</v>
      </c>
      <c r="B9181" t="s">
        <v>42</v>
      </c>
      <c r="C9181" t="s">
        <v>34</v>
      </c>
      <c r="D9181">
        <v>0</v>
      </c>
      <c r="E9181">
        <v>1</v>
      </c>
      <c r="F9181" s="7">
        <v>23139.47</v>
      </c>
      <c r="G9181">
        <v>0</v>
      </c>
      <c r="H9181" s="7">
        <v>0</v>
      </c>
    </row>
    <row r="9182" spans="1:8">
      <c r="A9182">
        <v>7</v>
      </c>
      <c r="B9182" t="s">
        <v>42</v>
      </c>
      <c r="C9182" t="s">
        <v>33</v>
      </c>
      <c r="D9182">
        <v>0</v>
      </c>
      <c r="E9182">
        <v>1</v>
      </c>
      <c r="F9182" s="7">
        <v>3646.2</v>
      </c>
      <c r="G9182">
        <v>0</v>
      </c>
      <c r="H9182" s="7">
        <v>0</v>
      </c>
    </row>
    <row r="9183" spans="1:8">
      <c r="A9183">
        <v>7</v>
      </c>
      <c r="B9183" t="s">
        <v>42</v>
      </c>
      <c r="C9183" t="s">
        <v>34</v>
      </c>
      <c r="D9183">
        <v>0</v>
      </c>
      <c r="E9183">
        <v>1</v>
      </c>
      <c r="F9183" s="7">
        <v>33812.13</v>
      </c>
      <c r="G9183">
        <v>0</v>
      </c>
      <c r="H9183" s="7">
        <v>0</v>
      </c>
    </row>
    <row r="9184" spans="1:8">
      <c r="A9184">
        <v>7</v>
      </c>
      <c r="B9184" t="s">
        <v>42</v>
      </c>
      <c r="C9184" t="s">
        <v>33</v>
      </c>
      <c r="D9184">
        <v>0</v>
      </c>
      <c r="E9184">
        <v>1</v>
      </c>
      <c r="F9184" s="7">
        <v>9103.52</v>
      </c>
      <c r="G9184">
        <v>0</v>
      </c>
      <c r="H9184" s="7">
        <v>0</v>
      </c>
    </row>
    <row r="9185" spans="1:8">
      <c r="A9185">
        <v>7</v>
      </c>
      <c r="B9185" t="s">
        <v>42</v>
      </c>
      <c r="C9185" t="s">
        <v>34</v>
      </c>
      <c r="D9185">
        <v>0</v>
      </c>
      <c r="E9185">
        <v>1</v>
      </c>
      <c r="F9185" s="7">
        <v>10547.99</v>
      </c>
      <c r="G9185">
        <v>0</v>
      </c>
      <c r="H9185" s="7">
        <v>0</v>
      </c>
    </row>
    <row r="9186" spans="1:8">
      <c r="A9186">
        <v>7</v>
      </c>
      <c r="B9186" t="s">
        <v>42</v>
      </c>
      <c r="C9186" t="s">
        <v>33</v>
      </c>
      <c r="D9186">
        <v>0</v>
      </c>
      <c r="E9186">
        <v>1</v>
      </c>
      <c r="F9186" s="7">
        <v>8019.57</v>
      </c>
      <c r="G9186">
        <v>0</v>
      </c>
      <c r="H9186" s="7">
        <v>0</v>
      </c>
    </row>
    <row r="9187" spans="1:8">
      <c r="A9187">
        <v>7</v>
      </c>
      <c r="B9187" t="s">
        <v>42</v>
      </c>
      <c r="C9187" t="s">
        <v>33</v>
      </c>
      <c r="D9187">
        <v>0</v>
      </c>
      <c r="E9187">
        <v>1</v>
      </c>
      <c r="F9187" s="7">
        <v>4971.82</v>
      </c>
      <c r="G9187">
        <v>0</v>
      </c>
      <c r="H9187" s="7">
        <v>0</v>
      </c>
    </row>
    <row r="9188" spans="1:8">
      <c r="A9188">
        <v>7</v>
      </c>
      <c r="B9188" t="s">
        <v>42</v>
      </c>
      <c r="C9188" t="s">
        <v>33</v>
      </c>
      <c r="D9188">
        <v>0</v>
      </c>
      <c r="E9188">
        <v>1</v>
      </c>
      <c r="F9188" s="7">
        <v>8151.69</v>
      </c>
      <c r="G9188">
        <v>0</v>
      </c>
      <c r="H9188" s="7">
        <v>0</v>
      </c>
    </row>
    <row r="9189" spans="1:8">
      <c r="A9189">
        <v>7</v>
      </c>
      <c r="B9189" t="s">
        <v>42</v>
      </c>
      <c r="C9189" t="s">
        <v>33</v>
      </c>
      <c r="D9189">
        <v>0</v>
      </c>
      <c r="E9189">
        <v>1</v>
      </c>
      <c r="F9189" s="7">
        <v>3348.1</v>
      </c>
      <c r="G9189">
        <v>0</v>
      </c>
      <c r="H9189" s="7">
        <v>0</v>
      </c>
    </row>
    <row r="9190" spans="1:8">
      <c r="A9190">
        <v>7</v>
      </c>
      <c r="B9190" t="s">
        <v>44</v>
      </c>
      <c r="C9190" t="s">
        <v>34</v>
      </c>
      <c r="D9190">
        <v>0</v>
      </c>
      <c r="E9190">
        <v>1</v>
      </c>
      <c r="F9190" s="7">
        <v>98540.13</v>
      </c>
      <c r="G9190">
        <v>0</v>
      </c>
      <c r="H9190" s="7">
        <v>0</v>
      </c>
    </row>
    <row r="9191" spans="1:8">
      <c r="A9191">
        <v>7</v>
      </c>
      <c r="B9191" t="s">
        <v>42</v>
      </c>
      <c r="C9191" t="s">
        <v>33</v>
      </c>
      <c r="D9191">
        <v>0</v>
      </c>
      <c r="E9191">
        <v>1</v>
      </c>
      <c r="F9191" s="7">
        <v>3545.34</v>
      </c>
      <c r="G9191">
        <v>0</v>
      </c>
      <c r="H9191" s="7">
        <v>0</v>
      </c>
    </row>
    <row r="9192" spans="1:8">
      <c r="A9192">
        <v>7</v>
      </c>
      <c r="B9192" t="s">
        <v>42</v>
      </c>
      <c r="C9192" t="s">
        <v>34</v>
      </c>
      <c r="D9192">
        <v>0</v>
      </c>
      <c r="E9192">
        <v>1</v>
      </c>
      <c r="F9192" s="7">
        <v>17819.61</v>
      </c>
      <c r="G9192">
        <v>0</v>
      </c>
      <c r="H9192" s="7">
        <v>0</v>
      </c>
    </row>
    <row r="9193" spans="1:8">
      <c r="A9193">
        <v>7</v>
      </c>
      <c r="B9193" t="s">
        <v>42</v>
      </c>
      <c r="C9193" t="s">
        <v>33</v>
      </c>
      <c r="D9193">
        <v>0</v>
      </c>
      <c r="E9193">
        <v>1</v>
      </c>
      <c r="F9193" s="7">
        <v>4761.57</v>
      </c>
      <c r="G9193">
        <v>0</v>
      </c>
      <c r="H9193" s="7">
        <v>0</v>
      </c>
    </row>
    <row r="9194" spans="1:8">
      <c r="A9194">
        <v>7</v>
      </c>
      <c r="B9194" t="s">
        <v>42</v>
      </c>
      <c r="C9194" t="s">
        <v>33</v>
      </c>
      <c r="D9194">
        <v>0</v>
      </c>
      <c r="E9194">
        <v>1</v>
      </c>
      <c r="F9194" s="7">
        <v>1016.98</v>
      </c>
      <c r="G9194">
        <v>0</v>
      </c>
      <c r="H9194" s="7">
        <v>0</v>
      </c>
    </row>
    <row r="9195" spans="1:8">
      <c r="A9195">
        <v>7</v>
      </c>
      <c r="B9195" t="s">
        <v>42</v>
      </c>
      <c r="C9195" t="s">
        <v>34</v>
      </c>
      <c r="D9195">
        <v>0</v>
      </c>
      <c r="E9195">
        <v>1</v>
      </c>
      <c r="F9195" s="7">
        <v>14065.07</v>
      </c>
      <c r="G9195">
        <v>0</v>
      </c>
      <c r="H9195" s="7">
        <v>0</v>
      </c>
    </row>
    <row r="9196" spans="1:8">
      <c r="A9196">
        <v>7</v>
      </c>
      <c r="B9196" t="s">
        <v>42</v>
      </c>
      <c r="C9196" t="s">
        <v>33</v>
      </c>
      <c r="D9196">
        <v>0</v>
      </c>
      <c r="E9196">
        <v>1</v>
      </c>
      <c r="F9196" s="7">
        <v>6512.87</v>
      </c>
      <c r="G9196">
        <v>0</v>
      </c>
      <c r="H9196" s="7">
        <v>0</v>
      </c>
    </row>
    <row r="9197" spans="1:8">
      <c r="A9197">
        <v>7</v>
      </c>
      <c r="B9197" t="s">
        <v>42</v>
      </c>
      <c r="C9197" t="s">
        <v>33</v>
      </c>
      <c r="D9197">
        <v>0</v>
      </c>
      <c r="E9197">
        <v>1</v>
      </c>
      <c r="F9197" s="7">
        <v>5406.93</v>
      </c>
      <c r="G9197">
        <v>0</v>
      </c>
      <c r="H9197" s="7">
        <v>0</v>
      </c>
    </row>
    <row r="9198" spans="1:8">
      <c r="A9198">
        <v>7</v>
      </c>
      <c r="B9198" t="s">
        <v>43</v>
      </c>
      <c r="C9198" t="s">
        <v>35</v>
      </c>
      <c r="D9198">
        <v>0</v>
      </c>
      <c r="E9198">
        <v>1</v>
      </c>
      <c r="F9198" s="7">
        <v>133531.07</v>
      </c>
      <c r="G9198">
        <v>0</v>
      </c>
      <c r="H9198" s="7">
        <v>0</v>
      </c>
    </row>
    <row r="9199" spans="1:8">
      <c r="A9199">
        <v>7</v>
      </c>
      <c r="B9199" t="s">
        <v>43</v>
      </c>
      <c r="C9199" t="s">
        <v>36</v>
      </c>
      <c r="D9199">
        <v>0</v>
      </c>
      <c r="E9199">
        <v>1</v>
      </c>
      <c r="F9199" s="7">
        <v>1571619.71</v>
      </c>
      <c r="G9199">
        <v>0</v>
      </c>
      <c r="H9199" s="7">
        <v>0</v>
      </c>
    </row>
    <row r="9200" spans="1:8">
      <c r="A9200">
        <v>7</v>
      </c>
      <c r="B9200" t="s">
        <v>43</v>
      </c>
      <c r="C9200" t="s">
        <v>36</v>
      </c>
      <c r="D9200">
        <v>0</v>
      </c>
      <c r="E9200">
        <v>1</v>
      </c>
      <c r="F9200" s="7">
        <v>1789373.23</v>
      </c>
      <c r="G9200">
        <v>0</v>
      </c>
      <c r="H9200" s="7">
        <v>0</v>
      </c>
    </row>
    <row r="9201" spans="1:8">
      <c r="A9201">
        <v>7</v>
      </c>
      <c r="B9201" t="s">
        <v>43</v>
      </c>
      <c r="C9201" t="s">
        <v>36</v>
      </c>
      <c r="D9201">
        <v>0</v>
      </c>
      <c r="E9201">
        <v>1</v>
      </c>
      <c r="F9201" s="7">
        <v>1541543.1</v>
      </c>
      <c r="G9201">
        <v>0</v>
      </c>
      <c r="H9201" s="7">
        <v>0</v>
      </c>
    </row>
    <row r="9202" spans="1:8">
      <c r="A9202">
        <v>7</v>
      </c>
      <c r="B9202" t="s">
        <v>43</v>
      </c>
      <c r="C9202" t="s">
        <v>35</v>
      </c>
      <c r="D9202">
        <v>0</v>
      </c>
      <c r="E9202">
        <v>1</v>
      </c>
      <c r="F9202" s="7">
        <v>515061.08</v>
      </c>
      <c r="G9202">
        <v>0</v>
      </c>
      <c r="H9202" s="7">
        <v>0</v>
      </c>
    </row>
    <row r="9203" spans="1:8">
      <c r="A9203">
        <v>7</v>
      </c>
      <c r="B9203" t="s">
        <v>43</v>
      </c>
      <c r="C9203" t="s">
        <v>36</v>
      </c>
      <c r="D9203">
        <v>0</v>
      </c>
      <c r="E9203">
        <v>1</v>
      </c>
      <c r="F9203" s="7">
        <v>2511647.23</v>
      </c>
      <c r="G9203">
        <v>0</v>
      </c>
      <c r="H9203" s="7">
        <v>0</v>
      </c>
    </row>
    <row r="9204" spans="1:8">
      <c r="A9204">
        <v>7</v>
      </c>
      <c r="B9204" t="s">
        <v>43</v>
      </c>
      <c r="C9204" t="s">
        <v>35</v>
      </c>
      <c r="D9204">
        <v>0</v>
      </c>
      <c r="E9204">
        <v>1</v>
      </c>
      <c r="F9204" s="7">
        <v>822798.92</v>
      </c>
      <c r="G9204">
        <v>0</v>
      </c>
      <c r="H9204" s="7">
        <v>0</v>
      </c>
    </row>
    <row r="9205" spans="1:8">
      <c r="A9205">
        <v>7</v>
      </c>
      <c r="B9205" t="s">
        <v>43</v>
      </c>
      <c r="C9205" t="s">
        <v>35</v>
      </c>
      <c r="D9205">
        <v>0</v>
      </c>
      <c r="E9205">
        <v>1</v>
      </c>
      <c r="F9205" s="7">
        <v>241160.57</v>
      </c>
      <c r="G9205">
        <v>0</v>
      </c>
      <c r="H9205" s="7">
        <v>0</v>
      </c>
    </row>
    <row r="9206" spans="1:8">
      <c r="A9206">
        <v>7</v>
      </c>
      <c r="B9206" t="s">
        <v>43</v>
      </c>
      <c r="C9206" t="s">
        <v>36</v>
      </c>
      <c r="D9206">
        <v>0</v>
      </c>
      <c r="E9206">
        <v>1</v>
      </c>
      <c r="F9206" s="7">
        <v>1002954.19</v>
      </c>
      <c r="G9206">
        <v>0</v>
      </c>
      <c r="H9206" s="7">
        <v>0</v>
      </c>
    </row>
    <row r="9207" spans="1:8">
      <c r="A9207">
        <v>7</v>
      </c>
      <c r="B9207" t="s">
        <v>43</v>
      </c>
      <c r="C9207" t="s">
        <v>33</v>
      </c>
      <c r="D9207">
        <v>0</v>
      </c>
      <c r="E9207">
        <v>1</v>
      </c>
      <c r="F9207" s="7">
        <v>3541.16</v>
      </c>
      <c r="G9207">
        <v>0</v>
      </c>
      <c r="H9207" s="7">
        <v>0</v>
      </c>
    </row>
    <row r="9208" spans="1:8">
      <c r="A9208">
        <v>7</v>
      </c>
      <c r="B9208" t="s">
        <v>43</v>
      </c>
      <c r="C9208" t="s">
        <v>35</v>
      </c>
      <c r="D9208">
        <v>0</v>
      </c>
      <c r="E9208">
        <v>1</v>
      </c>
      <c r="F9208" s="7">
        <v>916428.17</v>
      </c>
      <c r="G9208">
        <v>0</v>
      </c>
      <c r="H9208" s="7">
        <v>0</v>
      </c>
    </row>
    <row r="9209" spans="1:8">
      <c r="A9209">
        <v>7</v>
      </c>
      <c r="B9209" t="s">
        <v>42</v>
      </c>
      <c r="C9209" t="s">
        <v>33</v>
      </c>
      <c r="D9209">
        <v>0</v>
      </c>
      <c r="E9209">
        <v>1</v>
      </c>
      <c r="F9209" s="7">
        <v>9071.09</v>
      </c>
      <c r="G9209">
        <v>0</v>
      </c>
      <c r="H9209" s="7">
        <v>0</v>
      </c>
    </row>
    <row r="9210" spans="1:8">
      <c r="A9210">
        <v>7</v>
      </c>
      <c r="B9210" t="s">
        <v>44</v>
      </c>
      <c r="C9210" t="s">
        <v>35</v>
      </c>
      <c r="D9210">
        <v>0</v>
      </c>
      <c r="E9210">
        <v>1</v>
      </c>
      <c r="F9210" s="7">
        <v>326244.05</v>
      </c>
      <c r="G9210">
        <v>0</v>
      </c>
      <c r="H9210" s="7">
        <v>0</v>
      </c>
    </row>
    <row r="9211" spans="1:8">
      <c r="A9211">
        <v>7</v>
      </c>
      <c r="B9211" t="s">
        <v>44</v>
      </c>
      <c r="C9211" t="s">
        <v>35</v>
      </c>
      <c r="D9211">
        <v>0</v>
      </c>
      <c r="E9211">
        <v>1</v>
      </c>
      <c r="F9211" s="7">
        <v>256641.44</v>
      </c>
      <c r="G9211">
        <v>0</v>
      </c>
      <c r="H9211" s="7">
        <v>0</v>
      </c>
    </row>
    <row r="9212" spans="1:8">
      <c r="A9212">
        <v>7</v>
      </c>
      <c r="B9212" t="s">
        <v>42</v>
      </c>
      <c r="C9212" t="s">
        <v>34</v>
      </c>
      <c r="D9212">
        <v>0</v>
      </c>
      <c r="E9212">
        <v>1</v>
      </c>
      <c r="F9212" s="7">
        <v>12119.88</v>
      </c>
      <c r="G9212">
        <v>0</v>
      </c>
      <c r="H9212" s="7">
        <v>0</v>
      </c>
    </row>
    <row r="9213" spans="1:8">
      <c r="A9213">
        <v>7</v>
      </c>
      <c r="B9213" t="s">
        <v>42</v>
      </c>
      <c r="C9213" t="s">
        <v>33</v>
      </c>
      <c r="D9213">
        <v>0</v>
      </c>
      <c r="E9213">
        <v>1</v>
      </c>
      <c r="F9213" s="7">
        <v>5939.55</v>
      </c>
      <c r="G9213">
        <v>0</v>
      </c>
      <c r="H9213" s="7">
        <v>0</v>
      </c>
    </row>
    <row r="9214" spans="1:8">
      <c r="A9214">
        <v>7</v>
      </c>
      <c r="B9214" t="s">
        <v>42</v>
      </c>
      <c r="C9214" t="s">
        <v>34</v>
      </c>
      <c r="D9214">
        <v>0</v>
      </c>
      <c r="E9214">
        <v>1</v>
      </c>
      <c r="F9214" s="7">
        <v>10711.55</v>
      </c>
      <c r="G9214">
        <v>0</v>
      </c>
      <c r="H9214" s="7">
        <v>0</v>
      </c>
    </row>
    <row r="9215" spans="1:8">
      <c r="A9215">
        <v>7</v>
      </c>
      <c r="B9215" t="s">
        <v>42</v>
      </c>
      <c r="C9215" t="s">
        <v>33</v>
      </c>
      <c r="D9215">
        <v>0</v>
      </c>
      <c r="E9215">
        <v>1</v>
      </c>
      <c r="F9215" s="7">
        <v>7150.21</v>
      </c>
      <c r="G9215">
        <v>0</v>
      </c>
      <c r="H9215" s="7">
        <v>0</v>
      </c>
    </row>
    <row r="9216" spans="1:8">
      <c r="A9216">
        <v>7</v>
      </c>
      <c r="B9216" t="s">
        <v>44</v>
      </c>
      <c r="C9216" t="s">
        <v>35</v>
      </c>
      <c r="D9216">
        <v>0</v>
      </c>
      <c r="E9216">
        <v>1</v>
      </c>
      <c r="F9216" s="7">
        <v>409358.66</v>
      </c>
      <c r="G9216">
        <v>0</v>
      </c>
      <c r="H9216" s="7">
        <v>0</v>
      </c>
    </row>
    <row r="9217" spans="1:8">
      <c r="A9217">
        <v>7</v>
      </c>
      <c r="B9217" t="s">
        <v>44</v>
      </c>
      <c r="C9217" t="s">
        <v>35</v>
      </c>
      <c r="D9217">
        <v>0</v>
      </c>
      <c r="E9217">
        <v>1</v>
      </c>
      <c r="F9217" s="7">
        <v>164411.83</v>
      </c>
      <c r="G9217">
        <v>0</v>
      </c>
      <c r="H9217" s="7">
        <v>0</v>
      </c>
    </row>
    <row r="9218" spans="1:8">
      <c r="A9218">
        <v>7</v>
      </c>
      <c r="B9218" t="s">
        <v>42</v>
      </c>
      <c r="C9218" t="s">
        <v>33</v>
      </c>
      <c r="D9218">
        <v>0</v>
      </c>
      <c r="E9218">
        <v>1</v>
      </c>
      <c r="F9218" s="7">
        <v>7707.68</v>
      </c>
      <c r="G9218">
        <v>0</v>
      </c>
      <c r="H9218" s="7">
        <v>0</v>
      </c>
    </row>
    <row r="9219" spans="1:8">
      <c r="A9219">
        <v>7</v>
      </c>
      <c r="B9219" t="s">
        <v>42</v>
      </c>
      <c r="C9219" t="s">
        <v>34</v>
      </c>
      <c r="D9219">
        <v>0</v>
      </c>
      <c r="E9219">
        <v>1</v>
      </c>
      <c r="F9219" s="7">
        <v>11918.74</v>
      </c>
      <c r="G9219">
        <v>0</v>
      </c>
      <c r="H9219" s="7">
        <v>0</v>
      </c>
    </row>
    <row r="9220" spans="1:8">
      <c r="A9220">
        <v>7</v>
      </c>
      <c r="B9220" t="s">
        <v>42</v>
      </c>
      <c r="C9220" t="s">
        <v>34</v>
      </c>
      <c r="D9220">
        <v>0</v>
      </c>
      <c r="E9220">
        <v>1</v>
      </c>
      <c r="F9220" s="7">
        <v>10146.8</v>
      </c>
      <c r="G9220">
        <v>0</v>
      </c>
      <c r="H9220" s="7">
        <v>0</v>
      </c>
    </row>
    <row r="9221" spans="1:8">
      <c r="A9221">
        <v>7</v>
      </c>
      <c r="B9221" t="s">
        <v>42</v>
      </c>
      <c r="C9221" t="s">
        <v>34</v>
      </c>
      <c r="D9221">
        <v>0</v>
      </c>
      <c r="E9221">
        <v>1</v>
      </c>
      <c r="F9221" s="7">
        <v>20293.35</v>
      </c>
      <c r="G9221">
        <v>0</v>
      </c>
      <c r="H9221" s="7">
        <v>0</v>
      </c>
    </row>
    <row r="9222" spans="1:8">
      <c r="A9222">
        <v>7</v>
      </c>
      <c r="B9222" t="s">
        <v>42</v>
      </c>
      <c r="C9222" t="s">
        <v>33</v>
      </c>
      <c r="D9222">
        <v>0</v>
      </c>
      <c r="E9222">
        <v>1</v>
      </c>
      <c r="F9222" s="7">
        <v>9511.21</v>
      </c>
      <c r="G9222">
        <v>0</v>
      </c>
      <c r="H9222" s="7">
        <v>0</v>
      </c>
    </row>
    <row r="9223" spans="1:8">
      <c r="A9223">
        <v>7</v>
      </c>
      <c r="B9223" t="s">
        <v>42</v>
      </c>
      <c r="C9223" t="s">
        <v>34</v>
      </c>
      <c r="D9223">
        <v>0</v>
      </c>
      <c r="E9223">
        <v>1</v>
      </c>
      <c r="F9223" s="7">
        <v>39554.82</v>
      </c>
      <c r="G9223">
        <v>0</v>
      </c>
      <c r="H9223" s="7">
        <v>0</v>
      </c>
    </row>
    <row r="9224" spans="1:8">
      <c r="A9224">
        <v>7</v>
      </c>
      <c r="B9224" t="s">
        <v>42</v>
      </c>
      <c r="C9224" t="s">
        <v>33</v>
      </c>
      <c r="D9224">
        <v>0</v>
      </c>
      <c r="E9224">
        <v>1</v>
      </c>
      <c r="F9224" s="7">
        <v>2008.49</v>
      </c>
      <c r="G9224">
        <v>0</v>
      </c>
      <c r="H9224" s="7">
        <v>0</v>
      </c>
    </row>
    <row r="9225" spans="1:8">
      <c r="A9225">
        <v>7</v>
      </c>
      <c r="B9225" t="s">
        <v>42</v>
      </c>
      <c r="C9225" t="s">
        <v>34</v>
      </c>
      <c r="D9225">
        <v>0</v>
      </c>
      <c r="E9225">
        <v>1</v>
      </c>
      <c r="F9225" s="7">
        <v>12724.43</v>
      </c>
      <c r="G9225">
        <v>0</v>
      </c>
      <c r="H9225" s="7">
        <v>0</v>
      </c>
    </row>
    <row r="9226" spans="1:8">
      <c r="A9226">
        <v>7</v>
      </c>
      <c r="B9226" t="s">
        <v>42</v>
      </c>
      <c r="C9226" t="s">
        <v>33</v>
      </c>
      <c r="D9226">
        <v>0</v>
      </c>
      <c r="E9226">
        <v>1</v>
      </c>
      <c r="F9226" s="7">
        <v>6192.38</v>
      </c>
      <c r="G9226">
        <v>0</v>
      </c>
      <c r="H9226" s="7">
        <v>0</v>
      </c>
    </row>
    <row r="9227" spans="1:8">
      <c r="A9227">
        <v>7</v>
      </c>
      <c r="B9227" t="s">
        <v>42</v>
      </c>
      <c r="C9227" t="s">
        <v>33</v>
      </c>
      <c r="D9227">
        <v>0</v>
      </c>
      <c r="E9227">
        <v>1</v>
      </c>
      <c r="F9227" s="7">
        <v>1213.01</v>
      </c>
      <c r="G9227">
        <v>0</v>
      </c>
      <c r="H9227" s="7">
        <v>0</v>
      </c>
    </row>
    <row r="9228" spans="1:8">
      <c r="A9228">
        <v>7</v>
      </c>
      <c r="B9228" t="s">
        <v>42</v>
      </c>
      <c r="C9228" t="s">
        <v>33</v>
      </c>
      <c r="D9228">
        <v>0</v>
      </c>
      <c r="E9228">
        <v>1</v>
      </c>
      <c r="F9228" s="7">
        <v>1089.75</v>
      </c>
      <c r="G9228">
        <v>0</v>
      </c>
      <c r="H9228" s="7">
        <v>0</v>
      </c>
    </row>
    <row r="9229" spans="1:8">
      <c r="A9229">
        <v>7</v>
      </c>
      <c r="B9229" t="s">
        <v>42</v>
      </c>
      <c r="C9229" t="s">
        <v>34</v>
      </c>
      <c r="D9229">
        <v>0</v>
      </c>
      <c r="E9229">
        <v>1</v>
      </c>
      <c r="F9229" s="7">
        <v>20001.6</v>
      </c>
      <c r="G9229">
        <v>0</v>
      </c>
      <c r="H9229" s="7">
        <v>0</v>
      </c>
    </row>
    <row r="9230" spans="1:8">
      <c r="A9230">
        <v>7</v>
      </c>
      <c r="B9230" t="s">
        <v>42</v>
      </c>
      <c r="C9230" t="s">
        <v>33</v>
      </c>
      <c r="D9230">
        <v>0</v>
      </c>
      <c r="E9230">
        <v>1</v>
      </c>
      <c r="F9230" s="7">
        <v>3639.28</v>
      </c>
      <c r="G9230">
        <v>0</v>
      </c>
      <c r="H9230" s="7">
        <v>0</v>
      </c>
    </row>
    <row r="9231" spans="1:8">
      <c r="A9231">
        <v>7</v>
      </c>
      <c r="B9231" t="s">
        <v>46</v>
      </c>
      <c r="C9231" t="s">
        <v>34</v>
      </c>
      <c r="D9231">
        <v>0</v>
      </c>
      <c r="E9231">
        <v>1</v>
      </c>
      <c r="F9231" s="7">
        <v>26287.58</v>
      </c>
      <c r="G9231">
        <v>0</v>
      </c>
      <c r="H9231" s="7">
        <v>0</v>
      </c>
    </row>
    <row r="9232" spans="1:8">
      <c r="A9232">
        <v>7</v>
      </c>
      <c r="B9232" t="s">
        <v>42</v>
      </c>
      <c r="C9232" t="s">
        <v>33</v>
      </c>
      <c r="D9232">
        <v>0</v>
      </c>
      <c r="E9232">
        <v>1</v>
      </c>
      <c r="F9232" s="7">
        <v>1536.68</v>
      </c>
      <c r="G9232">
        <v>0</v>
      </c>
      <c r="H9232" s="7">
        <v>0</v>
      </c>
    </row>
    <row r="9233" spans="1:8">
      <c r="A9233">
        <v>7</v>
      </c>
      <c r="B9233" t="s">
        <v>42</v>
      </c>
      <c r="C9233" t="s">
        <v>33</v>
      </c>
      <c r="D9233">
        <v>0</v>
      </c>
      <c r="E9233">
        <v>1</v>
      </c>
      <c r="F9233" s="7">
        <v>7157.22</v>
      </c>
      <c r="G9233">
        <v>0</v>
      </c>
      <c r="H9233" s="7">
        <v>0</v>
      </c>
    </row>
    <row r="9234" spans="1:8">
      <c r="A9234">
        <v>7</v>
      </c>
      <c r="B9234" t="s">
        <v>42</v>
      </c>
      <c r="C9234" t="s">
        <v>34</v>
      </c>
      <c r="D9234">
        <v>0</v>
      </c>
      <c r="E9234">
        <v>1</v>
      </c>
      <c r="F9234" s="7">
        <v>12397.18</v>
      </c>
      <c r="G9234">
        <v>0</v>
      </c>
      <c r="H9234" s="7">
        <v>0</v>
      </c>
    </row>
    <row r="9235" spans="1:8">
      <c r="A9235">
        <v>7</v>
      </c>
      <c r="B9235" t="s">
        <v>42</v>
      </c>
      <c r="C9235" t="s">
        <v>34</v>
      </c>
      <c r="D9235">
        <v>0</v>
      </c>
      <c r="E9235">
        <v>1</v>
      </c>
      <c r="F9235" s="7">
        <v>11999.97</v>
      </c>
      <c r="G9235">
        <v>0</v>
      </c>
      <c r="H9235" s="7">
        <v>0</v>
      </c>
    </row>
    <row r="9236" spans="1:8">
      <c r="A9236">
        <v>7</v>
      </c>
      <c r="B9236" t="s">
        <v>42</v>
      </c>
      <c r="C9236" t="s">
        <v>33</v>
      </c>
      <c r="D9236">
        <v>0</v>
      </c>
      <c r="E9236">
        <v>1</v>
      </c>
      <c r="F9236" s="7">
        <v>5025.19</v>
      </c>
      <c r="G9236">
        <v>0</v>
      </c>
      <c r="H9236" s="7">
        <v>0</v>
      </c>
    </row>
    <row r="9237" spans="1:8">
      <c r="A9237">
        <v>7</v>
      </c>
      <c r="B9237" t="s">
        <v>44</v>
      </c>
      <c r="C9237" t="s">
        <v>35</v>
      </c>
      <c r="D9237">
        <v>0</v>
      </c>
      <c r="E9237">
        <v>1</v>
      </c>
      <c r="F9237" s="7">
        <v>104945.48</v>
      </c>
      <c r="G9237">
        <v>0</v>
      </c>
      <c r="H9237" s="7">
        <v>0</v>
      </c>
    </row>
    <row r="9238" spans="1:8">
      <c r="A9238">
        <v>7</v>
      </c>
      <c r="B9238" t="s">
        <v>42</v>
      </c>
      <c r="C9238" t="s">
        <v>33</v>
      </c>
      <c r="D9238">
        <v>0</v>
      </c>
      <c r="E9238">
        <v>1</v>
      </c>
      <c r="F9238" s="7">
        <v>6142.8</v>
      </c>
      <c r="G9238">
        <v>0</v>
      </c>
      <c r="H9238" s="7">
        <v>0</v>
      </c>
    </row>
    <row r="9239" spans="1:8">
      <c r="A9239">
        <v>7</v>
      </c>
      <c r="B9239" t="s">
        <v>42</v>
      </c>
      <c r="C9239" t="s">
        <v>33</v>
      </c>
      <c r="D9239">
        <v>0</v>
      </c>
      <c r="E9239">
        <v>1</v>
      </c>
      <c r="F9239" s="7">
        <v>4533.62</v>
      </c>
      <c r="G9239">
        <v>0</v>
      </c>
      <c r="H9239" s="7">
        <v>0</v>
      </c>
    </row>
    <row r="9240" spans="1:8">
      <c r="A9240">
        <v>7</v>
      </c>
      <c r="B9240" t="s">
        <v>42</v>
      </c>
      <c r="C9240" t="s">
        <v>33</v>
      </c>
      <c r="D9240">
        <v>0</v>
      </c>
      <c r="E9240">
        <v>1</v>
      </c>
      <c r="F9240" s="7">
        <v>8300.42</v>
      </c>
      <c r="G9240">
        <v>0</v>
      </c>
      <c r="H9240" s="7">
        <v>0</v>
      </c>
    </row>
    <row r="9241" spans="1:8">
      <c r="A9241">
        <v>7</v>
      </c>
      <c r="B9241" t="s">
        <v>42</v>
      </c>
      <c r="C9241" t="s">
        <v>33</v>
      </c>
      <c r="D9241">
        <v>0</v>
      </c>
      <c r="E9241">
        <v>1</v>
      </c>
      <c r="F9241" s="7">
        <v>2782.56</v>
      </c>
      <c r="G9241">
        <v>0</v>
      </c>
      <c r="H9241" s="7">
        <v>0</v>
      </c>
    </row>
    <row r="9242" spans="1:8">
      <c r="A9242">
        <v>7</v>
      </c>
      <c r="B9242" t="s">
        <v>42</v>
      </c>
      <c r="C9242" t="s">
        <v>33</v>
      </c>
      <c r="D9242">
        <v>0</v>
      </c>
      <c r="E9242">
        <v>1</v>
      </c>
      <c r="F9242" s="7">
        <v>4018.89</v>
      </c>
      <c r="G9242">
        <v>0</v>
      </c>
      <c r="H9242" s="7">
        <v>0</v>
      </c>
    </row>
    <row r="9243" spans="1:8">
      <c r="A9243">
        <v>7</v>
      </c>
      <c r="B9243" t="s">
        <v>42</v>
      </c>
      <c r="C9243" t="s">
        <v>33</v>
      </c>
      <c r="D9243">
        <v>0</v>
      </c>
      <c r="E9243">
        <v>1</v>
      </c>
      <c r="F9243" s="7">
        <v>6719.58</v>
      </c>
      <c r="G9243">
        <v>0</v>
      </c>
      <c r="H9243" s="7">
        <v>0</v>
      </c>
    </row>
    <row r="9244" spans="1:8">
      <c r="A9244">
        <v>7</v>
      </c>
      <c r="B9244" t="s">
        <v>42</v>
      </c>
      <c r="C9244" t="s">
        <v>33</v>
      </c>
      <c r="D9244">
        <v>0</v>
      </c>
      <c r="E9244">
        <v>1</v>
      </c>
      <c r="F9244" s="7">
        <v>1969.13</v>
      </c>
      <c r="G9244">
        <v>0</v>
      </c>
      <c r="H9244" s="7">
        <v>0</v>
      </c>
    </row>
    <row r="9245" spans="1:8">
      <c r="A9245">
        <v>7</v>
      </c>
      <c r="B9245" t="s">
        <v>42</v>
      </c>
      <c r="C9245" t="s">
        <v>33</v>
      </c>
      <c r="D9245">
        <v>0</v>
      </c>
      <c r="E9245">
        <v>1</v>
      </c>
      <c r="F9245" s="7">
        <v>2980.08</v>
      </c>
      <c r="G9245">
        <v>0</v>
      </c>
      <c r="H9245" s="7">
        <v>0</v>
      </c>
    </row>
    <row r="9246" spans="1:8">
      <c r="A9246">
        <v>7</v>
      </c>
      <c r="B9246" t="s">
        <v>42</v>
      </c>
      <c r="C9246" t="s">
        <v>33</v>
      </c>
      <c r="D9246">
        <v>0</v>
      </c>
      <c r="E9246">
        <v>1</v>
      </c>
      <c r="F9246" s="7">
        <v>5146.88</v>
      </c>
      <c r="G9246">
        <v>0</v>
      </c>
      <c r="H9246" s="7">
        <v>0</v>
      </c>
    </row>
    <row r="9247" spans="1:8">
      <c r="A9247">
        <v>7</v>
      </c>
      <c r="B9247" t="s">
        <v>43</v>
      </c>
      <c r="C9247" t="s">
        <v>35</v>
      </c>
      <c r="D9247">
        <v>0</v>
      </c>
      <c r="E9247">
        <v>1</v>
      </c>
      <c r="F9247" s="7">
        <v>115697.98</v>
      </c>
      <c r="G9247">
        <v>0</v>
      </c>
      <c r="H9247" s="7">
        <v>0</v>
      </c>
    </row>
    <row r="9248" spans="1:8">
      <c r="A9248">
        <v>7</v>
      </c>
      <c r="B9248" t="s">
        <v>42</v>
      </c>
      <c r="C9248" t="s">
        <v>33</v>
      </c>
      <c r="D9248">
        <v>0</v>
      </c>
      <c r="E9248">
        <v>1</v>
      </c>
      <c r="F9248" s="7">
        <v>6727.34</v>
      </c>
      <c r="G9248">
        <v>0</v>
      </c>
      <c r="H9248" s="7">
        <v>0</v>
      </c>
    </row>
    <row r="9249" spans="1:8">
      <c r="A9249">
        <v>7</v>
      </c>
      <c r="B9249" t="s">
        <v>46</v>
      </c>
      <c r="C9249" t="s">
        <v>35</v>
      </c>
      <c r="D9249">
        <v>0</v>
      </c>
      <c r="E9249">
        <v>1</v>
      </c>
      <c r="F9249" s="7">
        <v>272270.8</v>
      </c>
      <c r="G9249">
        <v>0</v>
      </c>
      <c r="H9249" s="7">
        <v>0</v>
      </c>
    </row>
    <row r="9250" spans="1:8">
      <c r="A9250">
        <v>7</v>
      </c>
      <c r="B9250" t="s">
        <v>42</v>
      </c>
      <c r="C9250" t="s">
        <v>34</v>
      </c>
      <c r="D9250">
        <v>0</v>
      </c>
      <c r="E9250">
        <v>1</v>
      </c>
      <c r="F9250" s="7">
        <v>14163.73</v>
      </c>
      <c r="G9250">
        <v>0</v>
      </c>
      <c r="H9250" s="7">
        <v>0</v>
      </c>
    </row>
    <row r="9251" spans="1:8">
      <c r="A9251">
        <v>7</v>
      </c>
      <c r="B9251" t="s">
        <v>42</v>
      </c>
      <c r="C9251" t="s">
        <v>32</v>
      </c>
      <c r="D9251">
        <v>0</v>
      </c>
      <c r="E9251">
        <v>1</v>
      </c>
      <c r="F9251" s="7">
        <v>6.36</v>
      </c>
      <c r="G9251">
        <v>0</v>
      </c>
      <c r="H9251" s="7">
        <v>0</v>
      </c>
    </row>
    <row r="9252" spans="1:8">
      <c r="A9252">
        <v>7</v>
      </c>
      <c r="B9252" t="s">
        <v>42</v>
      </c>
      <c r="C9252" t="s">
        <v>34</v>
      </c>
      <c r="D9252">
        <v>0</v>
      </c>
      <c r="E9252">
        <v>1</v>
      </c>
      <c r="F9252" s="7">
        <v>12700.77</v>
      </c>
      <c r="G9252">
        <v>0</v>
      </c>
      <c r="H9252" s="7">
        <v>0</v>
      </c>
    </row>
    <row r="9253" spans="1:8">
      <c r="A9253">
        <v>7</v>
      </c>
      <c r="B9253" t="s">
        <v>42</v>
      </c>
      <c r="C9253" t="s">
        <v>32</v>
      </c>
      <c r="D9253">
        <v>0</v>
      </c>
      <c r="E9253">
        <v>1</v>
      </c>
      <c r="F9253" s="7">
        <v>385.43</v>
      </c>
      <c r="G9253">
        <v>0</v>
      </c>
      <c r="H9253" s="7">
        <v>0</v>
      </c>
    </row>
    <row r="9254" spans="1:8">
      <c r="A9254">
        <v>7</v>
      </c>
      <c r="B9254" t="s">
        <v>43</v>
      </c>
      <c r="C9254" t="s">
        <v>35</v>
      </c>
      <c r="D9254">
        <v>0</v>
      </c>
      <c r="E9254">
        <v>1</v>
      </c>
      <c r="F9254" s="7">
        <v>423234.24</v>
      </c>
      <c r="G9254">
        <v>0</v>
      </c>
      <c r="H9254" s="7">
        <v>0</v>
      </c>
    </row>
    <row r="9255" spans="1:8">
      <c r="A9255">
        <v>7</v>
      </c>
      <c r="B9255" t="s">
        <v>43</v>
      </c>
      <c r="C9255" t="s">
        <v>36</v>
      </c>
      <c r="D9255">
        <v>0</v>
      </c>
      <c r="E9255">
        <v>1</v>
      </c>
      <c r="F9255" s="7">
        <v>2241254.39</v>
      </c>
      <c r="G9255">
        <v>0</v>
      </c>
      <c r="H9255" s="7">
        <v>0</v>
      </c>
    </row>
    <row r="9256" spans="1:8">
      <c r="A9256">
        <v>7</v>
      </c>
      <c r="B9256" t="s">
        <v>43</v>
      </c>
      <c r="C9256" t="s">
        <v>36</v>
      </c>
      <c r="D9256">
        <v>0</v>
      </c>
      <c r="E9256">
        <v>1</v>
      </c>
      <c r="F9256" s="7">
        <v>1737772.93</v>
      </c>
      <c r="G9256">
        <v>0</v>
      </c>
      <c r="H9256" s="7">
        <v>0</v>
      </c>
    </row>
    <row r="9257" spans="1:8">
      <c r="A9257">
        <v>7</v>
      </c>
      <c r="B9257" t="s">
        <v>43</v>
      </c>
      <c r="C9257" t="s">
        <v>35</v>
      </c>
      <c r="D9257">
        <v>0</v>
      </c>
      <c r="E9257">
        <v>1</v>
      </c>
      <c r="F9257" s="7">
        <v>401672.66</v>
      </c>
      <c r="G9257">
        <v>0</v>
      </c>
      <c r="H9257" s="7">
        <v>0</v>
      </c>
    </row>
    <row r="9258" spans="1:8">
      <c r="A9258">
        <v>7</v>
      </c>
      <c r="B9258" t="s">
        <v>43</v>
      </c>
      <c r="C9258" t="s">
        <v>36</v>
      </c>
      <c r="D9258">
        <v>0</v>
      </c>
      <c r="E9258">
        <v>1</v>
      </c>
      <c r="F9258" s="7">
        <v>1658697.08</v>
      </c>
      <c r="G9258">
        <v>0</v>
      </c>
      <c r="H9258" s="7">
        <v>0</v>
      </c>
    </row>
    <row r="9259" spans="1:8">
      <c r="A9259">
        <v>7</v>
      </c>
      <c r="B9259" t="s">
        <v>43</v>
      </c>
      <c r="C9259" t="s">
        <v>35</v>
      </c>
      <c r="D9259">
        <v>0</v>
      </c>
      <c r="E9259">
        <v>1</v>
      </c>
      <c r="F9259" s="7">
        <v>140812.05</v>
      </c>
      <c r="G9259">
        <v>0</v>
      </c>
      <c r="H9259" s="7">
        <v>0</v>
      </c>
    </row>
    <row r="9260" spans="1:8">
      <c r="A9260">
        <v>7</v>
      </c>
      <c r="B9260" t="s">
        <v>43</v>
      </c>
      <c r="C9260" t="s">
        <v>35</v>
      </c>
      <c r="D9260">
        <v>0</v>
      </c>
      <c r="E9260">
        <v>1</v>
      </c>
      <c r="F9260" s="7">
        <v>566270.79</v>
      </c>
      <c r="G9260">
        <v>0</v>
      </c>
      <c r="H9260" s="7">
        <v>0</v>
      </c>
    </row>
    <row r="9261" spans="1:8">
      <c r="A9261">
        <v>7</v>
      </c>
      <c r="B9261" t="s">
        <v>43</v>
      </c>
      <c r="C9261" t="s">
        <v>35</v>
      </c>
      <c r="D9261">
        <v>0</v>
      </c>
      <c r="E9261">
        <v>1</v>
      </c>
      <c r="F9261" s="7">
        <v>243318.08</v>
      </c>
      <c r="G9261">
        <v>0</v>
      </c>
      <c r="H9261" s="7">
        <v>0</v>
      </c>
    </row>
    <row r="9262" spans="1:8">
      <c r="A9262">
        <v>7</v>
      </c>
      <c r="B9262" t="s">
        <v>43</v>
      </c>
      <c r="C9262" t="s">
        <v>35</v>
      </c>
      <c r="D9262">
        <v>0</v>
      </c>
      <c r="E9262">
        <v>1</v>
      </c>
      <c r="F9262" s="7">
        <v>337085.02</v>
      </c>
      <c r="G9262">
        <v>0</v>
      </c>
      <c r="H9262" s="7">
        <v>0</v>
      </c>
    </row>
    <row r="9263" spans="1:8">
      <c r="A9263">
        <v>7</v>
      </c>
      <c r="B9263" t="s">
        <v>43</v>
      </c>
      <c r="C9263" t="s">
        <v>36</v>
      </c>
      <c r="D9263">
        <v>0</v>
      </c>
      <c r="E9263">
        <v>1</v>
      </c>
      <c r="F9263" s="7">
        <v>2011670.91</v>
      </c>
      <c r="G9263">
        <v>0</v>
      </c>
      <c r="H9263" s="7">
        <v>0</v>
      </c>
    </row>
    <row r="9264" spans="1:8">
      <c r="A9264">
        <v>7</v>
      </c>
      <c r="B9264" t="s">
        <v>43</v>
      </c>
      <c r="C9264" t="s">
        <v>35</v>
      </c>
      <c r="D9264">
        <v>0</v>
      </c>
      <c r="E9264">
        <v>1</v>
      </c>
      <c r="F9264" s="7">
        <v>113688.15</v>
      </c>
      <c r="G9264">
        <v>0</v>
      </c>
      <c r="H9264" s="7">
        <v>0</v>
      </c>
    </row>
    <row r="9265" spans="1:8">
      <c r="A9265">
        <v>7</v>
      </c>
      <c r="B9265" t="s">
        <v>43</v>
      </c>
      <c r="C9265" t="s">
        <v>35</v>
      </c>
      <c r="D9265">
        <v>0</v>
      </c>
      <c r="E9265">
        <v>1</v>
      </c>
      <c r="F9265" s="7">
        <v>114384.61</v>
      </c>
      <c r="G9265">
        <v>0</v>
      </c>
      <c r="H9265" s="7">
        <v>0</v>
      </c>
    </row>
    <row r="9266" spans="1:8">
      <c r="A9266">
        <v>7</v>
      </c>
      <c r="B9266" t="s">
        <v>43</v>
      </c>
      <c r="C9266" t="s">
        <v>35</v>
      </c>
      <c r="D9266">
        <v>0</v>
      </c>
      <c r="E9266">
        <v>1</v>
      </c>
      <c r="F9266" s="7">
        <v>281889.38</v>
      </c>
      <c r="G9266">
        <v>0</v>
      </c>
      <c r="H9266" s="7">
        <v>0</v>
      </c>
    </row>
    <row r="9267" spans="1:8">
      <c r="A9267">
        <v>7</v>
      </c>
      <c r="B9267" t="s">
        <v>43</v>
      </c>
      <c r="C9267" t="s">
        <v>35</v>
      </c>
      <c r="D9267">
        <v>0</v>
      </c>
      <c r="E9267">
        <v>1</v>
      </c>
      <c r="F9267" s="7">
        <v>107644.48</v>
      </c>
      <c r="G9267">
        <v>0</v>
      </c>
      <c r="H9267" s="7">
        <v>0</v>
      </c>
    </row>
    <row r="9268" spans="1:8">
      <c r="A9268">
        <v>7</v>
      </c>
      <c r="B9268" t="s">
        <v>42</v>
      </c>
      <c r="C9268" t="s">
        <v>33</v>
      </c>
      <c r="D9268">
        <v>0</v>
      </c>
      <c r="E9268">
        <v>1</v>
      </c>
      <c r="F9268" s="7">
        <v>1322.25</v>
      </c>
      <c r="G9268">
        <v>0</v>
      </c>
      <c r="H9268" s="7">
        <v>0</v>
      </c>
    </row>
    <row r="9269" spans="1:8">
      <c r="A9269">
        <v>7</v>
      </c>
      <c r="B9269" t="s">
        <v>42</v>
      </c>
      <c r="C9269" t="s">
        <v>34</v>
      </c>
      <c r="D9269">
        <v>0</v>
      </c>
      <c r="E9269">
        <v>1</v>
      </c>
      <c r="F9269" s="7">
        <v>18355.13</v>
      </c>
      <c r="G9269">
        <v>0</v>
      </c>
      <c r="H9269" s="7">
        <v>0</v>
      </c>
    </row>
    <row r="9270" spans="1:8">
      <c r="A9270">
        <v>7</v>
      </c>
      <c r="B9270" t="s">
        <v>42</v>
      </c>
      <c r="C9270" t="s">
        <v>34</v>
      </c>
      <c r="D9270">
        <v>0</v>
      </c>
      <c r="E9270">
        <v>1</v>
      </c>
      <c r="F9270" s="7">
        <v>13367.64</v>
      </c>
      <c r="G9270">
        <v>0</v>
      </c>
      <c r="H9270" s="7">
        <v>0</v>
      </c>
    </row>
    <row r="9271" spans="1:8">
      <c r="A9271">
        <v>7</v>
      </c>
      <c r="B9271" t="s">
        <v>42</v>
      </c>
      <c r="C9271" t="s">
        <v>33</v>
      </c>
      <c r="D9271">
        <v>0</v>
      </c>
      <c r="E9271">
        <v>1</v>
      </c>
      <c r="F9271" s="7">
        <v>2769.02</v>
      </c>
      <c r="G9271">
        <v>0</v>
      </c>
      <c r="H9271" s="7">
        <v>0</v>
      </c>
    </row>
    <row r="9272" spans="1:8">
      <c r="A9272">
        <v>7</v>
      </c>
      <c r="B9272" t="s">
        <v>42</v>
      </c>
      <c r="C9272" t="s">
        <v>33</v>
      </c>
      <c r="D9272">
        <v>0</v>
      </c>
      <c r="E9272">
        <v>1</v>
      </c>
      <c r="F9272" s="7">
        <v>2890.81</v>
      </c>
      <c r="G9272">
        <v>0</v>
      </c>
      <c r="H9272" s="7">
        <v>0</v>
      </c>
    </row>
    <row r="9273" spans="1:8">
      <c r="A9273">
        <v>7</v>
      </c>
      <c r="B9273" t="s">
        <v>42</v>
      </c>
      <c r="C9273" t="s">
        <v>33</v>
      </c>
      <c r="D9273">
        <v>0</v>
      </c>
      <c r="E9273">
        <v>1</v>
      </c>
      <c r="F9273" s="7">
        <v>4568.07</v>
      </c>
      <c r="G9273">
        <v>0</v>
      </c>
      <c r="H9273" s="7">
        <v>0</v>
      </c>
    </row>
    <row r="9274" spans="1:8">
      <c r="A9274">
        <v>7</v>
      </c>
      <c r="B9274" t="s">
        <v>42</v>
      </c>
      <c r="C9274" t="s">
        <v>33</v>
      </c>
      <c r="D9274">
        <v>0</v>
      </c>
      <c r="E9274">
        <v>1</v>
      </c>
      <c r="F9274" s="7">
        <v>7417.42</v>
      </c>
      <c r="G9274">
        <v>0</v>
      </c>
      <c r="H9274" s="7">
        <v>0</v>
      </c>
    </row>
    <row r="9275" spans="1:8">
      <c r="A9275">
        <v>7</v>
      </c>
      <c r="B9275" t="s">
        <v>42</v>
      </c>
      <c r="C9275" t="s">
        <v>33</v>
      </c>
      <c r="D9275">
        <v>0</v>
      </c>
      <c r="E9275">
        <v>1</v>
      </c>
      <c r="F9275" s="7">
        <v>2991.18</v>
      </c>
      <c r="G9275">
        <v>0</v>
      </c>
      <c r="H9275" s="7">
        <v>0</v>
      </c>
    </row>
    <row r="9276" spans="1:8">
      <c r="A9276">
        <v>7</v>
      </c>
      <c r="B9276" t="s">
        <v>43</v>
      </c>
      <c r="C9276" t="s">
        <v>35</v>
      </c>
      <c r="D9276">
        <v>0</v>
      </c>
      <c r="E9276">
        <v>1</v>
      </c>
      <c r="F9276" s="7">
        <v>486780.94</v>
      </c>
      <c r="G9276">
        <v>0</v>
      </c>
      <c r="H9276" s="7">
        <v>0</v>
      </c>
    </row>
    <row r="9277" spans="1:8">
      <c r="A9277">
        <v>7</v>
      </c>
      <c r="B9277" t="s">
        <v>42</v>
      </c>
      <c r="C9277" t="s">
        <v>34</v>
      </c>
      <c r="D9277">
        <v>0</v>
      </c>
      <c r="E9277">
        <v>1</v>
      </c>
      <c r="F9277" s="7">
        <v>16498.15</v>
      </c>
      <c r="G9277">
        <v>0</v>
      </c>
      <c r="H9277" s="7">
        <v>0</v>
      </c>
    </row>
    <row r="9278" spans="1:8">
      <c r="A9278">
        <v>7</v>
      </c>
      <c r="B9278" t="s">
        <v>42</v>
      </c>
      <c r="C9278" t="s">
        <v>33</v>
      </c>
      <c r="D9278">
        <v>0</v>
      </c>
      <c r="E9278">
        <v>1</v>
      </c>
      <c r="F9278" s="7">
        <v>6037.15</v>
      </c>
      <c r="G9278">
        <v>0</v>
      </c>
      <c r="H9278" s="7">
        <v>0</v>
      </c>
    </row>
    <row r="9279" spans="1:8">
      <c r="A9279">
        <v>7</v>
      </c>
      <c r="B9279" t="s">
        <v>42</v>
      </c>
      <c r="C9279" t="s">
        <v>33</v>
      </c>
      <c r="D9279">
        <v>0</v>
      </c>
      <c r="E9279">
        <v>1</v>
      </c>
      <c r="F9279" s="7">
        <v>5552.23</v>
      </c>
      <c r="G9279">
        <v>0</v>
      </c>
      <c r="H9279" s="7">
        <v>0</v>
      </c>
    </row>
    <row r="9280" spans="1:8">
      <c r="A9280">
        <v>7</v>
      </c>
      <c r="B9280" t="s">
        <v>42</v>
      </c>
      <c r="C9280" t="s">
        <v>33</v>
      </c>
      <c r="D9280">
        <v>0</v>
      </c>
      <c r="E9280">
        <v>1</v>
      </c>
      <c r="F9280" s="7">
        <v>3177.01</v>
      </c>
      <c r="G9280">
        <v>0</v>
      </c>
      <c r="H9280" s="7">
        <v>0</v>
      </c>
    </row>
    <row r="9281" spans="1:8">
      <c r="A9281">
        <v>7</v>
      </c>
      <c r="B9281" t="s">
        <v>42</v>
      </c>
      <c r="C9281" t="s">
        <v>34</v>
      </c>
      <c r="D9281">
        <v>0</v>
      </c>
      <c r="E9281">
        <v>1</v>
      </c>
      <c r="F9281" s="7">
        <v>19286.24</v>
      </c>
      <c r="G9281">
        <v>0</v>
      </c>
      <c r="H9281" s="7">
        <v>0</v>
      </c>
    </row>
    <row r="9282" spans="1:8">
      <c r="A9282">
        <v>7</v>
      </c>
      <c r="B9282" t="s">
        <v>42</v>
      </c>
      <c r="C9282" t="s">
        <v>33</v>
      </c>
      <c r="D9282">
        <v>0</v>
      </c>
      <c r="E9282">
        <v>1</v>
      </c>
      <c r="F9282" s="7">
        <v>9466.19</v>
      </c>
      <c r="G9282">
        <v>0</v>
      </c>
      <c r="H9282" s="7">
        <v>0</v>
      </c>
    </row>
    <row r="9283" spans="1:8">
      <c r="A9283">
        <v>7</v>
      </c>
      <c r="B9283" t="s">
        <v>42</v>
      </c>
      <c r="C9283" t="s">
        <v>33</v>
      </c>
      <c r="D9283">
        <v>0</v>
      </c>
      <c r="E9283">
        <v>1</v>
      </c>
      <c r="F9283" s="7">
        <v>4861.27</v>
      </c>
      <c r="G9283">
        <v>0</v>
      </c>
      <c r="H9283" s="7">
        <v>0</v>
      </c>
    </row>
    <row r="9284" spans="1:8">
      <c r="A9284">
        <v>7</v>
      </c>
      <c r="B9284" t="s">
        <v>44</v>
      </c>
      <c r="C9284" t="s">
        <v>34</v>
      </c>
      <c r="D9284">
        <v>0</v>
      </c>
      <c r="E9284">
        <v>1</v>
      </c>
      <c r="F9284" s="7">
        <v>24461.49</v>
      </c>
      <c r="G9284">
        <v>0</v>
      </c>
      <c r="H9284" s="7">
        <v>0</v>
      </c>
    </row>
    <row r="9285" spans="1:8">
      <c r="A9285">
        <v>7</v>
      </c>
      <c r="B9285" t="s">
        <v>42</v>
      </c>
      <c r="C9285" t="s">
        <v>33</v>
      </c>
      <c r="D9285">
        <v>0</v>
      </c>
      <c r="E9285">
        <v>1</v>
      </c>
      <c r="F9285" s="7">
        <v>2168.42</v>
      </c>
      <c r="G9285">
        <v>0</v>
      </c>
      <c r="H9285" s="7">
        <v>0</v>
      </c>
    </row>
    <row r="9286" spans="1:8">
      <c r="A9286">
        <v>7</v>
      </c>
      <c r="B9286" t="s">
        <v>43</v>
      </c>
      <c r="C9286" t="s">
        <v>35</v>
      </c>
      <c r="D9286">
        <v>0</v>
      </c>
      <c r="E9286">
        <v>1</v>
      </c>
      <c r="F9286" s="7">
        <v>889053.15</v>
      </c>
      <c r="G9286">
        <v>0</v>
      </c>
      <c r="H9286" s="7">
        <v>0</v>
      </c>
    </row>
    <row r="9287" spans="1:8">
      <c r="A9287">
        <v>7</v>
      </c>
      <c r="B9287" t="s">
        <v>42</v>
      </c>
      <c r="C9287" t="s">
        <v>33</v>
      </c>
      <c r="D9287">
        <v>0</v>
      </c>
      <c r="E9287">
        <v>1</v>
      </c>
      <c r="F9287" s="7">
        <v>5120.67</v>
      </c>
      <c r="G9287">
        <v>0</v>
      </c>
      <c r="H9287" s="7">
        <v>0</v>
      </c>
    </row>
    <row r="9288" spans="1:8">
      <c r="A9288">
        <v>7</v>
      </c>
      <c r="B9288" t="s">
        <v>42</v>
      </c>
      <c r="C9288" t="s">
        <v>33</v>
      </c>
      <c r="D9288">
        <v>0</v>
      </c>
      <c r="E9288">
        <v>1</v>
      </c>
      <c r="F9288" s="7">
        <v>3851.72</v>
      </c>
      <c r="G9288">
        <v>0</v>
      </c>
      <c r="H9288" s="7">
        <v>0</v>
      </c>
    </row>
    <row r="9289" spans="1:8">
      <c r="A9289">
        <v>7</v>
      </c>
      <c r="B9289" t="s">
        <v>42</v>
      </c>
      <c r="C9289" t="s">
        <v>33</v>
      </c>
      <c r="D9289">
        <v>0</v>
      </c>
      <c r="E9289">
        <v>1</v>
      </c>
      <c r="F9289" s="7">
        <v>7515.13</v>
      </c>
      <c r="G9289">
        <v>0</v>
      </c>
      <c r="H9289" s="7">
        <v>0</v>
      </c>
    </row>
    <row r="9290" spans="1:8">
      <c r="A9290">
        <v>7</v>
      </c>
      <c r="B9290" t="s">
        <v>43</v>
      </c>
      <c r="C9290" t="s">
        <v>35</v>
      </c>
      <c r="D9290">
        <v>1</v>
      </c>
      <c r="E9290">
        <v>1</v>
      </c>
      <c r="F9290" s="7">
        <v>262434.54</v>
      </c>
      <c r="G9290">
        <v>1</v>
      </c>
      <c r="H9290" s="7">
        <v>262434.54</v>
      </c>
    </row>
    <row r="9291" spans="1:8">
      <c r="A9291">
        <v>7</v>
      </c>
      <c r="B9291" t="s">
        <v>44</v>
      </c>
      <c r="C9291" t="s">
        <v>35</v>
      </c>
      <c r="D9291">
        <v>1</v>
      </c>
      <c r="E9291">
        <v>1</v>
      </c>
      <c r="F9291" s="7">
        <v>262434.54</v>
      </c>
      <c r="G9291">
        <v>1</v>
      </c>
      <c r="H9291" s="7">
        <v>262434.54</v>
      </c>
    </row>
    <row r="9292" spans="1:8">
      <c r="A9292">
        <v>7</v>
      </c>
      <c r="B9292" t="s">
        <v>42</v>
      </c>
      <c r="C9292" t="s">
        <v>33</v>
      </c>
      <c r="D9292">
        <v>0</v>
      </c>
      <c r="E9292">
        <v>1</v>
      </c>
      <c r="F9292" s="7">
        <v>2069.31</v>
      </c>
      <c r="G9292">
        <v>0</v>
      </c>
      <c r="H9292" s="7">
        <v>0</v>
      </c>
    </row>
    <row r="9293" spans="1:8">
      <c r="A9293">
        <v>7</v>
      </c>
      <c r="B9293" t="s">
        <v>42</v>
      </c>
      <c r="C9293" t="s">
        <v>33</v>
      </c>
      <c r="D9293">
        <v>0</v>
      </c>
      <c r="E9293">
        <v>1</v>
      </c>
      <c r="F9293" s="7">
        <v>5171.26</v>
      </c>
      <c r="G9293">
        <v>0</v>
      </c>
      <c r="H9293" s="7">
        <v>0</v>
      </c>
    </row>
    <row r="9294" spans="1:8">
      <c r="A9294">
        <v>7</v>
      </c>
      <c r="B9294" t="s">
        <v>42</v>
      </c>
      <c r="C9294" t="s">
        <v>33</v>
      </c>
      <c r="D9294">
        <v>0</v>
      </c>
      <c r="E9294">
        <v>1</v>
      </c>
      <c r="F9294" s="7">
        <v>2144.11</v>
      </c>
      <c r="G9294">
        <v>0</v>
      </c>
      <c r="H9294" s="7">
        <v>0</v>
      </c>
    </row>
    <row r="9295" spans="1:8">
      <c r="A9295">
        <v>7</v>
      </c>
      <c r="B9295" t="s">
        <v>42</v>
      </c>
      <c r="C9295" t="s">
        <v>33</v>
      </c>
      <c r="D9295">
        <v>0</v>
      </c>
      <c r="E9295">
        <v>1</v>
      </c>
      <c r="F9295" s="7">
        <v>6631.67</v>
      </c>
      <c r="G9295">
        <v>0</v>
      </c>
      <c r="H9295" s="7">
        <v>0</v>
      </c>
    </row>
    <row r="9296" spans="1:8">
      <c r="A9296">
        <v>7</v>
      </c>
      <c r="B9296" t="s">
        <v>42</v>
      </c>
      <c r="C9296" t="s">
        <v>33</v>
      </c>
      <c r="D9296">
        <v>0</v>
      </c>
      <c r="E9296">
        <v>1</v>
      </c>
      <c r="F9296" s="7">
        <v>2236.04</v>
      </c>
      <c r="G9296">
        <v>0</v>
      </c>
      <c r="H9296" s="7">
        <v>0</v>
      </c>
    </row>
    <row r="9297" spans="1:8">
      <c r="A9297">
        <v>7</v>
      </c>
      <c r="B9297" t="s">
        <v>42</v>
      </c>
      <c r="C9297" t="s">
        <v>33</v>
      </c>
      <c r="D9297">
        <v>0</v>
      </c>
      <c r="E9297">
        <v>1</v>
      </c>
      <c r="F9297" s="7">
        <v>2506.93</v>
      </c>
      <c r="G9297">
        <v>0</v>
      </c>
      <c r="H9297" s="7">
        <v>0</v>
      </c>
    </row>
    <row r="9298" spans="1:8">
      <c r="A9298">
        <v>7</v>
      </c>
      <c r="B9298" t="s">
        <v>42</v>
      </c>
      <c r="C9298" t="s">
        <v>33</v>
      </c>
      <c r="D9298">
        <v>0</v>
      </c>
      <c r="E9298">
        <v>1</v>
      </c>
      <c r="F9298" s="7">
        <v>6050.35</v>
      </c>
      <c r="G9298">
        <v>0</v>
      </c>
      <c r="H9298" s="7">
        <v>0</v>
      </c>
    </row>
    <row r="9299" spans="1:8">
      <c r="A9299">
        <v>7</v>
      </c>
      <c r="B9299" t="s">
        <v>42</v>
      </c>
      <c r="C9299" t="s">
        <v>33</v>
      </c>
      <c r="D9299">
        <v>0</v>
      </c>
      <c r="E9299">
        <v>1</v>
      </c>
      <c r="F9299" s="7">
        <v>1110.87</v>
      </c>
      <c r="G9299">
        <v>0</v>
      </c>
      <c r="H9299" s="7">
        <v>0</v>
      </c>
    </row>
    <row r="9300" spans="1:8">
      <c r="A9300">
        <v>7</v>
      </c>
      <c r="B9300" t="s">
        <v>44</v>
      </c>
      <c r="C9300" t="s">
        <v>35</v>
      </c>
      <c r="D9300">
        <v>0</v>
      </c>
      <c r="E9300">
        <v>1</v>
      </c>
      <c r="F9300" s="7">
        <v>134800.04</v>
      </c>
      <c r="G9300">
        <v>0</v>
      </c>
      <c r="H9300" s="7">
        <v>0</v>
      </c>
    </row>
    <row r="9301" spans="1:8">
      <c r="A9301">
        <v>7</v>
      </c>
      <c r="B9301" t="s">
        <v>44</v>
      </c>
      <c r="C9301" t="s">
        <v>35</v>
      </c>
      <c r="D9301">
        <v>0</v>
      </c>
      <c r="E9301">
        <v>1</v>
      </c>
      <c r="F9301" s="7">
        <v>109259.68</v>
      </c>
      <c r="G9301">
        <v>0</v>
      </c>
      <c r="H9301" s="7">
        <v>0</v>
      </c>
    </row>
    <row r="9302" spans="1:8">
      <c r="A9302">
        <v>7</v>
      </c>
      <c r="B9302" t="s">
        <v>42</v>
      </c>
      <c r="C9302" t="s">
        <v>34</v>
      </c>
      <c r="D9302">
        <v>0</v>
      </c>
      <c r="E9302">
        <v>1</v>
      </c>
      <c r="F9302" s="7">
        <v>18372.81</v>
      </c>
      <c r="G9302">
        <v>0</v>
      </c>
      <c r="H9302" s="7">
        <v>0</v>
      </c>
    </row>
    <row r="9303" spans="1:8">
      <c r="A9303">
        <v>7</v>
      </c>
      <c r="B9303" t="s">
        <v>42</v>
      </c>
      <c r="C9303" t="s">
        <v>33</v>
      </c>
      <c r="D9303">
        <v>0</v>
      </c>
      <c r="E9303">
        <v>1</v>
      </c>
      <c r="F9303" s="7">
        <v>6805.26</v>
      </c>
      <c r="G9303">
        <v>0</v>
      </c>
      <c r="H9303" s="7">
        <v>0</v>
      </c>
    </row>
    <row r="9304" spans="1:8">
      <c r="A9304">
        <v>7</v>
      </c>
      <c r="B9304" t="s">
        <v>42</v>
      </c>
      <c r="C9304" t="s">
        <v>33</v>
      </c>
      <c r="D9304">
        <v>0</v>
      </c>
      <c r="E9304">
        <v>1</v>
      </c>
      <c r="F9304" s="7">
        <v>7261.64</v>
      </c>
      <c r="G9304">
        <v>0</v>
      </c>
      <c r="H9304" s="7">
        <v>0</v>
      </c>
    </row>
    <row r="9305" spans="1:8">
      <c r="A9305">
        <v>7</v>
      </c>
      <c r="B9305" t="s">
        <v>42</v>
      </c>
      <c r="C9305" t="s">
        <v>33</v>
      </c>
      <c r="D9305">
        <v>0</v>
      </c>
      <c r="E9305">
        <v>1</v>
      </c>
      <c r="F9305" s="7">
        <v>7614.89</v>
      </c>
      <c r="G9305">
        <v>0</v>
      </c>
      <c r="H9305" s="7">
        <v>0</v>
      </c>
    </row>
    <row r="9306" spans="1:8">
      <c r="A9306">
        <v>7</v>
      </c>
      <c r="B9306" t="s">
        <v>44</v>
      </c>
      <c r="C9306" t="s">
        <v>35</v>
      </c>
      <c r="D9306">
        <v>0</v>
      </c>
      <c r="E9306">
        <v>1</v>
      </c>
      <c r="F9306" s="7">
        <v>112683.32</v>
      </c>
      <c r="G9306">
        <v>0</v>
      </c>
      <c r="H9306" s="7">
        <v>0</v>
      </c>
    </row>
    <row r="9307" spans="1:8">
      <c r="A9307">
        <v>7</v>
      </c>
      <c r="B9307" t="s">
        <v>44</v>
      </c>
      <c r="C9307" t="s">
        <v>34</v>
      </c>
      <c r="D9307">
        <v>0</v>
      </c>
      <c r="E9307">
        <v>1</v>
      </c>
      <c r="F9307" s="7">
        <v>11830.05</v>
      </c>
      <c r="G9307">
        <v>0</v>
      </c>
      <c r="H9307" s="7">
        <v>0</v>
      </c>
    </row>
    <row r="9308" spans="1:8">
      <c r="A9308">
        <v>7</v>
      </c>
      <c r="B9308" t="s">
        <v>44</v>
      </c>
      <c r="C9308" t="s">
        <v>35</v>
      </c>
      <c r="D9308">
        <v>0</v>
      </c>
      <c r="E9308">
        <v>1</v>
      </c>
      <c r="F9308" s="7">
        <v>435704.21</v>
      </c>
      <c r="G9308">
        <v>0</v>
      </c>
      <c r="H9308" s="7">
        <v>0</v>
      </c>
    </row>
    <row r="9309" spans="1:8">
      <c r="A9309">
        <v>7</v>
      </c>
      <c r="B9309" t="s">
        <v>44</v>
      </c>
      <c r="C9309" t="s">
        <v>34</v>
      </c>
      <c r="D9309">
        <v>0</v>
      </c>
      <c r="E9309">
        <v>1</v>
      </c>
      <c r="F9309" s="7">
        <v>12346.69</v>
      </c>
      <c r="G9309">
        <v>0</v>
      </c>
      <c r="H9309" s="7">
        <v>0</v>
      </c>
    </row>
    <row r="9310" spans="1:8">
      <c r="A9310">
        <v>7</v>
      </c>
      <c r="B9310" t="s">
        <v>44</v>
      </c>
      <c r="C9310" t="s">
        <v>35</v>
      </c>
      <c r="D9310">
        <v>0</v>
      </c>
      <c r="E9310">
        <v>1</v>
      </c>
      <c r="F9310" s="7">
        <v>595879.01</v>
      </c>
      <c r="G9310">
        <v>0</v>
      </c>
      <c r="H9310" s="7">
        <v>0</v>
      </c>
    </row>
    <row r="9311" spans="1:8">
      <c r="A9311">
        <v>7</v>
      </c>
      <c r="B9311" t="s">
        <v>44</v>
      </c>
      <c r="C9311" t="s">
        <v>35</v>
      </c>
      <c r="D9311">
        <v>0</v>
      </c>
      <c r="E9311">
        <v>1</v>
      </c>
      <c r="F9311" s="7">
        <v>170745.6</v>
      </c>
      <c r="G9311">
        <v>0</v>
      </c>
      <c r="H9311" s="7">
        <v>0</v>
      </c>
    </row>
    <row r="9312" spans="1:8">
      <c r="A9312">
        <v>7</v>
      </c>
      <c r="B9312" t="s">
        <v>44</v>
      </c>
      <c r="C9312" t="s">
        <v>35</v>
      </c>
      <c r="D9312">
        <v>0</v>
      </c>
      <c r="E9312">
        <v>1</v>
      </c>
      <c r="F9312" s="7">
        <v>172180.99</v>
      </c>
      <c r="G9312">
        <v>0</v>
      </c>
      <c r="H9312" s="7">
        <v>0</v>
      </c>
    </row>
    <row r="9313" spans="1:8">
      <c r="A9313">
        <v>7</v>
      </c>
      <c r="B9313" t="s">
        <v>44</v>
      </c>
      <c r="C9313" t="s">
        <v>35</v>
      </c>
      <c r="D9313">
        <v>0</v>
      </c>
      <c r="E9313">
        <v>1</v>
      </c>
      <c r="F9313" s="7">
        <v>109673.97</v>
      </c>
      <c r="G9313">
        <v>0</v>
      </c>
      <c r="H9313" s="7">
        <v>0</v>
      </c>
    </row>
    <row r="9314" spans="1:8">
      <c r="A9314">
        <v>7</v>
      </c>
      <c r="B9314" t="s">
        <v>44</v>
      </c>
      <c r="C9314" t="s">
        <v>35</v>
      </c>
      <c r="D9314">
        <v>0</v>
      </c>
      <c r="E9314">
        <v>1</v>
      </c>
      <c r="F9314" s="7">
        <v>266192.8</v>
      </c>
      <c r="G9314">
        <v>0</v>
      </c>
      <c r="H9314" s="7">
        <v>0</v>
      </c>
    </row>
    <row r="9315" spans="1:8">
      <c r="A9315">
        <v>7</v>
      </c>
      <c r="B9315" t="s">
        <v>42</v>
      </c>
      <c r="C9315" t="s">
        <v>34</v>
      </c>
      <c r="D9315">
        <v>0</v>
      </c>
      <c r="E9315">
        <v>1</v>
      </c>
      <c r="F9315" s="7">
        <v>11248.16</v>
      </c>
      <c r="G9315">
        <v>0</v>
      </c>
      <c r="H9315" s="7">
        <v>0</v>
      </c>
    </row>
    <row r="9316" spans="1:8">
      <c r="A9316">
        <v>7</v>
      </c>
      <c r="B9316" t="s">
        <v>43</v>
      </c>
      <c r="C9316" t="s">
        <v>35</v>
      </c>
      <c r="D9316">
        <v>0</v>
      </c>
      <c r="E9316">
        <v>1</v>
      </c>
      <c r="F9316" s="7">
        <v>655143.29</v>
      </c>
      <c r="G9316">
        <v>0</v>
      </c>
      <c r="H9316" s="7">
        <v>0</v>
      </c>
    </row>
    <row r="9317" spans="1:8">
      <c r="A9317">
        <v>7</v>
      </c>
      <c r="B9317" t="s">
        <v>42</v>
      </c>
      <c r="C9317" t="s">
        <v>34</v>
      </c>
      <c r="D9317">
        <v>0</v>
      </c>
      <c r="E9317">
        <v>1</v>
      </c>
      <c r="F9317" s="7">
        <v>17283.98</v>
      </c>
      <c r="G9317">
        <v>0</v>
      </c>
      <c r="H9317" s="7">
        <v>0</v>
      </c>
    </row>
    <row r="9318" spans="1:8">
      <c r="A9318">
        <v>7</v>
      </c>
      <c r="B9318" t="s">
        <v>42</v>
      </c>
      <c r="C9318" t="s">
        <v>33</v>
      </c>
      <c r="D9318">
        <v>0</v>
      </c>
      <c r="E9318">
        <v>1</v>
      </c>
      <c r="F9318" s="7">
        <v>7285.08</v>
      </c>
      <c r="G9318">
        <v>0</v>
      </c>
      <c r="H9318" s="7">
        <v>0</v>
      </c>
    </row>
    <row r="9319" spans="1:8">
      <c r="A9319">
        <v>7</v>
      </c>
      <c r="B9319" t="s">
        <v>42</v>
      </c>
      <c r="C9319" t="s">
        <v>33</v>
      </c>
      <c r="D9319">
        <v>0</v>
      </c>
      <c r="E9319">
        <v>1</v>
      </c>
      <c r="F9319" s="7">
        <v>2423.63</v>
      </c>
      <c r="G9319">
        <v>0</v>
      </c>
      <c r="H9319" s="7">
        <v>0</v>
      </c>
    </row>
    <row r="9320" spans="1:8">
      <c r="A9320">
        <v>7</v>
      </c>
      <c r="B9320" t="s">
        <v>42</v>
      </c>
      <c r="C9320" t="s">
        <v>34</v>
      </c>
      <c r="D9320">
        <v>0</v>
      </c>
      <c r="E9320">
        <v>1</v>
      </c>
      <c r="F9320" s="7">
        <v>12344.75</v>
      </c>
      <c r="G9320">
        <v>0</v>
      </c>
      <c r="H9320" s="7">
        <v>0</v>
      </c>
    </row>
    <row r="9321" spans="1:8">
      <c r="A9321">
        <v>7</v>
      </c>
      <c r="B9321" t="s">
        <v>42</v>
      </c>
      <c r="C9321" t="s">
        <v>33</v>
      </c>
      <c r="D9321">
        <v>0</v>
      </c>
      <c r="E9321">
        <v>1</v>
      </c>
      <c r="F9321" s="7">
        <v>1500.48</v>
      </c>
      <c r="G9321">
        <v>0</v>
      </c>
      <c r="H9321" s="7">
        <v>0</v>
      </c>
    </row>
    <row r="9322" spans="1:8">
      <c r="A9322">
        <v>7</v>
      </c>
      <c r="B9322" t="s">
        <v>42</v>
      </c>
      <c r="C9322" t="s">
        <v>33</v>
      </c>
      <c r="D9322">
        <v>0</v>
      </c>
      <c r="E9322">
        <v>1</v>
      </c>
      <c r="F9322" s="7">
        <v>3780.47</v>
      </c>
      <c r="G9322">
        <v>0</v>
      </c>
      <c r="H9322" s="7">
        <v>0</v>
      </c>
    </row>
    <row r="9323" spans="1:8">
      <c r="A9323">
        <v>7</v>
      </c>
      <c r="B9323" t="s">
        <v>42</v>
      </c>
      <c r="C9323" t="s">
        <v>33</v>
      </c>
      <c r="D9323">
        <v>0</v>
      </c>
      <c r="E9323">
        <v>1</v>
      </c>
      <c r="F9323" s="7">
        <v>8154.19</v>
      </c>
      <c r="G9323">
        <v>0</v>
      </c>
      <c r="H9323" s="7">
        <v>0</v>
      </c>
    </row>
    <row r="9324" spans="1:8">
      <c r="A9324">
        <v>7</v>
      </c>
      <c r="B9324" t="s">
        <v>43</v>
      </c>
      <c r="C9324" t="s">
        <v>35</v>
      </c>
      <c r="D9324">
        <v>0</v>
      </c>
      <c r="E9324">
        <v>1</v>
      </c>
      <c r="F9324" s="7">
        <v>423000.44</v>
      </c>
      <c r="G9324">
        <v>0</v>
      </c>
      <c r="H9324" s="7">
        <v>0</v>
      </c>
    </row>
    <row r="9325" spans="1:8">
      <c r="A9325">
        <v>7</v>
      </c>
      <c r="B9325" t="s">
        <v>42</v>
      </c>
      <c r="C9325" t="s">
        <v>34</v>
      </c>
      <c r="D9325">
        <v>0</v>
      </c>
      <c r="E9325">
        <v>1</v>
      </c>
      <c r="F9325" s="7">
        <v>13746.26</v>
      </c>
      <c r="G9325">
        <v>0</v>
      </c>
      <c r="H9325" s="7">
        <v>0</v>
      </c>
    </row>
    <row r="9326" spans="1:8">
      <c r="A9326">
        <v>7</v>
      </c>
      <c r="B9326" t="s">
        <v>42</v>
      </c>
      <c r="C9326" t="s">
        <v>33</v>
      </c>
      <c r="D9326">
        <v>0</v>
      </c>
      <c r="E9326">
        <v>1</v>
      </c>
      <c r="F9326" s="7">
        <v>2527.21</v>
      </c>
      <c r="G9326">
        <v>0</v>
      </c>
      <c r="H9326" s="7">
        <v>0</v>
      </c>
    </row>
    <row r="9327" spans="1:8">
      <c r="A9327">
        <v>7</v>
      </c>
      <c r="B9327" t="s">
        <v>46</v>
      </c>
      <c r="C9327" t="s">
        <v>35</v>
      </c>
      <c r="D9327">
        <v>0</v>
      </c>
      <c r="E9327">
        <v>1</v>
      </c>
      <c r="F9327" s="7">
        <v>302756.57</v>
      </c>
      <c r="G9327">
        <v>0</v>
      </c>
      <c r="H9327" s="7">
        <v>0</v>
      </c>
    </row>
    <row r="9328" spans="1:8">
      <c r="A9328">
        <v>7</v>
      </c>
      <c r="B9328" t="s">
        <v>46</v>
      </c>
      <c r="C9328" t="s">
        <v>35</v>
      </c>
      <c r="D9328">
        <v>0</v>
      </c>
      <c r="E9328">
        <v>1</v>
      </c>
      <c r="F9328" s="7">
        <v>174253.85</v>
      </c>
      <c r="G9328">
        <v>0</v>
      </c>
      <c r="H9328" s="7">
        <v>0</v>
      </c>
    </row>
    <row r="9329" spans="1:8">
      <c r="A9329">
        <v>7</v>
      </c>
      <c r="B9329" t="s">
        <v>46</v>
      </c>
      <c r="C9329" t="s">
        <v>35</v>
      </c>
      <c r="D9329">
        <v>0</v>
      </c>
      <c r="E9329">
        <v>1</v>
      </c>
      <c r="F9329" s="7">
        <v>148407.53</v>
      </c>
      <c r="G9329">
        <v>0</v>
      </c>
      <c r="H9329" s="7">
        <v>0</v>
      </c>
    </row>
    <row r="9330" spans="1:8">
      <c r="A9330">
        <v>7</v>
      </c>
      <c r="B9330" t="s">
        <v>46</v>
      </c>
      <c r="C9330" t="s">
        <v>35</v>
      </c>
      <c r="D9330">
        <v>0</v>
      </c>
      <c r="E9330">
        <v>1</v>
      </c>
      <c r="F9330" s="7">
        <v>315626.22</v>
      </c>
      <c r="G9330">
        <v>0</v>
      </c>
      <c r="H9330" s="7">
        <v>0</v>
      </c>
    </row>
    <row r="9331" spans="1:8">
      <c r="A9331">
        <v>7</v>
      </c>
      <c r="B9331" t="s">
        <v>46</v>
      </c>
      <c r="C9331" t="s">
        <v>35</v>
      </c>
      <c r="D9331">
        <v>0</v>
      </c>
      <c r="E9331">
        <v>1</v>
      </c>
      <c r="F9331" s="7">
        <v>410211.27</v>
      </c>
      <c r="G9331">
        <v>0</v>
      </c>
      <c r="H9331" s="7">
        <v>0</v>
      </c>
    </row>
    <row r="9332" spans="1:8">
      <c r="A9332">
        <v>7</v>
      </c>
      <c r="B9332" t="s">
        <v>46</v>
      </c>
      <c r="C9332" t="s">
        <v>35</v>
      </c>
      <c r="D9332">
        <v>0</v>
      </c>
      <c r="E9332">
        <v>1</v>
      </c>
      <c r="F9332" s="7">
        <v>343680.72</v>
      </c>
      <c r="G9332">
        <v>0</v>
      </c>
      <c r="H9332" s="7">
        <v>0</v>
      </c>
    </row>
    <row r="9333" spans="1:8">
      <c r="A9333">
        <v>7</v>
      </c>
      <c r="B9333" t="s">
        <v>46</v>
      </c>
      <c r="C9333" t="s">
        <v>34</v>
      </c>
      <c r="D9333">
        <v>0</v>
      </c>
      <c r="E9333">
        <v>1</v>
      </c>
      <c r="F9333" s="7">
        <v>69915.54</v>
      </c>
      <c r="G9333">
        <v>0</v>
      </c>
      <c r="H9333" s="7">
        <v>0</v>
      </c>
    </row>
    <row r="9334" spans="1:8">
      <c r="A9334">
        <v>7</v>
      </c>
      <c r="B9334" t="s">
        <v>46</v>
      </c>
      <c r="C9334" t="s">
        <v>35</v>
      </c>
      <c r="D9334">
        <v>0</v>
      </c>
      <c r="E9334">
        <v>1</v>
      </c>
      <c r="F9334" s="7">
        <v>271415.06</v>
      </c>
      <c r="G9334">
        <v>0</v>
      </c>
      <c r="H9334" s="7">
        <v>0</v>
      </c>
    </row>
    <row r="9335" spans="1:8">
      <c r="A9335">
        <v>7</v>
      </c>
      <c r="B9335" t="s">
        <v>46</v>
      </c>
      <c r="C9335" t="s">
        <v>34</v>
      </c>
      <c r="D9335">
        <v>0</v>
      </c>
      <c r="E9335">
        <v>1</v>
      </c>
      <c r="F9335" s="7">
        <v>39683.51</v>
      </c>
      <c r="G9335">
        <v>0</v>
      </c>
      <c r="H9335" s="7">
        <v>0</v>
      </c>
    </row>
    <row r="9336" spans="1:8">
      <c r="A9336">
        <v>7</v>
      </c>
      <c r="B9336" t="s">
        <v>46</v>
      </c>
      <c r="C9336" t="s">
        <v>34</v>
      </c>
      <c r="D9336">
        <v>0</v>
      </c>
      <c r="E9336">
        <v>1</v>
      </c>
      <c r="F9336" s="7">
        <v>54291.7</v>
      </c>
      <c r="G9336">
        <v>0</v>
      </c>
      <c r="H9336" s="7">
        <v>0</v>
      </c>
    </row>
    <row r="9337" spans="1:8">
      <c r="A9337">
        <v>7</v>
      </c>
      <c r="B9337" t="s">
        <v>46</v>
      </c>
      <c r="C9337" t="s">
        <v>35</v>
      </c>
      <c r="D9337">
        <v>0</v>
      </c>
      <c r="E9337">
        <v>1</v>
      </c>
      <c r="F9337" s="7">
        <v>132351.05</v>
      </c>
      <c r="G9337">
        <v>0</v>
      </c>
      <c r="H9337" s="7">
        <v>0</v>
      </c>
    </row>
    <row r="9338" spans="1:8">
      <c r="A9338">
        <v>7</v>
      </c>
      <c r="B9338" t="s">
        <v>46</v>
      </c>
      <c r="C9338" t="s">
        <v>33</v>
      </c>
      <c r="D9338">
        <v>0</v>
      </c>
      <c r="E9338">
        <v>1</v>
      </c>
      <c r="F9338" s="7">
        <v>9990.6</v>
      </c>
      <c r="G9338">
        <v>0</v>
      </c>
      <c r="H9338" s="7">
        <v>0</v>
      </c>
    </row>
    <row r="9339" spans="1:8">
      <c r="A9339">
        <v>7</v>
      </c>
      <c r="B9339" t="s">
        <v>46</v>
      </c>
      <c r="C9339" t="s">
        <v>34</v>
      </c>
      <c r="D9339">
        <v>0</v>
      </c>
      <c r="E9339">
        <v>1</v>
      </c>
      <c r="F9339" s="7">
        <v>33855.24</v>
      </c>
      <c r="G9339">
        <v>0</v>
      </c>
      <c r="H9339" s="7">
        <v>0</v>
      </c>
    </row>
    <row r="9340" spans="1:8">
      <c r="A9340">
        <v>7</v>
      </c>
      <c r="B9340" t="s">
        <v>46</v>
      </c>
      <c r="C9340" t="s">
        <v>35</v>
      </c>
      <c r="D9340">
        <v>0</v>
      </c>
      <c r="E9340">
        <v>1</v>
      </c>
      <c r="F9340" s="7">
        <v>106286.15</v>
      </c>
      <c r="G9340">
        <v>0</v>
      </c>
      <c r="H9340" s="7">
        <v>0</v>
      </c>
    </row>
    <row r="9341" spans="1:8">
      <c r="A9341">
        <v>7</v>
      </c>
      <c r="B9341" t="s">
        <v>46</v>
      </c>
      <c r="C9341" t="s">
        <v>34</v>
      </c>
      <c r="D9341">
        <v>0</v>
      </c>
      <c r="E9341">
        <v>1</v>
      </c>
      <c r="F9341" s="7">
        <v>89385.18</v>
      </c>
      <c r="G9341">
        <v>0</v>
      </c>
      <c r="H9341" s="7">
        <v>0</v>
      </c>
    </row>
    <row r="9342" spans="1:8">
      <c r="A9342">
        <v>7</v>
      </c>
      <c r="B9342" t="s">
        <v>46</v>
      </c>
      <c r="C9342" t="s">
        <v>35</v>
      </c>
      <c r="D9342">
        <v>0</v>
      </c>
      <c r="E9342">
        <v>1</v>
      </c>
      <c r="F9342" s="7">
        <v>223760.9</v>
      </c>
      <c r="G9342">
        <v>0</v>
      </c>
      <c r="H9342" s="7">
        <v>0</v>
      </c>
    </row>
    <row r="9343" spans="1:8">
      <c r="A9343">
        <v>7</v>
      </c>
      <c r="B9343" t="s">
        <v>46</v>
      </c>
      <c r="C9343" t="s">
        <v>35</v>
      </c>
      <c r="D9343">
        <v>0</v>
      </c>
      <c r="E9343">
        <v>1</v>
      </c>
      <c r="F9343" s="7">
        <v>506375.58</v>
      </c>
      <c r="G9343">
        <v>0</v>
      </c>
      <c r="H9343" s="7">
        <v>0</v>
      </c>
    </row>
    <row r="9344" spans="1:8">
      <c r="A9344">
        <v>7</v>
      </c>
      <c r="B9344" t="s">
        <v>46</v>
      </c>
      <c r="C9344" t="s">
        <v>35</v>
      </c>
      <c r="D9344">
        <v>0</v>
      </c>
      <c r="E9344">
        <v>1</v>
      </c>
      <c r="F9344" s="7">
        <v>243541.7</v>
      </c>
      <c r="G9344">
        <v>0</v>
      </c>
      <c r="H9344" s="7">
        <v>0</v>
      </c>
    </row>
    <row r="9345" spans="1:8">
      <c r="A9345">
        <v>7</v>
      </c>
      <c r="B9345" t="s">
        <v>46</v>
      </c>
      <c r="C9345" t="s">
        <v>34</v>
      </c>
      <c r="D9345">
        <v>0</v>
      </c>
      <c r="E9345">
        <v>1</v>
      </c>
      <c r="F9345" s="7">
        <v>62485.46</v>
      </c>
      <c r="G9345">
        <v>0</v>
      </c>
      <c r="H9345" s="7">
        <v>0</v>
      </c>
    </row>
    <row r="9346" spans="1:8">
      <c r="A9346">
        <v>7</v>
      </c>
      <c r="B9346" t="s">
        <v>45</v>
      </c>
      <c r="C9346" t="s">
        <v>33</v>
      </c>
      <c r="D9346">
        <v>0</v>
      </c>
      <c r="E9346">
        <v>1</v>
      </c>
      <c r="F9346" s="7">
        <v>2910.94</v>
      </c>
      <c r="G9346">
        <v>0</v>
      </c>
      <c r="H9346" s="7">
        <v>0</v>
      </c>
    </row>
    <row r="9347" spans="1:8">
      <c r="A9347">
        <v>7</v>
      </c>
      <c r="B9347" t="s">
        <v>44</v>
      </c>
      <c r="C9347" t="s">
        <v>34</v>
      </c>
      <c r="D9347">
        <v>0</v>
      </c>
      <c r="E9347">
        <v>1</v>
      </c>
      <c r="F9347" s="7">
        <v>51861.21</v>
      </c>
      <c r="G9347">
        <v>0</v>
      </c>
      <c r="H9347" s="7">
        <v>0</v>
      </c>
    </row>
    <row r="9348" spans="1:8">
      <c r="A9348">
        <v>7</v>
      </c>
      <c r="B9348" t="s">
        <v>42</v>
      </c>
      <c r="C9348" t="s">
        <v>33</v>
      </c>
      <c r="D9348">
        <v>0</v>
      </c>
      <c r="E9348">
        <v>1</v>
      </c>
      <c r="F9348" s="7">
        <v>9098.14</v>
      </c>
      <c r="G9348">
        <v>0</v>
      </c>
      <c r="H9348" s="7">
        <v>0</v>
      </c>
    </row>
    <row r="9349" spans="1:8">
      <c r="A9349">
        <v>7</v>
      </c>
      <c r="B9349" t="s">
        <v>44</v>
      </c>
      <c r="C9349" t="s">
        <v>35</v>
      </c>
      <c r="D9349">
        <v>0</v>
      </c>
      <c r="E9349">
        <v>1</v>
      </c>
      <c r="F9349" s="7">
        <v>126331.28</v>
      </c>
      <c r="G9349">
        <v>0</v>
      </c>
      <c r="H9349" s="7">
        <v>0</v>
      </c>
    </row>
    <row r="9350" spans="1:8">
      <c r="A9350">
        <v>7</v>
      </c>
      <c r="B9350" t="s">
        <v>42</v>
      </c>
      <c r="C9350" t="s">
        <v>34</v>
      </c>
      <c r="D9350">
        <v>0</v>
      </c>
      <c r="E9350">
        <v>1</v>
      </c>
      <c r="F9350" s="7">
        <v>14825.9</v>
      </c>
      <c r="G9350">
        <v>0</v>
      </c>
      <c r="H9350" s="7">
        <v>0</v>
      </c>
    </row>
    <row r="9351" spans="1:8">
      <c r="A9351">
        <v>7</v>
      </c>
      <c r="B9351" t="s">
        <v>42</v>
      </c>
      <c r="C9351" t="s">
        <v>33</v>
      </c>
      <c r="D9351">
        <v>0</v>
      </c>
      <c r="E9351">
        <v>1</v>
      </c>
      <c r="F9351" s="7">
        <v>8340.39</v>
      </c>
      <c r="G9351">
        <v>0</v>
      </c>
      <c r="H9351" s="7">
        <v>0</v>
      </c>
    </row>
    <row r="9352" spans="1:8">
      <c r="A9352">
        <v>7</v>
      </c>
      <c r="B9352" t="s">
        <v>42</v>
      </c>
      <c r="C9352" t="s">
        <v>34</v>
      </c>
      <c r="D9352">
        <v>0</v>
      </c>
      <c r="E9352">
        <v>1</v>
      </c>
      <c r="F9352" s="7">
        <v>12532.47</v>
      </c>
      <c r="G9352">
        <v>0</v>
      </c>
      <c r="H9352" s="7">
        <v>0</v>
      </c>
    </row>
    <row r="9353" spans="1:8">
      <c r="A9353">
        <v>7</v>
      </c>
      <c r="B9353" t="s">
        <v>42</v>
      </c>
      <c r="C9353" t="s">
        <v>32</v>
      </c>
      <c r="D9353">
        <v>0</v>
      </c>
      <c r="E9353">
        <v>1</v>
      </c>
      <c r="F9353" s="7">
        <v>427</v>
      </c>
      <c r="G9353">
        <v>0</v>
      </c>
      <c r="H9353" s="7">
        <v>0</v>
      </c>
    </row>
    <row r="9354" spans="1:8">
      <c r="A9354">
        <v>7</v>
      </c>
      <c r="B9354" t="s">
        <v>42</v>
      </c>
      <c r="C9354" t="s">
        <v>33</v>
      </c>
      <c r="D9354">
        <v>0</v>
      </c>
      <c r="E9354">
        <v>1</v>
      </c>
      <c r="F9354" s="7">
        <v>1140.43</v>
      </c>
      <c r="G9354">
        <v>0</v>
      </c>
      <c r="H9354" s="7">
        <v>0</v>
      </c>
    </row>
    <row r="9355" spans="1:8">
      <c r="A9355">
        <v>7</v>
      </c>
      <c r="B9355" t="s">
        <v>42</v>
      </c>
      <c r="C9355" t="s">
        <v>32</v>
      </c>
      <c r="D9355">
        <v>0</v>
      </c>
      <c r="E9355">
        <v>1</v>
      </c>
      <c r="F9355" s="7">
        <v>427.62</v>
      </c>
      <c r="G9355">
        <v>0</v>
      </c>
      <c r="H9355" s="7">
        <v>0</v>
      </c>
    </row>
    <row r="9356" spans="1:8">
      <c r="A9356">
        <v>7</v>
      </c>
      <c r="B9356" t="s">
        <v>42</v>
      </c>
      <c r="C9356" t="s">
        <v>34</v>
      </c>
      <c r="D9356">
        <v>0</v>
      </c>
      <c r="E9356">
        <v>1</v>
      </c>
      <c r="F9356" s="7">
        <v>15109.46</v>
      </c>
      <c r="G9356">
        <v>0</v>
      </c>
      <c r="H9356" s="7">
        <v>0</v>
      </c>
    </row>
    <row r="9357" spans="1:8">
      <c r="A9357">
        <v>7</v>
      </c>
      <c r="B9357" t="s">
        <v>42</v>
      </c>
      <c r="C9357" t="s">
        <v>34</v>
      </c>
      <c r="D9357">
        <v>0</v>
      </c>
      <c r="E9357">
        <v>1</v>
      </c>
      <c r="F9357" s="7">
        <v>16050.88</v>
      </c>
      <c r="G9357">
        <v>0</v>
      </c>
      <c r="H9357" s="7">
        <v>0</v>
      </c>
    </row>
    <row r="9358" spans="1:8">
      <c r="A9358">
        <v>7</v>
      </c>
      <c r="B9358" t="s">
        <v>44</v>
      </c>
      <c r="C9358" t="s">
        <v>35</v>
      </c>
      <c r="D9358">
        <v>0</v>
      </c>
      <c r="E9358">
        <v>1</v>
      </c>
      <c r="F9358" s="7">
        <v>153179.07</v>
      </c>
      <c r="G9358">
        <v>0</v>
      </c>
      <c r="H9358" s="7">
        <v>0</v>
      </c>
    </row>
    <row r="9359" spans="1:8">
      <c r="A9359">
        <v>7</v>
      </c>
      <c r="B9359" t="s">
        <v>42</v>
      </c>
      <c r="C9359" t="s">
        <v>33</v>
      </c>
      <c r="D9359">
        <v>0</v>
      </c>
      <c r="E9359">
        <v>1</v>
      </c>
      <c r="F9359" s="7">
        <v>2635.27</v>
      </c>
      <c r="G9359">
        <v>0</v>
      </c>
      <c r="H9359" s="7">
        <v>0</v>
      </c>
    </row>
    <row r="9360" spans="1:8">
      <c r="A9360">
        <v>7</v>
      </c>
      <c r="B9360" t="s">
        <v>42</v>
      </c>
      <c r="C9360" t="s">
        <v>33</v>
      </c>
      <c r="D9360">
        <v>0</v>
      </c>
      <c r="E9360">
        <v>1</v>
      </c>
      <c r="F9360" s="7">
        <v>1519.53</v>
      </c>
      <c r="G9360">
        <v>0</v>
      </c>
      <c r="H9360" s="7">
        <v>0</v>
      </c>
    </row>
    <row r="9361" spans="1:8">
      <c r="A9361">
        <v>7</v>
      </c>
      <c r="B9361" t="s">
        <v>42</v>
      </c>
      <c r="C9361" t="s">
        <v>33</v>
      </c>
      <c r="D9361">
        <v>0</v>
      </c>
      <c r="E9361">
        <v>1</v>
      </c>
      <c r="F9361" s="7">
        <v>9074.62</v>
      </c>
      <c r="G9361">
        <v>0</v>
      </c>
      <c r="H9361" s="7">
        <v>0</v>
      </c>
    </row>
    <row r="9362" spans="1:8">
      <c r="A9362">
        <v>7</v>
      </c>
      <c r="B9362" t="s">
        <v>42</v>
      </c>
      <c r="C9362" t="s">
        <v>33</v>
      </c>
      <c r="D9362">
        <v>0</v>
      </c>
      <c r="E9362">
        <v>1</v>
      </c>
      <c r="F9362" s="7">
        <v>5744.4</v>
      </c>
      <c r="G9362">
        <v>0</v>
      </c>
      <c r="H9362" s="7">
        <v>0</v>
      </c>
    </row>
    <row r="9363" spans="1:8">
      <c r="A9363">
        <v>7</v>
      </c>
      <c r="B9363" t="s">
        <v>42</v>
      </c>
      <c r="C9363" t="s">
        <v>34</v>
      </c>
      <c r="D9363">
        <v>0</v>
      </c>
      <c r="E9363">
        <v>1</v>
      </c>
      <c r="F9363" s="7">
        <v>11608.19</v>
      </c>
      <c r="G9363">
        <v>0</v>
      </c>
      <c r="H9363" s="7">
        <v>0</v>
      </c>
    </row>
    <row r="9364" spans="1:8">
      <c r="A9364">
        <v>7</v>
      </c>
      <c r="B9364" t="s">
        <v>42</v>
      </c>
      <c r="C9364" t="s">
        <v>34</v>
      </c>
      <c r="D9364">
        <v>0</v>
      </c>
      <c r="E9364">
        <v>1</v>
      </c>
      <c r="F9364" s="7">
        <v>12327.45</v>
      </c>
      <c r="G9364">
        <v>0</v>
      </c>
      <c r="H9364" s="7">
        <v>0</v>
      </c>
    </row>
    <row r="9365" spans="1:8">
      <c r="A9365">
        <v>7</v>
      </c>
      <c r="B9365" t="s">
        <v>46</v>
      </c>
      <c r="C9365" t="s">
        <v>34</v>
      </c>
      <c r="D9365">
        <v>0</v>
      </c>
      <c r="E9365">
        <v>1</v>
      </c>
      <c r="F9365" s="7">
        <v>36753.81</v>
      </c>
      <c r="G9365">
        <v>0</v>
      </c>
      <c r="H9365" s="7">
        <v>0</v>
      </c>
    </row>
    <row r="9366" spans="1:8">
      <c r="A9366">
        <v>7</v>
      </c>
      <c r="B9366" t="s">
        <v>46</v>
      </c>
      <c r="C9366" t="s">
        <v>34</v>
      </c>
      <c r="D9366">
        <v>0</v>
      </c>
      <c r="E9366">
        <v>1</v>
      </c>
      <c r="F9366" s="7">
        <v>84265.18</v>
      </c>
      <c r="G9366">
        <v>0</v>
      </c>
      <c r="H9366" s="7">
        <v>0</v>
      </c>
    </row>
    <row r="9367" spans="1:8">
      <c r="A9367">
        <v>7</v>
      </c>
      <c r="B9367" t="s">
        <v>46</v>
      </c>
      <c r="C9367" t="s">
        <v>34</v>
      </c>
      <c r="D9367">
        <v>0</v>
      </c>
      <c r="E9367">
        <v>1</v>
      </c>
      <c r="F9367" s="7">
        <v>12089.51</v>
      </c>
      <c r="G9367">
        <v>0</v>
      </c>
      <c r="H9367" s="7">
        <v>0</v>
      </c>
    </row>
    <row r="9368" spans="1:8">
      <c r="A9368">
        <v>7</v>
      </c>
      <c r="B9368" t="s">
        <v>46</v>
      </c>
      <c r="C9368" t="s">
        <v>35</v>
      </c>
      <c r="D9368">
        <v>0</v>
      </c>
      <c r="E9368">
        <v>1</v>
      </c>
      <c r="F9368" s="7">
        <v>254934.1</v>
      </c>
      <c r="G9368">
        <v>0</v>
      </c>
      <c r="H9368" s="7">
        <v>0</v>
      </c>
    </row>
    <row r="9369" spans="1:8">
      <c r="A9369">
        <v>7</v>
      </c>
      <c r="B9369" t="s">
        <v>46</v>
      </c>
      <c r="C9369" t="s">
        <v>35</v>
      </c>
      <c r="D9369">
        <v>0</v>
      </c>
      <c r="E9369">
        <v>1</v>
      </c>
      <c r="F9369" s="7">
        <v>170600.43</v>
      </c>
      <c r="G9369">
        <v>0</v>
      </c>
      <c r="H9369" s="7">
        <v>0</v>
      </c>
    </row>
    <row r="9370" spans="1:8">
      <c r="A9370">
        <v>7</v>
      </c>
      <c r="B9370" t="s">
        <v>46</v>
      </c>
      <c r="C9370" t="s">
        <v>34</v>
      </c>
      <c r="D9370">
        <v>0</v>
      </c>
      <c r="E9370">
        <v>1</v>
      </c>
      <c r="F9370" s="7">
        <v>31159.89</v>
      </c>
      <c r="G9370">
        <v>0</v>
      </c>
      <c r="H9370" s="7">
        <v>0</v>
      </c>
    </row>
    <row r="9371" spans="1:8">
      <c r="A9371">
        <v>7</v>
      </c>
      <c r="B9371" t="s">
        <v>46</v>
      </c>
      <c r="C9371" t="s">
        <v>35</v>
      </c>
      <c r="D9371">
        <v>0</v>
      </c>
      <c r="E9371">
        <v>1</v>
      </c>
      <c r="F9371" s="7">
        <v>271304.21</v>
      </c>
      <c r="G9371">
        <v>0</v>
      </c>
      <c r="H9371" s="7">
        <v>0</v>
      </c>
    </row>
    <row r="9372" spans="1:8">
      <c r="A9372">
        <v>7</v>
      </c>
      <c r="B9372" t="s">
        <v>46</v>
      </c>
      <c r="C9372" t="s">
        <v>34</v>
      </c>
      <c r="D9372">
        <v>0</v>
      </c>
      <c r="E9372">
        <v>1</v>
      </c>
      <c r="F9372" s="7">
        <v>96244.27</v>
      </c>
      <c r="G9372">
        <v>0</v>
      </c>
      <c r="H9372" s="7">
        <v>0</v>
      </c>
    </row>
    <row r="9373" spans="1:8">
      <c r="A9373">
        <v>7</v>
      </c>
      <c r="B9373" t="s">
        <v>46</v>
      </c>
      <c r="C9373" t="s">
        <v>35</v>
      </c>
      <c r="D9373">
        <v>0</v>
      </c>
      <c r="E9373">
        <v>1</v>
      </c>
      <c r="F9373" s="7">
        <v>197498.84</v>
      </c>
      <c r="G9373">
        <v>0</v>
      </c>
      <c r="H9373" s="7">
        <v>0</v>
      </c>
    </row>
    <row r="9374" spans="1:8">
      <c r="A9374">
        <v>7</v>
      </c>
      <c r="B9374" t="s">
        <v>46</v>
      </c>
      <c r="C9374" t="s">
        <v>34</v>
      </c>
      <c r="D9374">
        <v>0</v>
      </c>
      <c r="E9374">
        <v>1</v>
      </c>
      <c r="F9374" s="7">
        <v>99772.4</v>
      </c>
      <c r="G9374">
        <v>0</v>
      </c>
      <c r="H9374" s="7">
        <v>0</v>
      </c>
    </row>
    <row r="9375" spans="1:8">
      <c r="A9375">
        <v>7</v>
      </c>
      <c r="B9375" t="s">
        <v>46</v>
      </c>
      <c r="C9375" t="s">
        <v>35</v>
      </c>
      <c r="D9375">
        <v>0</v>
      </c>
      <c r="E9375">
        <v>1</v>
      </c>
      <c r="F9375" s="7">
        <v>102359.63</v>
      </c>
      <c r="G9375">
        <v>0</v>
      </c>
      <c r="H9375" s="7">
        <v>0</v>
      </c>
    </row>
    <row r="9376" spans="1:8">
      <c r="A9376">
        <v>7</v>
      </c>
      <c r="B9376" t="s">
        <v>46</v>
      </c>
      <c r="C9376" t="s">
        <v>34</v>
      </c>
      <c r="D9376">
        <v>0</v>
      </c>
      <c r="E9376">
        <v>1</v>
      </c>
      <c r="F9376" s="7">
        <v>50907.95</v>
      </c>
      <c r="G9376">
        <v>0</v>
      </c>
      <c r="H9376" s="7">
        <v>0</v>
      </c>
    </row>
    <row r="9377" spans="1:8">
      <c r="A9377">
        <v>7</v>
      </c>
      <c r="B9377" t="s">
        <v>46</v>
      </c>
      <c r="C9377" t="s">
        <v>34</v>
      </c>
      <c r="D9377">
        <v>0</v>
      </c>
      <c r="E9377">
        <v>1</v>
      </c>
      <c r="F9377" s="7">
        <v>24268.52</v>
      </c>
      <c r="G9377">
        <v>0</v>
      </c>
      <c r="H9377" s="7">
        <v>0</v>
      </c>
    </row>
    <row r="9378" spans="1:8">
      <c r="A9378">
        <v>7</v>
      </c>
      <c r="B9378" t="s">
        <v>46</v>
      </c>
      <c r="C9378" t="s">
        <v>34</v>
      </c>
      <c r="D9378">
        <v>0</v>
      </c>
      <c r="E9378">
        <v>1</v>
      </c>
      <c r="F9378" s="7">
        <v>90519.47</v>
      </c>
      <c r="G9378">
        <v>0</v>
      </c>
      <c r="H9378" s="7">
        <v>0</v>
      </c>
    </row>
    <row r="9379" spans="1:8">
      <c r="A9379">
        <v>7</v>
      </c>
      <c r="B9379" t="s">
        <v>46</v>
      </c>
      <c r="C9379" t="s">
        <v>34</v>
      </c>
      <c r="D9379">
        <v>0</v>
      </c>
      <c r="E9379">
        <v>1</v>
      </c>
      <c r="F9379" s="7">
        <v>17809.04</v>
      </c>
      <c r="G9379">
        <v>0</v>
      </c>
      <c r="H9379" s="7">
        <v>0</v>
      </c>
    </row>
    <row r="9380" spans="1:8">
      <c r="A9380">
        <v>7</v>
      </c>
      <c r="B9380" t="s">
        <v>46</v>
      </c>
      <c r="C9380" t="s">
        <v>33</v>
      </c>
      <c r="D9380">
        <v>0</v>
      </c>
      <c r="E9380">
        <v>1</v>
      </c>
      <c r="F9380" s="7">
        <v>5796.91</v>
      </c>
      <c r="G9380">
        <v>0</v>
      </c>
      <c r="H9380" s="7">
        <v>0</v>
      </c>
    </row>
    <row r="9381" spans="1:8">
      <c r="A9381">
        <v>7</v>
      </c>
      <c r="B9381" t="s">
        <v>46</v>
      </c>
      <c r="C9381" t="s">
        <v>35</v>
      </c>
      <c r="D9381">
        <v>0</v>
      </c>
      <c r="E9381">
        <v>1</v>
      </c>
      <c r="F9381" s="7">
        <v>736383.61</v>
      </c>
      <c r="G9381">
        <v>0</v>
      </c>
      <c r="H9381" s="7">
        <v>0</v>
      </c>
    </row>
    <row r="9382" spans="1:8">
      <c r="A9382">
        <v>7</v>
      </c>
      <c r="B9382" t="s">
        <v>46</v>
      </c>
      <c r="C9382" t="s">
        <v>35</v>
      </c>
      <c r="D9382">
        <v>0</v>
      </c>
      <c r="E9382">
        <v>1</v>
      </c>
      <c r="F9382" s="7">
        <v>103210.32</v>
      </c>
      <c r="G9382">
        <v>0</v>
      </c>
      <c r="H9382" s="7">
        <v>0</v>
      </c>
    </row>
    <row r="9383" spans="1:8">
      <c r="A9383">
        <v>7</v>
      </c>
      <c r="B9383" t="s">
        <v>46</v>
      </c>
      <c r="C9383" t="s">
        <v>33</v>
      </c>
      <c r="D9383">
        <v>0</v>
      </c>
      <c r="E9383">
        <v>1</v>
      </c>
      <c r="F9383" s="7">
        <v>7880.94</v>
      </c>
      <c r="G9383">
        <v>0</v>
      </c>
      <c r="H9383" s="7">
        <v>0</v>
      </c>
    </row>
    <row r="9384" spans="1:8">
      <c r="A9384">
        <v>7</v>
      </c>
      <c r="B9384" t="s">
        <v>46</v>
      </c>
      <c r="C9384" t="s">
        <v>34</v>
      </c>
      <c r="D9384">
        <v>0</v>
      </c>
      <c r="E9384">
        <v>1</v>
      </c>
      <c r="F9384" s="7">
        <v>67379.32</v>
      </c>
      <c r="G9384">
        <v>0</v>
      </c>
      <c r="H9384" s="7">
        <v>0</v>
      </c>
    </row>
    <row r="9385" spans="1:8">
      <c r="A9385">
        <v>7</v>
      </c>
      <c r="B9385" t="s">
        <v>46</v>
      </c>
      <c r="C9385" t="s">
        <v>34</v>
      </c>
      <c r="D9385">
        <v>0</v>
      </c>
      <c r="E9385">
        <v>1</v>
      </c>
      <c r="F9385" s="7">
        <v>46526.41</v>
      </c>
      <c r="G9385">
        <v>0</v>
      </c>
      <c r="H9385" s="7">
        <v>0</v>
      </c>
    </row>
    <row r="9386" spans="1:8">
      <c r="A9386">
        <v>7</v>
      </c>
      <c r="B9386" t="s">
        <v>46</v>
      </c>
      <c r="C9386" t="s">
        <v>34</v>
      </c>
      <c r="D9386">
        <v>0</v>
      </c>
      <c r="E9386">
        <v>1</v>
      </c>
      <c r="F9386" s="7">
        <v>80014.35</v>
      </c>
      <c r="G9386">
        <v>0</v>
      </c>
      <c r="H9386" s="7">
        <v>0</v>
      </c>
    </row>
    <row r="9387" spans="1:8">
      <c r="A9387">
        <v>7</v>
      </c>
      <c r="B9387" t="s">
        <v>46</v>
      </c>
      <c r="C9387" t="s">
        <v>34</v>
      </c>
      <c r="D9387">
        <v>0</v>
      </c>
      <c r="E9387">
        <v>1</v>
      </c>
      <c r="F9387" s="7">
        <v>21755.1</v>
      </c>
      <c r="G9387">
        <v>0</v>
      </c>
      <c r="H9387" s="7">
        <v>0</v>
      </c>
    </row>
    <row r="9388" spans="1:8">
      <c r="A9388">
        <v>7</v>
      </c>
      <c r="B9388" t="s">
        <v>46</v>
      </c>
      <c r="C9388" t="s">
        <v>34</v>
      </c>
      <c r="D9388">
        <v>0</v>
      </c>
      <c r="E9388">
        <v>1</v>
      </c>
      <c r="F9388" s="7">
        <v>33465.54</v>
      </c>
      <c r="G9388">
        <v>0</v>
      </c>
      <c r="H9388" s="7">
        <v>0</v>
      </c>
    </row>
    <row r="9389" spans="1:8">
      <c r="A9389">
        <v>7</v>
      </c>
      <c r="B9389" t="s">
        <v>46</v>
      </c>
      <c r="C9389" t="s">
        <v>35</v>
      </c>
      <c r="D9389">
        <v>0</v>
      </c>
      <c r="E9389">
        <v>1</v>
      </c>
      <c r="F9389" s="7">
        <v>119539.4</v>
      </c>
      <c r="G9389">
        <v>0</v>
      </c>
      <c r="H9389" s="7">
        <v>0</v>
      </c>
    </row>
    <row r="9390" spans="1:8">
      <c r="A9390">
        <v>7</v>
      </c>
      <c r="B9390" t="s">
        <v>46</v>
      </c>
      <c r="C9390" t="s">
        <v>35</v>
      </c>
      <c r="D9390">
        <v>0</v>
      </c>
      <c r="E9390">
        <v>1</v>
      </c>
      <c r="F9390" s="7">
        <v>219896.67</v>
      </c>
      <c r="G9390">
        <v>0</v>
      </c>
      <c r="H9390" s="7">
        <v>0</v>
      </c>
    </row>
    <row r="9391" spans="1:8">
      <c r="A9391">
        <v>7</v>
      </c>
      <c r="B9391" t="s">
        <v>46</v>
      </c>
      <c r="C9391" t="s">
        <v>35</v>
      </c>
      <c r="D9391">
        <v>0</v>
      </c>
      <c r="E9391">
        <v>1</v>
      </c>
      <c r="F9391" s="7">
        <v>310104.75</v>
      </c>
      <c r="G9391">
        <v>0</v>
      </c>
      <c r="H9391" s="7">
        <v>0</v>
      </c>
    </row>
    <row r="9392" spans="1:8">
      <c r="A9392">
        <v>7</v>
      </c>
      <c r="B9392" t="s">
        <v>46</v>
      </c>
      <c r="C9392" t="s">
        <v>34</v>
      </c>
      <c r="D9392">
        <v>0</v>
      </c>
      <c r="E9392">
        <v>1</v>
      </c>
      <c r="F9392" s="7">
        <v>15835.12</v>
      </c>
      <c r="G9392">
        <v>0</v>
      </c>
      <c r="H9392" s="7">
        <v>0</v>
      </c>
    </row>
    <row r="9393" spans="1:8">
      <c r="A9393">
        <v>7</v>
      </c>
      <c r="B9393" t="s">
        <v>46</v>
      </c>
      <c r="C9393" t="s">
        <v>35</v>
      </c>
      <c r="D9393">
        <v>0</v>
      </c>
      <c r="E9393">
        <v>1</v>
      </c>
      <c r="F9393" s="7">
        <v>126257.93</v>
      </c>
      <c r="G9393">
        <v>0</v>
      </c>
      <c r="H9393" s="7">
        <v>0</v>
      </c>
    </row>
    <row r="9394" spans="1:8">
      <c r="A9394">
        <v>7</v>
      </c>
      <c r="B9394" t="s">
        <v>46</v>
      </c>
      <c r="C9394" t="s">
        <v>34</v>
      </c>
      <c r="D9394">
        <v>0</v>
      </c>
      <c r="E9394">
        <v>1</v>
      </c>
      <c r="F9394" s="7">
        <v>79647.21</v>
      </c>
      <c r="G9394">
        <v>0</v>
      </c>
      <c r="H9394" s="7">
        <v>0</v>
      </c>
    </row>
    <row r="9395" spans="1:8">
      <c r="A9395">
        <v>7</v>
      </c>
      <c r="B9395" t="s">
        <v>46</v>
      </c>
      <c r="C9395" t="s">
        <v>35</v>
      </c>
      <c r="D9395">
        <v>0</v>
      </c>
      <c r="E9395">
        <v>1</v>
      </c>
      <c r="F9395" s="7">
        <v>208404.48</v>
      </c>
      <c r="G9395">
        <v>0</v>
      </c>
      <c r="H9395" s="7">
        <v>0</v>
      </c>
    </row>
    <row r="9396" spans="1:8">
      <c r="A9396">
        <v>7</v>
      </c>
      <c r="B9396" t="s">
        <v>46</v>
      </c>
      <c r="C9396" t="s">
        <v>34</v>
      </c>
      <c r="D9396">
        <v>0</v>
      </c>
      <c r="E9396">
        <v>1</v>
      </c>
      <c r="F9396" s="7">
        <v>64257.25</v>
      </c>
      <c r="G9396">
        <v>0</v>
      </c>
      <c r="H9396" s="7">
        <v>0</v>
      </c>
    </row>
    <row r="9397" spans="1:8">
      <c r="A9397">
        <v>7</v>
      </c>
      <c r="B9397" t="s">
        <v>46</v>
      </c>
      <c r="C9397" t="s">
        <v>34</v>
      </c>
      <c r="D9397">
        <v>0</v>
      </c>
      <c r="E9397">
        <v>1</v>
      </c>
      <c r="F9397" s="7">
        <v>75813.52</v>
      </c>
      <c r="G9397">
        <v>0</v>
      </c>
      <c r="H9397" s="7">
        <v>0</v>
      </c>
    </row>
    <row r="9398" spans="1:8">
      <c r="A9398">
        <v>7</v>
      </c>
      <c r="B9398" t="s">
        <v>46</v>
      </c>
      <c r="C9398" t="s">
        <v>34</v>
      </c>
      <c r="D9398">
        <v>0</v>
      </c>
      <c r="E9398">
        <v>1</v>
      </c>
      <c r="F9398" s="7">
        <v>89650.79</v>
      </c>
      <c r="G9398">
        <v>0</v>
      </c>
      <c r="H9398" s="7">
        <v>0</v>
      </c>
    </row>
    <row r="9399" spans="1:8">
      <c r="A9399">
        <v>7</v>
      </c>
      <c r="B9399" t="s">
        <v>46</v>
      </c>
      <c r="C9399" t="s">
        <v>34</v>
      </c>
      <c r="D9399">
        <v>0</v>
      </c>
      <c r="E9399">
        <v>1</v>
      </c>
      <c r="F9399" s="7">
        <v>84504.62</v>
      </c>
      <c r="G9399">
        <v>0</v>
      </c>
      <c r="H9399" s="7">
        <v>0</v>
      </c>
    </row>
    <row r="9400" spans="1:8">
      <c r="A9400">
        <v>7</v>
      </c>
      <c r="B9400" t="s">
        <v>46</v>
      </c>
      <c r="C9400" t="s">
        <v>35</v>
      </c>
      <c r="D9400">
        <v>0</v>
      </c>
      <c r="E9400">
        <v>1</v>
      </c>
      <c r="F9400" s="7">
        <v>131707.8</v>
      </c>
      <c r="G9400">
        <v>0</v>
      </c>
      <c r="H9400" s="7">
        <v>0</v>
      </c>
    </row>
    <row r="9401" spans="1:8">
      <c r="A9401">
        <v>7</v>
      </c>
      <c r="B9401" t="s">
        <v>46</v>
      </c>
      <c r="C9401" t="s">
        <v>35</v>
      </c>
      <c r="D9401">
        <v>0</v>
      </c>
      <c r="E9401">
        <v>1</v>
      </c>
      <c r="F9401" s="7">
        <v>223311.81</v>
      </c>
      <c r="G9401">
        <v>0</v>
      </c>
      <c r="H9401" s="7">
        <v>0</v>
      </c>
    </row>
    <row r="9402" spans="1:8">
      <c r="A9402">
        <v>7</v>
      </c>
      <c r="B9402" t="s">
        <v>46</v>
      </c>
      <c r="C9402" t="s">
        <v>34</v>
      </c>
      <c r="D9402">
        <v>0</v>
      </c>
      <c r="E9402">
        <v>1</v>
      </c>
      <c r="F9402" s="7">
        <v>73152.03</v>
      </c>
      <c r="G9402">
        <v>0</v>
      </c>
      <c r="H9402" s="7">
        <v>0</v>
      </c>
    </row>
    <row r="9403" spans="1:8">
      <c r="A9403">
        <v>7</v>
      </c>
      <c r="B9403" t="s">
        <v>46</v>
      </c>
      <c r="C9403" t="s">
        <v>35</v>
      </c>
      <c r="D9403">
        <v>0</v>
      </c>
      <c r="E9403">
        <v>1</v>
      </c>
      <c r="F9403" s="7">
        <v>283056.95</v>
      </c>
      <c r="G9403">
        <v>0</v>
      </c>
      <c r="H9403" s="7">
        <v>0</v>
      </c>
    </row>
    <row r="9404" spans="1:8">
      <c r="A9404">
        <v>7</v>
      </c>
      <c r="B9404" t="s">
        <v>46</v>
      </c>
      <c r="C9404" t="s">
        <v>34</v>
      </c>
      <c r="D9404">
        <v>0</v>
      </c>
      <c r="E9404">
        <v>1</v>
      </c>
      <c r="F9404" s="7">
        <v>20042.9</v>
      </c>
      <c r="G9404">
        <v>0</v>
      </c>
      <c r="H9404" s="7">
        <v>0</v>
      </c>
    </row>
    <row r="9405" spans="1:8">
      <c r="A9405">
        <v>7</v>
      </c>
      <c r="B9405" t="s">
        <v>46</v>
      </c>
      <c r="C9405" t="s">
        <v>35</v>
      </c>
      <c r="D9405">
        <v>0</v>
      </c>
      <c r="E9405">
        <v>1</v>
      </c>
      <c r="F9405" s="7">
        <v>137054.9</v>
      </c>
      <c r="G9405">
        <v>0</v>
      </c>
      <c r="H9405" s="7">
        <v>0</v>
      </c>
    </row>
    <row r="9406" spans="1:8">
      <c r="A9406">
        <v>7</v>
      </c>
      <c r="B9406" t="s">
        <v>46</v>
      </c>
      <c r="C9406" t="s">
        <v>35</v>
      </c>
      <c r="D9406">
        <v>0</v>
      </c>
      <c r="E9406">
        <v>1</v>
      </c>
      <c r="F9406" s="7">
        <v>113656.68</v>
      </c>
      <c r="G9406">
        <v>0</v>
      </c>
      <c r="H9406" s="7">
        <v>0</v>
      </c>
    </row>
    <row r="9407" spans="1:8">
      <c r="A9407">
        <v>7</v>
      </c>
      <c r="B9407" t="s">
        <v>46</v>
      </c>
      <c r="C9407" t="s">
        <v>34</v>
      </c>
      <c r="D9407">
        <v>0</v>
      </c>
      <c r="E9407">
        <v>1</v>
      </c>
      <c r="F9407" s="7">
        <v>65256.48</v>
      </c>
      <c r="G9407">
        <v>0</v>
      </c>
      <c r="H9407" s="7">
        <v>0</v>
      </c>
    </row>
    <row r="9408" spans="1:8">
      <c r="A9408">
        <v>7</v>
      </c>
      <c r="B9408" t="s">
        <v>46</v>
      </c>
      <c r="C9408" t="s">
        <v>35</v>
      </c>
      <c r="D9408">
        <v>0</v>
      </c>
      <c r="E9408">
        <v>1</v>
      </c>
      <c r="F9408" s="7">
        <v>222536.02</v>
      </c>
      <c r="G9408">
        <v>0</v>
      </c>
      <c r="H9408" s="7">
        <v>0</v>
      </c>
    </row>
    <row r="9409" spans="1:8">
      <c r="A9409">
        <v>7</v>
      </c>
      <c r="B9409" t="s">
        <v>46</v>
      </c>
      <c r="C9409" t="s">
        <v>35</v>
      </c>
      <c r="D9409">
        <v>0</v>
      </c>
      <c r="E9409">
        <v>1</v>
      </c>
      <c r="F9409" s="7">
        <v>167766.5</v>
      </c>
      <c r="G9409">
        <v>0</v>
      </c>
      <c r="H9409" s="7">
        <v>0</v>
      </c>
    </row>
    <row r="9410" spans="1:8">
      <c r="A9410">
        <v>7</v>
      </c>
      <c r="B9410" t="s">
        <v>46</v>
      </c>
      <c r="C9410" t="s">
        <v>35</v>
      </c>
      <c r="D9410">
        <v>0</v>
      </c>
      <c r="E9410">
        <v>1</v>
      </c>
      <c r="F9410" s="7">
        <v>201410.49</v>
      </c>
      <c r="G9410">
        <v>0</v>
      </c>
      <c r="H9410" s="7">
        <v>0</v>
      </c>
    </row>
    <row r="9411" spans="1:8">
      <c r="A9411">
        <v>7</v>
      </c>
      <c r="B9411" t="s">
        <v>46</v>
      </c>
      <c r="C9411" t="s">
        <v>34</v>
      </c>
      <c r="D9411">
        <v>0</v>
      </c>
      <c r="E9411">
        <v>1</v>
      </c>
      <c r="F9411" s="7">
        <v>32923.07</v>
      </c>
      <c r="G9411">
        <v>0</v>
      </c>
      <c r="H9411" s="7">
        <v>0</v>
      </c>
    </row>
    <row r="9412" spans="1:8">
      <c r="A9412">
        <v>7</v>
      </c>
      <c r="B9412" t="s">
        <v>46</v>
      </c>
      <c r="C9412" t="s">
        <v>35</v>
      </c>
      <c r="D9412">
        <v>0</v>
      </c>
      <c r="E9412">
        <v>1</v>
      </c>
      <c r="F9412" s="7">
        <v>163514.32</v>
      </c>
      <c r="G9412">
        <v>0</v>
      </c>
      <c r="H9412" s="7">
        <v>0</v>
      </c>
    </row>
    <row r="9413" spans="1:8">
      <c r="A9413">
        <v>7</v>
      </c>
      <c r="B9413" t="s">
        <v>46</v>
      </c>
      <c r="C9413" t="s">
        <v>34</v>
      </c>
      <c r="D9413">
        <v>0</v>
      </c>
      <c r="E9413">
        <v>1</v>
      </c>
      <c r="F9413" s="7">
        <v>54944.45</v>
      </c>
      <c r="G9413">
        <v>0</v>
      </c>
      <c r="H9413" s="7">
        <v>0</v>
      </c>
    </row>
    <row r="9414" spans="1:8">
      <c r="A9414">
        <v>7</v>
      </c>
      <c r="B9414" t="s">
        <v>46</v>
      </c>
      <c r="C9414" t="s">
        <v>34</v>
      </c>
      <c r="D9414">
        <v>0</v>
      </c>
      <c r="E9414">
        <v>1</v>
      </c>
      <c r="F9414" s="7">
        <v>55863.88</v>
      </c>
      <c r="G9414">
        <v>0</v>
      </c>
      <c r="H9414" s="7">
        <v>0</v>
      </c>
    </row>
    <row r="9415" spans="1:8">
      <c r="A9415">
        <v>7</v>
      </c>
      <c r="B9415" t="s">
        <v>46</v>
      </c>
      <c r="C9415" t="s">
        <v>35</v>
      </c>
      <c r="D9415">
        <v>0</v>
      </c>
      <c r="E9415">
        <v>1</v>
      </c>
      <c r="F9415" s="7">
        <v>165449.12</v>
      </c>
      <c r="G9415">
        <v>0</v>
      </c>
      <c r="H9415" s="7">
        <v>0</v>
      </c>
    </row>
    <row r="9416" spans="1:8">
      <c r="A9416">
        <v>7</v>
      </c>
      <c r="B9416" t="s">
        <v>46</v>
      </c>
      <c r="C9416" t="s">
        <v>35</v>
      </c>
      <c r="D9416">
        <v>0</v>
      </c>
      <c r="E9416">
        <v>1</v>
      </c>
      <c r="F9416" s="7">
        <v>153472.72</v>
      </c>
      <c r="G9416">
        <v>0</v>
      </c>
      <c r="H9416" s="7">
        <v>0</v>
      </c>
    </row>
    <row r="9417" spans="1:8">
      <c r="A9417">
        <v>7</v>
      </c>
      <c r="B9417" t="s">
        <v>46</v>
      </c>
      <c r="C9417" t="s">
        <v>34</v>
      </c>
      <c r="D9417">
        <v>0</v>
      </c>
      <c r="E9417">
        <v>1</v>
      </c>
      <c r="F9417" s="7">
        <v>12401.8</v>
      </c>
      <c r="G9417">
        <v>0</v>
      </c>
      <c r="H9417" s="7">
        <v>0</v>
      </c>
    </row>
    <row r="9418" spans="1:8">
      <c r="A9418">
        <v>7</v>
      </c>
      <c r="B9418" t="s">
        <v>46</v>
      </c>
      <c r="C9418" t="s">
        <v>33</v>
      </c>
      <c r="D9418">
        <v>0</v>
      </c>
      <c r="E9418">
        <v>1</v>
      </c>
      <c r="F9418" s="7">
        <v>6189.93</v>
      </c>
      <c r="G9418">
        <v>0</v>
      </c>
      <c r="H9418" s="7">
        <v>0</v>
      </c>
    </row>
    <row r="9419" spans="1:8">
      <c r="A9419">
        <v>7</v>
      </c>
      <c r="B9419" t="s">
        <v>46</v>
      </c>
      <c r="C9419" t="s">
        <v>34</v>
      </c>
      <c r="D9419">
        <v>0</v>
      </c>
      <c r="E9419">
        <v>1</v>
      </c>
      <c r="F9419" s="7">
        <v>74145.33</v>
      </c>
      <c r="G9419">
        <v>0</v>
      </c>
      <c r="H9419" s="7">
        <v>0</v>
      </c>
    </row>
    <row r="9420" spans="1:8">
      <c r="A9420">
        <v>7</v>
      </c>
      <c r="B9420" t="s">
        <v>46</v>
      </c>
      <c r="C9420" t="s">
        <v>35</v>
      </c>
      <c r="D9420">
        <v>0</v>
      </c>
      <c r="E9420">
        <v>1</v>
      </c>
      <c r="F9420" s="7">
        <v>224142.13</v>
      </c>
      <c r="G9420">
        <v>0</v>
      </c>
      <c r="H9420" s="7">
        <v>0</v>
      </c>
    </row>
    <row r="9421" spans="1:8">
      <c r="A9421">
        <v>7</v>
      </c>
      <c r="B9421" t="s">
        <v>46</v>
      </c>
      <c r="C9421" t="s">
        <v>35</v>
      </c>
      <c r="D9421">
        <v>0</v>
      </c>
      <c r="E9421">
        <v>1</v>
      </c>
      <c r="F9421" s="7">
        <v>249374.52</v>
      </c>
      <c r="G9421">
        <v>0</v>
      </c>
      <c r="H9421" s="7">
        <v>0</v>
      </c>
    </row>
    <row r="9422" spans="1:8">
      <c r="A9422">
        <v>7</v>
      </c>
      <c r="B9422" t="s">
        <v>46</v>
      </c>
      <c r="C9422" t="s">
        <v>34</v>
      </c>
      <c r="D9422">
        <v>0</v>
      </c>
      <c r="E9422">
        <v>1</v>
      </c>
      <c r="F9422" s="7">
        <v>97150.04</v>
      </c>
      <c r="G9422">
        <v>0</v>
      </c>
      <c r="H9422" s="7">
        <v>0</v>
      </c>
    </row>
    <row r="9423" spans="1:8">
      <c r="A9423">
        <v>7</v>
      </c>
      <c r="B9423" t="s">
        <v>46</v>
      </c>
      <c r="C9423" t="s">
        <v>35</v>
      </c>
      <c r="D9423">
        <v>0</v>
      </c>
      <c r="E9423">
        <v>1</v>
      </c>
      <c r="F9423" s="7">
        <v>179435.15</v>
      </c>
      <c r="G9423">
        <v>0</v>
      </c>
      <c r="H9423" s="7">
        <v>0</v>
      </c>
    </row>
    <row r="9424" spans="1:8">
      <c r="A9424">
        <v>7</v>
      </c>
      <c r="B9424" t="s">
        <v>46</v>
      </c>
      <c r="C9424" t="s">
        <v>35</v>
      </c>
      <c r="D9424">
        <v>0</v>
      </c>
      <c r="E9424">
        <v>1</v>
      </c>
      <c r="F9424" s="7">
        <v>245192</v>
      </c>
      <c r="G9424">
        <v>0</v>
      </c>
      <c r="H9424" s="7">
        <v>0</v>
      </c>
    </row>
    <row r="9425" spans="1:8">
      <c r="A9425">
        <v>7</v>
      </c>
      <c r="B9425" t="s">
        <v>46</v>
      </c>
      <c r="C9425" t="s">
        <v>34</v>
      </c>
      <c r="D9425">
        <v>0</v>
      </c>
      <c r="E9425">
        <v>1</v>
      </c>
      <c r="F9425" s="7">
        <v>33031.47</v>
      </c>
      <c r="G9425">
        <v>0</v>
      </c>
      <c r="H9425" s="7">
        <v>0</v>
      </c>
    </row>
    <row r="9426" spans="1:8">
      <c r="A9426">
        <v>7</v>
      </c>
      <c r="B9426" t="s">
        <v>46</v>
      </c>
      <c r="C9426" t="s">
        <v>35</v>
      </c>
      <c r="D9426">
        <v>0</v>
      </c>
      <c r="E9426">
        <v>1</v>
      </c>
      <c r="F9426" s="7">
        <v>283223.78</v>
      </c>
      <c r="G9426">
        <v>0</v>
      </c>
      <c r="H9426" s="7">
        <v>0</v>
      </c>
    </row>
    <row r="9427" spans="1:8">
      <c r="A9427">
        <v>7</v>
      </c>
      <c r="B9427" t="s">
        <v>46</v>
      </c>
      <c r="C9427" t="s">
        <v>35</v>
      </c>
      <c r="D9427">
        <v>0</v>
      </c>
      <c r="E9427">
        <v>1</v>
      </c>
      <c r="F9427" s="7">
        <v>202241.9</v>
      </c>
      <c r="G9427">
        <v>0</v>
      </c>
      <c r="H9427" s="7">
        <v>0</v>
      </c>
    </row>
    <row r="9428" spans="1:8">
      <c r="A9428">
        <v>7</v>
      </c>
      <c r="B9428" t="s">
        <v>46</v>
      </c>
      <c r="C9428" t="s">
        <v>35</v>
      </c>
      <c r="D9428">
        <v>0</v>
      </c>
      <c r="E9428">
        <v>1</v>
      </c>
      <c r="F9428" s="7">
        <v>569038.9</v>
      </c>
      <c r="G9428">
        <v>0</v>
      </c>
      <c r="H9428" s="7">
        <v>0</v>
      </c>
    </row>
    <row r="9429" spans="1:8">
      <c r="A9429">
        <v>7</v>
      </c>
      <c r="B9429" t="s">
        <v>46</v>
      </c>
      <c r="C9429" t="s">
        <v>35</v>
      </c>
      <c r="D9429">
        <v>0</v>
      </c>
      <c r="E9429">
        <v>1</v>
      </c>
      <c r="F9429" s="7">
        <v>168209.67</v>
      </c>
      <c r="G9429">
        <v>0</v>
      </c>
      <c r="H9429" s="7">
        <v>0</v>
      </c>
    </row>
    <row r="9430" spans="1:8">
      <c r="A9430">
        <v>7</v>
      </c>
      <c r="B9430" t="s">
        <v>42</v>
      </c>
      <c r="C9430" t="s">
        <v>34</v>
      </c>
      <c r="D9430">
        <v>0</v>
      </c>
      <c r="E9430">
        <v>1</v>
      </c>
      <c r="F9430" s="7">
        <v>12051.83</v>
      </c>
      <c r="G9430">
        <v>0</v>
      </c>
      <c r="H9430" s="7">
        <v>0</v>
      </c>
    </row>
    <row r="9431" spans="1:8">
      <c r="A9431">
        <v>7</v>
      </c>
      <c r="B9431" t="s">
        <v>42</v>
      </c>
      <c r="C9431" t="s">
        <v>33</v>
      </c>
      <c r="D9431">
        <v>0</v>
      </c>
      <c r="E9431">
        <v>1</v>
      </c>
      <c r="F9431" s="7">
        <v>5341.97</v>
      </c>
      <c r="G9431">
        <v>0</v>
      </c>
      <c r="H9431" s="7">
        <v>0</v>
      </c>
    </row>
    <row r="9432" spans="1:8">
      <c r="A9432">
        <v>7</v>
      </c>
      <c r="B9432" t="s">
        <v>42</v>
      </c>
      <c r="C9432" t="s">
        <v>33</v>
      </c>
      <c r="D9432">
        <v>0</v>
      </c>
      <c r="E9432">
        <v>1</v>
      </c>
      <c r="F9432" s="7">
        <v>6403.08</v>
      </c>
      <c r="G9432">
        <v>0</v>
      </c>
      <c r="H9432" s="7">
        <v>0</v>
      </c>
    </row>
    <row r="9433" spans="1:8">
      <c r="A9433">
        <v>7</v>
      </c>
      <c r="B9433" t="s">
        <v>42</v>
      </c>
      <c r="C9433" t="s">
        <v>33</v>
      </c>
      <c r="D9433">
        <v>0</v>
      </c>
      <c r="E9433">
        <v>1</v>
      </c>
      <c r="F9433" s="7">
        <v>2893.18</v>
      </c>
      <c r="G9433">
        <v>0</v>
      </c>
      <c r="H9433" s="7">
        <v>0</v>
      </c>
    </row>
    <row r="9434" spans="1:8">
      <c r="A9434">
        <v>7</v>
      </c>
      <c r="B9434" t="s">
        <v>42</v>
      </c>
      <c r="C9434" t="s">
        <v>33</v>
      </c>
      <c r="D9434">
        <v>0</v>
      </c>
      <c r="E9434">
        <v>1</v>
      </c>
      <c r="F9434" s="7">
        <v>3146.09</v>
      </c>
      <c r="G9434">
        <v>0</v>
      </c>
      <c r="H9434" s="7">
        <v>0</v>
      </c>
    </row>
    <row r="9435" spans="1:8">
      <c r="A9435">
        <v>7</v>
      </c>
      <c r="B9435" t="s">
        <v>42</v>
      </c>
      <c r="C9435" t="s">
        <v>33</v>
      </c>
      <c r="D9435">
        <v>0</v>
      </c>
      <c r="E9435">
        <v>1</v>
      </c>
      <c r="F9435" s="7">
        <v>6823.06</v>
      </c>
      <c r="G9435">
        <v>0</v>
      </c>
      <c r="H9435" s="7">
        <v>0</v>
      </c>
    </row>
    <row r="9436" spans="1:8">
      <c r="A9436">
        <v>7</v>
      </c>
      <c r="B9436" t="s">
        <v>42</v>
      </c>
      <c r="C9436" t="s">
        <v>33</v>
      </c>
      <c r="D9436">
        <v>0</v>
      </c>
      <c r="E9436">
        <v>1</v>
      </c>
      <c r="F9436" s="7">
        <v>8832.42</v>
      </c>
      <c r="G9436">
        <v>0</v>
      </c>
      <c r="H9436" s="7">
        <v>0</v>
      </c>
    </row>
    <row r="9437" spans="1:8">
      <c r="A9437">
        <v>7</v>
      </c>
      <c r="B9437" t="s">
        <v>42</v>
      </c>
      <c r="C9437" t="s">
        <v>33</v>
      </c>
      <c r="D9437">
        <v>0</v>
      </c>
      <c r="E9437">
        <v>1</v>
      </c>
      <c r="F9437" s="7">
        <v>5653.02</v>
      </c>
      <c r="G9437">
        <v>0</v>
      </c>
      <c r="H9437" s="7">
        <v>0</v>
      </c>
    </row>
    <row r="9438" spans="1:8">
      <c r="A9438">
        <v>7</v>
      </c>
      <c r="B9438" t="s">
        <v>42</v>
      </c>
      <c r="C9438" t="s">
        <v>32</v>
      </c>
      <c r="D9438">
        <v>0</v>
      </c>
      <c r="E9438">
        <v>1</v>
      </c>
      <c r="F9438" s="7">
        <v>504.83</v>
      </c>
      <c r="G9438">
        <v>0</v>
      </c>
      <c r="H9438" s="7">
        <v>0</v>
      </c>
    </row>
    <row r="9439" spans="1:8">
      <c r="A9439">
        <v>7</v>
      </c>
      <c r="B9439" t="s">
        <v>42</v>
      </c>
      <c r="C9439" t="s">
        <v>33</v>
      </c>
      <c r="D9439">
        <v>0</v>
      </c>
      <c r="E9439">
        <v>1</v>
      </c>
      <c r="F9439" s="7">
        <v>9972.12</v>
      </c>
      <c r="G9439">
        <v>0</v>
      </c>
      <c r="H9439" s="7">
        <v>0</v>
      </c>
    </row>
    <row r="9440" spans="1:8">
      <c r="A9440">
        <v>7</v>
      </c>
      <c r="B9440" t="s">
        <v>42</v>
      </c>
      <c r="C9440" t="s">
        <v>33</v>
      </c>
      <c r="D9440">
        <v>0</v>
      </c>
      <c r="E9440">
        <v>1</v>
      </c>
      <c r="F9440" s="7">
        <v>8700.92</v>
      </c>
      <c r="G9440">
        <v>0</v>
      </c>
      <c r="H9440" s="7">
        <v>0</v>
      </c>
    </row>
    <row r="9441" spans="1:8">
      <c r="A9441">
        <v>7</v>
      </c>
      <c r="B9441" t="s">
        <v>42</v>
      </c>
      <c r="C9441" t="s">
        <v>33</v>
      </c>
      <c r="D9441">
        <v>0</v>
      </c>
      <c r="E9441">
        <v>1</v>
      </c>
      <c r="F9441" s="7">
        <v>2047.33</v>
      </c>
      <c r="G9441">
        <v>0</v>
      </c>
      <c r="H9441" s="7">
        <v>0</v>
      </c>
    </row>
    <row r="9442" spans="1:8">
      <c r="A9442">
        <v>7</v>
      </c>
      <c r="B9442" t="s">
        <v>42</v>
      </c>
      <c r="C9442" t="s">
        <v>33</v>
      </c>
      <c r="D9442">
        <v>0</v>
      </c>
      <c r="E9442">
        <v>1</v>
      </c>
      <c r="F9442" s="7">
        <v>2656.21</v>
      </c>
      <c r="G9442">
        <v>0</v>
      </c>
      <c r="H9442" s="7">
        <v>0</v>
      </c>
    </row>
    <row r="9443" spans="1:8">
      <c r="A9443">
        <v>7</v>
      </c>
      <c r="B9443" t="s">
        <v>42</v>
      </c>
      <c r="C9443" t="s">
        <v>33</v>
      </c>
      <c r="D9443">
        <v>0</v>
      </c>
      <c r="E9443">
        <v>1</v>
      </c>
      <c r="F9443" s="7">
        <v>2067.57</v>
      </c>
      <c r="G9443">
        <v>0</v>
      </c>
      <c r="H9443" s="7">
        <v>0</v>
      </c>
    </row>
    <row r="9444" spans="1:8">
      <c r="A9444">
        <v>7</v>
      </c>
      <c r="B9444" t="s">
        <v>43</v>
      </c>
      <c r="C9444" t="s">
        <v>35</v>
      </c>
      <c r="D9444">
        <v>0</v>
      </c>
      <c r="E9444">
        <v>1</v>
      </c>
      <c r="F9444" s="7">
        <v>295226.09</v>
      </c>
      <c r="G9444">
        <v>0</v>
      </c>
      <c r="H9444" s="7">
        <v>0</v>
      </c>
    </row>
    <row r="9445" spans="1:8">
      <c r="A9445">
        <v>7</v>
      </c>
      <c r="B9445" t="s">
        <v>43</v>
      </c>
      <c r="C9445" t="s">
        <v>35</v>
      </c>
      <c r="D9445">
        <v>0</v>
      </c>
      <c r="E9445">
        <v>1</v>
      </c>
      <c r="F9445" s="7">
        <v>104225.08</v>
      </c>
      <c r="G9445">
        <v>0</v>
      </c>
      <c r="H9445" s="7">
        <v>0</v>
      </c>
    </row>
    <row r="9446" spans="1:8">
      <c r="A9446">
        <v>7</v>
      </c>
      <c r="B9446" t="s">
        <v>43</v>
      </c>
      <c r="C9446" t="s">
        <v>35</v>
      </c>
      <c r="D9446">
        <v>0</v>
      </c>
      <c r="E9446">
        <v>1</v>
      </c>
      <c r="F9446" s="7">
        <v>573285.84</v>
      </c>
      <c r="G9446">
        <v>0</v>
      </c>
      <c r="H9446" s="7">
        <v>0</v>
      </c>
    </row>
    <row r="9447" spans="1:8">
      <c r="A9447">
        <v>7</v>
      </c>
      <c r="B9447" t="s">
        <v>44</v>
      </c>
      <c r="C9447" t="s">
        <v>35</v>
      </c>
      <c r="D9447">
        <v>0</v>
      </c>
      <c r="E9447">
        <v>1</v>
      </c>
      <c r="F9447" s="7">
        <v>223310.57</v>
      </c>
      <c r="G9447">
        <v>0</v>
      </c>
      <c r="H9447" s="7">
        <v>0</v>
      </c>
    </row>
    <row r="9448" spans="1:8">
      <c r="A9448">
        <v>7</v>
      </c>
      <c r="B9448" t="s">
        <v>42</v>
      </c>
      <c r="C9448" t="s">
        <v>34</v>
      </c>
      <c r="D9448">
        <v>0</v>
      </c>
      <c r="E9448">
        <v>1</v>
      </c>
      <c r="F9448" s="7">
        <v>13256.84</v>
      </c>
      <c r="G9448">
        <v>0</v>
      </c>
      <c r="H9448" s="7">
        <v>0</v>
      </c>
    </row>
    <row r="9449" spans="1:8">
      <c r="A9449">
        <v>7</v>
      </c>
      <c r="B9449" t="s">
        <v>43</v>
      </c>
      <c r="C9449" t="s">
        <v>36</v>
      </c>
      <c r="D9449">
        <v>0</v>
      </c>
      <c r="E9449">
        <v>1</v>
      </c>
      <c r="F9449" s="7">
        <v>1277771.78</v>
      </c>
      <c r="G9449">
        <v>0</v>
      </c>
      <c r="H9449" s="7">
        <v>0</v>
      </c>
    </row>
    <row r="9450" spans="1:8">
      <c r="A9450">
        <v>7</v>
      </c>
      <c r="B9450" t="s">
        <v>42</v>
      </c>
      <c r="C9450" t="s">
        <v>34</v>
      </c>
      <c r="D9450">
        <v>0</v>
      </c>
      <c r="E9450">
        <v>1</v>
      </c>
      <c r="F9450" s="7">
        <v>13524.51</v>
      </c>
      <c r="G9450">
        <v>0</v>
      </c>
      <c r="H9450" s="7">
        <v>0</v>
      </c>
    </row>
    <row r="9451" spans="1:8">
      <c r="A9451">
        <v>7</v>
      </c>
      <c r="B9451" t="s">
        <v>42</v>
      </c>
      <c r="C9451" t="s">
        <v>34</v>
      </c>
      <c r="D9451">
        <v>0</v>
      </c>
      <c r="E9451">
        <v>1</v>
      </c>
      <c r="F9451" s="7">
        <v>27004.28</v>
      </c>
      <c r="G9451">
        <v>0</v>
      </c>
      <c r="H9451" s="7">
        <v>0</v>
      </c>
    </row>
    <row r="9452" spans="1:8">
      <c r="A9452">
        <v>7</v>
      </c>
      <c r="B9452" t="s">
        <v>42</v>
      </c>
      <c r="C9452" t="s">
        <v>33</v>
      </c>
      <c r="D9452">
        <v>0</v>
      </c>
      <c r="E9452">
        <v>1</v>
      </c>
      <c r="F9452" s="7">
        <v>9413.91</v>
      </c>
      <c r="G9452">
        <v>0</v>
      </c>
      <c r="H9452" s="7">
        <v>0</v>
      </c>
    </row>
    <row r="9453" spans="1:8">
      <c r="A9453">
        <v>7</v>
      </c>
      <c r="B9453" t="s">
        <v>42</v>
      </c>
      <c r="C9453" t="s">
        <v>33</v>
      </c>
      <c r="D9453">
        <v>0</v>
      </c>
      <c r="E9453">
        <v>1</v>
      </c>
      <c r="F9453" s="7">
        <v>8095.81</v>
      </c>
      <c r="G9453">
        <v>0</v>
      </c>
      <c r="H9453" s="7">
        <v>0</v>
      </c>
    </row>
    <row r="9454" spans="1:8">
      <c r="A9454">
        <v>7</v>
      </c>
      <c r="B9454" t="s">
        <v>43</v>
      </c>
      <c r="C9454" t="s">
        <v>35</v>
      </c>
      <c r="D9454">
        <v>0</v>
      </c>
      <c r="E9454">
        <v>1</v>
      </c>
      <c r="F9454" s="7">
        <v>793967.31</v>
      </c>
      <c r="G9454">
        <v>0</v>
      </c>
      <c r="H9454" s="7">
        <v>0</v>
      </c>
    </row>
    <row r="9455" spans="1:8">
      <c r="A9455">
        <v>7</v>
      </c>
      <c r="B9455" t="s">
        <v>42</v>
      </c>
      <c r="C9455" t="s">
        <v>33</v>
      </c>
      <c r="D9455">
        <v>0</v>
      </c>
      <c r="E9455">
        <v>1</v>
      </c>
      <c r="F9455" s="7">
        <v>3254.52</v>
      </c>
      <c r="G9455">
        <v>0</v>
      </c>
      <c r="H9455" s="7">
        <v>0</v>
      </c>
    </row>
    <row r="9456" spans="1:8">
      <c r="A9456">
        <v>7</v>
      </c>
      <c r="B9456" t="s">
        <v>42</v>
      </c>
      <c r="C9456" t="s">
        <v>34</v>
      </c>
      <c r="D9456">
        <v>0</v>
      </c>
      <c r="E9456">
        <v>1</v>
      </c>
      <c r="F9456" s="7">
        <v>10815.32</v>
      </c>
      <c r="G9456">
        <v>0</v>
      </c>
      <c r="H9456" s="7">
        <v>0</v>
      </c>
    </row>
    <row r="9457" spans="1:8">
      <c r="A9457">
        <v>7</v>
      </c>
      <c r="B9457" t="s">
        <v>43</v>
      </c>
      <c r="C9457" t="s">
        <v>36</v>
      </c>
      <c r="D9457">
        <v>0</v>
      </c>
      <c r="E9457">
        <v>1</v>
      </c>
      <c r="F9457" s="7">
        <v>1167278.82</v>
      </c>
      <c r="G9457">
        <v>0</v>
      </c>
      <c r="H9457" s="7">
        <v>0</v>
      </c>
    </row>
    <row r="9458" spans="1:8">
      <c r="A9458">
        <v>7</v>
      </c>
      <c r="B9458" t="s">
        <v>42</v>
      </c>
      <c r="C9458" t="s">
        <v>33</v>
      </c>
      <c r="D9458">
        <v>0</v>
      </c>
      <c r="E9458">
        <v>1</v>
      </c>
      <c r="F9458" s="7">
        <v>8111.83</v>
      </c>
      <c r="G9458">
        <v>0</v>
      </c>
      <c r="H9458" s="7">
        <v>0</v>
      </c>
    </row>
    <row r="9459" spans="1:8">
      <c r="A9459">
        <v>7</v>
      </c>
      <c r="B9459" t="s">
        <v>42</v>
      </c>
      <c r="C9459" t="s">
        <v>33</v>
      </c>
      <c r="D9459">
        <v>0</v>
      </c>
      <c r="E9459">
        <v>1</v>
      </c>
      <c r="F9459" s="7">
        <v>6256.13</v>
      </c>
      <c r="G9459">
        <v>0</v>
      </c>
      <c r="H9459" s="7">
        <v>0</v>
      </c>
    </row>
    <row r="9460" spans="1:8">
      <c r="A9460">
        <v>7</v>
      </c>
      <c r="B9460" t="s">
        <v>42</v>
      </c>
      <c r="C9460" t="s">
        <v>33</v>
      </c>
      <c r="D9460">
        <v>0</v>
      </c>
      <c r="E9460">
        <v>1</v>
      </c>
      <c r="F9460" s="7">
        <v>5383.03</v>
      </c>
      <c r="G9460">
        <v>0</v>
      </c>
      <c r="H9460" s="7">
        <v>0</v>
      </c>
    </row>
    <row r="9461" spans="1:8">
      <c r="A9461">
        <v>7</v>
      </c>
      <c r="B9461" t="s">
        <v>42</v>
      </c>
      <c r="C9461" t="s">
        <v>33</v>
      </c>
      <c r="D9461">
        <v>0</v>
      </c>
      <c r="E9461">
        <v>1</v>
      </c>
      <c r="F9461" s="7">
        <v>9161.94</v>
      </c>
      <c r="G9461">
        <v>0</v>
      </c>
      <c r="H9461" s="7">
        <v>0</v>
      </c>
    </row>
    <row r="9462" spans="1:8">
      <c r="A9462">
        <v>7</v>
      </c>
      <c r="B9462" t="s">
        <v>42</v>
      </c>
      <c r="C9462" t="s">
        <v>32</v>
      </c>
      <c r="D9462">
        <v>0</v>
      </c>
      <c r="E9462">
        <v>1</v>
      </c>
      <c r="F9462" s="7">
        <v>24.75</v>
      </c>
      <c r="G9462">
        <v>0</v>
      </c>
      <c r="H9462" s="7">
        <v>0</v>
      </c>
    </row>
    <row r="9463" spans="1:8">
      <c r="A9463">
        <v>7</v>
      </c>
      <c r="B9463" t="s">
        <v>42</v>
      </c>
      <c r="C9463" t="s">
        <v>32</v>
      </c>
      <c r="D9463">
        <v>0</v>
      </c>
      <c r="E9463">
        <v>1</v>
      </c>
      <c r="F9463" s="7">
        <v>253.22</v>
      </c>
      <c r="G9463">
        <v>0</v>
      </c>
      <c r="H9463" s="7">
        <v>0</v>
      </c>
    </row>
    <row r="9464" spans="1:8">
      <c r="A9464">
        <v>7</v>
      </c>
      <c r="B9464" t="s">
        <v>44</v>
      </c>
      <c r="C9464" t="s">
        <v>35</v>
      </c>
      <c r="D9464">
        <v>0</v>
      </c>
      <c r="E9464">
        <v>1</v>
      </c>
      <c r="F9464" s="7">
        <v>164382.42</v>
      </c>
      <c r="G9464">
        <v>0</v>
      </c>
      <c r="H9464" s="7">
        <v>0</v>
      </c>
    </row>
    <row r="9465" spans="1:8">
      <c r="A9465">
        <v>7</v>
      </c>
      <c r="B9465" t="s">
        <v>42</v>
      </c>
      <c r="C9465" t="s">
        <v>33</v>
      </c>
      <c r="D9465">
        <v>0</v>
      </c>
      <c r="E9465">
        <v>1</v>
      </c>
      <c r="F9465" s="7">
        <v>8134.08</v>
      </c>
      <c r="G9465">
        <v>0</v>
      </c>
      <c r="H9465" s="7">
        <v>0</v>
      </c>
    </row>
    <row r="9466" spans="1:8">
      <c r="A9466">
        <v>7</v>
      </c>
      <c r="B9466" t="s">
        <v>42</v>
      </c>
      <c r="C9466" t="s">
        <v>33</v>
      </c>
      <c r="D9466">
        <v>0</v>
      </c>
      <c r="E9466">
        <v>1</v>
      </c>
      <c r="F9466" s="7">
        <v>9295.61</v>
      </c>
      <c r="G9466">
        <v>0</v>
      </c>
      <c r="H9466" s="7">
        <v>0</v>
      </c>
    </row>
    <row r="9467" spans="1:8">
      <c r="A9467">
        <v>7</v>
      </c>
      <c r="B9467" t="s">
        <v>42</v>
      </c>
      <c r="C9467" t="s">
        <v>34</v>
      </c>
      <c r="D9467">
        <v>0</v>
      </c>
      <c r="E9467">
        <v>1</v>
      </c>
      <c r="F9467" s="7">
        <v>23140.34</v>
      </c>
      <c r="G9467">
        <v>0</v>
      </c>
      <c r="H9467" s="7">
        <v>0</v>
      </c>
    </row>
    <row r="9468" spans="1:8">
      <c r="A9468">
        <v>7</v>
      </c>
      <c r="B9468" t="s">
        <v>42</v>
      </c>
      <c r="C9468" t="s">
        <v>34</v>
      </c>
      <c r="D9468">
        <v>0</v>
      </c>
      <c r="E9468">
        <v>1</v>
      </c>
      <c r="F9468" s="7">
        <v>17313.59</v>
      </c>
      <c r="G9468">
        <v>0</v>
      </c>
      <c r="H9468" s="7">
        <v>0</v>
      </c>
    </row>
    <row r="9469" spans="1:8">
      <c r="A9469">
        <v>7</v>
      </c>
      <c r="B9469" t="s">
        <v>43</v>
      </c>
      <c r="C9469" t="s">
        <v>35</v>
      </c>
      <c r="D9469">
        <v>0</v>
      </c>
      <c r="E9469">
        <v>1</v>
      </c>
      <c r="F9469" s="7">
        <v>773026.68</v>
      </c>
      <c r="G9469">
        <v>0</v>
      </c>
      <c r="H9469" s="7">
        <v>0</v>
      </c>
    </row>
    <row r="9470" spans="1:8">
      <c r="A9470">
        <v>7</v>
      </c>
      <c r="B9470" t="s">
        <v>42</v>
      </c>
      <c r="C9470" t="s">
        <v>32</v>
      </c>
      <c r="D9470">
        <v>0</v>
      </c>
      <c r="E9470">
        <v>1</v>
      </c>
      <c r="F9470" s="7">
        <v>300.74</v>
      </c>
      <c r="G9470">
        <v>0</v>
      </c>
      <c r="H9470" s="7">
        <v>0</v>
      </c>
    </row>
    <row r="9471" spans="1:8">
      <c r="A9471">
        <v>7</v>
      </c>
      <c r="B9471" t="s">
        <v>42</v>
      </c>
      <c r="C9471" t="s">
        <v>34</v>
      </c>
      <c r="D9471">
        <v>0</v>
      </c>
      <c r="E9471">
        <v>1</v>
      </c>
      <c r="F9471" s="7">
        <v>11425.82</v>
      </c>
      <c r="G9471">
        <v>0</v>
      </c>
      <c r="H9471" s="7">
        <v>0</v>
      </c>
    </row>
    <row r="9472" spans="1:8">
      <c r="A9472">
        <v>7</v>
      </c>
      <c r="B9472" t="s">
        <v>42</v>
      </c>
      <c r="C9472" t="s">
        <v>33</v>
      </c>
      <c r="D9472">
        <v>0</v>
      </c>
      <c r="E9472">
        <v>1</v>
      </c>
      <c r="F9472" s="7">
        <v>6036.56</v>
      </c>
      <c r="G9472">
        <v>0</v>
      </c>
      <c r="H9472" s="7">
        <v>0</v>
      </c>
    </row>
    <row r="9473" spans="1:8">
      <c r="A9473">
        <v>7</v>
      </c>
      <c r="B9473" t="s">
        <v>42</v>
      </c>
      <c r="C9473" t="s">
        <v>33</v>
      </c>
      <c r="D9473">
        <v>0</v>
      </c>
      <c r="E9473">
        <v>1</v>
      </c>
      <c r="F9473" s="7">
        <v>5131.26</v>
      </c>
      <c r="G9473">
        <v>0</v>
      </c>
      <c r="H9473" s="7">
        <v>0</v>
      </c>
    </row>
    <row r="9474" spans="1:8">
      <c r="A9474">
        <v>7</v>
      </c>
      <c r="B9474" t="s">
        <v>42</v>
      </c>
      <c r="C9474" t="s">
        <v>33</v>
      </c>
      <c r="D9474">
        <v>0</v>
      </c>
      <c r="E9474">
        <v>1</v>
      </c>
      <c r="F9474" s="7">
        <v>4857.92</v>
      </c>
      <c r="G9474">
        <v>0</v>
      </c>
      <c r="H9474" s="7">
        <v>0</v>
      </c>
    </row>
    <row r="9475" spans="1:8">
      <c r="A9475">
        <v>7</v>
      </c>
      <c r="B9475" t="s">
        <v>46</v>
      </c>
      <c r="C9475" t="s">
        <v>35</v>
      </c>
      <c r="D9475">
        <v>0</v>
      </c>
      <c r="E9475">
        <v>1</v>
      </c>
      <c r="F9475" s="7">
        <v>104532.52</v>
      </c>
      <c r="G9475">
        <v>0</v>
      </c>
      <c r="H9475" s="7">
        <v>0</v>
      </c>
    </row>
    <row r="9476" spans="1:8">
      <c r="A9476">
        <v>7</v>
      </c>
      <c r="B9476" t="s">
        <v>42</v>
      </c>
      <c r="C9476" t="s">
        <v>33</v>
      </c>
      <c r="D9476">
        <v>0</v>
      </c>
      <c r="E9476">
        <v>1</v>
      </c>
      <c r="F9476" s="7">
        <v>3188.19</v>
      </c>
      <c r="G9476">
        <v>0</v>
      </c>
      <c r="H9476" s="7">
        <v>0</v>
      </c>
    </row>
    <row r="9477" spans="1:8">
      <c r="A9477">
        <v>7</v>
      </c>
      <c r="B9477" t="s">
        <v>42</v>
      </c>
      <c r="C9477" t="s">
        <v>33</v>
      </c>
      <c r="D9477">
        <v>0</v>
      </c>
      <c r="E9477">
        <v>1</v>
      </c>
      <c r="F9477" s="7">
        <v>2609.34</v>
      </c>
      <c r="G9477">
        <v>0</v>
      </c>
      <c r="H9477" s="7">
        <v>0</v>
      </c>
    </row>
    <row r="9478" spans="1:8">
      <c r="A9478">
        <v>7</v>
      </c>
      <c r="B9478" t="s">
        <v>43</v>
      </c>
      <c r="C9478" t="s">
        <v>34</v>
      </c>
      <c r="D9478">
        <v>0</v>
      </c>
      <c r="E9478">
        <v>1</v>
      </c>
      <c r="F9478" s="7">
        <v>21172.65</v>
      </c>
      <c r="G9478">
        <v>0</v>
      </c>
      <c r="H9478" s="7">
        <v>0</v>
      </c>
    </row>
    <row r="9479" spans="1:8">
      <c r="A9479">
        <v>7</v>
      </c>
      <c r="B9479" t="s">
        <v>44</v>
      </c>
      <c r="C9479" t="s">
        <v>34</v>
      </c>
      <c r="D9479">
        <v>0</v>
      </c>
      <c r="E9479">
        <v>1</v>
      </c>
      <c r="F9479" s="7">
        <v>12910.33</v>
      </c>
      <c r="G9479">
        <v>0</v>
      </c>
      <c r="H9479" s="7">
        <v>0</v>
      </c>
    </row>
    <row r="9480" spans="1:8">
      <c r="A9480">
        <v>7</v>
      </c>
      <c r="B9480" t="s">
        <v>42</v>
      </c>
      <c r="C9480" t="s">
        <v>33</v>
      </c>
      <c r="D9480">
        <v>0</v>
      </c>
      <c r="E9480">
        <v>1</v>
      </c>
      <c r="F9480" s="7">
        <v>5128.14</v>
      </c>
      <c r="G9480">
        <v>0</v>
      </c>
      <c r="H9480" s="7">
        <v>0</v>
      </c>
    </row>
    <row r="9481" spans="1:8">
      <c r="A9481">
        <v>7</v>
      </c>
      <c r="B9481" t="s">
        <v>43</v>
      </c>
      <c r="C9481" t="s">
        <v>35</v>
      </c>
      <c r="D9481">
        <v>0</v>
      </c>
      <c r="E9481">
        <v>1</v>
      </c>
      <c r="F9481" s="7">
        <v>245565.33</v>
      </c>
      <c r="G9481">
        <v>0</v>
      </c>
      <c r="H9481" s="7">
        <v>0</v>
      </c>
    </row>
    <row r="9482" spans="1:8">
      <c r="A9482">
        <v>7</v>
      </c>
      <c r="B9482" t="s">
        <v>42</v>
      </c>
      <c r="C9482" t="s">
        <v>33</v>
      </c>
      <c r="D9482">
        <v>0</v>
      </c>
      <c r="E9482">
        <v>1</v>
      </c>
      <c r="F9482" s="7">
        <v>2510.38</v>
      </c>
      <c r="G9482">
        <v>0</v>
      </c>
      <c r="H9482" s="7">
        <v>0</v>
      </c>
    </row>
    <row r="9483" spans="1:8">
      <c r="A9483">
        <v>7</v>
      </c>
      <c r="B9483" t="s">
        <v>44</v>
      </c>
      <c r="C9483" t="s">
        <v>34</v>
      </c>
      <c r="D9483">
        <v>0</v>
      </c>
      <c r="E9483">
        <v>1</v>
      </c>
      <c r="F9483" s="7">
        <v>88414.44</v>
      </c>
      <c r="G9483">
        <v>0</v>
      </c>
      <c r="H9483" s="7">
        <v>0</v>
      </c>
    </row>
    <row r="9484" spans="1:8">
      <c r="A9484">
        <v>7</v>
      </c>
      <c r="B9484" t="s">
        <v>42</v>
      </c>
      <c r="C9484" t="s">
        <v>32</v>
      </c>
      <c r="D9484">
        <v>0</v>
      </c>
      <c r="E9484">
        <v>1</v>
      </c>
      <c r="F9484" s="7">
        <v>276.2</v>
      </c>
      <c r="G9484">
        <v>0</v>
      </c>
      <c r="H9484" s="7">
        <v>0</v>
      </c>
    </row>
    <row r="9485" spans="1:8">
      <c r="A9485">
        <v>7</v>
      </c>
      <c r="B9485" t="s">
        <v>42</v>
      </c>
      <c r="C9485" t="s">
        <v>34</v>
      </c>
      <c r="D9485">
        <v>0</v>
      </c>
      <c r="E9485">
        <v>1</v>
      </c>
      <c r="F9485" s="7">
        <v>13866.78</v>
      </c>
      <c r="G9485">
        <v>0</v>
      </c>
      <c r="H9485" s="7">
        <v>0</v>
      </c>
    </row>
    <row r="9486" spans="1:8">
      <c r="A9486">
        <v>7</v>
      </c>
      <c r="B9486" t="s">
        <v>42</v>
      </c>
      <c r="C9486" t="s">
        <v>34</v>
      </c>
      <c r="D9486">
        <v>0</v>
      </c>
      <c r="E9486">
        <v>1</v>
      </c>
      <c r="F9486" s="7">
        <v>24079.53</v>
      </c>
      <c r="G9486">
        <v>0</v>
      </c>
      <c r="H9486" s="7">
        <v>0</v>
      </c>
    </row>
    <row r="9487" spans="1:8">
      <c r="A9487">
        <v>7</v>
      </c>
      <c r="B9487" t="s">
        <v>42</v>
      </c>
      <c r="C9487" t="s">
        <v>33</v>
      </c>
      <c r="D9487">
        <v>0</v>
      </c>
      <c r="E9487">
        <v>1</v>
      </c>
      <c r="F9487" s="7">
        <v>7860.26</v>
      </c>
      <c r="G9487">
        <v>0</v>
      </c>
      <c r="H9487" s="7">
        <v>0</v>
      </c>
    </row>
    <row r="9488" spans="1:8">
      <c r="A9488">
        <v>7</v>
      </c>
      <c r="B9488" t="s">
        <v>42</v>
      </c>
      <c r="C9488" t="s">
        <v>34</v>
      </c>
      <c r="D9488">
        <v>0</v>
      </c>
      <c r="E9488">
        <v>1</v>
      </c>
      <c r="F9488" s="7">
        <v>29401.85</v>
      </c>
      <c r="G9488">
        <v>0</v>
      </c>
      <c r="H9488" s="7">
        <v>0</v>
      </c>
    </row>
    <row r="9489" spans="1:8">
      <c r="A9489">
        <v>7</v>
      </c>
      <c r="B9489" t="s">
        <v>42</v>
      </c>
      <c r="C9489" t="s">
        <v>34</v>
      </c>
      <c r="D9489">
        <v>0</v>
      </c>
      <c r="E9489">
        <v>1</v>
      </c>
      <c r="F9489" s="7">
        <v>35499.54</v>
      </c>
      <c r="G9489">
        <v>0</v>
      </c>
      <c r="H9489" s="7">
        <v>0</v>
      </c>
    </row>
    <row r="9490" spans="1:8">
      <c r="A9490">
        <v>7</v>
      </c>
      <c r="B9490" t="s">
        <v>42</v>
      </c>
      <c r="C9490" t="s">
        <v>33</v>
      </c>
      <c r="D9490">
        <v>0</v>
      </c>
      <c r="E9490">
        <v>1</v>
      </c>
      <c r="F9490" s="7">
        <v>8935.7</v>
      </c>
      <c r="G9490">
        <v>0</v>
      </c>
      <c r="H9490" s="7">
        <v>0</v>
      </c>
    </row>
    <row r="9491" spans="1:8">
      <c r="A9491">
        <v>7</v>
      </c>
      <c r="B9491" t="s">
        <v>42</v>
      </c>
      <c r="C9491" t="s">
        <v>33</v>
      </c>
      <c r="D9491">
        <v>0</v>
      </c>
      <c r="E9491">
        <v>1</v>
      </c>
      <c r="F9491" s="7">
        <v>6248.42</v>
      </c>
      <c r="G9491">
        <v>0</v>
      </c>
      <c r="H9491" s="7">
        <v>0</v>
      </c>
    </row>
    <row r="9492" spans="1:8">
      <c r="A9492">
        <v>7</v>
      </c>
      <c r="B9492" t="s">
        <v>42</v>
      </c>
      <c r="C9492" t="s">
        <v>34</v>
      </c>
      <c r="D9492">
        <v>0</v>
      </c>
      <c r="E9492">
        <v>1</v>
      </c>
      <c r="F9492" s="7">
        <v>12066.94</v>
      </c>
      <c r="G9492">
        <v>0</v>
      </c>
      <c r="H9492" s="7">
        <v>0</v>
      </c>
    </row>
    <row r="9493" spans="1:8">
      <c r="A9493">
        <v>7</v>
      </c>
      <c r="B9493" t="s">
        <v>42</v>
      </c>
      <c r="C9493" t="s">
        <v>34</v>
      </c>
      <c r="D9493">
        <v>0</v>
      </c>
      <c r="E9493">
        <v>1</v>
      </c>
      <c r="F9493" s="7">
        <v>36977.71</v>
      </c>
      <c r="G9493">
        <v>0</v>
      </c>
      <c r="H9493" s="7">
        <v>0</v>
      </c>
    </row>
    <row r="9494" spans="1:8">
      <c r="A9494">
        <v>7</v>
      </c>
      <c r="B9494" t="s">
        <v>42</v>
      </c>
      <c r="C9494" t="s">
        <v>33</v>
      </c>
      <c r="D9494">
        <v>0</v>
      </c>
      <c r="E9494">
        <v>1</v>
      </c>
      <c r="F9494" s="7">
        <v>5203.96</v>
      </c>
      <c r="G9494">
        <v>0</v>
      </c>
      <c r="H9494" s="7">
        <v>0</v>
      </c>
    </row>
    <row r="9495" spans="1:8">
      <c r="A9495">
        <v>7</v>
      </c>
      <c r="B9495" t="s">
        <v>42</v>
      </c>
      <c r="C9495" t="s">
        <v>33</v>
      </c>
      <c r="D9495">
        <v>0</v>
      </c>
      <c r="E9495">
        <v>1</v>
      </c>
      <c r="F9495" s="7">
        <v>2318.74</v>
      </c>
      <c r="G9495">
        <v>0</v>
      </c>
      <c r="H9495" s="7">
        <v>0</v>
      </c>
    </row>
    <row r="9496" spans="1:8">
      <c r="A9496">
        <v>7</v>
      </c>
      <c r="B9496" t="s">
        <v>42</v>
      </c>
      <c r="C9496" t="s">
        <v>34</v>
      </c>
      <c r="D9496">
        <v>0</v>
      </c>
      <c r="E9496">
        <v>1</v>
      </c>
      <c r="F9496" s="7">
        <v>11759.29</v>
      </c>
      <c r="G9496">
        <v>0</v>
      </c>
      <c r="H9496" s="7">
        <v>0</v>
      </c>
    </row>
    <row r="9497" spans="1:8">
      <c r="A9497">
        <v>7</v>
      </c>
      <c r="B9497" t="s">
        <v>42</v>
      </c>
      <c r="C9497" t="s">
        <v>33</v>
      </c>
      <c r="D9497">
        <v>0</v>
      </c>
      <c r="E9497">
        <v>1</v>
      </c>
      <c r="F9497" s="7">
        <v>8632.38</v>
      </c>
      <c r="G9497">
        <v>0</v>
      </c>
      <c r="H9497" s="7">
        <v>0</v>
      </c>
    </row>
    <row r="9498" spans="1:8">
      <c r="A9498">
        <v>7</v>
      </c>
      <c r="B9498" t="s">
        <v>42</v>
      </c>
      <c r="C9498" t="s">
        <v>32</v>
      </c>
      <c r="D9498">
        <v>0</v>
      </c>
      <c r="E9498">
        <v>1</v>
      </c>
      <c r="F9498" s="7">
        <v>957.47</v>
      </c>
      <c r="G9498">
        <v>0</v>
      </c>
      <c r="H9498" s="7">
        <v>0</v>
      </c>
    </row>
    <row r="9499" spans="1:8">
      <c r="A9499">
        <v>7</v>
      </c>
      <c r="B9499" t="s">
        <v>42</v>
      </c>
      <c r="C9499" t="s">
        <v>34</v>
      </c>
      <c r="D9499">
        <v>0</v>
      </c>
      <c r="E9499">
        <v>1</v>
      </c>
      <c r="F9499" s="7">
        <v>10310.58</v>
      </c>
      <c r="G9499">
        <v>0</v>
      </c>
      <c r="H9499" s="7">
        <v>0</v>
      </c>
    </row>
    <row r="9500" spans="1:8">
      <c r="A9500">
        <v>7</v>
      </c>
      <c r="B9500" t="s">
        <v>42</v>
      </c>
      <c r="C9500" t="s">
        <v>33</v>
      </c>
      <c r="D9500">
        <v>0</v>
      </c>
      <c r="E9500">
        <v>1</v>
      </c>
      <c r="F9500" s="7">
        <v>7324.56</v>
      </c>
      <c r="G9500">
        <v>0</v>
      </c>
      <c r="H9500" s="7">
        <v>0</v>
      </c>
    </row>
    <row r="9501" spans="1:8">
      <c r="A9501">
        <v>7</v>
      </c>
      <c r="B9501" t="s">
        <v>42</v>
      </c>
      <c r="C9501" t="s">
        <v>34</v>
      </c>
      <c r="D9501">
        <v>0</v>
      </c>
      <c r="E9501">
        <v>1</v>
      </c>
      <c r="F9501" s="7">
        <v>13530.98</v>
      </c>
      <c r="G9501">
        <v>0</v>
      </c>
      <c r="H9501" s="7">
        <v>0</v>
      </c>
    </row>
    <row r="9502" spans="1:8">
      <c r="A9502">
        <v>7</v>
      </c>
      <c r="B9502" t="s">
        <v>42</v>
      </c>
      <c r="C9502" t="s">
        <v>33</v>
      </c>
      <c r="D9502">
        <v>0</v>
      </c>
      <c r="E9502">
        <v>1</v>
      </c>
      <c r="F9502" s="7">
        <v>8072.47</v>
      </c>
      <c r="G9502">
        <v>0</v>
      </c>
      <c r="H9502" s="7">
        <v>0</v>
      </c>
    </row>
    <row r="9503" spans="1:8">
      <c r="A9503">
        <v>7</v>
      </c>
      <c r="B9503" t="s">
        <v>42</v>
      </c>
      <c r="C9503" t="s">
        <v>33</v>
      </c>
      <c r="D9503">
        <v>0</v>
      </c>
      <c r="E9503">
        <v>1</v>
      </c>
      <c r="F9503" s="7">
        <v>4156.18</v>
      </c>
      <c r="G9503">
        <v>0</v>
      </c>
      <c r="H9503" s="7">
        <v>0</v>
      </c>
    </row>
    <row r="9504" spans="1:8">
      <c r="A9504">
        <v>7</v>
      </c>
      <c r="B9504" t="s">
        <v>42</v>
      </c>
      <c r="C9504" t="s">
        <v>33</v>
      </c>
      <c r="D9504">
        <v>0</v>
      </c>
      <c r="E9504">
        <v>1</v>
      </c>
      <c r="F9504" s="7">
        <v>5933.77</v>
      </c>
      <c r="G9504">
        <v>0</v>
      </c>
      <c r="H9504" s="7">
        <v>0</v>
      </c>
    </row>
    <row r="9505" spans="1:8">
      <c r="A9505">
        <v>7</v>
      </c>
      <c r="B9505" t="s">
        <v>42</v>
      </c>
      <c r="C9505" t="s">
        <v>33</v>
      </c>
      <c r="D9505">
        <v>0</v>
      </c>
      <c r="E9505">
        <v>1</v>
      </c>
      <c r="F9505" s="7">
        <v>8012.89</v>
      </c>
      <c r="G9505">
        <v>0</v>
      </c>
      <c r="H9505" s="7">
        <v>0</v>
      </c>
    </row>
    <row r="9506" spans="1:8">
      <c r="A9506">
        <v>7</v>
      </c>
      <c r="B9506" t="s">
        <v>42</v>
      </c>
      <c r="C9506" t="s">
        <v>33</v>
      </c>
      <c r="D9506">
        <v>0</v>
      </c>
      <c r="E9506">
        <v>1</v>
      </c>
      <c r="F9506" s="7">
        <v>8384.24</v>
      </c>
      <c r="G9506">
        <v>0</v>
      </c>
      <c r="H9506" s="7">
        <v>0</v>
      </c>
    </row>
    <row r="9507" spans="1:8">
      <c r="A9507">
        <v>7</v>
      </c>
      <c r="B9507" t="s">
        <v>42</v>
      </c>
      <c r="C9507" t="s">
        <v>34</v>
      </c>
      <c r="D9507">
        <v>0</v>
      </c>
      <c r="E9507">
        <v>1</v>
      </c>
      <c r="F9507" s="7">
        <v>15252.67</v>
      </c>
      <c r="G9507">
        <v>0</v>
      </c>
      <c r="H9507" s="7">
        <v>0</v>
      </c>
    </row>
    <row r="9508" spans="1:8">
      <c r="A9508">
        <v>7</v>
      </c>
      <c r="B9508" t="s">
        <v>42</v>
      </c>
      <c r="C9508" t="s">
        <v>33</v>
      </c>
      <c r="D9508">
        <v>0</v>
      </c>
      <c r="E9508">
        <v>1</v>
      </c>
      <c r="F9508" s="7">
        <v>2226</v>
      </c>
      <c r="G9508">
        <v>0</v>
      </c>
      <c r="H9508" s="7">
        <v>0</v>
      </c>
    </row>
    <row r="9509" spans="1:8">
      <c r="A9509">
        <v>7</v>
      </c>
      <c r="B9509" t="s">
        <v>43</v>
      </c>
      <c r="C9509" t="s">
        <v>34</v>
      </c>
      <c r="D9509">
        <v>0</v>
      </c>
      <c r="E9509">
        <v>1</v>
      </c>
      <c r="F9509" s="7">
        <v>61824.71</v>
      </c>
      <c r="G9509">
        <v>0</v>
      </c>
      <c r="H9509" s="7">
        <v>0</v>
      </c>
    </row>
    <row r="9510" spans="1:8">
      <c r="A9510">
        <v>7</v>
      </c>
      <c r="B9510" t="s">
        <v>43</v>
      </c>
      <c r="C9510" t="s">
        <v>34</v>
      </c>
      <c r="D9510">
        <v>0</v>
      </c>
      <c r="E9510">
        <v>1</v>
      </c>
      <c r="F9510" s="7">
        <v>26544.65</v>
      </c>
      <c r="G9510">
        <v>0</v>
      </c>
      <c r="H9510" s="7">
        <v>0</v>
      </c>
    </row>
    <row r="9511" spans="1:8">
      <c r="A9511">
        <v>7</v>
      </c>
      <c r="B9511" t="s">
        <v>42</v>
      </c>
      <c r="C9511" t="s">
        <v>33</v>
      </c>
      <c r="D9511">
        <v>0</v>
      </c>
      <c r="E9511">
        <v>1</v>
      </c>
      <c r="F9511" s="7">
        <v>7859.42</v>
      </c>
      <c r="G9511">
        <v>0</v>
      </c>
      <c r="H9511" s="7">
        <v>0</v>
      </c>
    </row>
    <row r="9512" spans="1:8">
      <c r="A9512">
        <v>7</v>
      </c>
      <c r="B9512" t="s">
        <v>42</v>
      </c>
      <c r="C9512" t="s">
        <v>33</v>
      </c>
      <c r="D9512">
        <v>0</v>
      </c>
      <c r="E9512">
        <v>1</v>
      </c>
      <c r="F9512" s="7">
        <v>3051.93</v>
      </c>
      <c r="G9512">
        <v>0</v>
      </c>
      <c r="H9512" s="7">
        <v>0</v>
      </c>
    </row>
    <row r="9513" spans="1:8">
      <c r="A9513">
        <v>7</v>
      </c>
      <c r="B9513" t="s">
        <v>42</v>
      </c>
      <c r="C9513" t="s">
        <v>34</v>
      </c>
      <c r="D9513">
        <v>0</v>
      </c>
      <c r="E9513">
        <v>1</v>
      </c>
      <c r="F9513" s="7">
        <v>18152.45</v>
      </c>
      <c r="G9513">
        <v>0</v>
      </c>
      <c r="H9513" s="7">
        <v>0</v>
      </c>
    </row>
    <row r="9514" spans="1:8">
      <c r="A9514">
        <v>7</v>
      </c>
      <c r="B9514" t="s">
        <v>42</v>
      </c>
      <c r="C9514" t="s">
        <v>34</v>
      </c>
      <c r="D9514">
        <v>0</v>
      </c>
      <c r="E9514">
        <v>1</v>
      </c>
      <c r="F9514" s="7">
        <v>11591.3</v>
      </c>
      <c r="G9514">
        <v>0</v>
      </c>
      <c r="H9514" s="7">
        <v>0</v>
      </c>
    </row>
    <row r="9515" spans="1:8">
      <c r="A9515">
        <v>7</v>
      </c>
      <c r="B9515" t="s">
        <v>42</v>
      </c>
      <c r="C9515" t="s">
        <v>34</v>
      </c>
      <c r="D9515">
        <v>0</v>
      </c>
      <c r="E9515">
        <v>1</v>
      </c>
      <c r="F9515" s="7">
        <v>30772.28</v>
      </c>
      <c r="G9515">
        <v>0</v>
      </c>
      <c r="H9515" s="7">
        <v>0</v>
      </c>
    </row>
    <row r="9516" spans="1:8">
      <c r="A9516">
        <v>7</v>
      </c>
      <c r="B9516" t="s">
        <v>42</v>
      </c>
      <c r="C9516" t="s">
        <v>33</v>
      </c>
      <c r="D9516">
        <v>0</v>
      </c>
      <c r="E9516">
        <v>1</v>
      </c>
      <c r="F9516" s="7">
        <v>8971.91</v>
      </c>
      <c r="G9516">
        <v>0</v>
      </c>
      <c r="H9516" s="7">
        <v>0</v>
      </c>
    </row>
    <row r="9517" spans="1:8">
      <c r="A9517">
        <v>7</v>
      </c>
      <c r="B9517" t="s">
        <v>42</v>
      </c>
      <c r="C9517" t="s">
        <v>33</v>
      </c>
      <c r="D9517">
        <v>0</v>
      </c>
      <c r="E9517">
        <v>1</v>
      </c>
      <c r="F9517" s="7">
        <v>8728.69</v>
      </c>
      <c r="G9517">
        <v>0</v>
      </c>
      <c r="H9517" s="7">
        <v>0</v>
      </c>
    </row>
    <row r="9518" spans="1:8">
      <c r="A9518">
        <v>7</v>
      </c>
      <c r="B9518" t="s">
        <v>42</v>
      </c>
      <c r="C9518" t="s">
        <v>33</v>
      </c>
      <c r="D9518">
        <v>0</v>
      </c>
      <c r="E9518">
        <v>1</v>
      </c>
      <c r="F9518" s="7">
        <v>9782.98</v>
      </c>
      <c r="G9518">
        <v>0</v>
      </c>
      <c r="H9518" s="7">
        <v>0</v>
      </c>
    </row>
    <row r="9519" spans="1:8">
      <c r="A9519">
        <v>7</v>
      </c>
      <c r="B9519" t="s">
        <v>44</v>
      </c>
      <c r="C9519" t="s">
        <v>34</v>
      </c>
      <c r="D9519">
        <v>0</v>
      </c>
      <c r="E9519">
        <v>1</v>
      </c>
      <c r="F9519" s="7">
        <v>54120.86</v>
      </c>
      <c r="G9519">
        <v>0</v>
      </c>
      <c r="H9519" s="7">
        <v>0</v>
      </c>
    </row>
    <row r="9520" spans="1:8">
      <c r="A9520">
        <v>7</v>
      </c>
      <c r="B9520" t="s">
        <v>43</v>
      </c>
      <c r="C9520" t="s">
        <v>35</v>
      </c>
      <c r="D9520">
        <v>0</v>
      </c>
      <c r="E9520">
        <v>1</v>
      </c>
      <c r="F9520" s="7">
        <v>591002.43</v>
      </c>
      <c r="G9520">
        <v>0</v>
      </c>
      <c r="H9520" s="7">
        <v>0</v>
      </c>
    </row>
    <row r="9521" spans="1:8">
      <c r="A9521">
        <v>7</v>
      </c>
      <c r="B9521" t="s">
        <v>42</v>
      </c>
      <c r="C9521" t="s">
        <v>33</v>
      </c>
      <c r="D9521">
        <v>0</v>
      </c>
      <c r="E9521">
        <v>1</v>
      </c>
      <c r="F9521" s="7">
        <v>2012.08</v>
      </c>
      <c r="G9521">
        <v>0</v>
      </c>
      <c r="H9521" s="7">
        <v>0</v>
      </c>
    </row>
    <row r="9522" spans="1:8">
      <c r="A9522">
        <v>7</v>
      </c>
      <c r="B9522" t="s">
        <v>42</v>
      </c>
      <c r="C9522" t="s">
        <v>33</v>
      </c>
      <c r="D9522">
        <v>0</v>
      </c>
      <c r="E9522">
        <v>1</v>
      </c>
      <c r="F9522" s="7">
        <v>2273.35</v>
      </c>
      <c r="G9522">
        <v>0</v>
      </c>
      <c r="H9522" s="7">
        <v>0</v>
      </c>
    </row>
    <row r="9523" spans="1:8">
      <c r="A9523">
        <v>7</v>
      </c>
      <c r="B9523" t="s">
        <v>42</v>
      </c>
      <c r="C9523" t="s">
        <v>33</v>
      </c>
      <c r="D9523">
        <v>0</v>
      </c>
      <c r="E9523">
        <v>1</v>
      </c>
      <c r="F9523" s="7">
        <v>3810.43</v>
      </c>
      <c r="G9523">
        <v>0</v>
      </c>
      <c r="H9523" s="7">
        <v>0</v>
      </c>
    </row>
    <row r="9524" spans="1:8">
      <c r="A9524">
        <v>7</v>
      </c>
      <c r="B9524" t="s">
        <v>46</v>
      </c>
      <c r="C9524" t="s">
        <v>35</v>
      </c>
      <c r="D9524">
        <v>0</v>
      </c>
      <c r="E9524">
        <v>1</v>
      </c>
      <c r="F9524" s="7">
        <v>159441.76</v>
      </c>
      <c r="G9524">
        <v>0</v>
      </c>
      <c r="H9524" s="7">
        <v>0</v>
      </c>
    </row>
    <row r="9525" spans="1:8">
      <c r="A9525">
        <v>7</v>
      </c>
      <c r="B9525" t="s">
        <v>46</v>
      </c>
      <c r="C9525" t="s">
        <v>35</v>
      </c>
      <c r="D9525">
        <v>0</v>
      </c>
      <c r="E9525">
        <v>1</v>
      </c>
      <c r="F9525" s="7">
        <v>109182.14</v>
      </c>
      <c r="G9525">
        <v>0</v>
      </c>
      <c r="H9525" s="7">
        <v>0</v>
      </c>
    </row>
    <row r="9526" spans="1:8">
      <c r="A9526">
        <v>7</v>
      </c>
      <c r="B9526" t="s">
        <v>46</v>
      </c>
      <c r="C9526" t="s">
        <v>35</v>
      </c>
      <c r="D9526">
        <v>0</v>
      </c>
      <c r="E9526">
        <v>1</v>
      </c>
      <c r="F9526" s="7">
        <v>478430.17</v>
      </c>
      <c r="G9526">
        <v>0</v>
      </c>
      <c r="H9526" s="7">
        <v>0</v>
      </c>
    </row>
    <row r="9527" spans="1:8">
      <c r="A9527">
        <v>7</v>
      </c>
      <c r="B9527" t="s">
        <v>46</v>
      </c>
      <c r="C9527" t="s">
        <v>34</v>
      </c>
      <c r="D9527">
        <v>0</v>
      </c>
      <c r="E9527">
        <v>1</v>
      </c>
      <c r="F9527" s="7">
        <v>48883.87</v>
      </c>
      <c r="G9527">
        <v>0</v>
      </c>
      <c r="H9527" s="7">
        <v>0</v>
      </c>
    </row>
    <row r="9528" spans="1:8">
      <c r="A9528">
        <v>7</v>
      </c>
      <c r="B9528" t="s">
        <v>46</v>
      </c>
      <c r="C9528" t="s">
        <v>34</v>
      </c>
      <c r="D9528">
        <v>0</v>
      </c>
      <c r="E9528">
        <v>1</v>
      </c>
      <c r="F9528" s="7">
        <v>93766.05</v>
      </c>
      <c r="G9528">
        <v>0</v>
      </c>
      <c r="H9528" s="7">
        <v>0</v>
      </c>
    </row>
    <row r="9529" spans="1:8">
      <c r="A9529">
        <v>7</v>
      </c>
      <c r="B9529" t="s">
        <v>46</v>
      </c>
      <c r="C9529" t="s">
        <v>35</v>
      </c>
      <c r="D9529">
        <v>0</v>
      </c>
      <c r="E9529">
        <v>1</v>
      </c>
      <c r="F9529" s="7">
        <v>367834.87</v>
      </c>
      <c r="G9529">
        <v>0</v>
      </c>
      <c r="H9529" s="7">
        <v>0</v>
      </c>
    </row>
    <row r="9530" spans="1:8">
      <c r="A9530">
        <v>7</v>
      </c>
      <c r="B9530" t="s">
        <v>46</v>
      </c>
      <c r="C9530" t="s">
        <v>35</v>
      </c>
      <c r="D9530">
        <v>0</v>
      </c>
      <c r="E9530">
        <v>1</v>
      </c>
      <c r="F9530" s="7">
        <v>287937.99</v>
      </c>
      <c r="G9530">
        <v>0</v>
      </c>
      <c r="H9530" s="7">
        <v>0</v>
      </c>
    </row>
    <row r="9531" spans="1:8">
      <c r="A9531">
        <v>7</v>
      </c>
      <c r="B9531" t="s">
        <v>46</v>
      </c>
      <c r="C9531" t="s">
        <v>34</v>
      </c>
      <c r="D9531">
        <v>0</v>
      </c>
      <c r="E9531">
        <v>1</v>
      </c>
      <c r="F9531" s="7">
        <v>37360</v>
      </c>
      <c r="G9531">
        <v>0</v>
      </c>
      <c r="H9531" s="7">
        <v>0</v>
      </c>
    </row>
    <row r="9532" spans="1:8">
      <c r="A9532">
        <v>7</v>
      </c>
      <c r="B9532" t="s">
        <v>46</v>
      </c>
      <c r="C9532" t="s">
        <v>35</v>
      </c>
      <c r="D9532">
        <v>0</v>
      </c>
      <c r="E9532">
        <v>1</v>
      </c>
      <c r="F9532" s="7">
        <v>130417.04</v>
      </c>
      <c r="G9532">
        <v>0</v>
      </c>
      <c r="H9532" s="7">
        <v>0</v>
      </c>
    </row>
    <row r="9533" spans="1:8">
      <c r="A9533">
        <v>7</v>
      </c>
      <c r="B9533" t="s">
        <v>46</v>
      </c>
      <c r="C9533" t="s">
        <v>35</v>
      </c>
      <c r="D9533">
        <v>0</v>
      </c>
      <c r="E9533">
        <v>1</v>
      </c>
      <c r="F9533" s="7">
        <v>144711.18</v>
      </c>
      <c r="G9533">
        <v>0</v>
      </c>
      <c r="H9533" s="7">
        <v>0</v>
      </c>
    </row>
    <row r="9534" spans="1:8">
      <c r="A9534">
        <v>7</v>
      </c>
      <c r="B9534" t="s">
        <v>46</v>
      </c>
      <c r="C9534" t="s">
        <v>35</v>
      </c>
      <c r="D9534">
        <v>0</v>
      </c>
      <c r="E9534">
        <v>1</v>
      </c>
      <c r="F9534" s="7">
        <v>356514.11</v>
      </c>
      <c r="G9534">
        <v>0</v>
      </c>
      <c r="H9534" s="7">
        <v>0</v>
      </c>
    </row>
    <row r="9535" spans="1:8">
      <c r="A9535">
        <v>7</v>
      </c>
      <c r="B9535" t="s">
        <v>46</v>
      </c>
      <c r="C9535" t="s">
        <v>34</v>
      </c>
      <c r="D9535">
        <v>0</v>
      </c>
      <c r="E9535">
        <v>1</v>
      </c>
      <c r="F9535" s="7">
        <v>69970.41</v>
      </c>
      <c r="G9535">
        <v>0</v>
      </c>
      <c r="H9535" s="7">
        <v>0</v>
      </c>
    </row>
    <row r="9536" spans="1:8">
      <c r="A9536">
        <v>7</v>
      </c>
      <c r="B9536" t="s">
        <v>46</v>
      </c>
      <c r="C9536" t="s">
        <v>35</v>
      </c>
      <c r="D9536">
        <v>0</v>
      </c>
      <c r="E9536">
        <v>1</v>
      </c>
      <c r="F9536" s="7">
        <v>310052.3</v>
      </c>
      <c r="G9536">
        <v>0</v>
      </c>
      <c r="H9536" s="7">
        <v>0</v>
      </c>
    </row>
    <row r="9537" spans="1:8">
      <c r="A9537">
        <v>7</v>
      </c>
      <c r="B9537" t="s">
        <v>46</v>
      </c>
      <c r="C9537" t="s">
        <v>35</v>
      </c>
      <c r="D9537">
        <v>0</v>
      </c>
      <c r="E9537">
        <v>1</v>
      </c>
      <c r="F9537" s="7">
        <v>193934.43</v>
      </c>
      <c r="G9537">
        <v>0</v>
      </c>
      <c r="H9537" s="7">
        <v>0</v>
      </c>
    </row>
    <row r="9538" spans="1:8">
      <c r="A9538">
        <v>7</v>
      </c>
      <c r="B9538" t="s">
        <v>46</v>
      </c>
      <c r="C9538" t="s">
        <v>33</v>
      </c>
      <c r="D9538">
        <v>0</v>
      </c>
      <c r="E9538">
        <v>1</v>
      </c>
      <c r="F9538" s="7">
        <v>3414.74</v>
      </c>
      <c r="G9538">
        <v>0</v>
      </c>
      <c r="H9538" s="7">
        <v>0</v>
      </c>
    </row>
    <row r="9539" spans="1:8">
      <c r="A9539">
        <v>7</v>
      </c>
      <c r="B9539" t="s">
        <v>46</v>
      </c>
      <c r="C9539" t="s">
        <v>35</v>
      </c>
      <c r="D9539">
        <v>0</v>
      </c>
      <c r="E9539">
        <v>1</v>
      </c>
      <c r="F9539" s="7">
        <v>111325.33</v>
      </c>
      <c r="G9539">
        <v>0</v>
      </c>
      <c r="H9539" s="7">
        <v>0</v>
      </c>
    </row>
    <row r="9540" spans="1:8">
      <c r="A9540">
        <v>7</v>
      </c>
      <c r="B9540" t="s">
        <v>46</v>
      </c>
      <c r="C9540" t="s">
        <v>35</v>
      </c>
      <c r="D9540">
        <v>0</v>
      </c>
      <c r="E9540">
        <v>1</v>
      </c>
      <c r="F9540" s="7">
        <v>405114.48</v>
      </c>
      <c r="G9540">
        <v>0</v>
      </c>
      <c r="H9540" s="7">
        <v>0</v>
      </c>
    </row>
    <row r="9541" spans="1:8">
      <c r="A9541">
        <v>7</v>
      </c>
      <c r="B9541" t="s">
        <v>46</v>
      </c>
      <c r="C9541" t="s">
        <v>35</v>
      </c>
      <c r="D9541">
        <v>0</v>
      </c>
      <c r="E9541">
        <v>1</v>
      </c>
      <c r="F9541" s="7">
        <v>255660.11</v>
      </c>
      <c r="G9541">
        <v>0</v>
      </c>
      <c r="H9541" s="7">
        <v>0</v>
      </c>
    </row>
    <row r="9542" spans="1:8">
      <c r="A9542">
        <v>7</v>
      </c>
      <c r="B9542" t="s">
        <v>46</v>
      </c>
      <c r="C9542" t="s">
        <v>35</v>
      </c>
      <c r="D9542">
        <v>0</v>
      </c>
      <c r="E9542">
        <v>1</v>
      </c>
      <c r="F9542" s="7">
        <v>155673.42</v>
      </c>
      <c r="G9542">
        <v>0</v>
      </c>
      <c r="H9542" s="7">
        <v>0</v>
      </c>
    </row>
    <row r="9543" spans="1:8">
      <c r="A9543">
        <v>7</v>
      </c>
      <c r="B9543" t="s">
        <v>46</v>
      </c>
      <c r="C9543" t="s">
        <v>34</v>
      </c>
      <c r="D9543">
        <v>0</v>
      </c>
      <c r="E9543">
        <v>1</v>
      </c>
      <c r="F9543" s="7">
        <v>29679.97</v>
      </c>
      <c r="G9543">
        <v>0</v>
      </c>
      <c r="H9543" s="7">
        <v>0</v>
      </c>
    </row>
    <row r="9544" spans="1:8">
      <c r="A9544">
        <v>7</v>
      </c>
      <c r="B9544" t="s">
        <v>46</v>
      </c>
      <c r="C9544" t="s">
        <v>34</v>
      </c>
      <c r="D9544">
        <v>0</v>
      </c>
      <c r="E9544">
        <v>1</v>
      </c>
      <c r="F9544" s="7">
        <v>33516.07</v>
      </c>
      <c r="G9544">
        <v>0</v>
      </c>
      <c r="H9544" s="7">
        <v>0</v>
      </c>
    </row>
    <row r="9545" spans="1:8">
      <c r="A9545">
        <v>7</v>
      </c>
      <c r="B9545" t="s">
        <v>46</v>
      </c>
      <c r="C9545" t="s">
        <v>34</v>
      </c>
      <c r="D9545">
        <v>0</v>
      </c>
      <c r="E9545">
        <v>1</v>
      </c>
      <c r="F9545" s="7">
        <v>13795.35</v>
      </c>
      <c r="G9545">
        <v>0</v>
      </c>
      <c r="H9545" s="7">
        <v>0</v>
      </c>
    </row>
    <row r="9546" spans="1:8">
      <c r="A9546">
        <v>7</v>
      </c>
      <c r="B9546" t="s">
        <v>46</v>
      </c>
      <c r="C9546" t="s">
        <v>34</v>
      </c>
      <c r="D9546">
        <v>0</v>
      </c>
      <c r="E9546">
        <v>1</v>
      </c>
      <c r="F9546" s="7">
        <v>50785.92</v>
      </c>
      <c r="G9546">
        <v>0</v>
      </c>
      <c r="H9546" s="7">
        <v>0</v>
      </c>
    </row>
    <row r="9547" spans="1:8">
      <c r="A9547">
        <v>7</v>
      </c>
      <c r="B9547" t="s">
        <v>42</v>
      </c>
      <c r="C9547" t="s">
        <v>32</v>
      </c>
      <c r="D9547">
        <v>0</v>
      </c>
      <c r="E9547">
        <v>1</v>
      </c>
      <c r="F9547" s="7">
        <v>270.88</v>
      </c>
      <c r="G9547">
        <v>0</v>
      </c>
      <c r="H9547" s="7">
        <v>0</v>
      </c>
    </row>
    <row r="9548" spans="1:8">
      <c r="A9548">
        <v>7</v>
      </c>
      <c r="B9548" t="s">
        <v>43</v>
      </c>
      <c r="C9548" t="s">
        <v>35</v>
      </c>
      <c r="D9548">
        <v>0</v>
      </c>
      <c r="E9548">
        <v>1</v>
      </c>
      <c r="F9548" s="7">
        <v>529611.71</v>
      </c>
      <c r="G9548">
        <v>0</v>
      </c>
      <c r="H9548" s="7">
        <v>0</v>
      </c>
    </row>
    <row r="9549" spans="1:8">
      <c r="A9549">
        <v>7</v>
      </c>
      <c r="B9549" t="s">
        <v>42</v>
      </c>
      <c r="C9549" t="s">
        <v>32</v>
      </c>
      <c r="D9549">
        <v>0</v>
      </c>
      <c r="E9549">
        <v>1</v>
      </c>
      <c r="F9549" s="7">
        <v>295.31</v>
      </c>
      <c r="G9549">
        <v>0</v>
      </c>
      <c r="H9549" s="7">
        <v>0</v>
      </c>
    </row>
    <row r="9550" spans="1:8">
      <c r="A9550">
        <v>7</v>
      </c>
      <c r="B9550" t="s">
        <v>44</v>
      </c>
      <c r="C9550" t="s">
        <v>35</v>
      </c>
      <c r="D9550">
        <v>0</v>
      </c>
      <c r="E9550">
        <v>1</v>
      </c>
      <c r="F9550" s="7">
        <v>302788.52</v>
      </c>
      <c r="G9550">
        <v>0</v>
      </c>
      <c r="H9550" s="7">
        <v>0</v>
      </c>
    </row>
    <row r="9551" spans="1:8">
      <c r="A9551">
        <v>7</v>
      </c>
      <c r="B9551" t="s">
        <v>42</v>
      </c>
      <c r="C9551" t="s">
        <v>33</v>
      </c>
      <c r="D9551">
        <v>0</v>
      </c>
      <c r="E9551">
        <v>1</v>
      </c>
      <c r="F9551" s="7">
        <v>4536.73</v>
      </c>
      <c r="G9551">
        <v>0</v>
      </c>
      <c r="H9551" s="7">
        <v>0</v>
      </c>
    </row>
    <row r="9552" spans="1:8">
      <c r="A9552">
        <v>7</v>
      </c>
      <c r="B9552" t="s">
        <v>42</v>
      </c>
      <c r="C9552" t="s">
        <v>33</v>
      </c>
      <c r="D9552">
        <v>0</v>
      </c>
      <c r="E9552">
        <v>1</v>
      </c>
      <c r="F9552" s="7">
        <v>7481.86</v>
      </c>
      <c r="G9552">
        <v>0</v>
      </c>
      <c r="H9552" s="7">
        <v>0</v>
      </c>
    </row>
    <row r="9553" spans="1:8">
      <c r="A9553">
        <v>7</v>
      </c>
      <c r="B9553" t="s">
        <v>42</v>
      </c>
      <c r="C9553" t="s">
        <v>32</v>
      </c>
      <c r="D9553">
        <v>0</v>
      </c>
      <c r="E9553">
        <v>1</v>
      </c>
      <c r="F9553" s="7">
        <v>584.62</v>
      </c>
      <c r="G9553">
        <v>0</v>
      </c>
      <c r="H9553" s="7">
        <v>0</v>
      </c>
    </row>
    <row r="9554" spans="1:8">
      <c r="A9554">
        <v>7</v>
      </c>
      <c r="B9554" t="s">
        <v>44</v>
      </c>
      <c r="C9554" t="s">
        <v>35</v>
      </c>
      <c r="D9554">
        <v>0</v>
      </c>
      <c r="E9554">
        <v>1</v>
      </c>
      <c r="F9554" s="7">
        <v>371574.2</v>
      </c>
      <c r="G9554">
        <v>0</v>
      </c>
      <c r="H9554" s="7">
        <v>0</v>
      </c>
    </row>
    <row r="9555" spans="1:8">
      <c r="A9555">
        <v>7</v>
      </c>
      <c r="B9555" t="s">
        <v>42</v>
      </c>
      <c r="C9555" t="s">
        <v>33</v>
      </c>
      <c r="D9555">
        <v>0</v>
      </c>
      <c r="E9555">
        <v>1</v>
      </c>
      <c r="F9555" s="7">
        <v>1088.75</v>
      </c>
      <c r="G9555">
        <v>0</v>
      </c>
      <c r="H9555" s="7">
        <v>0</v>
      </c>
    </row>
    <row r="9556" spans="1:8">
      <c r="A9556">
        <v>7</v>
      </c>
      <c r="B9556" t="s">
        <v>45</v>
      </c>
      <c r="C9556" t="s">
        <v>33</v>
      </c>
      <c r="D9556">
        <v>0</v>
      </c>
      <c r="E9556">
        <v>1</v>
      </c>
      <c r="F9556" s="7">
        <v>1411.62</v>
      </c>
      <c r="G9556">
        <v>0</v>
      </c>
      <c r="H9556" s="7">
        <v>0</v>
      </c>
    </row>
    <row r="9557" spans="1:8">
      <c r="A9557">
        <v>7</v>
      </c>
      <c r="B9557" t="s">
        <v>42</v>
      </c>
      <c r="C9557" t="s">
        <v>32</v>
      </c>
      <c r="D9557">
        <v>0</v>
      </c>
      <c r="E9557">
        <v>1</v>
      </c>
      <c r="F9557" s="7">
        <v>922.93</v>
      </c>
      <c r="G9557">
        <v>0</v>
      </c>
      <c r="H9557" s="7">
        <v>0</v>
      </c>
    </row>
    <row r="9558" spans="1:8">
      <c r="A9558">
        <v>7</v>
      </c>
      <c r="B9558" t="s">
        <v>42</v>
      </c>
      <c r="C9558" t="s">
        <v>34</v>
      </c>
      <c r="D9558">
        <v>0</v>
      </c>
      <c r="E9558">
        <v>1</v>
      </c>
      <c r="F9558" s="7">
        <v>14290.67</v>
      </c>
      <c r="G9558">
        <v>0</v>
      </c>
      <c r="H9558" s="7">
        <v>0</v>
      </c>
    </row>
    <row r="9559" spans="1:8">
      <c r="A9559">
        <v>7</v>
      </c>
      <c r="B9559" t="s">
        <v>42</v>
      </c>
      <c r="C9559" t="s">
        <v>33</v>
      </c>
      <c r="D9559">
        <v>0</v>
      </c>
      <c r="E9559">
        <v>1</v>
      </c>
      <c r="F9559" s="7">
        <v>6876.93</v>
      </c>
      <c r="G9559">
        <v>0</v>
      </c>
      <c r="H9559" s="7">
        <v>0</v>
      </c>
    </row>
    <row r="9560" spans="1:8">
      <c r="A9560">
        <v>7</v>
      </c>
      <c r="B9560" t="s">
        <v>42</v>
      </c>
      <c r="C9560" t="s">
        <v>33</v>
      </c>
      <c r="D9560">
        <v>0</v>
      </c>
      <c r="E9560">
        <v>1</v>
      </c>
      <c r="F9560" s="7">
        <v>7669.67</v>
      </c>
      <c r="G9560">
        <v>0</v>
      </c>
      <c r="H9560" s="7">
        <v>0</v>
      </c>
    </row>
    <row r="9561" spans="1:8">
      <c r="A9561">
        <v>7</v>
      </c>
      <c r="B9561" t="s">
        <v>42</v>
      </c>
      <c r="C9561" t="s">
        <v>32</v>
      </c>
      <c r="D9561">
        <v>0</v>
      </c>
      <c r="E9561">
        <v>1</v>
      </c>
      <c r="F9561" s="7">
        <v>19.06</v>
      </c>
      <c r="G9561">
        <v>0</v>
      </c>
      <c r="H9561" s="7">
        <v>0</v>
      </c>
    </row>
    <row r="9562" spans="1:8">
      <c r="A9562">
        <v>7</v>
      </c>
      <c r="B9562" t="s">
        <v>42</v>
      </c>
      <c r="C9562" t="s">
        <v>33</v>
      </c>
      <c r="D9562">
        <v>0</v>
      </c>
      <c r="E9562">
        <v>1</v>
      </c>
      <c r="F9562" s="7">
        <v>3123.29</v>
      </c>
      <c r="G9562">
        <v>0</v>
      </c>
      <c r="H9562" s="7">
        <v>0</v>
      </c>
    </row>
    <row r="9563" spans="1:8">
      <c r="A9563">
        <v>7</v>
      </c>
      <c r="B9563" t="s">
        <v>43</v>
      </c>
      <c r="C9563" t="s">
        <v>35</v>
      </c>
      <c r="D9563">
        <v>0</v>
      </c>
      <c r="E9563">
        <v>1</v>
      </c>
      <c r="F9563" s="7">
        <v>388950.76</v>
      </c>
      <c r="G9563">
        <v>0</v>
      </c>
      <c r="H9563" s="7">
        <v>0</v>
      </c>
    </row>
    <row r="9564" spans="1:8">
      <c r="A9564">
        <v>7</v>
      </c>
      <c r="B9564" t="s">
        <v>42</v>
      </c>
      <c r="C9564" t="s">
        <v>34</v>
      </c>
      <c r="D9564">
        <v>0</v>
      </c>
      <c r="E9564">
        <v>1</v>
      </c>
      <c r="F9564" s="7">
        <v>13439.35</v>
      </c>
      <c r="G9564">
        <v>0</v>
      </c>
      <c r="H9564" s="7">
        <v>0</v>
      </c>
    </row>
    <row r="9565" spans="1:8">
      <c r="A9565">
        <v>7</v>
      </c>
      <c r="B9565" t="s">
        <v>45</v>
      </c>
      <c r="C9565" t="s">
        <v>33</v>
      </c>
      <c r="D9565">
        <v>0</v>
      </c>
      <c r="E9565">
        <v>1</v>
      </c>
      <c r="F9565" s="7">
        <v>6508.96</v>
      </c>
      <c r="G9565">
        <v>0</v>
      </c>
      <c r="H9565" s="7">
        <v>0</v>
      </c>
    </row>
    <row r="9566" spans="1:8">
      <c r="A9566">
        <v>7</v>
      </c>
      <c r="B9566" t="s">
        <v>42</v>
      </c>
      <c r="C9566" t="s">
        <v>34</v>
      </c>
      <c r="D9566">
        <v>0</v>
      </c>
      <c r="E9566">
        <v>1</v>
      </c>
      <c r="F9566" s="7">
        <v>10751.65</v>
      </c>
      <c r="G9566">
        <v>0</v>
      </c>
      <c r="H9566" s="7">
        <v>0</v>
      </c>
    </row>
    <row r="9567" spans="1:8">
      <c r="A9567">
        <v>7</v>
      </c>
      <c r="B9567" t="s">
        <v>42</v>
      </c>
      <c r="C9567" t="s">
        <v>33</v>
      </c>
      <c r="D9567">
        <v>0</v>
      </c>
      <c r="E9567">
        <v>1</v>
      </c>
      <c r="F9567" s="7">
        <v>3772.29</v>
      </c>
      <c r="G9567">
        <v>0</v>
      </c>
      <c r="H9567" s="7">
        <v>0</v>
      </c>
    </row>
    <row r="9568" spans="1:8">
      <c r="A9568">
        <v>7</v>
      </c>
      <c r="B9568" t="s">
        <v>42</v>
      </c>
      <c r="C9568" t="s">
        <v>34</v>
      </c>
      <c r="D9568">
        <v>0</v>
      </c>
      <c r="E9568">
        <v>1</v>
      </c>
      <c r="F9568" s="7">
        <v>26470.27</v>
      </c>
      <c r="G9568">
        <v>0</v>
      </c>
      <c r="H9568" s="7">
        <v>0</v>
      </c>
    </row>
    <row r="9569" spans="1:8">
      <c r="A9569">
        <v>7</v>
      </c>
      <c r="B9569" t="s">
        <v>42</v>
      </c>
      <c r="C9569" t="s">
        <v>33</v>
      </c>
      <c r="D9569">
        <v>0</v>
      </c>
      <c r="E9569">
        <v>1</v>
      </c>
      <c r="F9569" s="7">
        <v>8609.96</v>
      </c>
      <c r="G9569">
        <v>0</v>
      </c>
      <c r="H9569" s="7">
        <v>0</v>
      </c>
    </row>
    <row r="9570" spans="1:8">
      <c r="A9570">
        <v>7</v>
      </c>
      <c r="B9570" t="s">
        <v>42</v>
      </c>
      <c r="C9570" t="s">
        <v>33</v>
      </c>
      <c r="D9570">
        <v>0</v>
      </c>
      <c r="E9570">
        <v>1</v>
      </c>
      <c r="F9570" s="7">
        <v>3090.43</v>
      </c>
      <c r="G9570">
        <v>0</v>
      </c>
      <c r="H9570" s="7">
        <v>0</v>
      </c>
    </row>
    <row r="9571" spans="1:8">
      <c r="A9571">
        <v>7</v>
      </c>
      <c r="B9571" t="s">
        <v>42</v>
      </c>
      <c r="C9571" t="s">
        <v>33</v>
      </c>
      <c r="D9571">
        <v>0</v>
      </c>
      <c r="E9571">
        <v>1</v>
      </c>
      <c r="F9571" s="7">
        <v>4605.97</v>
      </c>
      <c r="G9571">
        <v>0</v>
      </c>
      <c r="H9571" s="7">
        <v>0</v>
      </c>
    </row>
    <row r="9572" spans="1:8">
      <c r="A9572">
        <v>7</v>
      </c>
      <c r="B9572" t="s">
        <v>42</v>
      </c>
      <c r="C9572" t="s">
        <v>33</v>
      </c>
      <c r="D9572">
        <v>0</v>
      </c>
      <c r="E9572">
        <v>1</v>
      </c>
      <c r="F9572" s="7">
        <v>5664.36</v>
      </c>
      <c r="G9572">
        <v>0</v>
      </c>
      <c r="H9572" s="7">
        <v>0</v>
      </c>
    </row>
    <row r="9573" spans="1:8">
      <c r="A9573">
        <v>7</v>
      </c>
      <c r="B9573" t="s">
        <v>42</v>
      </c>
      <c r="C9573" t="s">
        <v>33</v>
      </c>
      <c r="D9573">
        <v>0</v>
      </c>
      <c r="E9573">
        <v>1</v>
      </c>
      <c r="F9573" s="7">
        <v>7510.32</v>
      </c>
      <c r="G9573">
        <v>0</v>
      </c>
      <c r="H9573" s="7">
        <v>0</v>
      </c>
    </row>
    <row r="9574" spans="1:8">
      <c r="A9574">
        <v>7</v>
      </c>
      <c r="B9574" t="s">
        <v>42</v>
      </c>
      <c r="C9574" t="s">
        <v>33</v>
      </c>
      <c r="D9574">
        <v>0</v>
      </c>
      <c r="E9574">
        <v>1</v>
      </c>
      <c r="F9574" s="7">
        <v>6132.71</v>
      </c>
      <c r="G9574">
        <v>0</v>
      </c>
      <c r="H9574" s="7">
        <v>0</v>
      </c>
    </row>
    <row r="9575" spans="1:8">
      <c r="A9575">
        <v>7</v>
      </c>
      <c r="B9575" t="s">
        <v>42</v>
      </c>
      <c r="C9575" t="s">
        <v>33</v>
      </c>
      <c r="D9575">
        <v>0</v>
      </c>
      <c r="E9575">
        <v>1</v>
      </c>
      <c r="F9575" s="7">
        <v>4841.21</v>
      </c>
      <c r="G9575">
        <v>0</v>
      </c>
      <c r="H9575" s="7">
        <v>0</v>
      </c>
    </row>
    <row r="9576" spans="1:8">
      <c r="A9576">
        <v>7</v>
      </c>
      <c r="B9576" t="s">
        <v>42</v>
      </c>
      <c r="C9576" t="s">
        <v>34</v>
      </c>
      <c r="D9576">
        <v>0</v>
      </c>
      <c r="E9576">
        <v>1</v>
      </c>
      <c r="F9576" s="7">
        <v>13019.49</v>
      </c>
      <c r="G9576">
        <v>0</v>
      </c>
      <c r="H9576" s="7">
        <v>0</v>
      </c>
    </row>
    <row r="9577" spans="1:8">
      <c r="A9577">
        <v>7</v>
      </c>
      <c r="B9577" t="s">
        <v>42</v>
      </c>
      <c r="C9577" t="s">
        <v>34</v>
      </c>
      <c r="D9577">
        <v>0</v>
      </c>
      <c r="E9577">
        <v>1</v>
      </c>
      <c r="F9577" s="7">
        <v>15430</v>
      </c>
      <c r="G9577">
        <v>0</v>
      </c>
      <c r="H9577" s="7">
        <v>0</v>
      </c>
    </row>
    <row r="9578" spans="1:8">
      <c r="A9578">
        <v>7</v>
      </c>
      <c r="B9578" t="s">
        <v>42</v>
      </c>
      <c r="C9578" t="s">
        <v>34</v>
      </c>
      <c r="D9578">
        <v>0</v>
      </c>
      <c r="E9578">
        <v>1</v>
      </c>
      <c r="F9578" s="7">
        <v>16751.47</v>
      </c>
      <c r="G9578">
        <v>0</v>
      </c>
      <c r="H9578" s="7">
        <v>0</v>
      </c>
    </row>
    <row r="9579" spans="1:8">
      <c r="A9579">
        <v>7</v>
      </c>
      <c r="B9579" t="s">
        <v>42</v>
      </c>
      <c r="C9579" t="s">
        <v>32</v>
      </c>
      <c r="D9579">
        <v>0</v>
      </c>
      <c r="E9579">
        <v>1</v>
      </c>
      <c r="F9579" s="7">
        <v>411.33</v>
      </c>
      <c r="G9579">
        <v>0</v>
      </c>
      <c r="H9579" s="7">
        <v>0</v>
      </c>
    </row>
    <row r="9580" spans="1:8">
      <c r="A9580">
        <v>7</v>
      </c>
      <c r="B9580" t="s">
        <v>42</v>
      </c>
      <c r="C9580" t="s">
        <v>34</v>
      </c>
      <c r="D9580">
        <v>0</v>
      </c>
      <c r="E9580">
        <v>1</v>
      </c>
      <c r="F9580" s="7">
        <v>14688.56</v>
      </c>
      <c r="G9580">
        <v>0</v>
      </c>
      <c r="H9580" s="7">
        <v>0</v>
      </c>
    </row>
    <row r="9581" spans="1:8">
      <c r="A9581">
        <v>7</v>
      </c>
      <c r="B9581" t="s">
        <v>42</v>
      </c>
      <c r="C9581" t="s">
        <v>33</v>
      </c>
      <c r="D9581">
        <v>0</v>
      </c>
      <c r="E9581">
        <v>1</v>
      </c>
      <c r="F9581" s="7">
        <v>1770.69</v>
      </c>
      <c r="G9581">
        <v>0</v>
      </c>
      <c r="H9581" s="7">
        <v>0</v>
      </c>
    </row>
    <row r="9582" spans="1:8">
      <c r="A9582">
        <v>7</v>
      </c>
      <c r="B9582" t="s">
        <v>42</v>
      </c>
      <c r="C9582" t="s">
        <v>33</v>
      </c>
      <c r="D9582">
        <v>0</v>
      </c>
      <c r="E9582">
        <v>1</v>
      </c>
      <c r="F9582" s="7">
        <v>8782.04</v>
      </c>
      <c r="G9582">
        <v>0</v>
      </c>
      <c r="H9582" s="7">
        <v>0</v>
      </c>
    </row>
    <row r="9583" spans="1:8">
      <c r="A9583">
        <v>7</v>
      </c>
      <c r="B9583" t="s">
        <v>42</v>
      </c>
      <c r="C9583" t="s">
        <v>33</v>
      </c>
      <c r="D9583">
        <v>0</v>
      </c>
      <c r="E9583">
        <v>1</v>
      </c>
      <c r="F9583" s="7">
        <v>8471.49</v>
      </c>
      <c r="G9583">
        <v>0</v>
      </c>
      <c r="H9583" s="7">
        <v>0</v>
      </c>
    </row>
    <row r="9584" spans="1:8">
      <c r="A9584">
        <v>7</v>
      </c>
      <c r="B9584" t="s">
        <v>42</v>
      </c>
      <c r="C9584" t="s">
        <v>34</v>
      </c>
      <c r="D9584">
        <v>0</v>
      </c>
      <c r="E9584">
        <v>1</v>
      </c>
      <c r="F9584" s="7">
        <v>34061.71</v>
      </c>
      <c r="G9584">
        <v>0</v>
      </c>
      <c r="H9584" s="7">
        <v>0</v>
      </c>
    </row>
    <row r="9585" spans="1:8">
      <c r="A9585">
        <v>7</v>
      </c>
      <c r="B9585" t="s">
        <v>42</v>
      </c>
      <c r="C9585" t="s">
        <v>34</v>
      </c>
      <c r="D9585">
        <v>0</v>
      </c>
      <c r="E9585">
        <v>1</v>
      </c>
      <c r="F9585" s="7">
        <v>10386.18</v>
      </c>
      <c r="G9585">
        <v>0</v>
      </c>
      <c r="H9585" s="7">
        <v>0</v>
      </c>
    </row>
    <row r="9586" spans="1:8">
      <c r="A9586">
        <v>7</v>
      </c>
      <c r="B9586" t="s">
        <v>42</v>
      </c>
      <c r="C9586" t="s">
        <v>34</v>
      </c>
      <c r="D9586">
        <v>0</v>
      </c>
      <c r="E9586">
        <v>1</v>
      </c>
      <c r="F9586" s="7">
        <v>18068.4</v>
      </c>
      <c r="G9586">
        <v>0</v>
      </c>
      <c r="H9586" s="7">
        <v>0</v>
      </c>
    </row>
    <row r="9587" spans="1:8">
      <c r="A9587">
        <v>7</v>
      </c>
      <c r="B9587" t="s">
        <v>42</v>
      </c>
      <c r="C9587" t="s">
        <v>33</v>
      </c>
      <c r="D9587">
        <v>0</v>
      </c>
      <c r="E9587">
        <v>1</v>
      </c>
      <c r="F9587" s="7">
        <v>6185.97</v>
      </c>
      <c r="G9587">
        <v>0</v>
      </c>
      <c r="H9587" s="7">
        <v>0</v>
      </c>
    </row>
    <row r="9588" spans="1:8">
      <c r="A9588">
        <v>7</v>
      </c>
      <c r="B9588" t="s">
        <v>42</v>
      </c>
      <c r="C9588" t="s">
        <v>34</v>
      </c>
      <c r="D9588">
        <v>0</v>
      </c>
      <c r="E9588">
        <v>1</v>
      </c>
      <c r="F9588" s="7">
        <v>14503.64</v>
      </c>
      <c r="G9588">
        <v>0</v>
      </c>
      <c r="H9588" s="7">
        <v>0</v>
      </c>
    </row>
    <row r="9589" spans="1:8">
      <c r="A9589">
        <v>7</v>
      </c>
      <c r="B9589" t="s">
        <v>42</v>
      </c>
      <c r="C9589" t="s">
        <v>33</v>
      </c>
      <c r="D9589">
        <v>0</v>
      </c>
      <c r="E9589">
        <v>1</v>
      </c>
      <c r="F9589" s="7">
        <v>9665.85</v>
      </c>
      <c r="G9589">
        <v>0</v>
      </c>
      <c r="H9589" s="7">
        <v>0</v>
      </c>
    </row>
    <row r="9590" spans="1:8">
      <c r="A9590">
        <v>7</v>
      </c>
      <c r="B9590" t="s">
        <v>42</v>
      </c>
      <c r="C9590" t="s">
        <v>32</v>
      </c>
      <c r="D9590">
        <v>0</v>
      </c>
      <c r="E9590">
        <v>1</v>
      </c>
      <c r="F9590" s="7">
        <v>309.12</v>
      </c>
      <c r="G9590">
        <v>0</v>
      </c>
      <c r="H9590" s="7">
        <v>0</v>
      </c>
    </row>
    <row r="9591" spans="1:8">
      <c r="A9591">
        <v>7</v>
      </c>
      <c r="B9591" t="s">
        <v>42</v>
      </c>
      <c r="C9591" t="s">
        <v>34</v>
      </c>
      <c r="D9591">
        <v>0</v>
      </c>
      <c r="E9591">
        <v>1</v>
      </c>
      <c r="F9591" s="7">
        <v>17320.1</v>
      </c>
      <c r="G9591">
        <v>0</v>
      </c>
      <c r="H9591" s="7">
        <v>0</v>
      </c>
    </row>
    <row r="9592" spans="1:8">
      <c r="A9592">
        <v>7</v>
      </c>
      <c r="B9592" t="s">
        <v>42</v>
      </c>
      <c r="C9592" t="s">
        <v>34</v>
      </c>
      <c r="D9592">
        <v>0</v>
      </c>
      <c r="E9592">
        <v>1</v>
      </c>
      <c r="F9592" s="7">
        <v>12073.8</v>
      </c>
      <c r="G9592">
        <v>0</v>
      </c>
      <c r="H9592" s="7">
        <v>0</v>
      </c>
    </row>
    <row r="9593" spans="1:8">
      <c r="A9593">
        <v>7</v>
      </c>
      <c r="B9593" t="s">
        <v>42</v>
      </c>
      <c r="C9593" t="s">
        <v>32</v>
      </c>
      <c r="D9593">
        <v>0</v>
      </c>
      <c r="E9593">
        <v>1</v>
      </c>
      <c r="F9593" s="7">
        <v>142.36</v>
      </c>
      <c r="G9593">
        <v>0</v>
      </c>
      <c r="H9593" s="7">
        <v>0</v>
      </c>
    </row>
    <row r="9594" spans="1:8">
      <c r="A9594">
        <v>7</v>
      </c>
      <c r="B9594" t="s">
        <v>42</v>
      </c>
      <c r="C9594" t="s">
        <v>33</v>
      </c>
      <c r="D9594">
        <v>0</v>
      </c>
      <c r="E9594">
        <v>1</v>
      </c>
      <c r="F9594" s="7">
        <v>2885.37</v>
      </c>
      <c r="G9594">
        <v>0</v>
      </c>
      <c r="H9594" s="7">
        <v>0</v>
      </c>
    </row>
    <row r="9595" spans="1:8">
      <c r="A9595">
        <v>7</v>
      </c>
      <c r="B9595" t="s">
        <v>42</v>
      </c>
      <c r="C9595" t="s">
        <v>33</v>
      </c>
      <c r="D9595">
        <v>0</v>
      </c>
      <c r="E9595">
        <v>1</v>
      </c>
      <c r="F9595" s="7">
        <v>1058.74</v>
      </c>
      <c r="G9595">
        <v>0</v>
      </c>
      <c r="H9595" s="7">
        <v>0</v>
      </c>
    </row>
    <row r="9596" spans="1:8">
      <c r="A9596">
        <v>7</v>
      </c>
      <c r="B9596" t="s">
        <v>44</v>
      </c>
      <c r="C9596" t="s">
        <v>34</v>
      </c>
      <c r="D9596">
        <v>0</v>
      </c>
      <c r="E9596">
        <v>1</v>
      </c>
      <c r="F9596" s="7">
        <v>44762.67</v>
      </c>
      <c r="G9596">
        <v>0</v>
      </c>
      <c r="H9596" s="7">
        <v>0</v>
      </c>
    </row>
    <row r="9597" spans="1:8">
      <c r="A9597">
        <v>7</v>
      </c>
      <c r="B9597" t="s">
        <v>42</v>
      </c>
      <c r="C9597" t="s">
        <v>33</v>
      </c>
      <c r="D9597">
        <v>0</v>
      </c>
      <c r="E9597">
        <v>1</v>
      </c>
      <c r="F9597" s="7">
        <v>9208.1</v>
      </c>
      <c r="G9597">
        <v>0</v>
      </c>
      <c r="H9597" s="7">
        <v>0</v>
      </c>
    </row>
    <row r="9598" spans="1:8">
      <c r="A9598">
        <v>7</v>
      </c>
      <c r="B9598" t="s">
        <v>42</v>
      </c>
      <c r="C9598" t="s">
        <v>33</v>
      </c>
      <c r="D9598">
        <v>0</v>
      </c>
      <c r="E9598">
        <v>1</v>
      </c>
      <c r="F9598" s="7">
        <v>8690.52</v>
      </c>
      <c r="G9598">
        <v>0</v>
      </c>
      <c r="H9598" s="7">
        <v>0</v>
      </c>
    </row>
    <row r="9599" spans="1:8">
      <c r="A9599">
        <v>7</v>
      </c>
      <c r="B9599" t="s">
        <v>42</v>
      </c>
      <c r="C9599" t="s">
        <v>34</v>
      </c>
      <c r="D9599">
        <v>0</v>
      </c>
      <c r="E9599">
        <v>1</v>
      </c>
      <c r="F9599" s="7">
        <v>12999.83</v>
      </c>
      <c r="G9599">
        <v>0</v>
      </c>
      <c r="H9599" s="7">
        <v>0</v>
      </c>
    </row>
    <row r="9600" spans="1:8">
      <c r="A9600">
        <v>7</v>
      </c>
      <c r="B9600" t="s">
        <v>42</v>
      </c>
      <c r="C9600" t="s">
        <v>34</v>
      </c>
      <c r="D9600">
        <v>0</v>
      </c>
      <c r="E9600">
        <v>1</v>
      </c>
      <c r="F9600" s="7">
        <v>16898.93</v>
      </c>
      <c r="G9600">
        <v>0</v>
      </c>
      <c r="H9600" s="7">
        <v>0</v>
      </c>
    </row>
    <row r="9601" spans="1:8">
      <c r="A9601">
        <v>7</v>
      </c>
      <c r="B9601" t="s">
        <v>42</v>
      </c>
      <c r="C9601" t="s">
        <v>33</v>
      </c>
      <c r="D9601">
        <v>0</v>
      </c>
      <c r="E9601">
        <v>1</v>
      </c>
      <c r="F9601" s="7">
        <v>2212.69</v>
      </c>
      <c r="G9601">
        <v>0</v>
      </c>
      <c r="H9601" s="7">
        <v>0</v>
      </c>
    </row>
    <row r="9602" spans="1:8">
      <c r="A9602">
        <v>7</v>
      </c>
      <c r="B9602" t="s">
        <v>42</v>
      </c>
      <c r="C9602" t="s">
        <v>33</v>
      </c>
      <c r="D9602">
        <v>0</v>
      </c>
      <c r="E9602">
        <v>1</v>
      </c>
      <c r="F9602" s="7">
        <v>7388.49</v>
      </c>
      <c r="G9602">
        <v>0</v>
      </c>
      <c r="H9602" s="7">
        <v>0</v>
      </c>
    </row>
    <row r="9603" spans="1:8">
      <c r="A9603">
        <v>7</v>
      </c>
      <c r="B9603" t="s">
        <v>42</v>
      </c>
      <c r="C9603" t="s">
        <v>33</v>
      </c>
      <c r="D9603">
        <v>0</v>
      </c>
      <c r="E9603">
        <v>1</v>
      </c>
      <c r="F9603" s="7">
        <v>6488.26</v>
      </c>
      <c r="G9603">
        <v>0</v>
      </c>
      <c r="H9603" s="7">
        <v>0</v>
      </c>
    </row>
    <row r="9604" spans="1:8">
      <c r="A9604">
        <v>7</v>
      </c>
      <c r="B9604" t="s">
        <v>46</v>
      </c>
      <c r="C9604" t="s">
        <v>35</v>
      </c>
      <c r="D9604">
        <v>0</v>
      </c>
      <c r="E9604">
        <v>1</v>
      </c>
      <c r="F9604" s="7">
        <v>152896.27</v>
      </c>
      <c r="G9604">
        <v>0</v>
      </c>
      <c r="H9604" s="7">
        <v>0</v>
      </c>
    </row>
    <row r="9605" spans="1:8">
      <c r="A9605">
        <v>7</v>
      </c>
      <c r="B9605" t="s">
        <v>42</v>
      </c>
      <c r="C9605" t="s">
        <v>33</v>
      </c>
      <c r="D9605">
        <v>0</v>
      </c>
      <c r="E9605">
        <v>1</v>
      </c>
      <c r="F9605" s="7">
        <v>2134.97</v>
      </c>
      <c r="G9605">
        <v>0</v>
      </c>
      <c r="H9605" s="7">
        <v>0</v>
      </c>
    </row>
    <row r="9606" spans="1:8">
      <c r="A9606">
        <v>7</v>
      </c>
      <c r="B9606" t="s">
        <v>42</v>
      </c>
      <c r="C9606" t="s">
        <v>33</v>
      </c>
      <c r="D9606">
        <v>0</v>
      </c>
      <c r="E9606">
        <v>1</v>
      </c>
      <c r="F9606" s="7">
        <v>6913.08</v>
      </c>
      <c r="G9606">
        <v>0</v>
      </c>
      <c r="H9606" s="7">
        <v>0</v>
      </c>
    </row>
    <row r="9607" spans="1:8">
      <c r="A9607">
        <v>7</v>
      </c>
      <c r="B9607" t="s">
        <v>42</v>
      </c>
      <c r="C9607" t="s">
        <v>33</v>
      </c>
      <c r="D9607">
        <v>0</v>
      </c>
      <c r="E9607">
        <v>1</v>
      </c>
      <c r="F9607" s="7">
        <v>6650.58</v>
      </c>
      <c r="G9607">
        <v>0</v>
      </c>
      <c r="H9607" s="7">
        <v>0</v>
      </c>
    </row>
    <row r="9608" spans="1:8">
      <c r="A9608">
        <v>7</v>
      </c>
      <c r="B9608" t="s">
        <v>42</v>
      </c>
      <c r="C9608" t="s">
        <v>34</v>
      </c>
      <c r="D9608">
        <v>0</v>
      </c>
      <c r="E9608">
        <v>1</v>
      </c>
      <c r="F9608" s="7">
        <v>14995.9</v>
      </c>
      <c r="G9608">
        <v>0</v>
      </c>
      <c r="H9608" s="7">
        <v>0</v>
      </c>
    </row>
    <row r="9609" spans="1:8">
      <c r="A9609">
        <v>7</v>
      </c>
      <c r="B9609" t="s">
        <v>42</v>
      </c>
      <c r="C9609" t="s">
        <v>34</v>
      </c>
      <c r="D9609">
        <v>0</v>
      </c>
      <c r="E9609">
        <v>1</v>
      </c>
      <c r="F9609" s="7">
        <v>39000.87</v>
      </c>
      <c r="G9609">
        <v>0</v>
      </c>
      <c r="H9609" s="7">
        <v>0</v>
      </c>
    </row>
    <row r="9610" spans="1:8">
      <c r="A9610">
        <v>7</v>
      </c>
      <c r="B9610" t="s">
        <v>43</v>
      </c>
      <c r="C9610" t="s">
        <v>35</v>
      </c>
      <c r="D9610">
        <v>0</v>
      </c>
      <c r="E9610">
        <v>1</v>
      </c>
      <c r="F9610" s="7">
        <v>528622.86</v>
      </c>
      <c r="G9610">
        <v>0</v>
      </c>
      <c r="H9610" s="7">
        <v>0</v>
      </c>
    </row>
    <row r="9611" spans="1:8">
      <c r="A9611">
        <v>7</v>
      </c>
      <c r="B9611" t="s">
        <v>42</v>
      </c>
      <c r="C9611" t="s">
        <v>33</v>
      </c>
      <c r="D9611">
        <v>0</v>
      </c>
      <c r="E9611">
        <v>1</v>
      </c>
      <c r="F9611" s="7">
        <v>1089.98</v>
      </c>
      <c r="G9611">
        <v>0</v>
      </c>
      <c r="H9611" s="7">
        <v>0</v>
      </c>
    </row>
    <row r="9612" spans="1:8">
      <c r="A9612">
        <v>7</v>
      </c>
      <c r="B9612" t="s">
        <v>42</v>
      </c>
      <c r="C9612" t="s">
        <v>34</v>
      </c>
      <c r="D9612">
        <v>0</v>
      </c>
      <c r="E9612">
        <v>1</v>
      </c>
      <c r="F9612" s="7">
        <v>10526.04</v>
      </c>
      <c r="G9612">
        <v>0</v>
      </c>
      <c r="H9612" s="7">
        <v>0</v>
      </c>
    </row>
    <row r="9613" spans="1:8">
      <c r="A9613">
        <v>7</v>
      </c>
      <c r="B9613" t="s">
        <v>42</v>
      </c>
      <c r="C9613" t="s">
        <v>34</v>
      </c>
      <c r="D9613">
        <v>0</v>
      </c>
      <c r="E9613">
        <v>1</v>
      </c>
      <c r="F9613" s="7">
        <v>11178.56</v>
      </c>
      <c r="G9613">
        <v>0</v>
      </c>
      <c r="H9613" s="7">
        <v>0</v>
      </c>
    </row>
    <row r="9614" spans="1:8">
      <c r="A9614">
        <v>7</v>
      </c>
      <c r="B9614" t="s">
        <v>42</v>
      </c>
      <c r="C9614" t="s">
        <v>34</v>
      </c>
      <c r="D9614">
        <v>0</v>
      </c>
      <c r="E9614">
        <v>1</v>
      </c>
      <c r="F9614" s="7">
        <v>10808.71</v>
      </c>
      <c r="G9614">
        <v>0</v>
      </c>
      <c r="H9614" s="7">
        <v>0</v>
      </c>
    </row>
    <row r="9615" spans="1:8">
      <c r="A9615">
        <v>7</v>
      </c>
      <c r="B9615" t="s">
        <v>42</v>
      </c>
      <c r="C9615" t="s">
        <v>34</v>
      </c>
      <c r="D9615">
        <v>0</v>
      </c>
      <c r="E9615">
        <v>1</v>
      </c>
      <c r="F9615" s="7">
        <v>15527.03</v>
      </c>
      <c r="G9615">
        <v>0</v>
      </c>
      <c r="H9615" s="7">
        <v>0</v>
      </c>
    </row>
    <row r="9616" spans="1:8">
      <c r="A9616">
        <v>7</v>
      </c>
      <c r="B9616" t="s">
        <v>44</v>
      </c>
      <c r="C9616" t="s">
        <v>35</v>
      </c>
      <c r="D9616">
        <v>0</v>
      </c>
      <c r="E9616">
        <v>1</v>
      </c>
      <c r="F9616" s="7">
        <v>125132</v>
      </c>
      <c r="G9616">
        <v>0</v>
      </c>
      <c r="H9616" s="7">
        <v>0</v>
      </c>
    </row>
    <row r="9617" spans="1:8">
      <c r="A9617">
        <v>7</v>
      </c>
      <c r="B9617" t="s">
        <v>42</v>
      </c>
      <c r="C9617" t="s">
        <v>33</v>
      </c>
      <c r="D9617">
        <v>0</v>
      </c>
      <c r="E9617">
        <v>1</v>
      </c>
      <c r="F9617" s="7">
        <v>4461.48</v>
      </c>
      <c r="G9617">
        <v>0</v>
      </c>
      <c r="H9617" s="7">
        <v>0</v>
      </c>
    </row>
    <row r="9618" spans="1:8">
      <c r="A9618">
        <v>7</v>
      </c>
      <c r="B9618" t="s">
        <v>42</v>
      </c>
      <c r="C9618" t="s">
        <v>33</v>
      </c>
      <c r="D9618">
        <v>0</v>
      </c>
      <c r="E9618">
        <v>1</v>
      </c>
      <c r="F9618" s="7">
        <v>3702.39</v>
      </c>
      <c r="G9618">
        <v>0</v>
      </c>
      <c r="H9618" s="7">
        <v>0</v>
      </c>
    </row>
    <row r="9619" spans="1:8">
      <c r="A9619">
        <v>7</v>
      </c>
      <c r="B9619" t="s">
        <v>42</v>
      </c>
      <c r="C9619" t="s">
        <v>32</v>
      </c>
      <c r="D9619">
        <v>0</v>
      </c>
      <c r="E9619">
        <v>1</v>
      </c>
      <c r="F9619" s="7">
        <v>393.7</v>
      </c>
      <c r="G9619">
        <v>0</v>
      </c>
      <c r="H9619" s="7">
        <v>0</v>
      </c>
    </row>
    <row r="9620" spans="1:8">
      <c r="A9620">
        <v>7</v>
      </c>
      <c r="B9620" t="s">
        <v>42</v>
      </c>
      <c r="C9620" t="s">
        <v>32</v>
      </c>
      <c r="D9620">
        <v>0</v>
      </c>
      <c r="E9620">
        <v>1</v>
      </c>
      <c r="F9620" s="7">
        <v>804.71</v>
      </c>
      <c r="G9620">
        <v>0</v>
      </c>
      <c r="H9620" s="7">
        <v>0</v>
      </c>
    </row>
    <row r="9621" spans="1:8">
      <c r="A9621">
        <v>7</v>
      </c>
      <c r="B9621" t="s">
        <v>42</v>
      </c>
      <c r="C9621" t="s">
        <v>33</v>
      </c>
      <c r="D9621">
        <v>0</v>
      </c>
      <c r="E9621">
        <v>1</v>
      </c>
      <c r="F9621" s="7">
        <v>2518.79</v>
      </c>
      <c r="G9621">
        <v>0</v>
      </c>
      <c r="H9621" s="7">
        <v>0</v>
      </c>
    </row>
    <row r="9622" spans="1:8">
      <c r="A9622">
        <v>7</v>
      </c>
      <c r="B9622" t="s">
        <v>42</v>
      </c>
      <c r="C9622" t="s">
        <v>33</v>
      </c>
      <c r="D9622">
        <v>0</v>
      </c>
      <c r="E9622">
        <v>1</v>
      </c>
      <c r="F9622" s="7">
        <v>2136</v>
      </c>
      <c r="G9622">
        <v>0</v>
      </c>
      <c r="H9622" s="7">
        <v>0</v>
      </c>
    </row>
    <row r="9623" spans="1:8">
      <c r="A9623">
        <v>7</v>
      </c>
      <c r="B9623" t="s">
        <v>42</v>
      </c>
      <c r="C9623" t="s">
        <v>33</v>
      </c>
      <c r="D9623">
        <v>0</v>
      </c>
      <c r="E9623">
        <v>1</v>
      </c>
      <c r="F9623" s="7">
        <v>2066.04</v>
      </c>
      <c r="G9623">
        <v>0</v>
      </c>
      <c r="H9623" s="7">
        <v>0</v>
      </c>
    </row>
    <row r="9624" spans="1:8">
      <c r="A9624">
        <v>7</v>
      </c>
      <c r="B9624" t="s">
        <v>42</v>
      </c>
      <c r="C9624" t="s">
        <v>33</v>
      </c>
      <c r="D9624">
        <v>0</v>
      </c>
      <c r="E9624">
        <v>1</v>
      </c>
      <c r="F9624" s="7">
        <v>2239.6</v>
      </c>
      <c r="G9624">
        <v>0</v>
      </c>
      <c r="H9624" s="7">
        <v>0</v>
      </c>
    </row>
    <row r="9625" spans="1:8">
      <c r="A9625">
        <v>7</v>
      </c>
      <c r="B9625" t="s">
        <v>42</v>
      </c>
      <c r="C9625" t="s">
        <v>33</v>
      </c>
      <c r="D9625">
        <v>0</v>
      </c>
      <c r="E9625">
        <v>1</v>
      </c>
      <c r="F9625" s="7">
        <v>5704.64</v>
      </c>
      <c r="G9625">
        <v>0</v>
      </c>
      <c r="H9625" s="7">
        <v>0</v>
      </c>
    </row>
    <row r="9626" spans="1:8">
      <c r="A9626">
        <v>7</v>
      </c>
      <c r="B9626" t="s">
        <v>43</v>
      </c>
      <c r="C9626" t="s">
        <v>35</v>
      </c>
      <c r="D9626">
        <v>0</v>
      </c>
      <c r="E9626">
        <v>1</v>
      </c>
      <c r="F9626" s="7">
        <v>238567.79</v>
      </c>
      <c r="G9626">
        <v>0</v>
      </c>
      <c r="H9626" s="7">
        <v>0</v>
      </c>
    </row>
    <row r="9627" spans="1:8">
      <c r="A9627">
        <v>7</v>
      </c>
      <c r="B9627" t="s">
        <v>42</v>
      </c>
      <c r="C9627" t="s">
        <v>33</v>
      </c>
      <c r="D9627">
        <v>0</v>
      </c>
      <c r="E9627">
        <v>1</v>
      </c>
      <c r="F9627" s="7">
        <v>4180.78</v>
      </c>
      <c r="G9627">
        <v>0</v>
      </c>
      <c r="H9627" s="7">
        <v>0</v>
      </c>
    </row>
    <row r="9628" spans="1:8">
      <c r="A9628">
        <v>7</v>
      </c>
      <c r="B9628" t="s">
        <v>42</v>
      </c>
      <c r="C9628" t="s">
        <v>33</v>
      </c>
      <c r="D9628">
        <v>0</v>
      </c>
      <c r="E9628">
        <v>1</v>
      </c>
      <c r="F9628" s="7">
        <v>7928.7</v>
      </c>
      <c r="G9628">
        <v>0</v>
      </c>
      <c r="H9628" s="7">
        <v>0</v>
      </c>
    </row>
    <row r="9629" spans="1:8">
      <c r="A9629">
        <v>7</v>
      </c>
      <c r="B9629" t="s">
        <v>42</v>
      </c>
      <c r="C9629" t="s">
        <v>33</v>
      </c>
      <c r="D9629">
        <v>0</v>
      </c>
      <c r="E9629">
        <v>1</v>
      </c>
      <c r="F9629" s="7">
        <v>6504.7</v>
      </c>
      <c r="G9629">
        <v>0</v>
      </c>
      <c r="H9629" s="7">
        <v>0</v>
      </c>
    </row>
    <row r="9630" spans="1:8">
      <c r="A9630">
        <v>7</v>
      </c>
      <c r="B9630" t="s">
        <v>42</v>
      </c>
      <c r="C9630" t="s">
        <v>33</v>
      </c>
      <c r="D9630">
        <v>0</v>
      </c>
      <c r="E9630">
        <v>1</v>
      </c>
      <c r="F9630" s="7">
        <v>1155.58</v>
      </c>
      <c r="G9630">
        <v>0</v>
      </c>
      <c r="H9630" s="7">
        <v>0</v>
      </c>
    </row>
    <row r="9631" spans="1:8">
      <c r="A9631">
        <v>7</v>
      </c>
      <c r="B9631" t="s">
        <v>42</v>
      </c>
      <c r="C9631" t="s">
        <v>32</v>
      </c>
      <c r="D9631">
        <v>0</v>
      </c>
      <c r="E9631">
        <v>1</v>
      </c>
      <c r="F9631" s="7">
        <v>408.24</v>
      </c>
      <c r="G9631">
        <v>0</v>
      </c>
      <c r="H9631" s="7">
        <v>0</v>
      </c>
    </row>
    <row r="9632" spans="1:8">
      <c r="A9632">
        <v>7</v>
      </c>
      <c r="B9632" t="s">
        <v>42</v>
      </c>
      <c r="C9632" t="s">
        <v>33</v>
      </c>
      <c r="D9632">
        <v>0</v>
      </c>
      <c r="E9632">
        <v>1</v>
      </c>
      <c r="F9632" s="7">
        <v>1028.41</v>
      </c>
      <c r="G9632">
        <v>0</v>
      </c>
      <c r="H9632" s="7">
        <v>0</v>
      </c>
    </row>
    <row r="9633" spans="1:8">
      <c r="A9633">
        <v>7</v>
      </c>
      <c r="B9633" t="s">
        <v>43</v>
      </c>
      <c r="C9633" t="s">
        <v>35</v>
      </c>
      <c r="D9633">
        <v>0</v>
      </c>
      <c r="E9633">
        <v>1</v>
      </c>
      <c r="F9633" s="7">
        <v>514977.05</v>
      </c>
      <c r="G9633">
        <v>0</v>
      </c>
      <c r="H9633" s="7">
        <v>0</v>
      </c>
    </row>
    <row r="9634" spans="1:8">
      <c r="A9634">
        <v>7</v>
      </c>
      <c r="B9634" t="s">
        <v>42</v>
      </c>
      <c r="C9634" t="s">
        <v>33</v>
      </c>
      <c r="D9634">
        <v>0</v>
      </c>
      <c r="E9634">
        <v>1</v>
      </c>
      <c r="F9634" s="7">
        <v>4527.22</v>
      </c>
      <c r="G9634">
        <v>0</v>
      </c>
      <c r="H9634" s="7">
        <v>0</v>
      </c>
    </row>
    <row r="9635" spans="1:8">
      <c r="A9635">
        <v>7</v>
      </c>
      <c r="B9635" t="s">
        <v>42</v>
      </c>
      <c r="C9635" t="s">
        <v>32</v>
      </c>
      <c r="D9635">
        <v>0</v>
      </c>
      <c r="E9635">
        <v>1</v>
      </c>
      <c r="F9635" s="7">
        <v>575.79</v>
      </c>
      <c r="G9635">
        <v>0</v>
      </c>
      <c r="H9635" s="7">
        <v>0</v>
      </c>
    </row>
    <row r="9636" spans="1:8">
      <c r="A9636">
        <v>7</v>
      </c>
      <c r="B9636" t="s">
        <v>44</v>
      </c>
      <c r="C9636" t="s">
        <v>35</v>
      </c>
      <c r="D9636">
        <v>0</v>
      </c>
      <c r="E9636">
        <v>1</v>
      </c>
      <c r="F9636" s="7">
        <v>183406.12</v>
      </c>
      <c r="G9636">
        <v>0</v>
      </c>
      <c r="H9636" s="7">
        <v>0</v>
      </c>
    </row>
    <row r="9637" spans="1:8">
      <c r="A9637">
        <v>7</v>
      </c>
      <c r="B9637" t="s">
        <v>44</v>
      </c>
      <c r="C9637" t="s">
        <v>34</v>
      </c>
      <c r="D9637">
        <v>0</v>
      </c>
      <c r="E9637">
        <v>1</v>
      </c>
      <c r="F9637" s="7">
        <v>41829.08</v>
      </c>
      <c r="G9637">
        <v>0</v>
      </c>
      <c r="H9637" s="7">
        <v>0</v>
      </c>
    </row>
    <row r="9638" spans="1:8">
      <c r="A9638">
        <v>7</v>
      </c>
      <c r="B9638" t="s">
        <v>46</v>
      </c>
      <c r="C9638" t="s">
        <v>35</v>
      </c>
      <c r="D9638">
        <v>0</v>
      </c>
      <c r="E9638">
        <v>1</v>
      </c>
      <c r="F9638" s="7">
        <v>289222.51</v>
      </c>
      <c r="G9638">
        <v>0</v>
      </c>
      <c r="H9638" s="7">
        <v>0</v>
      </c>
    </row>
    <row r="9639" spans="1:8">
      <c r="A9639">
        <v>7</v>
      </c>
      <c r="B9639" t="s">
        <v>43</v>
      </c>
      <c r="C9639" t="s">
        <v>36</v>
      </c>
      <c r="D9639">
        <v>0</v>
      </c>
      <c r="E9639">
        <v>1</v>
      </c>
      <c r="F9639" s="7">
        <v>1656720.92</v>
      </c>
      <c r="G9639">
        <v>0</v>
      </c>
      <c r="H9639" s="7">
        <v>0</v>
      </c>
    </row>
    <row r="9640" spans="1:8">
      <c r="A9640">
        <v>7</v>
      </c>
      <c r="B9640" t="s">
        <v>43</v>
      </c>
      <c r="C9640" t="s">
        <v>35</v>
      </c>
      <c r="D9640">
        <v>0</v>
      </c>
      <c r="E9640">
        <v>1</v>
      </c>
      <c r="F9640" s="7">
        <v>617735.13</v>
      </c>
      <c r="G9640">
        <v>0</v>
      </c>
      <c r="H9640" s="7">
        <v>0</v>
      </c>
    </row>
    <row r="9641" spans="1:8">
      <c r="A9641">
        <v>7</v>
      </c>
      <c r="B9641" t="s">
        <v>43</v>
      </c>
      <c r="C9641" t="s">
        <v>36</v>
      </c>
      <c r="D9641">
        <v>0</v>
      </c>
      <c r="E9641">
        <v>1</v>
      </c>
      <c r="F9641" s="7">
        <v>2940764.72</v>
      </c>
      <c r="G9641">
        <v>0</v>
      </c>
      <c r="H9641" s="7">
        <v>0</v>
      </c>
    </row>
    <row r="9642" spans="1:8">
      <c r="A9642">
        <v>7</v>
      </c>
      <c r="B9642" t="s">
        <v>43</v>
      </c>
      <c r="C9642" t="s">
        <v>36</v>
      </c>
      <c r="D9642">
        <v>0</v>
      </c>
      <c r="E9642">
        <v>1</v>
      </c>
      <c r="F9642" s="7">
        <v>1575365.68</v>
      </c>
      <c r="G9642">
        <v>0</v>
      </c>
      <c r="H9642" s="7">
        <v>0</v>
      </c>
    </row>
    <row r="9643" spans="1:8">
      <c r="A9643">
        <v>7</v>
      </c>
      <c r="B9643" t="s">
        <v>43</v>
      </c>
      <c r="C9643" t="s">
        <v>35</v>
      </c>
      <c r="D9643">
        <v>0</v>
      </c>
      <c r="E9643">
        <v>1</v>
      </c>
      <c r="F9643" s="7">
        <v>243525.21</v>
      </c>
      <c r="G9643">
        <v>0</v>
      </c>
      <c r="H9643" s="7">
        <v>0</v>
      </c>
    </row>
    <row r="9644" spans="1:8">
      <c r="A9644">
        <v>7</v>
      </c>
      <c r="B9644" t="s">
        <v>43</v>
      </c>
      <c r="C9644" t="s">
        <v>35</v>
      </c>
      <c r="D9644">
        <v>0</v>
      </c>
      <c r="E9644">
        <v>1</v>
      </c>
      <c r="F9644" s="7">
        <v>939538.85</v>
      </c>
      <c r="G9644">
        <v>0</v>
      </c>
      <c r="H9644" s="7">
        <v>0</v>
      </c>
    </row>
    <row r="9645" spans="1:8">
      <c r="A9645">
        <v>7</v>
      </c>
      <c r="B9645" t="s">
        <v>43</v>
      </c>
      <c r="C9645" t="s">
        <v>36</v>
      </c>
      <c r="D9645">
        <v>0</v>
      </c>
      <c r="E9645">
        <v>1</v>
      </c>
      <c r="F9645" s="7">
        <v>1055284.91</v>
      </c>
      <c r="G9645">
        <v>0</v>
      </c>
      <c r="H9645" s="7">
        <v>0</v>
      </c>
    </row>
    <row r="9646" spans="1:8">
      <c r="A9646">
        <v>7</v>
      </c>
      <c r="B9646" t="s">
        <v>43</v>
      </c>
      <c r="C9646" t="s">
        <v>35</v>
      </c>
      <c r="D9646">
        <v>0</v>
      </c>
      <c r="E9646">
        <v>1</v>
      </c>
      <c r="F9646" s="7">
        <v>187429.05</v>
      </c>
      <c r="G9646">
        <v>0</v>
      </c>
      <c r="H9646" s="7">
        <v>0</v>
      </c>
    </row>
    <row r="9647" spans="1:8">
      <c r="A9647">
        <v>7</v>
      </c>
      <c r="B9647" t="s">
        <v>43</v>
      </c>
      <c r="C9647" t="s">
        <v>35</v>
      </c>
      <c r="D9647">
        <v>0</v>
      </c>
      <c r="E9647">
        <v>1</v>
      </c>
      <c r="F9647" s="7">
        <v>453233.63</v>
      </c>
      <c r="G9647">
        <v>0</v>
      </c>
      <c r="H9647" s="7">
        <v>0</v>
      </c>
    </row>
    <row r="9648" spans="1:8">
      <c r="A9648">
        <v>7</v>
      </c>
      <c r="B9648" t="s">
        <v>43</v>
      </c>
      <c r="C9648" t="s">
        <v>35</v>
      </c>
      <c r="D9648">
        <v>0</v>
      </c>
      <c r="E9648">
        <v>1</v>
      </c>
      <c r="F9648" s="7">
        <v>127408.65</v>
      </c>
      <c r="G9648">
        <v>0</v>
      </c>
      <c r="H9648" s="7">
        <v>0</v>
      </c>
    </row>
    <row r="9649" spans="1:8">
      <c r="A9649">
        <v>7</v>
      </c>
      <c r="B9649" t="s">
        <v>43</v>
      </c>
      <c r="C9649" t="s">
        <v>35</v>
      </c>
      <c r="D9649">
        <v>0</v>
      </c>
      <c r="E9649">
        <v>1</v>
      </c>
      <c r="F9649" s="7">
        <v>570796.52</v>
      </c>
      <c r="G9649">
        <v>0</v>
      </c>
      <c r="H9649" s="7">
        <v>0</v>
      </c>
    </row>
    <row r="9650" spans="1:8">
      <c r="A9650">
        <v>7</v>
      </c>
      <c r="B9650" t="s">
        <v>43</v>
      </c>
      <c r="C9650" t="s">
        <v>35</v>
      </c>
      <c r="D9650">
        <v>0</v>
      </c>
      <c r="E9650">
        <v>1</v>
      </c>
      <c r="F9650" s="7">
        <v>111913.25</v>
      </c>
      <c r="G9650">
        <v>0</v>
      </c>
      <c r="H9650" s="7">
        <v>0</v>
      </c>
    </row>
    <row r="9651" spans="1:8">
      <c r="A9651">
        <v>7</v>
      </c>
      <c r="B9651" t="s">
        <v>43</v>
      </c>
      <c r="C9651" t="s">
        <v>35</v>
      </c>
      <c r="D9651">
        <v>0</v>
      </c>
      <c r="E9651">
        <v>1</v>
      </c>
      <c r="F9651" s="7">
        <v>462678.47</v>
      </c>
      <c r="G9651">
        <v>0</v>
      </c>
      <c r="H9651" s="7">
        <v>0</v>
      </c>
    </row>
    <row r="9652" spans="1:8">
      <c r="A9652">
        <v>7</v>
      </c>
      <c r="B9652" t="s">
        <v>43</v>
      </c>
      <c r="C9652" t="s">
        <v>34</v>
      </c>
      <c r="D9652">
        <v>0</v>
      </c>
      <c r="E9652">
        <v>1</v>
      </c>
      <c r="F9652" s="7">
        <v>16657.05</v>
      </c>
      <c r="G9652">
        <v>0</v>
      </c>
      <c r="H9652" s="7">
        <v>0</v>
      </c>
    </row>
    <row r="9653" spans="1:8">
      <c r="A9653">
        <v>7</v>
      </c>
      <c r="B9653" t="s">
        <v>43</v>
      </c>
      <c r="C9653" t="s">
        <v>34</v>
      </c>
      <c r="D9653">
        <v>0</v>
      </c>
      <c r="E9653">
        <v>1</v>
      </c>
      <c r="F9653" s="7">
        <v>97708.32</v>
      </c>
      <c r="G9653">
        <v>0</v>
      </c>
      <c r="H9653" s="7">
        <v>0</v>
      </c>
    </row>
    <row r="9654" spans="1:8">
      <c r="A9654">
        <v>7</v>
      </c>
      <c r="B9654" t="s">
        <v>43</v>
      </c>
      <c r="C9654" t="s">
        <v>34</v>
      </c>
      <c r="D9654">
        <v>0</v>
      </c>
      <c r="E9654">
        <v>1</v>
      </c>
      <c r="F9654" s="7">
        <v>37636.22</v>
      </c>
      <c r="G9654">
        <v>0</v>
      </c>
      <c r="H9654" s="7">
        <v>0</v>
      </c>
    </row>
    <row r="9655" spans="1:8">
      <c r="A9655">
        <v>7</v>
      </c>
      <c r="B9655" t="s">
        <v>43</v>
      </c>
      <c r="C9655" t="s">
        <v>35</v>
      </c>
      <c r="D9655">
        <v>0</v>
      </c>
      <c r="E9655">
        <v>1</v>
      </c>
      <c r="F9655" s="7">
        <v>253411.19</v>
      </c>
      <c r="G9655">
        <v>0</v>
      </c>
      <c r="H9655" s="7">
        <v>0</v>
      </c>
    </row>
    <row r="9656" spans="1:8">
      <c r="A9656">
        <v>7</v>
      </c>
      <c r="B9656" t="s">
        <v>43</v>
      </c>
      <c r="C9656" t="s">
        <v>35</v>
      </c>
      <c r="D9656">
        <v>0</v>
      </c>
      <c r="E9656">
        <v>1</v>
      </c>
      <c r="F9656" s="7">
        <v>134662.68</v>
      </c>
      <c r="G9656">
        <v>0</v>
      </c>
      <c r="H9656" s="7">
        <v>0</v>
      </c>
    </row>
    <row r="9657" spans="1:8">
      <c r="A9657">
        <v>7</v>
      </c>
      <c r="B9657" t="s">
        <v>43</v>
      </c>
      <c r="C9657" t="s">
        <v>35</v>
      </c>
      <c r="D9657">
        <v>0</v>
      </c>
      <c r="E9657">
        <v>1</v>
      </c>
      <c r="F9657" s="7">
        <v>156273.53</v>
      </c>
      <c r="G9657">
        <v>0</v>
      </c>
      <c r="H9657" s="7">
        <v>0</v>
      </c>
    </row>
    <row r="9658" spans="1:8">
      <c r="A9658">
        <v>7</v>
      </c>
      <c r="B9658" t="s">
        <v>43</v>
      </c>
      <c r="C9658" t="s">
        <v>34</v>
      </c>
      <c r="D9658">
        <v>0</v>
      </c>
      <c r="E9658">
        <v>1</v>
      </c>
      <c r="F9658" s="7">
        <v>85304.05</v>
      </c>
      <c r="G9658">
        <v>0</v>
      </c>
      <c r="H9658" s="7">
        <v>0</v>
      </c>
    </row>
    <row r="9659" spans="1:8">
      <c r="A9659">
        <v>7</v>
      </c>
      <c r="B9659" t="s">
        <v>43</v>
      </c>
      <c r="C9659" t="s">
        <v>34</v>
      </c>
      <c r="D9659">
        <v>0</v>
      </c>
      <c r="E9659">
        <v>1</v>
      </c>
      <c r="F9659" s="7">
        <v>81678.71</v>
      </c>
      <c r="G9659">
        <v>0</v>
      </c>
      <c r="H9659" s="7">
        <v>0</v>
      </c>
    </row>
    <row r="9660" spans="1:8">
      <c r="A9660">
        <v>7</v>
      </c>
      <c r="B9660" t="s">
        <v>43</v>
      </c>
      <c r="C9660" t="s">
        <v>34</v>
      </c>
      <c r="D9660">
        <v>0</v>
      </c>
      <c r="E9660">
        <v>1</v>
      </c>
      <c r="F9660" s="7">
        <v>88189.43</v>
      </c>
      <c r="G9660">
        <v>0</v>
      </c>
      <c r="H9660" s="7">
        <v>0</v>
      </c>
    </row>
    <row r="9661" spans="1:8">
      <c r="A9661">
        <v>7</v>
      </c>
      <c r="B9661" t="s">
        <v>43</v>
      </c>
      <c r="C9661" t="s">
        <v>34</v>
      </c>
      <c r="D9661">
        <v>0</v>
      </c>
      <c r="E9661">
        <v>1</v>
      </c>
      <c r="F9661" s="7">
        <v>95178.13</v>
      </c>
      <c r="G9661">
        <v>0</v>
      </c>
      <c r="H9661" s="7">
        <v>0</v>
      </c>
    </row>
    <row r="9662" spans="1:8">
      <c r="A9662">
        <v>7</v>
      </c>
      <c r="B9662" t="s">
        <v>42</v>
      </c>
      <c r="C9662" t="s">
        <v>33</v>
      </c>
      <c r="D9662">
        <v>0</v>
      </c>
      <c r="E9662">
        <v>1</v>
      </c>
      <c r="F9662" s="7">
        <v>7785.98</v>
      </c>
      <c r="G9662">
        <v>0</v>
      </c>
      <c r="H9662" s="7">
        <v>0</v>
      </c>
    </row>
    <row r="9663" spans="1:8">
      <c r="A9663">
        <v>7</v>
      </c>
      <c r="B9663" t="s">
        <v>44</v>
      </c>
      <c r="C9663" t="s">
        <v>35</v>
      </c>
      <c r="D9663">
        <v>0</v>
      </c>
      <c r="E9663">
        <v>1</v>
      </c>
      <c r="F9663" s="7">
        <v>150955.19</v>
      </c>
      <c r="G9663">
        <v>0</v>
      </c>
      <c r="H9663" s="7">
        <v>0</v>
      </c>
    </row>
    <row r="9664" spans="1:8">
      <c r="A9664">
        <v>7</v>
      </c>
      <c r="B9664" t="s">
        <v>42</v>
      </c>
      <c r="C9664" t="s">
        <v>33</v>
      </c>
      <c r="D9664">
        <v>0</v>
      </c>
      <c r="E9664">
        <v>1</v>
      </c>
      <c r="F9664" s="7">
        <v>3228.14</v>
      </c>
      <c r="G9664">
        <v>0</v>
      </c>
      <c r="H9664" s="7">
        <v>0</v>
      </c>
    </row>
    <row r="9665" spans="1:8">
      <c r="A9665">
        <v>7</v>
      </c>
      <c r="B9665" t="s">
        <v>42</v>
      </c>
      <c r="C9665" t="s">
        <v>34</v>
      </c>
      <c r="D9665">
        <v>0</v>
      </c>
      <c r="E9665">
        <v>1</v>
      </c>
      <c r="F9665" s="7">
        <v>18106.63</v>
      </c>
      <c r="G9665">
        <v>0</v>
      </c>
      <c r="H9665" s="7">
        <v>0</v>
      </c>
    </row>
    <row r="9666" spans="1:8">
      <c r="A9666">
        <v>7</v>
      </c>
      <c r="B9666" t="s">
        <v>42</v>
      </c>
      <c r="C9666" t="s">
        <v>34</v>
      </c>
      <c r="D9666">
        <v>0</v>
      </c>
      <c r="E9666">
        <v>1</v>
      </c>
      <c r="F9666" s="7">
        <v>12255.05</v>
      </c>
      <c r="G9666">
        <v>0</v>
      </c>
      <c r="H9666" s="7">
        <v>0</v>
      </c>
    </row>
    <row r="9667" spans="1:8">
      <c r="A9667">
        <v>7</v>
      </c>
      <c r="B9667" t="s">
        <v>42</v>
      </c>
      <c r="C9667" t="s">
        <v>33</v>
      </c>
      <c r="D9667">
        <v>0</v>
      </c>
      <c r="E9667">
        <v>1</v>
      </c>
      <c r="F9667" s="7">
        <v>2686.38</v>
      </c>
      <c r="G9667">
        <v>0</v>
      </c>
      <c r="H9667" s="7">
        <v>0</v>
      </c>
    </row>
    <row r="9668" spans="1:8">
      <c r="A9668">
        <v>7</v>
      </c>
      <c r="B9668" t="s">
        <v>42</v>
      </c>
      <c r="C9668" t="s">
        <v>33</v>
      </c>
      <c r="D9668">
        <v>0</v>
      </c>
      <c r="E9668">
        <v>1</v>
      </c>
      <c r="F9668" s="7">
        <v>9118</v>
      </c>
      <c r="G9668">
        <v>0</v>
      </c>
      <c r="H9668" s="7">
        <v>0</v>
      </c>
    </row>
    <row r="9669" spans="1:8">
      <c r="A9669">
        <v>7</v>
      </c>
      <c r="B9669" t="s">
        <v>45</v>
      </c>
      <c r="C9669" t="s">
        <v>32</v>
      </c>
      <c r="D9669">
        <v>0</v>
      </c>
      <c r="E9669">
        <v>1</v>
      </c>
      <c r="F9669" s="7">
        <v>394.24</v>
      </c>
      <c r="G9669">
        <v>0</v>
      </c>
      <c r="H9669" s="7">
        <v>0</v>
      </c>
    </row>
    <row r="9670" spans="1:8">
      <c r="A9670">
        <v>7</v>
      </c>
      <c r="B9670" t="s">
        <v>43</v>
      </c>
      <c r="C9670" t="s">
        <v>35</v>
      </c>
      <c r="D9670">
        <v>0</v>
      </c>
      <c r="E9670">
        <v>1</v>
      </c>
      <c r="F9670" s="7">
        <v>703911.36</v>
      </c>
      <c r="G9670">
        <v>0</v>
      </c>
      <c r="H9670" s="7">
        <v>0</v>
      </c>
    </row>
    <row r="9671" spans="1:8">
      <c r="A9671">
        <v>7</v>
      </c>
      <c r="B9671" t="s">
        <v>42</v>
      </c>
      <c r="C9671" t="s">
        <v>34</v>
      </c>
      <c r="D9671">
        <v>0</v>
      </c>
      <c r="E9671">
        <v>1</v>
      </c>
      <c r="F9671" s="7">
        <v>12923.2</v>
      </c>
      <c r="G9671">
        <v>0</v>
      </c>
      <c r="H9671" s="7">
        <v>0</v>
      </c>
    </row>
    <row r="9672" spans="1:8">
      <c r="A9672">
        <v>7</v>
      </c>
      <c r="B9672" t="s">
        <v>42</v>
      </c>
      <c r="C9672" t="s">
        <v>33</v>
      </c>
      <c r="D9672">
        <v>0</v>
      </c>
      <c r="E9672">
        <v>1</v>
      </c>
      <c r="F9672" s="7">
        <v>4732.25</v>
      </c>
      <c r="G9672">
        <v>0</v>
      </c>
      <c r="H9672" s="7">
        <v>0</v>
      </c>
    </row>
    <row r="9673" spans="1:8">
      <c r="A9673">
        <v>7</v>
      </c>
      <c r="B9673" t="s">
        <v>42</v>
      </c>
      <c r="C9673" t="s">
        <v>33</v>
      </c>
      <c r="D9673">
        <v>0</v>
      </c>
      <c r="E9673">
        <v>1</v>
      </c>
      <c r="F9673" s="7">
        <v>8414.06</v>
      </c>
      <c r="G9673">
        <v>0</v>
      </c>
      <c r="H9673" s="7">
        <v>0</v>
      </c>
    </row>
    <row r="9674" spans="1:8">
      <c r="A9674">
        <v>7</v>
      </c>
      <c r="B9674" t="s">
        <v>42</v>
      </c>
      <c r="C9674" t="s">
        <v>33</v>
      </c>
      <c r="D9674">
        <v>0</v>
      </c>
      <c r="E9674">
        <v>1</v>
      </c>
      <c r="F9674" s="7">
        <v>7283.63</v>
      </c>
      <c r="G9674">
        <v>0</v>
      </c>
      <c r="H9674" s="7">
        <v>0</v>
      </c>
    </row>
    <row r="9675" spans="1:8">
      <c r="A9675">
        <v>7</v>
      </c>
      <c r="B9675" t="s">
        <v>43</v>
      </c>
      <c r="C9675" t="s">
        <v>36</v>
      </c>
      <c r="D9675">
        <v>0</v>
      </c>
      <c r="E9675">
        <v>1</v>
      </c>
      <c r="F9675" s="7">
        <v>1379628.76</v>
      </c>
      <c r="G9675">
        <v>0</v>
      </c>
      <c r="H9675" s="7">
        <v>0</v>
      </c>
    </row>
    <row r="9676" spans="1:8">
      <c r="A9676">
        <v>7</v>
      </c>
      <c r="B9676" t="s">
        <v>43</v>
      </c>
      <c r="C9676" t="s">
        <v>35</v>
      </c>
      <c r="D9676">
        <v>0</v>
      </c>
      <c r="E9676">
        <v>1</v>
      </c>
      <c r="F9676" s="7">
        <v>492198.86</v>
      </c>
      <c r="G9676">
        <v>0</v>
      </c>
      <c r="H9676" s="7">
        <v>0</v>
      </c>
    </row>
    <row r="9677" spans="1:8">
      <c r="A9677">
        <v>7</v>
      </c>
      <c r="B9677" t="s">
        <v>42</v>
      </c>
      <c r="C9677" t="s">
        <v>33</v>
      </c>
      <c r="D9677">
        <v>0</v>
      </c>
      <c r="E9677">
        <v>1</v>
      </c>
      <c r="F9677" s="7">
        <v>3212.49</v>
      </c>
      <c r="G9677">
        <v>0</v>
      </c>
      <c r="H9677" s="7">
        <v>0</v>
      </c>
    </row>
    <row r="9678" spans="1:8">
      <c r="A9678">
        <v>7</v>
      </c>
      <c r="B9678" t="s">
        <v>42</v>
      </c>
      <c r="C9678" t="s">
        <v>33</v>
      </c>
      <c r="D9678">
        <v>0</v>
      </c>
      <c r="E9678">
        <v>1</v>
      </c>
      <c r="F9678" s="7">
        <v>1730.73</v>
      </c>
      <c r="G9678">
        <v>0</v>
      </c>
      <c r="H9678" s="7">
        <v>0</v>
      </c>
    </row>
    <row r="9679" spans="1:8">
      <c r="A9679">
        <v>7</v>
      </c>
      <c r="B9679" t="s">
        <v>42</v>
      </c>
      <c r="C9679" t="s">
        <v>33</v>
      </c>
      <c r="D9679">
        <v>0</v>
      </c>
      <c r="E9679">
        <v>1</v>
      </c>
      <c r="F9679" s="7">
        <v>3046.56</v>
      </c>
      <c r="G9679">
        <v>0</v>
      </c>
      <c r="H9679" s="7">
        <v>0</v>
      </c>
    </row>
    <row r="9680" spans="1:8">
      <c r="A9680">
        <v>7</v>
      </c>
      <c r="B9680" t="s">
        <v>44</v>
      </c>
      <c r="C9680" t="s">
        <v>34</v>
      </c>
      <c r="D9680">
        <v>0</v>
      </c>
      <c r="E9680">
        <v>1</v>
      </c>
      <c r="F9680" s="7">
        <v>92589.97</v>
      </c>
      <c r="G9680">
        <v>0</v>
      </c>
      <c r="H9680" s="7">
        <v>0</v>
      </c>
    </row>
    <row r="9681" spans="1:8">
      <c r="A9681">
        <v>7</v>
      </c>
      <c r="B9681" t="s">
        <v>42</v>
      </c>
      <c r="C9681" t="s">
        <v>33</v>
      </c>
      <c r="D9681">
        <v>0</v>
      </c>
      <c r="E9681">
        <v>1</v>
      </c>
      <c r="F9681" s="7">
        <v>4483.02</v>
      </c>
      <c r="G9681">
        <v>0</v>
      </c>
      <c r="H9681" s="7">
        <v>0</v>
      </c>
    </row>
    <row r="9682" spans="1:8">
      <c r="A9682">
        <v>7</v>
      </c>
      <c r="B9682" t="s">
        <v>44</v>
      </c>
      <c r="C9682" t="s">
        <v>34</v>
      </c>
      <c r="D9682">
        <v>0</v>
      </c>
      <c r="E9682">
        <v>1</v>
      </c>
      <c r="F9682" s="7">
        <v>42055.67</v>
      </c>
      <c r="G9682">
        <v>0</v>
      </c>
      <c r="H9682" s="7">
        <v>0</v>
      </c>
    </row>
    <row r="9683" spans="1:8">
      <c r="A9683">
        <v>7</v>
      </c>
      <c r="B9683" t="s">
        <v>44</v>
      </c>
      <c r="C9683" t="s">
        <v>35</v>
      </c>
      <c r="D9683">
        <v>0</v>
      </c>
      <c r="E9683">
        <v>1</v>
      </c>
      <c r="F9683" s="7">
        <v>261230.56</v>
      </c>
      <c r="G9683">
        <v>0</v>
      </c>
      <c r="H9683" s="7">
        <v>0</v>
      </c>
    </row>
    <row r="9684" spans="1:8">
      <c r="A9684">
        <v>7</v>
      </c>
      <c r="B9684" t="s">
        <v>44</v>
      </c>
      <c r="C9684" t="s">
        <v>34</v>
      </c>
      <c r="D9684">
        <v>0</v>
      </c>
      <c r="E9684">
        <v>1</v>
      </c>
      <c r="F9684" s="7">
        <v>35447.66</v>
      </c>
      <c r="G9684">
        <v>0</v>
      </c>
      <c r="H9684" s="7">
        <v>0</v>
      </c>
    </row>
    <row r="9685" spans="1:8">
      <c r="A9685">
        <v>7</v>
      </c>
      <c r="B9685" t="s">
        <v>44</v>
      </c>
      <c r="C9685" t="s">
        <v>34</v>
      </c>
      <c r="D9685">
        <v>0</v>
      </c>
      <c r="E9685">
        <v>1</v>
      </c>
      <c r="F9685" s="7">
        <v>43721.63</v>
      </c>
      <c r="G9685">
        <v>0</v>
      </c>
      <c r="H9685" s="7">
        <v>0</v>
      </c>
    </row>
    <row r="9686" spans="1:8">
      <c r="A9686">
        <v>7</v>
      </c>
      <c r="B9686" t="s">
        <v>44</v>
      </c>
      <c r="C9686" t="s">
        <v>35</v>
      </c>
      <c r="D9686">
        <v>0</v>
      </c>
      <c r="E9686">
        <v>1</v>
      </c>
      <c r="F9686" s="7">
        <v>175230.37</v>
      </c>
      <c r="G9686">
        <v>0</v>
      </c>
      <c r="H9686" s="7">
        <v>0</v>
      </c>
    </row>
    <row r="9687" spans="1:8">
      <c r="A9687">
        <v>7</v>
      </c>
      <c r="B9687" t="s">
        <v>44</v>
      </c>
      <c r="C9687" t="s">
        <v>35</v>
      </c>
      <c r="D9687">
        <v>0</v>
      </c>
      <c r="E9687">
        <v>1</v>
      </c>
      <c r="F9687" s="7">
        <v>137197.06</v>
      </c>
      <c r="G9687">
        <v>0</v>
      </c>
      <c r="H9687" s="7">
        <v>0</v>
      </c>
    </row>
    <row r="9688" spans="1:8">
      <c r="A9688">
        <v>7</v>
      </c>
      <c r="B9688" t="s">
        <v>44</v>
      </c>
      <c r="C9688" t="s">
        <v>35</v>
      </c>
      <c r="D9688">
        <v>0</v>
      </c>
      <c r="E9688">
        <v>1</v>
      </c>
      <c r="F9688" s="7">
        <v>268149.38</v>
      </c>
      <c r="G9688">
        <v>0</v>
      </c>
      <c r="H9688" s="7">
        <v>0</v>
      </c>
    </row>
    <row r="9689" spans="1:8">
      <c r="A9689">
        <v>7</v>
      </c>
      <c r="B9689" t="s">
        <v>44</v>
      </c>
      <c r="C9689" t="s">
        <v>35</v>
      </c>
      <c r="D9689">
        <v>0</v>
      </c>
      <c r="E9689">
        <v>1</v>
      </c>
      <c r="F9689" s="7">
        <v>285134.78</v>
      </c>
      <c r="G9689">
        <v>0</v>
      </c>
      <c r="H9689" s="7">
        <v>0</v>
      </c>
    </row>
    <row r="9690" spans="1:8">
      <c r="A9690">
        <v>7</v>
      </c>
      <c r="B9690" t="s">
        <v>44</v>
      </c>
      <c r="C9690" t="s">
        <v>35</v>
      </c>
      <c r="D9690">
        <v>0</v>
      </c>
      <c r="E9690">
        <v>1</v>
      </c>
      <c r="F9690" s="7">
        <v>136032.35</v>
      </c>
      <c r="G9690">
        <v>0</v>
      </c>
      <c r="H9690" s="7">
        <v>0</v>
      </c>
    </row>
    <row r="9691" spans="1:8">
      <c r="A9691">
        <v>7</v>
      </c>
      <c r="B9691" t="s">
        <v>44</v>
      </c>
      <c r="C9691" t="s">
        <v>35</v>
      </c>
      <c r="D9691">
        <v>0</v>
      </c>
      <c r="E9691">
        <v>1</v>
      </c>
      <c r="F9691" s="7">
        <v>258307.33</v>
      </c>
      <c r="G9691">
        <v>0</v>
      </c>
      <c r="H9691" s="7">
        <v>0</v>
      </c>
    </row>
    <row r="9692" spans="1:8">
      <c r="A9692">
        <v>7</v>
      </c>
      <c r="B9692" t="s">
        <v>44</v>
      </c>
      <c r="C9692" t="s">
        <v>35</v>
      </c>
      <c r="D9692">
        <v>0</v>
      </c>
      <c r="E9692">
        <v>1</v>
      </c>
      <c r="F9692" s="7">
        <v>239049.7</v>
      </c>
      <c r="G9692">
        <v>0</v>
      </c>
      <c r="H9692" s="7">
        <v>0</v>
      </c>
    </row>
    <row r="9693" spans="1:8">
      <c r="A9693">
        <v>7</v>
      </c>
      <c r="B9693" t="s">
        <v>44</v>
      </c>
      <c r="C9693" t="s">
        <v>35</v>
      </c>
      <c r="D9693">
        <v>0</v>
      </c>
      <c r="E9693">
        <v>1</v>
      </c>
      <c r="F9693" s="7">
        <v>211326.73</v>
      </c>
      <c r="G9693">
        <v>0</v>
      </c>
      <c r="H9693" s="7">
        <v>0</v>
      </c>
    </row>
    <row r="9694" spans="1:8">
      <c r="A9694">
        <v>7</v>
      </c>
      <c r="B9694" t="s">
        <v>44</v>
      </c>
      <c r="C9694" t="s">
        <v>35</v>
      </c>
      <c r="D9694">
        <v>0</v>
      </c>
      <c r="E9694">
        <v>1</v>
      </c>
      <c r="F9694" s="7">
        <v>151095.37</v>
      </c>
      <c r="G9694">
        <v>0</v>
      </c>
      <c r="H9694" s="7">
        <v>0</v>
      </c>
    </row>
    <row r="9695" spans="1:8">
      <c r="A9695">
        <v>7</v>
      </c>
      <c r="B9695" t="s">
        <v>44</v>
      </c>
      <c r="C9695" t="s">
        <v>34</v>
      </c>
      <c r="D9695">
        <v>0</v>
      </c>
      <c r="E9695">
        <v>1</v>
      </c>
      <c r="F9695" s="7">
        <v>69844.46</v>
      </c>
      <c r="G9695">
        <v>0</v>
      </c>
      <c r="H9695" s="7">
        <v>0</v>
      </c>
    </row>
    <row r="9696" spans="1:8">
      <c r="A9696">
        <v>7</v>
      </c>
      <c r="B9696" t="s">
        <v>44</v>
      </c>
      <c r="C9696" t="s">
        <v>34</v>
      </c>
      <c r="D9696">
        <v>0</v>
      </c>
      <c r="E9696">
        <v>1</v>
      </c>
      <c r="F9696" s="7">
        <v>31980.86</v>
      </c>
      <c r="G9696">
        <v>0</v>
      </c>
      <c r="H9696" s="7">
        <v>0</v>
      </c>
    </row>
    <row r="9697" spans="1:8">
      <c r="A9697">
        <v>7</v>
      </c>
      <c r="B9697" t="s">
        <v>44</v>
      </c>
      <c r="C9697" t="s">
        <v>35</v>
      </c>
      <c r="D9697">
        <v>0</v>
      </c>
      <c r="E9697">
        <v>1</v>
      </c>
      <c r="F9697" s="7">
        <v>226443.9</v>
      </c>
      <c r="G9697">
        <v>0</v>
      </c>
      <c r="H9697" s="7">
        <v>0</v>
      </c>
    </row>
    <row r="9698" spans="1:8">
      <c r="A9698">
        <v>7</v>
      </c>
      <c r="B9698" t="s">
        <v>44</v>
      </c>
      <c r="C9698" t="s">
        <v>35</v>
      </c>
      <c r="D9698">
        <v>0</v>
      </c>
      <c r="E9698">
        <v>1</v>
      </c>
      <c r="F9698" s="7">
        <v>122859.05</v>
      </c>
      <c r="G9698">
        <v>0</v>
      </c>
      <c r="H9698" s="7">
        <v>0</v>
      </c>
    </row>
    <row r="9699" spans="1:8">
      <c r="A9699">
        <v>7</v>
      </c>
      <c r="B9699" t="s">
        <v>44</v>
      </c>
      <c r="C9699" t="s">
        <v>34</v>
      </c>
      <c r="D9699">
        <v>0</v>
      </c>
      <c r="E9699">
        <v>1</v>
      </c>
      <c r="F9699" s="7">
        <v>38040.24</v>
      </c>
      <c r="G9699">
        <v>0</v>
      </c>
      <c r="H9699" s="7">
        <v>0</v>
      </c>
    </row>
    <row r="9700" spans="1:8">
      <c r="A9700">
        <v>7</v>
      </c>
      <c r="B9700" t="s">
        <v>44</v>
      </c>
      <c r="C9700" t="s">
        <v>34</v>
      </c>
      <c r="D9700">
        <v>0</v>
      </c>
      <c r="E9700">
        <v>1</v>
      </c>
      <c r="F9700" s="7">
        <v>30030.44</v>
      </c>
      <c r="G9700">
        <v>0</v>
      </c>
      <c r="H9700" s="7">
        <v>0</v>
      </c>
    </row>
    <row r="9701" spans="1:8">
      <c r="A9701">
        <v>7</v>
      </c>
      <c r="B9701" t="s">
        <v>44</v>
      </c>
      <c r="C9701" t="s">
        <v>35</v>
      </c>
      <c r="D9701">
        <v>0</v>
      </c>
      <c r="E9701">
        <v>1</v>
      </c>
      <c r="F9701" s="7">
        <v>133897.63</v>
      </c>
      <c r="G9701">
        <v>0</v>
      </c>
      <c r="H9701" s="7">
        <v>0</v>
      </c>
    </row>
    <row r="9702" spans="1:8">
      <c r="A9702">
        <v>7</v>
      </c>
      <c r="B9702" t="s">
        <v>44</v>
      </c>
      <c r="C9702" t="s">
        <v>34</v>
      </c>
      <c r="D9702">
        <v>0</v>
      </c>
      <c r="E9702">
        <v>1</v>
      </c>
      <c r="F9702" s="7">
        <v>29066.84</v>
      </c>
      <c r="G9702">
        <v>0</v>
      </c>
      <c r="H9702" s="7">
        <v>0</v>
      </c>
    </row>
    <row r="9703" spans="1:8">
      <c r="A9703">
        <v>7</v>
      </c>
      <c r="B9703" t="s">
        <v>44</v>
      </c>
      <c r="C9703" t="s">
        <v>35</v>
      </c>
      <c r="D9703">
        <v>0</v>
      </c>
      <c r="E9703">
        <v>1</v>
      </c>
      <c r="F9703" s="7">
        <v>344693.57</v>
      </c>
      <c r="G9703">
        <v>0</v>
      </c>
      <c r="H9703" s="7">
        <v>0</v>
      </c>
    </row>
    <row r="9704" spans="1:8">
      <c r="A9704">
        <v>7</v>
      </c>
      <c r="B9704" t="s">
        <v>44</v>
      </c>
      <c r="C9704" t="s">
        <v>35</v>
      </c>
      <c r="D9704">
        <v>0</v>
      </c>
      <c r="E9704">
        <v>1</v>
      </c>
      <c r="F9704" s="7">
        <v>141623.72</v>
      </c>
      <c r="G9704">
        <v>0</v>
      </c>
      <c r="H9704" s="7">
        <v>0</v>
      </c>
    </row>
    <row r="9705" spans="1:8">
      <c r="A9705">
        <v>7</v>
      </c>
      <c r="B9705" t="s">
        <v>44</v>
      </c>
      <c r="C9705" t="s">
        <v>35</v>
      </c>
      <c r="D9705">
        <v>0</v>
      </c>
      <c r="E9705">
        <v>1</v>
      </c>
      <c r="F9705" s="7">
        <v>235427.33</v>
      </c>
      <c r="G9705">
        <v>0</v>
      </c>
      <c r="H9705" s="7">
        <v>0</v>
      </c>
    </row>
    <row r="9706" spans="1:8">
      <c r="A9706">
        <v>7</v>
      </c>
      <c r="B9706" t="s">
        <v>46</v>
      </c>
      <c r="C9706" t="s">
        <v>34</v>
      </c>
      <c r="D9706">
        <v>0</v>
      </c>
      <c r="E9706">
        <v>1</v>
      </c>
      <c r="F9706" s="7">
        <v>25221.1</v>
      </c>
      <c r="G9706">
        <v>0</v>
      </c>
      <c r="H9706" s="7">
        <v>0</v>
      </c>
    </row>
    <row r="9707" spans="1:8">
      <c r="A9707">
        <v>7</v>
      </c>
      <c r="B9707" t="s">
        <v>42</v>
      </c>
      <c r="C9707" t="s">
        <v>32</v>
      </c>
      <c r="D9707">
        <v>0</v>
      </c>
      <c r="E9707">
        <v>1</v>
      </c>
      <c r="F9707" s="7">
        <v>656.31</v>
      </c>
      <c r="G9707">
        <v>0</v>
      </c>
      <c r="H9707" s="7">
        <v>0</v>
      </c>
    </row>
    <row r="9708" spans="1:8">
      <c r="A9708">
        <v>7</v>
      </c>
      <c r="B9708" t="s">
        <v>42</v>
      </c>
      <c r="C9708" t="s">
        <v>33</v>
      </c>
      <c r="D9708">
        <v>0</v>
      </c>
      <c r="E9708">
        <v>1</v>
      </c>
      <c r="F9708" s="7">
        <v>1014.52</v>
      </c>
      <c r="G9708">
        <v>0</v>
      </c>
      <c r="H9708" s="7">
        <v>0</v>
      </c>
    </row>
    <row r="9709" spans="1:8">
      <c r="A9709">
        <v>7</v>
      </c>
      <c r="B9709" t="s">
        <v>42</v>
      </c>
      <c r="C9709" t="s">
        <v>34</v>
      </c>
      <c r="D9709">
        <v>0</v>
      </c>
      <c r="E9709">
        <v>1</v>
      </c>
      <c r="F9709" s="7">
        <v>12921.9</v>
      </c>
      <c r="G9709">
        <v>0</v>
      </c>
      <c r="H9709" s="7">
        <v>0</v>
      </c>
    </row>
    <row r="9710" spans="1:8">
      <c r="A9710">
        <v>7</v>
      </c>
      <c r="B9710" t="s">
        <v>42</v>
      </c>
      <c r="C9710" t="s">
        <v>32</v>
      </c>
      <c r="D9710">
        <v>0</v>
      </c>
      <c r="E9710">
        <v>1</v>
      </c>
      <c r="F9710" s="7">
        <v>59.12</v>
      </c>
      <c r="G9710">
        <v>0</v>
      </c>
      <c r="H9710" s="7">
        <v>0</v>
      </c>
    </row>
    <row r="9711" spans="1:8">
      <c r="A9711">
        <v>7</v>
      </c>
      <c r="B9711" t="s">
        <v>42</v>
      </c>
      <c r="C9711" t="s">
        <v>33</v>
      </c>
      <c r="D9711">
        <v>0</v>
      </c>
      <c r="E9711">
        <v>1</v>
      </c>
      <c r="F9711" s="7">
        <v>7995.66</v>
      </c>
      <c r="G9711">
        <v>0</v>
      </c>
      <c r="H9711" s="7">
        <v>0</v>
      </c>
    </row>
    <row r="9712" spans="1:8">
      <c r="A9712">
        <v>7</v>
      </c>
      <c r="B9712" t="s">
        <v>43</v>
      </c>
      <c r="C9712" t="s">
        <v>35</v>
      </c>
      <c r="D9712">
        <v>0</v>
      </c>
      <c r="E9712">
        <v>1</v>
      </c>
      <c r="F9712" s="7">
        <v>457008.04</v>
      </c>
      <c r="G9712">
        <v>0</v>
      </c>
      <c r="H9712" s="7">
        <v>0</v>
      </c>
    </row>
    <row r="9713" spans="1:8">
      <c r="A9713">
        <v>7</v>
      </c>
      <c r="B9713" t="s">
        <v>43</v>
      </c>
      <c r="C9713" t="s">
        <v>35</v>
      </c>
      <c r="D9713">
        <v>0</v>
      </c>
      <c r="E9713">
        <v>1</v>
      </c>
      <c r="F9713" s="7">
        <v>810479.77</v>
      </c>
      <c r="G9713">
        <v>0</v>
      </c>
      <c r="H9713" s="7">
        <v>0</v>
      </c>
    </row>
    <row r="9714" spans="1:8">
      <c r="A9714">
        <v>7</v>
      </c>
      <c r="B9714" t="s">
        <v>42</v>
      </c>
      <c r="C9714" t="s">
        <v>33</v>
      </c>
      <c r="D9714">
        <v>0</v>
      </c>
      <c r="E9714">
        <v>1</v>
      </c>
      <c r="F9714" s="7">
        <v>1915.86</v>
      </c>
      <c r="G9714">
        <v>0</v>
      </c>
      <c r="H9714" s="7">
        <v>0</v>
      </c>
    </row>
    <row r="9715" spans="1:8">
      <c r="A9715">
        <v>7</v>
      </c>
      <c r="B9715" t="s">
        <v>43</v>
      </c>
      <c r="C9715" t="s">
        <v>35</v>
      </c>
      <c r="D9715">
        <v>0</v>
      </c>
      <c r="E9715">
        <v>1</v>
      </c>
      <c r="F9715" s="7">
        <v>595846.21</v>
      </c>
      <c r="G9715">
        <v>0</v>
      </c>
      <c r="H9715" s="7">
        <v>0</v>
      </c>
    </row>
    <row r="9716" spans="1:8">
      <c r="A9716">
        <v>7</v>
      </c>
      <c r="B9716" t="s">
        <v>42</v>
      </c>
      <c r="C9716" t="s">
        <v>34</v>
      </c>
      <c r="D9716">
        <v>0</v>
      </c>
      <c r="E9716">
        <v>1</v>
      </c>
      <c r="F9716" s="7">
        <v>18596.2</v>
      </c>
      <c r="G9716">
        <v>0</v>
      </c>
      <c r="H9716" s="7">
        <v>0</v>
      </c>
    </row>
    <row r="9717" spans="1:8">
      <c r="A9717">
        <v>7</v>
      </c>
      <c r="B9717" t="s">
        <v>42</v>
      </c>
      <c r="C9717" t="s">
        <v>32</v>
      </c>
      <c r="D9717">
        <v>0</v>
      </c>
      <c r="E9717">
        <v>1</v>
      </c>
      <c r="F9717" s="7">
        <v>775.28</v>
      </c>
      <c r="G9717">
        <v>0</v>
      </c>
      <c r="H9717" s="7">
        <v>0</v>
      </c>
    </row>
    <row r="9718" spans="1:8">
      <c r="A9718">
        <v>7</v>
      </c>
      <c r="B9718" t="s">
        <v>42</v>
      </c>
      <c r="C9718" t="s">
        <v>34</v>
      </c>
      <c r="D9718">
        <v>0</v>
      </c>
      <c r="E9718">
        <v>1</v>
      </c>
      <c r="F9718" s="7">
        <v>11177.15</v>
      </c>
      <c r="G9718">
        <v>0</v>
      </c>
      <c r="H9718" s="7">
        <v>0</v>
      </c>
    </row>
    <row r="9719" spans="1:8">
      <c r="A9719">
        <v>7</v>
      </c>
      <c r="B9719" t="s">
        <v>42</v>
      </c>
      <c r="C9719" t="s">
        <v>32</v>
      </c>
      <c r="D9719">
        <v>0</v>
      </c>
      <c r="E9719">
        <v>1</v>
      </c>
      <c r="F9719" s="7">
        <v>132</v>
      </c>
      <c r="G9719">
        <v>0</v>
      </c>
      <c r="H9719" s="7">
        <v>0</v>
      </c>
    </row>
    <row r="9720" spans="1:8">
      <c r="A9720">
        <v>7</v>
      </c>
      <c r="B9720" t="s">
        <v>46</v>
      </c>
      <c r="C9720" t="s">
        <v>34</v>
      </c>
      <c r="D9720">
        <v>0</v>
      </c>
      <c r="E9720">
        <v>1</v>
      </c>
      <c r="F9720" s="7">
        <v>12745.74</v>
      </c>
      <c r="G9720">
        <v>0</v>
      </c>
      <c r="H9720" s="7">
        <v>0</v>
      </c>
    </row>
    <row r="9721" spans="1:8">
      <c r="A9721">
        <v>7</v>
      </c>
      <c r="B9721" t="s">
        <v>42</v>
      </c>
      <c r="C9721" t="s">
        <v>33</v>
      </c>
      <c r="D9721">
        <v>0</v>
      </c>
      <c r="E9721">
        <v>1</v>
      </c>
      <c r="F9721" s="7">
        <v>7733.71</v>
      </c>
      <c r="G9721">
        <v>0</v>
      </c>
      <c r="H9721" s="7">
        <v>0</v>
      </c>
    </row>
    <row r="9722" spans="1:8">
      <c r="A9722">
        <v>7</v>
      </c>
      <c r="B9722" t="s">
        <v>42</v>
      </c>
      <c r="C9722" t="s">
        <v>33</v>
      </c>
      <c r="D9722">
        <v>0</v>
      </c>
      <c r="E9722">
        <v>1</v>
      </c>
      <c r="F9722" s="7">
        <v>3966.45</v>
      </c>
      <c r="G9722">
        <v>0</v>
      </c>
      <c r="H9722" s="7">
        <v>0</v>
      </c>
    </row>
    <row r="9723" spans="1:8">
      <c r="A9723">
        <v>7</v>
      </c>
      <c r="B9723" t="s">
        <v>42</v>
      </c>
      <c r="C9723" t="s">
        <v>33</v>
      </c>
      <c r="D9723">
        <v>0</v>
      </c>
      <c r="E9723">
        <v>1</v>
      </c>
      <c r="F9723" s="7">
        <v>4514.37</v>
      </c>
      <c r="G9723">
        <v>0</v>
      </c>
      <c r="H9723" s="7">
        <v>0</v>
      </c>
    </row>
    <row r="9724" spans="1:8">
      <c r="A9724">
        <v>7</v>
      </c>
      <c r="B9724" t="s">
        <v>42</v>
      </c>
      <c r="C9724" t="s">
        <v>33</v>
      </c>
      <c r="D9724">
        <v>0</v>
      </c>
      <c r="E9724">
        <v>1</v>
      </c>
      <c r="F9724" s="7">
        <v>4671.39</v>
      </c>
      <c r="G9724">
        <v>0</v>
      </c>
      <c r="H9724" s="7">
        <v>0</v>
      </c>
    </row>
    <row r="9725" spans="1:8">
      <c r="A9725">
        <v>7</v>
      </c>
      <c r="B9725" t="s">
        <v>42</v>
      </c>
      <c r="C9725" t="s">
        <v>32</v>
      </c>
      <c r="D9725">
        <v>0</v>
      </c>
      <c r="E9725">
        <v>1</v>
      </c>
      <c r="F9725" s="7">
        <v>173.52</v>
      </c>
      <c r="G9725">
        <v>0</v>
      </c>
      <c r="H9725" s="7">
        <v>0</v>
      </c>
    </row>
    <row r="9726" spans="1:8">
      <c r="A9726">
        <v>7</v>
      </c>
      <c r="B9726" t="s">
        <v>42</v>
      </c>
      <c r="C9726" t="s">
        <v>33</v>
      </c>
      <c r="D9726">
        <v>0</v>
      </c>
      <c r="E9726">
        <v>1</v>
      </c>
      <c r="F9726" s="7">
        <v>7813.41</v>
      </c>
      <c r="G9726">
        <v>0</v>
      </c>
      <c r="H9726" s="7">
        <v>0</v>
      </c>
    </row>
    <row r="9727" spans="1:8">
      <c r="A9727">
        <v>7</v>
      </c>
      <c r="B9727" t="s">
        <v>44</v>
      </c>
      <c r="C9727" t="s">
        <v>35</v>
      </c>
      <c r="D9727">
        <v>0</v>
      </c>
      <c r="E9727">
        <v>1</v>
      </c>
      <c r="F9727" s="7">
        <v>129079.67</v>
      </c>
      <c r="G9727">
        <v>0</v>
      </c>
      <c r="H9727" s="7">
        <v>0</v>
      </c>
    </row>
    <row r="9728" spans="1:8">
      <c r="A9728">
        <v>7</v>
      </c>
      <c r="B9728" t="s">
        <v>44</v>
      </c>
      <c r="C9728" t="s">
        <v>34</v>
      </c>
      <c r="D9728">
        <v>0</v>
      </c>
      <c r="E9728">
        <v>1</v>
      </c>
      <c r="F9728" s="7">
        <v>80117.92</v>
      </c>
      <c r="G9728">
        <v>0</v>
      </c>
      <c r="H9728" s="7">
        <v>0</v>
      </c>
    </row>
    <row r="9729" spans="1:8">
      <c r="A9729">
        <v>7</v>
      </c>
      <c r="B9729" t="s">
        <v>42</v>
      </c>
      <c r="C9729" t="s">
        <v>33</v>
      </c>
      <c r="D9729">
        <v>0</v>
      </c>
      <c r="E9729">
        <v>1</v>
      </c>
      <c r="F9729" s="7">
        <v>1962.68</v>
      </c>
      <c r="G9729">
        <v>0</v>
      </c>
      <c r="H9729" s="7">
        <v>0</v>
      </c>
    </row>
    <row r="9730" spans="1:8">
      <c r="A9730">
        <v>7</v>
      </c>
      <c r="B9730" t="s">
        <v>43</v>
      </c>
      <c r="C9730" t="s">
        <v>35</v>
      </c>
      <c r="D9730">
        <v>0</v>
      </c>
      <c r="E9730">
        <v>1</v>
      </c>
      <c r="F9730" s="7">
        <v>138389.21</v>
      </c>
      <c r="G9730">
        <v>0</v>
      </c>
      <c r="H9730" s="7">
        <v>0</v>
      </c>
    </row>
    <row r="9731" spans="1:8">
      <c r="A9731">
        <v>7</v>
      </c>
      <c r="B9731" t="s">
        <v>42</v>
      </c>
      <c r="C9731" t="s">
        <v>33</v>
      </c>
      <c r="D9731">
        <v>0</v>
      </c>
      <c r="E9731">
        <v>1</v>
      </c>
      <c r="F9731" s="7">
        <v>3737.22</v>
      </c>
      <c r="G9731">
        <v>0</v>
      </c>
      <c r="H9731" s="7">
        <v>0</v>
      </c>
    </row>
    <row r="9732" spans="1:8">
      <c r="A9732">
        <v>7</v>
      </c>
      <c r="B9732" t="s">
        <v>42</v>
      </c>
      <c r="C9732" t="s">
        <v>33</v>
      </c>
      <c r="D9732">
        <v>0</v>
      </c>
      <c r="E9732">
        <v>1</v>
      </c>
      <c r="F9732" s="7">
        <v>2506.06</v>
      </c>
      <c r="G9732">
        <v>0</v>
      </c>
      <c r="H9732" s="7">
        <v>0</v>
      </c>
    </row>
    <row r="9733" spans="1:8">
      <c r="A9733">
        <v>7</v>
      </c>
      <c r="B9733" t="s">
        <v>42</v>
      </c>
      <c r="C9733" t="s">
        <v>34</v>
      </c>
      <c r="D9733">
        <v>0</v>
      </c>
      <c r="E9733">
        <v>1</v>
      </c>
      <c r="F9733" s="7">
        <v>13670</v>
      </c>
      <c r="G9733">
        <v>0</v>
      </c>
      <c r="H9733" s="7">
        <v>0</v>
      </c>
    </row>
    <row r="9734" spans="1:8">
      <c r="A9734">
        <v>7</v>
      </c>
      <c r="B9734" t="s">
        <v>42</v>
      </c>
      <c r="C9734" t="s">
        <v>33</v>
      </c>
      <c r="D9734">
        <v>0</v>
      </c>
      <c r="E9734">
        <v>1</v>
      </c>
      <c r="F9734" s="7">
        <v>8582.89</v>
      </c>
      <c r="G9734">
        <v>0</v>
      </c>
      <c r="H9734" s="7">
        <v>0</v>
      </c>
    </row>
    <row r="9735" spans="1:8">
      <c r="A9735">
        <v>7</v>
      </c>
      <c r="B9735" t="s">
        <v>42</v>
      </c>
      <c r="C9735" t="s">
        <v>34</v>
      </c>
      <c r="D9735">
        <v>0</v>
      </c>
      <c r="E9735">
        <v>1</v>
      </c>
      <c r="F9735" s="7">
        <v>13006.27</v>
      </c>
      <c r="G9735">
        <v>0</v>
      </c>
      <c r="H9735" s="7">
        <v>0</v>
      </c>
    </row>
    <row r="9736" spans="1:8">
      <c r="A9736">
        <v>7</v>
      </c>
      <c r="B9736" t="s">
        <v>42</v>
      </c>
      <c r="C9736" t="s">
        <v>33</v>
      </c>
      <c r="D9736">
        <v>0</v>
      </c>
      <c r="E9736">
        <v>1</v>
      </c>
      <c r="F9736" s="7">
        <v>6686.54</v>
      </c>
      <c r="G9736">
        <v>0</v>
      </c>
      <c r="H9736" s="7">
        <v>0</v>
      </c>
    </row>
    <row r="9737" spans="1:8">
      <c r="A9737">
        <v>7</v>
      </c>
      <c r="B9737" t="s">
        <v>42</v>
      </c>
      <c r="C9737" t="s">
        <v>33</v>
      </c>
      <c r="D9737">
        <v>0</v>
      </c>
      <c r="E9737">
        <v>1</v>
      </c>
      <c r="F9737" s="7">
        <v>1410.56</v>
      </c>
      <c r="G9737">
        <v>0</v>
      </c>
      <c r="H9737" s="7">
        <v>0</v>
      </c>
    </row>
    <row r="9738" spans="1:8">
      <c r="A9738">
        <v>7</v>
      </c>
      <c r="B9738" t="s">
        <v>42</v>
      </c>
      <c r="C9738" t="s">
        <v>33</v>
      </c>
      <c r="D9738">
        <v>0</v>
      </c>
      <c r="E9738">
        <v>1</v>
      </c>
      <c r="F9738" s="7">
        <v>1157.15</v>
      </c>
      <c r="G9738">
        <v>0</v>
      </c>
      <c r="H9738" s="7">
        <v>0</v>
      </c>
    </row>
    <row r="9739" spans="1:8">
      <c r="A9739">
        <v>7</v>
      </c>
      <c r="B9739" t="s">
        <v>43</v>
      </c>
      <c r="C9739" t="s">
        <v>35</v>
      </c>
      <c r="D9739">
        <v>0</v>
      </c>
      <c r="E9739">
        <v>1</v>
      </c>
      <c r="F9739" s="7">
        <v>436465.06</v>
      </c>
      <c r="G9739">
        <v>0</v>
      </c>
      <c r="H9739" s="7">
        <v>0</v>
      </c>
    </row>
    <row r="9740" spans="1:8">
      <c r="A9740">
        <v>7</v>
      </c>
      <c r="B9740" t="s">
        <v>42</v>
      </c>
      <c r="C9740" t="s">
        <v>33</v>
      </c>
      <c r="D9740">
        <v>0</v>
      </c>
      <c r="E9740">
        <v>1</v>
      </c>
      <c r="F9740" s="7">
        <v>3060.2</v>
      </c>
      <c r="G9740">
        <v>0</v>
      </c>
      <c r="H9740" s="7">
        <v>0</v>
      </c>
    </row>
    <row r="9741" spans="1:8">
      <c r="A9741">
        <v>7</v>
      </c>
      <c r="B9741" t="s">
        <v>42</v>
      </c>
      <c r="C9741" t="s">
        <v>33</v>
      </c>
      <c r="D9741">
        <v>0</v>
      </c>
      <c r="E9741">
        <v>1</v>
      </c>
      <c r="F9741" s="7">
        <v>2344.4</v>
      </c>
      <c r="G9741">
        <v>0</v>
      </c>
      <c r="H9741" s="7">
        <v>0</v>
      </c>
    </row>
    <row r="9742" spans="1:8">
      <c r="A9742">
        <v>7</v>
      </c>
      <c r="B9742" t="s">
        <v>42</v>
      </c>
      <c r="C9742" t="s">
        <v>33</v>
      </c>
      <c r="D9742">
        <v>0</v>
      </c>
      <c r="E9742">
        <v>1</v>
      </c>
      <c r="F9742" s="7">
        <v>6933.54</v>
      </c>
      <c r="G9742">
        <v>0</v>
      </c>
      <c r="H9742" s="7">
        <v>0</v>
      </c>
    </row>
    <row r="9743" spans="1:8">
      <c r="A9743">
        <v>7</v>
      </c>
      <c r="B9743" t="s">
        <v>42</v>
      </c>
      <c r="C9743" t="s">
        <v>32</v>
      </c>
      <c r="D9743">
        <v>0</v>
      </c>
      <c r="E9743">
        <v>1</v>
      </c>
      <c r="F9743" s="7">
        <v>738.02</v>
      </c>
      <c r="G9743">
        <v>0</v>
      </c>
      <c r="H9743" s="7">
        <v>0</v>
      </c>
    </row>
    <row r="9744" spans="1:8">
      <c r="A9744">
        <v>7</v>
      </c>
      <c r="B9744" t="s">
        <v>42</v>
      </c>
      <c r="C9744" t="s">
        <v>34</v>
      </c>
      <c r="D9744">
        <v>0</v>
      </c>
      <c r="E9744">
        <v>1</v>
      </c>
      <c r="F9744" s="7">
        <v>15619.46</v>
      </c>
      <c r="G9744">
        <v>0</v>
      </c>
      <c r="H9744" s="7">
        <v>0</v>
      </c>
    </row>
    <row r="9745" spans="1:8">
      <c r="A9745">
        <v>7</v>
      </c>
      <c r="B9745" t="s">
        <v>42</v>
      </c>
      <c r="C9745" t="s">
        <v>33</v>
      </c>
      <c r="D9745">
        <v>0</v>
      </c>
      <c r="E9745">
        <v>1</v>
      </c>
      <c r="F9745" s="7">
        <v>8164.1</v>
      </c>
      <c r="G9745">
        <v>0</v>
      </c>
      <c r="H9745" s="7">
        <v>0</v>
      </c>
    </row>
    <row r="9746" spans="1:8">
      <c r="A9746">
        <v>7</v>
      </c>
      <c r="B9746" t="s">
        <v>42</v>
      </c>
      <c r="C9746" t="s">
        <v>33</v>
      </c>
      <c r="D9746">
        <v>0</v>
      </c>
      <c r="E9746">
        <v>1</v>
      </c>
      <c r="F9746" s="7">
        <v>2065.03</v>
      </c>
      <c r="G9746">
        <v>0</v>
      </c>
      <c r="H9746" s="7">
        <v>0</v>
      </c>
    </row>
    <row r="9747" spans="1:8">
      <c r="A9747">
        <v>7</v>
      </c>
      <c r="B9747" t="s">
        <v>42</v>
      </c>
      <c r="C9747" t="s">
        <v>32</v>
      </c>
      <c r="D9747">
        <v>0</v>
      </c>
      <c r="E9747">
        <v>1</v>
      </c>
      <c r="F9747" s="7">
        <v>758.61</v>
      </c>
      <c r="G9747">
        <v>0</v>
      </c>
      <c r="H9747" s="7">
        <v>0</v>
      </c>
    </row>
    <row r="9748" spans="1:8">
      <c r="A9748">
        <v>7</v>
      </c>
      <c r="B9748" t="s">
        <v>42</v>
      </c>
      <c r="C9748" t="s">
        <v>33</v>
      </c>
      <c r="D9748">
        <v>0</v>
      </c>
      <c r="E9748">
        <v>1</v>
      </c>
      <c r="F9748" s="7">
        <v>4490.35</v>
      </c>
      <c r="G9748">
        <v>0</v>
      </c>
      <c r="H9748" s="7">
        <v>0</v>
      </c>
    </row>
    <row r="9749" spans="1:8">
      <c r="A9749">
        <v>7</v>
      </c>
      <c r="B9749" t="s">
        <v>42</v>
      </c>
      <c r="C9749" t="s">
        <v>33</v>
      </c>
      <c r="D9749">
        <v>0</v>
      </c>
      <c r="E9749">
        <v>1</v>
      </c>
      <c r="F9749" s="7">
        <v>2413.14</v>
      </c>
      <c r="G9749">
        <v>0</v>
      </c>
      <c r="H9749" s="7">
        <v>0</v>
      </c>
    </row>
    <row r="9750" spans="1:8">
      <c r="A9750">
        <v>7</v>
      </c>
      <c r="B9750" t="s">
        <v>43</v>
      </c>
      <c r="C9750" t="s">
        <v>35</v>
      </c>
      <c r="D9750">
        <v>0</v>
      </c>
      <c r="E9750">
        <v>1</v>
      </c>
      <c r="F9750" s="7">
        <v>340862.96</v>
      </c>
      <c r="G9750">
        <v>0</v>
      </c>
      <c r="H9750" s="7">
        <v>0</v>
      </c>
    </row>
    <row r="9751" spans="1:8">
      <c r="A9751">
        <v>7</v>
      </c>
      <c r="B9751" t="s">
        <v>43</v>
      </c>
      <c r="C9751" t="s">
        <v>35</v>
      </c>
      <c r="D9751">
        <v>0</v>
      </c>
      <c r="E9751">
        <v>1</v>
      </c>
      <c r="F9751" s="7">
        <v>154402.33</v>
      </c>
      <c r="G9751">
        <v>0</v>
      </c>
      <c r="H9751" s="7">
        <v>0</v>
      </c>
    </row>
    <row r="9752" spans="1:8">
      <c r="A9752">
        <v>7</v>
      </c>
      <c r="B9752" t="s">
        <v>42</v>
      </c>
      <c r="C9752" t="s">
        <v>33</v>
      </c>
      <c r="D9752">
        <v>0</v>
      </c>
      <c r="E9752">
        <v>1</v>
      </c>
      <c r="F9752" s="7">
        <v>3530.38</v>
      </c>
      <c r="G9752">
        <v>0</v>
      </c>
      <c r="H9752" s="7">
        <v>0</v>
      </c>
    </row>
    <row r="9753" spans="1:8">
      <c r="A9753">
        <v>7</v>
      </c>
      <c r="B9753" t="s">
        <v>42</v>
      </c>
      <c r="C9753" t="s">
        <v>34</v>
      </c>
      <c r="D9753">
        <v>0</v>
      </c>
      <c r="E9753">
        <v>1</v>
      </c>
      <c r="F9753" s="7">
        <v>16261.55</v>
      </c>
      <c r="G9753">
        <v>0</v>
      </c>
      <c r="H9753" s="7">
        <v>0</v>
      </c>
    </row>
    <row r="9754" spans="1:8">
      <c r="A9754">
        <v>7</v>
      </c>
      <c r="B9754" t="s">
        <v>42</v>
      </c>
      <c r="C9754" t="s">
        <v>33</v>
      </c>
      <c r="D9754">
        <v>0</v>
      </c>
      <c r="E9754">
        <v>1</v>
      </c>
      <c r="F9754" s="7">
        <v>7021.77</v>
      </c>
      <c r="G9754">
        <v>0</v>
      </c>
      <c r="H9754" s="7">
        <v>0</v>
      </c>
    </row>
    <row r="9755" spans="1:8">
      <c r="A9755">
        <v>7</v>
      </c>
      <c r="B9755" t="s">
        <v>42</v>
      </c>
      <c r="C9755" t="s">
        <v>34</v>
      </c>
      <c r="D9755">
        <v>0</v>
      </c>
      <c r="E9755">
        <v>1</v>
      </c>
      <c r="F9755" s="7">
        <v>10701.58</v>
      </c>
      <c r="G9755">
        <v>0</v>
      </c>
      <c r="H9755" s="7">
        <v>0</v>
      </c>
    </row>
    <row r="9756" spans="1:8">
      <c r="A9756">
        <v>7</v>
      </c>
      <c r="B9756" t="s">
        <v>42</v>
      </c>
      <c r="C9756" t="s">
        <v>33</v>
      </c>
      <c r="D9756">
        <v>0</v>
      </c>
      <c r="E9756">
        <v>1</v>
      </c>
      <c r="F9756" s="7">
        <v>2834.08</v>
      </c>
      <c r="G9756">
        <v>0</v>
      </c>
      <c r="H9756" s="7">
        <v>0</v>
      </c>
    </row>
    <row r="9757" spans="1:8">
      <c r="A9757">
        <v>7</v>
      </c>
      <c r="B9757" t="s">
        <v>42</v>
      </c>
      <c r="C9757" t="s">
        <v>33</v>
      </c>
      <c r="D9757">
        <v>0</v>
      </c>
      <c r="E9757">
        <v>1</v>
      </c>
      <c r="F9757" s="7">
        <v>3687.46</v>
      </c>
      <c r="G9757">
        <v>0</v>
      </c>
      <c r="H9757" s="7">
        <v>0</v>
      </c>
    </row>
    <row r="9758" spans="1:8">
      <c r="A9758">
        <v>7</v>
      </c>
      <c r="B9758" t="s">
        <v>42</v>
      </c>
      <c r="C9758" t="s">
        <v>32</v>
      </c>
      <c r="D9758">
        <v>0</v>
      </c>
      <c r="E9758">
        <v>1</v>
      </c>
      <c r="F9758" s="7">
        <v>808.34</v>
      </c>
      <c r="G9758">
        <v>0</v>
      </c>
      <c r="H9758" s="7">
        <v>0</v>
      </c>
    </row>
    <row r="9759" spans="1:8">
      <c r="A9759">
        <v>7</v>
      </c>
      <c r="B9759" t="s">
        <v>42</v>
      </c>
      <c r="C9759" t="s">
        <v>33</v>
      </c>
      <c r="D9759">
        <v>0</v>
      </c>
      <c r="E9759">
        <v>1</v>
      </c>
      <c r="F9759" s="7">
        <v>2894.91</v>
      </c>
      <c r="G9759">
        <v>0</v>
      </c>
      <c r="H9759" s="7">
        <v>0</v>
      </c>
    </row>
    <row r="9760" spans="1:8">
      <c r="A9760">
        <v>7</v>
      </c>
      <c r="B9760" t="s">
        <v>44</v>
      </c>
      <c r="C9760" t="s">
        <v>34</v>
      </c>
      <c r="D9760">
        <v>0</v>
      </c>
      <c r="E9760">
        <v>1</v>
      </c>
      <c r="F9760" s="7">
        <v>55412.64</v>
      </c>
      <c r="G9760">
        <v>0</v>
      </c>
      <c r="H9760" s="7">
        <v>0</v>
      </c>
    </row>
    <row r="9761" spans="1:8">
      <c r="A9761">
        <v>7</v>
      </c>
      <c r="B9761" t="s">
        <v>44</v>
      </c>
      <c r="C9761" t="s">
        <v>35</v>
      </c>
      <c r="D9761">
        <v>0</v>
      </c>
      <c r="E9761">
        <v>1</v>
      </c>
      <c r="F9761" s="7">
        <v>263017.13</v>
      </c>
      <c r="G9761">
        <v>0</v>
      </c>
      <c r="H9761" s="7">
        <v>0</v>
      </c>
    </row>
    <row r="9762" spans="1:8">
      <c r="A9762">
        <v>7</v>
      </c>
      <c r="B9762" t="s">
        <v>42</v>
      </c>
      <c r="C9762" t="s">
        <v>33</v>
      </c>
      <c r="D9762">
        <v>0</v>
      </c>
      <c r="E9762">
        <v>1</v>
      </c>
      <c r="F9762" s="7">
        <v>1800.78</v>
      </c>
      <c r="G9762">
        <v>0</v>
      </c>
      <c r="H9762" s="7">
        <v>0</v>
      </c>
    </row>
    <row r="9763" spans="1:8">
      <c r="A9763">
        <v>7</v>
      </c>
      <c r="B9763" t="s">
        <v>42</v>
      </c>
      <c r="C9763" t="s">
        <v>32</v>
      </c>
      <c r="D9763">
        <v>0</v>
      </c>
      <c r="E9763">
        <v>1</v>
      </c>
      <c r="F9763" s="7">
        <v>556.8</v>
      </c>
      <c r="G9763">
        <v>0</v>
      </c>
      <c r="H9763" s="7">
        <v>0</v>
      </c>
    </row>
    <row r="9764" spans="1:8">
      <c r="A9764">
        <v>7</v>
      </c>
      <c r="B9764" t="s">
        <v>44</v>
      </c>
      <c r="C9764" t="s">
        <v>35</v>
      </c>
      <c r="D9764">
        <v>0</v>
      </c>
      <c r="E9764">
        <v>1</v>
      </c>
      <c r="F9764" s="7">
        <v>143860.31</v>
      </c>
      <c r="G9764">
        <v>0</v>
      </c>
      <c r="H9764" s="7">
        <v>0</v>
      </c>
    </row>
    <row r="9765" spans="1:8">
      <c r="A9765">
        <v>7</v>
      </c>
      <c r="B9765" t="s">
        <v>42</v>
      </c>
      <c r="C9765" t="s">
        <v>33</v>
      </c>
      <c r="D9765">
        <v>0</v>
      </c>
      <c r="E9765">
        <v>1</v>
      </c>
      <c r="F9765" s="7">
        <v>6769.62</v>
      </c>
      <c r="G9765">
        <v>0</v>
      </c>
      <c r="H9765" s="7">
        <v>0</v>
      </c>
    </row>
    <row r="9766" spans="1:8">
      <c r="A9766">
        <v>7</v>
      </c>
      <c r="B9766" t="s">
        <v>42</v>
      </c>
      <c r="C9766" t="s">
        <v>33</v>
      </c>
      <c r="D9766">
        <v>0</v>
      </c>
      <c r="E9766">
        <v>1</v>
      </c>
      <c r="F9766" s="7">
        <v>4470.86</v>
      </c>
      <c r="G9766">
        <v>0</v>
      </c>
      <c r="H9766" s="7">
        <v>0</v>
      </c>
    </row>
    <row r="9767" spans="1:8">
      <c r="A9767">
        <v>7</v>
      </c>
      <c r="B9767" t="s">
        <v>42</v>
      </c>
      <c r="C9767" t="s">
        <v>32</v>
      </c>
      <c r="D9767">
        <v>0</v>
      </c>
      <c r="E9767">
        <v>1</v>
      </c>
      <c r="F9767" s="7">
        <v>386.54</v>
      </c>
      <c r="G9767">
        <v>0</v>
      </c>
      <c r="H9767" s="7">
        <v>0</v>
      </c>
    </row>
    <row r="9768" spans="1:8">
      <c r="A9768">
        <v>7</v>
      </c>
      <c r="B9768" t="s">
        <v>42</v>
      </c>
      <c r="C9768" t="s">
        <v>33</v>
      </c>
      <c r="D9768">
        <v>0</v>
      </c>
      <c r="E9768">
        <v>1</v>
      </c>
      <c r="F9768" s="7">
        <v>5688.89</v>
      </c>
      <c r="G9768">
        <v>0</v>
      </c>
      <c r="H9768" s="7">
        <v>0</v>
      </c>
    </row>
    <row r="9769" spans="1:8">
      <c r="A9769">
        <v>7</v>
      </c>
      <c r="B9769" t="s">
        <v>42</v>
      </c>
      <c r="C9769" t="s">
        <v>34</v>
      </c>
      <c r="D9769">
        <v>0</v>
      </c>
      <c r="E9769">
        <v>1</v>
      </c>
      <c r="F9769" s="7">
        <v>12064.58</v>
      </c>
      <c r="G9769">
        <v>0</v>
      </c>
      <c r="H9769" s="7">
        <v>0</v>
      </c>
    </row>
    <row r="9770" spans="1:8">
      <c r="A9770">
        <v>7</v>
      </c>
      <c r="B9770" t="s">
        <v>42</v>
      </c>
      <c r="C9770" t="s">
        <v>33</v>
      </c>
      <c r="D9770">
        <v>0</v>
      </c>
      <c r="E9770">
        <v>1</v>
      </c>
      <c r="F9770" s="7">
        <v>2734.82</v>
      </c>
      <c r="G9770">
        <v>0</v>
      </c>
      <c r="H9770" s="7">
        <v>0</v>
      </c>
    </row>
    <row r="9771" spans="1:8">
      <c r="A9771">
        <v>7</v>
      </c>
      <c r="B9771" t="s">
        <v>42</v>
      </c>
      <c r="C9771" t="s">
        <v>33</v>
      </c>
      <c r="D9771">
        <v>0</v>
      </c>
      <c r="E9771">
        <v>1</v>
      </c>
      <c r="F9771" s="7">
        <v>5047.01</v>
      </c>
      <c r="G9771">
        <v>0</v>
      </c>
      <c r="H9771" s="7">
        <v>0</v>
      </c>
    </row>
    <row r="9772" spans="1:8">
      <c r="A9772">
        <v>7</v>
      </c>
      <c r="B9772" t="s">
        <v>42</v>
      </c>
      <c r="C9772" t="s">
        <v>33</v>
      </c>
      <c r="D9772">
        <v>0</v>
      </c>
      <c r="E9772">
        <v>1</v>
      </c>
      <c r="F9772" s="7">
        <v>5593.85</v>
      </c>
      <c r="G9772">
        <v>0</v>
      </c>
      <c r="H9772" s="7">
        <v>0</v>
      </c>
    </row>
    <row r="9773" spans="1:8">
      <c r="A9773">
        <v>7</v>
      </c>
      <c r="B9773" t="s">
        <v>45</v>
      </c>
      <c r="C9773" t="s">
        <v>33</v>
      </c>
      <c r="D9773">
        <v>0</v>
      </c>
      <c r="E9773">
        <v>1</v>
      </c>
      <c r="F9773" s="7">
        <v>1095.24</v>
      </c>
      <c r="G9773">
        <v>0</v>
      </c>
      <c r="H9773" s="7">
        <v>0</v>
      </c>
    </row>
    <row r="9774" spans="1:8">
      <c r="A9774">
        <v>7</v>
      </c>
      <c r="B9774" t="s">
        <v>42</v>
      </c>
      <c r="C9774" t="s">
        <v>34</v>
      </c>
      <c r="D9774">
        <v>0</v>
      </c>
      <c r="E9774">
        <v>1</v>
      </c>
      <c r="F9774" s="7">
        <v>11160.28</v>
      </c>
      <c r="G9774">
        <v>0</v>
      </c>
      <c r="H9774" s="7">
        <v>0</v>
      </c>
    </row>
    <row r="9775" spans="1:8">
      <c r="A9775">
        <v>7</v>
      </c>
      <c r="B9775" t="s">
        <v>42</v>
      </c>
      <c r="C9775" t="s">
        <v>33</v>
      </c>
      <c r="D9775">
        <v>0</v>
      </c>
      <c r="E9775">
        <v>1</v>
      </c>
      <c r="F9775" s="7">
        <v>9690.05</v>
      </c>
      <c r="G9775">
        <v>0</v>
      </c>
      <c r="H9775" s="7">
        <v>0</v>
      </c>
    </row>
    <row r="9776" spans="1:8">
      <c r="A9776">
        <v>7</v>
      </c>
      <c r="B9776" t="s">
        <v>42</v>
      </c>
      <c r="C9776" t="s">
        <v>33</v>
      </c>
      <c r="D9776">
        <v>0</v>
      </c>
      <c r="E9776">
        <v>1</v>
      </c>
      <c r="F9776" s="7">
        <v>4895.1</v>
      </c>
      <c r="G9776">
        <v>0</v>
      </c>
      <c r="H9776" s="7">
        <v>0</v>
      </c>
    </row>
    <row r="9777" spans="1:8">
      <c r="A9777">
        <v>7</v>
      </c>
      <c r="B9777" t="s">
        <v>46</v>
      </c>
      <c r="C9777" t="s">
        <v>35</v>
      </c>
      <c r="D9777">
        <v>0</v>
      </c>
      <c r="E9777">
        <v>1</v>
      </c>
      <c r="F9777" s="7">
        <v>151466.86</v>
      </c>
      <c r="G9777">
        <v>0</v>
      </c>
      <c r="H9777" s="7">
        <v>0</v>
      </c>
    </row>
    <row r="9778" spans="1:8">
      <c r="A9778">
        <v>7</v>
      </c>
      <c r="B9778" t="s">
        <v>46</v>
      </c>
      <c r="C9778" t="s">
        <v>35</v>
      </c>
      <c r="D9778">
        <v>0</v>
      </c>
      <c r="E9778">
        <v>1</v>
      </c>
      <c r="F9778" s="7">
        <v>196034.13</v>
      </c>
      <c r="G9778">
        <v>0</v>
      </c>
      <c r="H9778" s="7">
        <v>0</v>
      </c>
    </row>
    <row r="9779" spans="1:8">
      <c r="A9779">
        <v>7</v>
      </c>
      <c r="B9779" t="s">
        <v>46</v>
      </c>
      <c r="C9779" t="s">
        <v>35</v>
      </c>
      <c r="D9779">
        <v>0</v>
      </c>
      <c r="E9779">
        <v>1</v>
      </c>
      <c r="F9779" s="7">
        <v>165559.32</v>
      </c>
      <c r="G9779">
        <v>0</v>
      </c>
      <c r="H9779" s="7">
        <v>0</v>
      </c>
    </row>
    <row r="9780" spans="1:8">
      <c r="A9780">
        <v>7</v>
      </c>
      <c r="B9780" t="s">
        <v>46</v>
      </c>
      <c r="C9780" t="s">
        <v>34</v>
      </c>
      <c r="D9780">
        <v>0</v>
      </c>
      <c r="E9780">
        <v>1</v>
      </c>
      <c r="F9780" s="7">
        <v>71440.65</v>
      </c>
      <c r="G9780">
        <v>0</v>
      </c>
      <c r="H9780" s="7">
        <v>0</v>
      </c>
    </row>
    <row r="9781" spans="1:8">
      <c r="A9781">
        <v>7</v>
      </c>
      <c r="B9781" t="s">
        <v>46</v>
      </c>
      <c r="C9781" t="s">
        <v>35</v>
      </c>
      <c r="D9781">
        <v>0</v>
      </c>
      <c r="E9781">
        <v>1</v>
      </c>
      <c r="F9781" s="7">
        <v>129759.91</v>
      </c>
      <c r="G9781">
        <v>0</v>
      </c>
      <c r="H9781" s="7">
        <v>0</v>
      </c>
    </row>
    <row r="9782" spans="1:8">
      <c r="A9782">
        <v>7</v>
      </c>
      <c r="B9782" t="s">
        <v>46</v>
      </c>
      <c r="C9782" t="s">
        <v>35</v>
      </c>
      <c r="D9782">
        <v>0</v>
      </c>
      <c r="E9782">
        <v>1</v>
      </c>
      <c r="F9782" s="7">
        <v>137890.93</v>
      </c>
      <c r="G9782">
        <v>0</v>
      </c>
      <c r="H9782" s="7">
        <v>0</v>
      </c>
    </row>
    <row r="9783" spans="1:8">
      <c r="A9783">
        <v>7</v>
      </c>
      <c r="B9783" t="s">
        <v>46</v>
      </c>
      <c r="C9783" t="s">
        <v>34</v>
      </c>
      <c r="D9783">
        <v>0</v>
      </c>
      <c r="E9783">
        <v>1</v>
      </c>
      <c r="F9783" s="7">
        <v>42354.06</v>
      </c>
      <c r="G9783">
        <v>0</v>
      </c>
      <c r="H9783" s="7">
        <v>0</v>
      </c>
    </row>
    <row r="9784" spans="1:8">
      <c r="A9784">
        <v>7</v>
      </c>
      <c r="B9784" t="s">
        <v>46</v>
      </c>
      <c r="C9784" t="s">
        <v>35</v>
      </c>
      <c r="D9784">
        <v>0</v>
      </c>
      <c r="E9784">
        <v>1</v>
      </c>
      <c r="F9784" s="7">
        <v>438047.1</v>
      </c>
      <c r="G9784">
        <v>0</v>
      </c>
      <c r="H9784" s="7">
        <v>0</v>
      </c>
    </row>
    <row r="9785" spans="1:8">
      <c r="A9785">
        <v>7</v>
      </c>
      <c r="B9785" t="s">
        <v>46</v>
      </c>
      <c r="C9785" t="s">
        <v>34</v>
      </c>
      <c r="D9785">
        <v>0</v>
      </c>
      <c r="E9785">
        <v>1</v>
      </c>
      <c r="F9785" s="7">
        <v>80280.3</v>
      </c>
      <c r="G9785">
        <v>0</v>
      </c>
      <c r="H9785" s="7">
        <v>0</v>
      </c>
    </row>
    <row r="9786" spans="1:8">
      <c r="A9786">
        <v>7</v>
      </c>
      <c r="B9786" t="s">
        <v>46</v>
      </c>
      <c r="C9786" t="s">
        <v>34</v>
      </c>
      <c r="D9786">
        <v>0</v>
      </c>
      <c r="E9786">
        <v>1</v>
      </c>
      <c r="F9786" s="7">
        <v>32532.12</v>
      </c>
      <c r="G9786">
        <v>0</v>
      </c>
      <c r="H9786" s="7">
        <v>0</v>
      </c>
    </row>
    <row r="9787" spans="1:8">
      <c r="A9787">
        <v>7</v>
      </c>
      <c r="B9787" t="s">
        <v>46</v>
      </c>
      <c r="C9787" t="s">
        <v>35</v>
      </c>
      <c r="D9787">
        <v>0</v>
      </c>
      <c r="E9787">
        <v>1</v>
      </c>
      <c r="F9787" s="7">
        <v>178823.75</v>
      </c>
      <c r="G9787">
        <v>0</v>
      </c>
      <c r="H9787" s="7">
        <v>0</v>
      </c>
    </row>
    <row r="9788" spans="1:8">
      <c r="A9788">
        <v>7</v>
      </c>
      <c r="B9788" t="s">
        <v>46</v>
      </c>
      <c r="C9788" t="s">
        <v>35</v>
      </c>
      <c r="D9788">
        <v>0</v>
      </c>
      <c r="E9788">
        <v>1</v>
      </c>
      <c r="F9788" s="7">
        <v>223559.66</v>
      </c>
      <c r="G9788">
        <v>0</v>
      </c>
      <c r="H9788" s="7">
        <v>0</v>
      </c>
    </row>
    <row r="9789" spans="1:8">
      <c r="A9789">
        <v>7</v>
      </c>
      <c r="B9789" t="s">
        <v>46</v>
      </c>
      <c r="C9789" t="s">
        <v>35</v>
      </c>
      <c r="D9789">
        <v>0</v>
      </c>
      <c r="E9789">
        <v>1</v>
      </c>
      <c r="F9789" s="7">
        <v>290124.75</v>
      </c>
      <c r="G9789">
        <v>0</v>
      </c>
      <c r="H9789" s="7">
        <v>0</v>
      </c>
    </row>
    <row r="9790" spans="1:8">
      <c r="A9790">
        <v>7</v>
      </c>
      <c r="B9790" t="s">
        <v>46</v>
      </c>
      <c r="C9790" t="s">
        <v>35</v>
      </c>
      <c r="D9790">
        <v>0</v>
      </c>
      <c r="E9790">
        <v>1</v>
      </c>
      <c r="F9790" s="7">
        <v>173061.52</v>
      </c>
      <c r="G9790">
        <v>0</v>
      </c>
      <c r="H9790" s="7">
        <v>0</v>
      </c>
    </row>
    <row r="9791" spans="1:8">
      <c r="A9791">
        <v>7</v>
      </c>
      <c r="B9791" t="s">
        <v>46</v>
      </c>
      <c r="C9791" t="s">
        <v>34</v>
      </c>
      <c r="D9791">
        <v>0</v>
      </c>
      <c r="E9791">
        <v>1</v>
      </c>
      <c r="F9791" s="7">
        <v>52429.68</v>
      </c>
      <c r="G9791">
        <v>0</v>
      </c>
      <c r="H9791" s="7">
        <v>0</v>
      </c>
    </row>
    <row r="9792" spans="1:8">
      <c r="A9792">
        <v>7</v>
      </c>
      <c r="B9792" t="s">
        <v>46</v>
      </c>
      <c r="C9792" t="s">
        <v>35</v>
      </c>
      <c r="D9792">
        <v>0</v>
      </c>
      <c r="E9792">
        <v>1</v>
      </c>
      <c r="F9792" s="7">
        <v>128998.92</v>
      </c>
      <c r="G9792">
        <v>0</v>
      </c>
      <c r="H9792" s="7">
        <v>0</v>
      </c>
    </row>
    <row r="9793" spans="1:8">
      <c r="A9793">
        <v>7</v>
      </c>
      <c r="B9793" t="s">
        <v>46</v>
      </c>
      <c r="C9793" t="s">
        <v>35</v>
      </c>
      <c r="D9793">
        <v>0</v>
      </c>
      <c r="E9793">
        <v>1</v>
      </c>
      <c r="F9793" s="7">
        <v>502571.35</v>
      </c>
      <c r="G9793">
        <v>0</v>
      </c>
      <c r="H9793" s="7">
        <v>0</v>
      </c>
    </row>
    <row r="9794" spans="1:8">
      <c r="A9794">
        <v>7</v>
      </c>
      <c r="B9794" t="s">
        <v>46</v>
      </c>
      <c r="C9794" t="s">
        <v>35</v>
      </c>
      <c r="D9794">
        <v>0</v>
      </c>
      <c r="E9794">
        <v>1</v>
      </c>
      <c r="F9794" s="7">
        <v>815501.07</v>
      </c>
      <c r="G9794">
        <v>0</v>
      </c>
      <c r="H9794" s="7">
        <v>0</v>
      </c>
    </row>
    <row r="9795" spans="1:8">
      <c r="A9795">
        <v>7</v>
      </c>
      <c r="B9795" t="s">
        <v>46</v>
      </c>
      <c r="C9795" t="s">
        <v>35</v>
      </c>
      <c r="D9795">
        <v>0</v>
      </c>
      <c r="E9795">
        <v>1</v>
      </c>
      <c r="F9795" s="7">
        <v>140862.84</v>
      </c>
      <c r="G9795">
        <v>0</v>
      </c>
      <c r="H9795" s="7">
        <v>0</v>
      </c>
    </row>
    <row r="9796" spans="1:8">
      <c r="A9796">
        <v>7</v>
      </c>
      <c r="B9796" t="s">
        <v>46</v>
      </c>
      <c r="C9796" t="s">
        <v>33</v>
      </c>
      <c r="D9796">
        <v>0</v>
      </c>
      <c r="E9796">
        <v>1</v>
      </c>
      <c r="F9796" s="7">
        <v>2654.73</v>
      </c>
      <c r="G9796">
        <v>0</v>
      </c>
      <c r="H9796" s="7">
        <v>0</v>
      </c>
    </row>
    <row r="9797" spans="1:8">
      <c r="A9797">
        <v>7</v>
      </c>
      <c r="B9797" t="s">
        <v>46</v>
      </c>
      <c r="C9797" t="s">
        <v>34</v>
      </c>
      <c r="D9797">
        <v>0</v>
      </c>
      <c r="E9797">
        <v>1</v>
      </c>
      <c r="F9797" s="7">
        <v>44740</v>
      </c>
      <c r="G9797">
        <v>0</v>
      </c>
      <c r="H9797" s="7">
        <v>0</v>
      </c>
    </row>
    <row r="9798" spans="1:8">
      <c r="A9798">
        <v>7</v>
      </c>
      <c r="B9798" t="s">
        <v>46</v>
      </c>
      <c r="C9798" t="s">
        <v>34</v>
      </c>
      <c r="D9798">
        <v>0</v>
      </c>
      <c r="E9798">
        <v>1</v>
      </c>
      <c r="F9798" s="7">
        <v>56976.46</v>
      </c>
      <c r="G9798">
        <v>0</v>
      </c>
      <c r="H9798" s="7">
        <v>0</v>
      </c>
    </row>
    <row r="9799" spans="1:8">
      <c r="A9799">
        <v>7</v>
      </c>
      <c r="B9799" t="s">
        <v>46</v>
      </c>
      <c r="C9799" t="s">
        <v>34</v>
      </c>
      <c r="D9799">
        <v>0</v>
      </c>
      <c r="E9799">
        <v>1</v>
      </c>
      <c r="F9799" s="7">
        <v>58195.71</v>
      </c>
      <c r="G9799">
        <v>0</v>
      </c>
      <c r="H9799" s="7">
        <v>0</v>
      </c>
    </row>
    <row r="9800" spans="1:8">
      <c r="A9800">
        <v>7</v>
      </c>
      <c r="B9800" t="s">
        <v>46</v>
      </c>
      <c r="C9800" t="s">
        <v>34</v>
      </c>
      <c r="D9800">
        <v>0</v>
      </c>
      <c r="E9800">
        <v>1</v>
      </c>
      <c r="F9800" s="7">
        <v>18097.74</v>
      </c>
      <c r="G9800">
        <v>0</v>
      </c>
      <c r="H9800" s="7">
        <v>0</v>
      </c>
    </row>
    <row r="9801" spans="1:8">
      <c r="A9801">
        <v>7</v>
      </c>
      <c r="B9801" t="s">
        <v>46</v>
      </c>
      <c r="C9801" t="s">
        <v>35</v>
      </c>
      <c r="D9801">
        <v>0</v>
      </c>
      <c r="E9801">
        <v>1</v>
      </c>
      <c r="F9801" s="7">
        <v>235190.76</v>
      </c>
      <c r="G9801">
        <v>0</v>
      </c>
      <c r="H9801" s="7">
        <v>0</v>
      </c>
    </row>
    <row r="9802" spans="1:8">
      <c r="A9802">
        <v>7</v>
      </c>
      <c r="B9802" t="s">
        <v>46</v>
      </c>
      <c r="C9802" t="s">
        <v>35</v>
      </c>
      <c r="D9802">
        <v>0</v>
      </c>
      <c r="E9802">
        <v>1</v>
      </c>
      <c r="F9802" s="7">
        <v>272342.01</v>
      </c>
      <c r="G9802">
        <v>0</v>
      </c>
      <c r="H9802" s="7">
        <v>0</v>
      </c>
    </row>
    <row r="9803" spans="1:8">
      <c r="A9803">
        <v>7</v>
      </c>
      <c r="B9803" t="s">
        <v>46</v>
      </c>
      <c r="C9803" t="s">
        <v>35</v>
      </c>
      <c r="D9803">
        <v>0</v>
      </c>
      <c r="E9803">
        <v>1</v>
      </c>
      <c r="F9803" s="7">
        <v>336844.89</v>
      </c>
      <c r="G9803">
        <v>0</v>
      </c>
      <c r="H9803" s="7">
        <v>0</v>
      </c>
    </row>
    <row r="9804" spans="1:8">
      <c r="A9804">
        <v>7</v>
      </c>
      <c r="B9804" t="s">
        <v>46</v>
      </c>
      <c r="C9804" t="s">
        <v>35</v>
      </c>
      <c r="D9804">
        <v>0</v>
      </c>
      <c r="E9804">
        <v>1</v>
      </c>
      <c r="F9804" s="7">
        <v>209715.24</v>
      </c>
      <c r="G9804">
        <v>0</v>
      </c>
      <c r="H9804" s="7">
        <v>0</v>
      </c>
    </row>
    <row r="9805" spans="1:8">
      <c r="A9805">
        <v>7</v>
      </c>
      <c r="B9805" t="s">
        <v>46</v>
      </c>
      <c r="C9805" t="s">
        <v>35</v>
      </c>
      <c r="D9805">
        <v>0</v>
      </c>
      <c r="E9805">
        <v>1</v>
      </c>
      <c r="F9805" s="7">
        <v>496460.1</v>
      </c>
      <c r="G9805">
        <v>0</v>
      </c>
      <c r="H9805" s="7">
        <v>0</v>
      </c>
    </row>
    <row r="9806" spans="1:8">
      <c r="A9806">
        <v>7</v>
      </c>
      <c r="B9806" t="s">
        <v>46</v>
      </c>
      <c r="C9806" t="s">
        <v>35</v>
      </c>
      <c r="D9806">
        <v>0</v>
      </c>
      <c r="E9806">
        <v>1</v>
      </c>
      <c r="F9806" s="7">
        <v>175995.9</v>
      </c>
      <c r="G9806">
        <v>0</v>
      </c>
      <c r="H9806" s="7">
        <v>0</v>
      </c>
    </row>
    <row r="9807" spans="1:8">
      <c r="A9807">
        <v>7</v>
      </c>
      <c r="B9807" t="s">
        <v>46</v>
      </c>
      <c r="C9807" t="s">
        <v>35</v>
      </c>
      <c r="D9807">
        <v>0</v>
      </c>
      <c r="E9807">
        <v>1</v>
      </c>
      <c r="F9807" s="7">
        <v>285857.46</v>
      </c>
      <c r="G9807">
        <v>0</v>
      </c>
      <c r="H9807" s="7">
        <v>0</v>
      </c>
    </row>
    <row r="9808" spans="1:8">
      <c r="A9808">
        <v>7</v>
      </c>
      <c r="B9808" t="s">
        <v>46</v>
      </c>
      <c r="C9808" t="s">
        <v>35</v>
      </c>
      <c r="D9808">
        <v>0</v>
      </c>
      <c r="E9808">
        <v>1</v>
      </c>
      <c r="F9808" s="7">
        <v>218080.84</v>
      </c>
      <c r="G9808">
        <v>0</v>
      </c>
      <c r="H9808" s="7">
        <v>0</v>
      </c>
    </row>
    <row r="9809" spans="1:8">
      <c r="A9809">
        <v>7</v>
      </c>
      <c r="B9809" t="s">
        <v>46</v>
      </c>
      <c r="C9809" t="s">
        <v>34</v>
      </c>
      <c r="D9809">
        <v>0</v>
      </c>
      <c r="E9809">
        <v>1</v>
      </c>
      <c r="F9809" s="7">
        <v>44833.06</v>
      </c>
      <c r="G9809">
        <v>0</v>
      </c>
      <c r="H9809" s="7">
        <v>0</v>
      </c>
    </row>
    <row r="9810" spans="1:8">
      <c r="A9810">
        <v>7</v>
      </c>
      <c r="B9810" t="s">
        <v>46</v>
      </c>
      <c r="C9810" t="s">
        <v>33</v>
      </c>
      <c r="D9810">
        <v>0</v>
      </c>
      <c r="E9810">
        <v>1</v>
      </c>
      <c r="F9810" s="7">
        <v>6288.28</v>
      </c>
      <c r="G9810">
        <v>0</v>
      </c>
      <c r="H9810" s="7">
        <v>0</v>
      </c>
    </row>
    <row r="9811" spans="1:8">
      <c r="A9811">
        <v>7</v>
      </c>
      <c r="B9811" t="s">
        <v>46</v>
      </c>
      <c r="C9811" t="s">
        <v>35</v>
      </c>
      <c r="D9811">
        <v>0</v>
      </c>
      <c r="E9811">
        <v>1</v>
      </c>
      <c r="F9811" s="7">
        <v>120155.92</v>
      </c>
      <c r="G9811">
        <v>0</v>
      </c>
      <c r="H9811" s="7">
        <v>0</v>
      </c>
    </row>
    <row r="9812" spans="1:8">
      <c r="A9812">
        <v>7</v>
      </c>
      <c r="B9812" t="s">
        <v>46</v>
      </c>
      <c r="C9812" t="s">
        <v>35</v>
      </c>
      <c r="D9812">
        <v>0</v>
      </c>
      <c r="E9812">
        <v>1</v>
      </c>
      <c r="F9812" s="7">
        <v>226240.27</v>
      </c>
      <c r="G9812">
        <v>0</v>
      </c>
      <c r="H9812" s="7">
        <v>0</v>
      </c>
    </row>
    <row r="9813" spans="1:8">
      <c r="A9813">
        <v>7</v>
      </c>
      <c r="B9813" t="s">
        <v>46</v>
      </c>
      <c r="C9813" t="s">
        <v>35</v>
      </c>
      <c r="D9813">
        <v>0</v>
      </c>
      <c r="E9813">
        <v>1</v>
      </c>
      <c r="F9813" s="7">
        <v>165562.59</v>
      </c>
      <c r="G9813">
        <v>0</v>
      </c>
      <c r="H9813" s="7">
        <v>0</v>
      </c>
    </row>
    <row r="9814" spans="1:8">
      <c r="A9814">
        <v>7</v>
      </c>
      <c r="B9814" t="s">
        <v>46</v>
      </c>
      <c r="C9814" t="s">
        <v>35</v>
      </c>
      <c r="D9814">
        <v>0</v>
      </c>
      <c r="E9814">
        <v>1</v>
      </c>
      <c r="F9814" s="7">
        <v>139446.85</v>
      </c>
      <c r="G9814">
        <v>0</v>
      </c>
      <c r="H9814" s="7">
        <v>0</v>
      </c>
    </row>
    <row r="9815" spans="1:8">
      <c r="A9815">
        <v>7</v>
      </c>
      <c r="B9815" t="s">
        <v>46</v>
      </c>
      <c r="C9815" t="s">
        <v>35</v>
      </c>
      <c r="D9815">
        <v>0</v>
      </c>
      <c r="E9815">
        <v>1</v>
      </c>
      <c r="F9815" s="7">
        <v>150031.09</v>
      </c>
      <c r="G9815">
        <v>0</v>
      </c>
      <c r="H9815" s="7">
        <v>0</v>
      </c>
    </row>
    <row r="9816" spans="1:8">
      <c r="A9816">
        <v>7</v>
      </c>
      <c r="B9816" t="s">
        <v>46</v>
      </c>
      <c r="C9816" t="s">
        <v>35</v>
      </c>
      <c r="D9816">
        <v>0</v>
      </c>
      <c r="E9816">
        <v>1</v>
      </c>
      <c r="F9816" s="7">
        <v>280873.88</v>
      </c>
      <c r="G9816">
        <v>0</v>
      </c>
      <c r="H9816" s="7">
        <v>0</v>
      </c>
    </row>
    <row r="9817" spans="1:8">
      <c r="A9817">
        <v>7</v>
      </c>
      <c r="B9817" t="s">
        <v>46</v>
      </c>
      <c r="C9817" t="s">
        <v>34</v>
      </c>
      <c r="D9817">
        <v>0</v>
      </c>
      <c r="E9817">
        <v>1</v>
      </c>
      <c r="F9817" s="7">
        <v>43850.3</v>
      </c>
      <c r="G9817">
        <v>0</v>
      </c>
      <c r="H9817" s="7">
        <v>0</v>
      </c>
    </row>
    <row r="9818" spans="1:8">
      <c r="A9818">
        <v>7</v>
      </c>
      <c r="B9818" t="s">
        <v>46</v>
      </c>
      <c r="C9818" t="s">
        <v>34</v>
      </c>
      <c r="D9818">
        <v>0</v>
      </c>
      <c r="E9818">
        <v>1</v>
      </c>
      <c r="F9818" s="7">
        <v>30075.22</v>
      </c>
      <c r="G9818">
        <v>0</v>
      </c>
      <c r="H9818" s="7">
        <v>0</v>
      </c>
    </row>
    <row r="9819" spans="1:8">
      <c r="A9819">
        <v>7</v>
      </c>
      <c r="B9819" t="s">
        <v>46</v>
      </c>
      <c r="C9819" t="s">
        <v>34</v>
      </c>
      <c r="D9819">
        <v>0</v>
      </c>
      <c r="E9819">
        <v>1</v>
      </c>
      <c r="F9819" s="7">
        <v>11609.72</v>
      </c>
      <c r="G9819">
        <v>0</v>
      </c>
      <c r="H9819" s="7">
        <v>0</v>
      </c>
    </row>
    <row r="9820" spans="1:8">
      <c r="A9820">
        <v>7</v>
      </c>
      <c r="B9820" t="s">
        <v>46</v>
      </c>
      <c r="C9820" t="s">
        <v>35</v>
      </c>
      <c r="D9820">
        <v>0</v>
      </c>
      <c r="E9820">
        <v>1</v>
      </c>
      <c r="F9820" s="7">
        <v>219836.42</v>
      </c>
      <c r="G9820">
        <v>0</v>
      </c>
      <c r="H9820" s="7">
        <v>0</v>
      </c>
    </row>
    <row r="9821" spans="1:8">
      <c r="A9821">
        <v>7</v>
      </c>
      <c r="B9821" t="s">
        <v>46</v>
      </c>
      <c r="C9821" t="s">
        <v>35</v>
      </c>
      <c r="D9821">
        <v>0</v>
      </c>
      <c r="E9821">
        <v>1</v>
      </c>
      <c r="F9821" s="7">
        <v>367463.71</v>
      </c>
      <c r="G9821">
        <v>0</v>
      </c>
      <c r="H9821" s="7">
        <v>0</v>
      </c>
    </row>
    <row r="9822" spans="1:8">
      <c r="A9822">
        <v>7</v>
      </c>
      <c r="B9822" t="s">
        <v>46</v>
      </c>
      <c r="C9822" t="s">
        <v>35</v>
      </c>
      <c r="D9822">
        <v>0</v>
      </c>
      <c r="E9822">
        <v>1</v>
      </c>
      <c r="F9822" s="7">
        <v>148725.69</v>
      </c>
      <c r="G9822">
        <v>0</v>
      </c>
      <c r="H9822" s="7">
        <v>0</v>
      </c>
    </row>
    <row r="9823" spans="1:8">
      <c r="A9823">
        <v>7</v>
      </c>
      <c r="B9823" t="s">
        <v>46</v>
      </c>
      <c r="C9823" t="s">
        <v>34</v>
      </c>
      <c r="D9823">
        <v>0</v>
      </c>
      <c r="E9823">
        <v>1</v>
      </c>
      <c r="F9823" s="7">
        <v>16529.09</v>
      </c>
      <c r="G9823">
        <v>0</v>
      </c>
      <c r="H9823" s="7">
        <v>0</v>
      </c>
    </row>
    <row r="9824" spans="1:8">
      <c r="A9824">
        <v>7</v>
      </c>
      <c r="B9824" t="s">
        <v>42</v>
      </c>
      <c r="C9824" t="s">
        <v>33</v>
      </c>
      <c r="D9824">
        <v>0</v>
      </c>
      <c r="E9824">
        <v>1</v>
      </c>
      <c r="F9824" s="7">
        <v>6387</v>
      </c>
      <c r="G9824">
        <v>0</v>
      </c>
      <c r="H9824" s="7">
        <v>0</v>
      </c>
    </row>
    <row r="9825" spans="1:8">
      <c r="A9825">
        <v>7</v>
      </c>
      <c r="B9825" t="s">
        <v>42</v>
      </c>
      <c r="C9825" t="s">
        <v>34</v>
      </c>
      <c r="D9825">
        <v>0</v>
      </c>
      <c r="E9825">
        <v>1</v>
      </c>
      <c r="F9825" s="7">
        <v>12726.04</v>
      </c>
      <c r="G9825">
        <v>0</v>
      </c>
      <c r="H9825" s="7">
        <v>0</v>
      </c>
    </row>
    <row r="9826" spans="1:8">
      <c r="A9826">
        <v>7</v>
      </c>
      <c r="B9826" t="s">
        <v>42</v>
      </c>
      <c r="C9826" t="s">
        <v>34</v>
      </c>
      <c r="D9826">
        <v>0</v>
      </c>
      <c r="E9826">
        <v>1</v>
      </c>
      <c r="F9826" s="7">
        <v>11045.61</v>
      </c>
      <c r="G9826">
        <v>0</v>
      </c>
      <c r="H9826" s="7">
        <v>0</v>
      </c>
    </row>
    <row r="9827" spans="1:8">
      <c r="A9827">
        <v>7</v>
      </c>
      <c r="B9827" t="s">
        <v>42</v>
      </c>
      <c r="C9827" t="s">
        <v>33</v>
      </c>
      <c r="D9827">
        <v>0</v>
      </c>
      <c r="E9827">
        <v>1</v>
      </c>
      <c r="F9827" s="7">
        <v>4047.79</v>
      </c>
      <c r="G9827">
        <v>0</v>
      </c>
      <c r="H9827" s="7">
        <v>0</v>
      </c>
    </row>
    <row r="9828" spans="1:8">
      <c r="A9828">
        <v>7</v>
      </c>
      <c r="B9828" t="s">
        <v>44</v>
      </c>
      <c r="C9828" t="s">
        <v>34</v>
      </c>
      <c r="D9828">
        <v>0</v>
      </c>
      <c r="E9828">
        <v>1</v>
      </c>
      <c r="F9828" s="7">
        <v>98848.63</v>
      </c>
      <c r="G9828">
        <v>0</v>
      </c>
      <c r="H9828" s="7">
        <v>0</v>
      </c>
    </row>
    <row r="9829" spans="1:8">
      <c r="A9829">
        <v>7</v>
      </c>
      <c r="B9829" t="s">
        <v>42</v>
      </c>
      <c r="C9829" t="s">
        <v>33</v>
      </c>
      <c r="D9829">
        <v>0</v>
      </c>
      <c r="E9829">
        <v>1</v>
      </c>
      <c r="F9829" s="7">
        <v>1837.39</v>
      </c>
      <c r="G9829">
        <v>0</v>
      </c>
      <c r="H9829" s="7">
        <v>0</v>
      </c>
    </row>
    <row r="9830" spans="1:8">
      <c r="A9830">
        <v>7</v>
      </c>
      <c r="B9830" t="s">
        <v>43</v>
      </c>
      <c r="C9830" t="s">
        <v>35</v>
      </c>
      <c r="D9830">
        <v>0</v>
      </c>
      <c r="E9830">
        <v>1</v>
      </c>
      <c r="F9830" s="7">
        <v>528013.15</v>
      </c>
      <c r="G9830">
        <v>0</v>
      </c>
      <c r="H9830" s="7">
        <v>0</v>
      </c>
    </row>
    <row r="9831" spans="1:8">
      <c r="A9831">
        <v>7</v>
      </c>
      <c r="B9831" t="s">
        <v>42</v>
      </c>
      <c r="C9831" t="s">
        <v>33</v>
      </c>
      <c r="D9831">
        <v>0</v>
      </c>
      <c r="E9831">
        <v>1</v>
      </c>
      <c r="F9831" s="7">
        <v>1543.46</v>
      </c>
      <c r="G9831">
        <v>0</v>
      </c>
      <c r="H9831" s="7">
        <v>0</v>
      </c>
    </row>
    <row r="9832" spans="1:8">
      <c r="A9832">
        <v>7</v>
      </c>
      <c r="B9832" t="s">
        <v>42</v>
      </c>
      <c r="C9832" t="s">
        <v>33</v>
      </c>
      <c r="D9832">
        <v>0</v>
      </c>
      <c r="E9832">
        <v>1</v>
      </c>
      <c r="F9832" s="7">
        <v>4562.64</v>
      </c>
      <c r="G9832">
        <v>0</v>
      </c>
      <c r="H9832" s="7">
        <v>0</v>
      </c>
    </row>
    <row r="9833" spans="1:8">
      <c r="A9833">
        <v>7</v>
      </c>
      <c r="B9833" t="s">
        <v>42</v>
      </c>
      <c r="C9833" t="s">
        <v>33</v>
      </c>
      <c r="D9833">
        <v>0</v>
      </c>
      <c r="E9833">
        <v>1</v>
      </c>
      <c r="F9833" s="7">
        <v>1664.51</v>
      </c>
      <c r="G9833">
        <v>0</v>
      </c>
      <c r="H9833" s="7">
        <v>0</v>
      </c>
    </row>
    <row r="9834" spans="1:8">
      <c r="A9834">
        <v>7</v>
      </c>
      <c r="B9834" t="s">
        <v>42</v>
      </c>
      <c r="C9834" t="s">
        <v>34</v>
      </c>
      <c r="D9834">
        <v>0</v>
      </c>
      <c r="E9834">
        <v>1</v>
      </c>
      <c r="F9834" s="7">
        <v>21191.67</v>
      </c>
      <c r="G9834">
        <v>0</v>
      </c>
      <c r="H9834" s="7">
        <v>0</v>
      </c>
    </row>
    <row r="9835" spans="1:8">
      <c r="A9835">
        <v>7</v>
      </c>
      <c r="B9835" t="s">
        <v>42</v>
      </c>
      <c r="C9835" t="s">
        <v>34</v>
      </c>
      <c r="D9835">
        <v>0</v>
      </c>
      <c r="E9835">
        <v>1</v>
      </c>
      <c r="F9835" s="7">
        <v>23429.64</v>
      </c>
      <c r="G9835">
        <v>0</v>
      </c>
      <c r="H9835" s="7">
        <v>0</v>
      </c>
    </row>
    <row r="9836" spans="1:8">
      <c r="A9836">
        <v>7</v>
      </c>
      <c r="B9836" t="s">
        <v>42</v>
      </c>
      <c r="C9836" t="s">
        <v>34</v>
      </c>
      <c r="D9836">
        <v>0</v>
      </c>
      <c r="E9836">
        <v>1</v>
      </c>
      <c r="F9836" s="7">
        <v>19104.84</v>
      </c>
      <c r="G9836">
        <v>0</v>
      </c>
      <c r="H9836" s="7">
        <v>0</v>
      </c>
    </row>
    <row r="9837" spans="1:8">
      <c r="A9837">
        <v>7</v>
      </c>
      <c r="B9837" t="s">
        <v>42</v>
      </c>
      <c r="C9837" t="s">
        <v>34</v>
      </c>
      <c r="D9837">
        <v>0</v>
      </c>
      <c r="E9837">
        <v>1</v>
      </c>
      <c r="F9837" s="7">
        <v>24025.52</v>
      </c>
      <c r="G9837">
        <v>0</v>
      </c>
      <c r="H9837" s="7">
        <v>0</v>
      </c>
    </row>
    <row r="9838" spans="1:8">
      <c r="A9838">
        <v>7</v>
      </c>
      <c r="B9838" t="s">
        <v>42</v>
      </c>
      <c r="C9838" t="s">
        <v>34</v>
      </c>
      <c r="D9838">
        <v>0</v>
      </c>
      <c r="E9838">
        <v>1</v>
      </c>
      <c r="F9838" s="7">
        <v>51024.98</v>
      </c>
      <c r="G9838">
        <v>0</v>
      </c>
      <c r="H9838" s="7">
        <v>0</v>
      </c>
    </row>
    <row r="9839" spans="1:8">
      <c r="A9839">
        <v>7</v>
      </c>
      <c r="B9839" t="s">
        <v>42</v>
      </c>
      <c r="C9839" t="s">
        <v>33</v>
      </c>
      <c r="D9839">
        <v>0</v>
      </c>
      <c r="E9839">
        <v>1</v>
      </c>
      <c r="F9839" s="7">
        <v>8770.72</v>
      </c>
      <c r="G9839">
        <v>0</v>
      </c>
      <c r="H9839" s="7">
        <v>0</v>
      </c>
    </row>
    <row r="9840" spans="1:8">
      <c r="A9840">
        <v>7</v>
      </c>
      <c r="B9840" t="s">
        <v>42</v>
      </c>
      <c r="C9840" t="s">
        <v>33</v>
      </c>
      <c r="D9840">
        <v>0</v>
      </c>
      <c r="E9840">
        <v>1</v>
      </c>
      <c r="F9840" s="7">
        <v>8986.8</v>
      </c>
      <c r="G9840">
        <v>0</v>
      </c>
      <c r="H9840" s="7">
        <v>0</v>
      </c>
    </row>
    <row r="9841" spans="1:8">
      <c r="A9841">
        <v>7</v>
      </c>
      <c r="B9841" t="s">
        <v>42</v>
      </c>
      <c r="C9841" t="s">
        <v>33</v>
      </c>
      <c r="D9841">
        <v>0</v>
      </c>
      <c r="E9841">
        <v>1</v>
      </c>
      <c r="F9841" s="7">
        <v>7180.93</v>
      </c>
      <c r="G9841">
        <v>0</v>
      </c>
      <c r="H9841" s="7">
        <v>0</v>
      </c>
    </row>
    <row r="9842" spans="1:8">
      <c r="A9842">
        <v>7</v>
      </c>
      <c r="B9842" t="s">
        <v>42</v>
      </c>
      <c r="C9842" t="s">
        <v>34</v>
      </c>
      <c r="D9842">
        <v>0</v>
      </c>
      <c r="E9842">
        <v>1</v>
      </c>
      <c r="F9842" s="7">
        <v>12774.51</v>
      </c>
      <c r="G9842">
        <v>0</v>
      </c>
      <c r="H9842" s="7">
        <v>0</v>
      </c>
    </row>
    <row r="9843" spans="1:8">
      <c r="A9843">
        <v>7</v>
      </c>
      <c r="B9843" t="s">
        <v>42</v>
      </c>
      <c r="C9843" t="s">
        <v>34</v>
      </c>
      <c r="D9843">
        <v>0</v>
      </c>
      <c r="E9843">
        <v>1</v>
      </c>
      <c r="F9843" s="7">
        <v>30366.4</v>
      </c>
      <c r="G9843">
        <v>0</v>
      </c>
      <c r="H9843" s="7">
        <v>0</v>
      </c>
    </row>
    <row r="9844" spans="1:8">
      <c r="A9844">
        <v>7</v>
      </c>
      <c r="B9844" t="s">
        <v>42</v>
      </c>
      <c r="C9844" t="s">
        <v>34</v>
      </c>
      <c r="D9844">
        <v>0</v>
      </c>
      <c r="E9844">
        <v>1</v>
      </c>
      <c r="F9844" s="7">
        <v>11066.92</v>
      </c>
      <c r="G9844">
        <v>0</v>
      </c>
      <c r="H9844" s="7">
        <v>0</v>
      </c>
    </row>
    <row r="9845" spans="1:8">
      <c r="A9845">
        <v>7</v>
      </c>
      <c r="B9845" t="s">
        <v>43</v>
      </c>
      <c r="C9845" t="s">
        <v>35</v>
      </c>
      <c r="D9845">
        <v>0</v>
      </c>
      <c r="E9845">
        <v>1</v>
      </c>
      <c r="F9845" s="7">
        <v>228141.3</v>
      </c>
      <c r="G9845">
        <v>0</v>
      </c>
      <c r="H9845" s="7">
        <v>0</v>
      </c>
    </row>
    <row r="9846" spans="1:8">
      <c r="A9846">
        <v>7</v>
      </c>
      <c r="B9846" t="s">
        <v>44</v>
      </c>
      <c r="C9846" t="s">
        <v>34</v>
      </c>
      <c r="D9846">
        <v>0</v>
      </c>
      <c r="E9846">
        <v>1</v>
      </c>
      <c r="F9846" s="7">
        <v>11123.69</v>
      </c>
      <c r="G9846">
        <v>0</v>
      </c>
      <c r="H9846" s="7">
        <v>0</v>
      </c>
    </row>
    <row r="9847" spans="1:8">
      <c r="A9847">
        <v>7</v>
      </c>
      <c r="B9847" t="s">
        <v>42</v>
      </c>
      <c r="C9847" t="s">
        <v>34</v>
      </c>
      <c r="D9847">
        <v>0</v>
      </c>
      <c r="E9847">
        <v>1</v>
      </c>
      <c r="F9847" s="7">
        <v>15919.89</v>
      </c>
      <c r="G9847">
        <v>0</v>
      </c>
      <c r="H9847" s="7">
        <v>0</v>
      </c>
    </row>
    <row r="9848" spans="1:8">
      <c r="A9848">
        <v>7</v>
      </c>
      <c r="B9848" t="s">
        <v>42</v>
      </c>
      <c r="C9848" t="s">
        <v>34</v>
      </c>
      <c r="D9848">
        <v>0</v>
      </c>
      <c r="E9848">
        <v>1</v>
      </c>
      <c r="F9848" s="7">
        <v>11110.2</v>
      </c>
      <c r="G9848">
        <v>0</v>
      </c>
      <c r="H9848" s="7">
        <v>0</v>
      </c>
    </row>
    <row r="9849" spans="1:8">
      <c r="A9849">
        <v>7</v>
      </c>
      <c r="B9849" t="s">
        <v>42</v>
      </c>
      <c r="C9849" t="s">
        <v>33</v>
      </c>
      <c r="D9849">
        <v>0</v>
      </c>
      <c r="E9849">
        <v>1</v>
      </c>
      <c r="F9849" s="7">
        <v>1460</v>
      </c>
      <c r="G9849">
        <v>0</v>
      </c>
      <c r="H9849" s="7">
        <v>0</v>
      </c>
    </row>
    <row r="9850" spans="1:8">
      <c r="A9850">
        <v>7</v>
      </c>
      <c r="B9850" t="s">
        <v>42</v>
      </c>
      <c r="C9850" t="s">
        <v>33</v>
      </c>
      <c r="D9850">
        <v>0</v>
      </c>
      <c r="E9850">
        <v>1</v>
      </c>
      <c r="F9850" s="7">
        <v>8959.34</v>
      </c>
      <c r="G9850">
        <v>0</v>
      </c>
      <c r="H9850" s="7">
        <v>0</v>
      </c>
    </row>
    <row r="9851" spans="1:8">
      <c r="A9851">
        <v>7</v>
      </c>
      <c r="B9851" t="s">
        <v>42</v>
      </c>
      <c r="C9851" t="s">
        <v>33</v>
      </c>
      <c r="D9851">
        <v>0</v>
      </c>
      <c r="E9851">
        <v>1</v>
      </c>
      <c r="F9851" s="7">
        <v>7929.31</v>
      </c>
      <c r="G9851">
        <v>0</v>
      </c>
      <c r="H9851" s="7">
        <v>0</v>
      </c>
    </row>
    <row r="9852" spans="1:8">
      <c r="A9852">
        <v>7</v>
      </c>
      <c r="B9852" t="s">
        <v>43</v>
      </c>
      <c r="C9852" t="s">
        <v>34</v>
      </c>
      <c r="D9852">
        <v>0</v>
      </c>
      <c r="E9852">
        <v>1</v>
      </c>
      <c r="F9852" s="7">
        <v>68814.9</v>
      </c>
      <c r="G9852">
        <v>0</v>
      </c>
      <c r="H9852" s="7">
        <v>0</v>
      </c>
    </row>
    <row r="9853" spans="1:8">
      <c r="A9853">
        <v>7</v>
      </c>
      <c r="B9853" t="s">
        <v>45</v>
      </c>
      <c r="C9853" t="s">
        <v>33</v>
      </c>
      <c r="D9853">
        <v>0</v>
      </c>
      <c r="E9853">
        <v>1</v>
      </c>
      <c r="F9853" s="7">
        <v>2997.29</v>
      </c>
      <c r="G9853">
        <v>0</v>
      </c>
      <c r="H9853" s="7">
        <v>0</v>
      </c>
    </row>
    <row r="9854" spans="1:8">
      <c r="A9854">
        <v>7</v>
      </c>
      <c r="B9854" t="s">
        <v>42</v>
      </c>
      <c r="C9854" t="s">
        <v>33</v>
      </c>
      <c r="D9854">
        <v>0</v>
      </c>
      <c r="E9854">
        <v>1</v>
      </c>
      <c r="F9854" s="7">
        <v>9589</v>
      </c>
      <c r="G9854">
        <v>0</v>
      </c>
      <c r="H9854" s="7">
        <v>0</v>
      </c>
    </row>
    <row r="9855" spans="1:8">
      <c r="A9855">
        <v>7</v>
      </c>
      <c r="B9855" t="s">
        <v>42</v>
      </c>
      <c r="C9855" t="s">
        <v>33</v>
      </c>
      <c r="D9855">
        <v>0</v>
      </c>
      <c r="E9855">
        <v>1</v>
      </c>
      <c r="F9855" s="7">
        <v>6285.19</v>
      </c>
      <c r="G9855">
        <v>0</v>
      </c>
      <c r="H9855" s="7">
        <v>0</v>
      </c>
    </row>
    <row r="9856" spans="1:8">
      <c r="A9856">
        <v>7</v>
      </c>
      <c r="B9856" t="s">
        <v>45</v>
      </c>
      <c r="C9856" t="s">
        <v>33</v>
      </c>
      <c r="D9856">
        <v>0</v>
      </c>
      <c r="E9856">
        <v>1</v>
      </c>
      <c r="F9856" s="7">
        <v>2225.09</v>
      </c>
      <c r="G9856">
        <v>0</v>
      </c>
      <c r="H9856" s="7">
        <v>0</v>
      </c>
    </row>
    <row r="9857" spans="1:8">
      <c r="A9857">
        <v>7</v>
      </c>
      <c r="B9857" t="s">
        <v>42</v>
      </c>
      <c r="C9857" t="s">
        <v>34</v>
      </c>
      <c r="D9857">
        <v>0</v>
      </c>
      <c r="E9857">
        <v>1</v>
      </c>
      <c r="F9857" s="7">
        <v>17899.15</v>
      </c>
      <c r="G9857">
        <v>0</v>
      </c>
      <c r="H9857" s="7">
        <v>0</v>
      </c>
    </row>
    <row r="9858" spans="1:8">
      <c r="A9858">
        <v>7</v>
      </c>
      <c r="B9858" t="s">
        <v>42</v>
      </c>
      <c r="C9858" t="s">
        <v>33</v>
      </c>
      <c r="D9858">
        <v>0</v>
      </c>
      <c r="E9858">
        <v>1</v>
      </c>
      <c r="F9858" s="7">
        <v>3343.03</v>
      </c>
      <c r="G9858">
        <v>0</v>
      </c>
      <c r="H9858" s="7">
        <v>0</v>
      </c>
    </row>
    <row r="9859" spans="1:8">
      <c r="A9859">
        <v>7</v>
      </c>
      <c r="B9859" t="s">
        <v>44</v>
      </c>
      <c r="C9859" t="s">
        <v>35</v>
      </c>
      <c r="D9859">
        <v>0</v>
      </c>
      <c r="E9859">
        <v>1</v>
      </c>
      <c r="F9859" s="7">
        <v>120142.49</v>
      </c>
      <c r="G9859">
        <v>0</v>
      </c>
      <c r="H9859" s="7">
        <v>0</v>
      </c>
    </row>
    <row r="9860" spans="1:8">
      <c r="A9860">
        <v>7</v>
      </c>
      <c r="B9860" t="s">
        <v>42</v>
      </c>
      <c r="C9860" t="s">
        <v>33</v>
      </c>
      <c r="D9860">
        <v>0</v>
      </c>
      <c r="E9860">
        <v>1</v>
      </c>
      <c r="F9860" s="7">
        <v>5804.72</v>
      </c>
      <c r="G9860">
        <v>0</v>
      </c>
      <c r="H9860" s="7">
        <v>0</v>
      </c>
    </row>
    <row r="9861" spans="1:8">
      <c r="A9861">
        <v>7</v>
      </c>
      <c r="B9861" t="s">
        <v>42</v>
      </c>
      <c r="C9861" t="s">
        <v>33</v>
      </c>
      <c r="D9861">
        <v>0</v>
      </c>
      <c r="E9861">
        <v>1</v>
      </c>
      <c r="F9861" s="7">
        <v>1787.23</v>
      </c>
      <c r="G9861">
        <v>0</v>
      </c>
      <c r="H9861" s="7">
        <v>0</v>
      </c>
    </row>
    <row r="9862" spans="1:8">
      <c r="A9862">
        <v>7</v>
      </c>
      <c r="B9862" t="s">
        <v>42</v>
      </c>
      <c r="C9862" t="s">
        <v>34</v>
      </c>
      <c r="D9862">
        <v>0</v>
      </c>
      <c r="E9862">
        <v>1</v>
      </c>
      <c r="F9862" s="7">
        <v>16487.8</v>
      </c>
      <c r="G9862">
        <v>0</v>
      </c>
      <c r="H9862" s="7">
        <v>0</v>
      </c>
    </row>
    <row r="9863" spans="1:8">
      <c r="A9863">
        <v>7</v>
      </c>
      <c r="B9863" t="s">
        <v>44</v>
      </c>
      <c r="C9863" t="s">
        <v>34</v>
      </c>
      <c r="D9863">
        <v>0</v>
      </c>
      <c r="E9863">
        <v>1</v>
      </c>
      <c r="F9863" s="7">
        <v>36600.63</v>
      </c>
      <c r="G9863">
        <v>0</v>
      </c>
      <c r="H9863" s="7">
        <v>0</v>
      </c>
    </row>
    <row r="9864" spans="1:8">
      <c r="A9864">
        <v>7</v>
      </c>
      <c r="B9864" t="s">
        <v>46</v>
      </c>
      <c r="C9864" t="s">
        <v>34</v>
      </c>
      <c r="D9864">
        <v>0</v>
      </c>
      <c r="E9864">
        <v>1</v>
      </c>
      <c r="F9864" s="7">
        <v>53695.05</v>
      </c>
      <c r="G9864">
        <v>0</v>
      </c>
      <c r="H9864" s="7">
        <v>0</v>
      </c>
    </row>
    <row r="9865" spans="1:8">
      <c r="A9865">
        <v>7</v>
      </c>
      <c r="B9865" t="s">
        <v>42</v>
      </c>
      <c r="C9865" t="s">
        <v>33</v>
      </c>
      <c r="D9865">
        <v>0</v>
      </c>
      <c r="E9865">
        <v>1</v>
      </c>
      <c r="F9865" s="7">
        <v>1058.39</v>
      </c>
      <c r="G9865">
        <v>0</v>
      </c>
      <c r="H9865" s="7">
        <v>0</v>
      </c>
    </row>
    <row r="9866" spans="1:8">
      <c r="A9866">
        <v>7</v>
      </c>
      <c r="B9866" t="s">
        <v>42</v>
      </c>
      <c r="C9866" t="s">
        <v>33</v>
      </c>
      <c r="D9866">
        <v>0</v>
      </c>
      <c r="E9866">
        <v>1</v>
      </c>
      <c r="F9866" s="7">
        <v>7827.79</v>
      </c>
      <c r="G9866">
        <v>0</v>
      </c>
      <c r="H9866" s="7">
        <v>0</v>
      </c>
    </row>
    <row r="9867" spans="1:8">
      <c r="A9867">
        <v>7</v>
      </c>
      <c r="B9867" t="s">
        <v>42</v>
      </c>
      <c r="C9867" t="s">
        <v>33</v>
      </c>
      <c r="D9867">
        <v>0</v>
      </c>
      <c r="E9867">
        <v>1</v>
      </c>
      <c r="F9867" s="7">
        <v>6863.38</v>
      </c>
      <c r="G9867">
        <v>0</v>
      </c>
      <c r="H9867" s="7">
        <v>0</v>
      </c>
    </row>
    <row r="9868" spans="1:8">
      <c r="A9868">
        <v>7</v>
      </c>
      <c r="B9868" t="s">
        <v>46</v>
      </c>
      <c r="C9868" t="s">
        <v>34</v>
      </c>
      <c r="D9868">
        <v>0</v>
      </c>
      <c r="E9868">
        <v>1</v>
      </c>
      <c r="F9868" s="7">
        <v>17655.7</v>
      </c>
      <c r="G9868">
        <v>0</v>
      </c>
      <c r="H9868" s="7">
        <v>0</v>
      </c>
    </row>
    <row r="9869" spans="1:8">
      <c r="A9869">
        <v>7</v>
      </c>
      <c r="B9869" t="s">
        <v>42</v>
      </c>
      <c r="C9869" t="s">
        <v>34</v>
      </c>
      <c r="D9869">
        <v>0</v>
      </c>
      <c r="E9869">
        <v>1</v>
      </c>
      <c r="F9869" s="7">
        <v>15578.71</v>
      </c>
      <c r="G9869">
        <v>0</v>
      </c>
      <c r="H9869" s="7">
        <v>0</v>
      </c>
    </row>
    <row r="9870" spans="1:8">
      <c r="A9870">
        <v>7</v>
      </c>
      <c r="B9870" t="s">
        <v>43</v>
      </c>
      <c r="C9870" t="s">
        <v>35</v>
      </c>
      <c r="D9870">
        <v>0</v>
      </c>
      <c r="E9870">
        <v>1</v>
      </c>
      <c r="F9870" s="7">
        <v>162038</v>
      </c>
      <c r="G9870">
        <v>0</v>
      </c>
      <c r="H9870" s="7">
        <v>0</v>
      </c>
    </row>
    <row r="9871" spans="1:8">
      <c r="A9871">
        <v>7</v>
      </c>
      <c r="B9871" t="s">
        <v>42</v>
      </c>
      <c r="C9871" t="s">
        <v>33</v>
      </c>
      <c r="D9871">
        <v>0</v>
      </c>
      <c r="E9871">
        <v>1</v>
      </c>
      <c r="F9871" s="7">
        <v>6388.86</v>
      </c>
      <c r="G9871">
        <v>0</v>
      </c>
      <c r="H9871" s="7">
        <v>0</v>
      </c>
    </row>
    <row r="9872" spans="1:8">
      <c r="A9872">
        <v>7</v>
      </c>
      <c r="B9872" t="s">
        <v>42</v>
      </c>
      <c r="C9872" t="s">
        <v>33</v>
      </c>
      <c r="D9872">
        <v>0</v>
      </c>
      <c r="E9872">
        <v>1</v>
      </c>
      <c r="F9872" s="7">
        <v>3922.01</v>
      </c>
      <c r="G9872">
        <v>0</v>
      </c>
      <c r="H9872" s="7">
        <v>0</v>
      </c>
    </row>
    <row r="9873" spans="1:8">
      <c r="A9873">
        <v>7</v>
      </c>
      <c r="B9873" t="s">
        <v>42</v>
      </c>
      <c r="C9873" t="s">
        <v>34</v>
      </c>
      <c r="D9873">
        <v>0</v>
      </c>
      <c r="E9873">
        <v>1</v>
      </c>
      <c r="F9873" s="7">
        <v>11096.2</v>
      </c>
      <c r="G9873">
        <v>0</v>
      </c>
      <c r="H9873" s="7">
        <v>0</v>
      </c>
    </row>
    <row r="9874" spans="1:8">
      <c r="A9874">
        <v>7</v>
      </c>
      <c r="B9874" t="s">
        <v>42</v>
      </c>
      <c r="C9874" t="s">
        <v>33</v>
      </c>
      <c r="D9874">
        <v>0</v>
      </c>
      <c r="E9874">
        <v>1</v>
      </c>
      <c r="F9874" s="7">
        <v>5306.87</v>
      </c>
      <c r="G9874">
        <v>0</v>
      </c>
      <c r="H9874" s="7">
        <v>0</v>
      </c>
    </row>
    <row r="9875" spans="1:8">
      <c r="A9875">
        <v>7</v>
      </c>
      <c r="B9875" t="s">
        <v>42</v>
      </c>
      <c r="C9875" t="s">
        <v>33</v>
      </c>
      <c r="D9875">
        <v>0</v>
      </c>
      <c r="E9875">
        <v>1</v>
      </c>
      <c r="F9875" s="7">
        <v>8654.44</v>
      </c>
      <c r="G9875">
        <v>0</v>
      </c>
      <c r="H9875" s="7">
        <v>0</v>
      </c>
    </row>
    <row r="9876" spans="1:8">
      <c r="A9876">
        <v>7</v>
      </c>
      <c r="B9876" t="s">
        <v>42</v>
      </c>
      <c r="C9876" t="s">
        <v>33</v>
      </c>
      <c r="D9876">
        <v>0</v>
      </c>
      <c r="E9876">
        <v>1</v>
      </c>
      <c r="F9876" s="7">
        <v>7788.88</v>
      </c>
      <c r="G9876">
        <v>0</v>
      </c>
      <c r="H9876" s="7">
        <v>0</v>
      </c>
    </row>
    <row r="9877" spans="1:8">
      <c r="A9877">
        <v>7</v>
      </c>
      <c r="B9877" t="s">
        <v>42</v>
      </c>
      <c r="C9877" t="s">
        <v>33</v>
      </c>
      <c r="D9877">
        <v>0</v>
      </c>
      <c r="E9877">
        <v>1</v>
      </c>
      <c r="F9877" s="7">
        <v>7065.2</v>
      </c>
      <c r="G9877">
        <v>0</v>
      </c>
      <c r="H9877" s="7">
        <v>0</v>
      </c>
    </row>
    <row r="9878" spans="1:8">
      <c r="A9878">
        <v>7</v>
      </c>
      <c r="B9878" t="s">
        <v>45</v>
      </c>
      <c r="C9878" t="s">
        <v>32</v>
      </c>
      <c r="D9878">
        <v>0</v>
      </c>
      <c r="E9878">
        <v>1</v>
      </c>
      <c r="F9878" s="7">
        <v>532.61</v>
      </c>
      <c r="G9878">
        <v>0</v>
      </c>
      <c r="H9878" s="7">
        <v>0</v>
      </c>
    </row>
    <row r="9879" spans="1:8">
      <c r="A9879">
        <v>7</v>
      </c>
      <c r="B9879" t="s">
        <v>42</v>
      </c>
      <c r="C9879" t="s">
        <v>32</v>
      </c>
      <c r="D9879">
        <v>0</v>
      </c>
      <c r="E9879">
        <v>1</v>
      </c>
      <c r="F9879" s="7">
        <v>449.26</v>
      </c>
      <c r="G9879">
        <v>0</v>
      </c>
      <c r="H9879" s="7">
        <v>0</v>
      </c>
    </row>
    <row r="9880" spans="1:8">
      <c r="A9880">
        <v>7</v>
      </c>
      <c r="B9880" t="s">
        <v>44</v>
      </c>
      <c r="C9880" t="s">
        <v>33</v>
      </c>
      <c r="D9880">
        <v>0</v>
      </c>
      <c r="E9880">
        <v>1</v>
      </c>
      <c r="F9880" s="7">
        <v>6960.63</v>
      </c>
      <c r="G9880">
        <v>0</v>
      </c>
      <c r="H9880" s="7">
        <v>0</v>
      </c>
    </row>
    <row r="9881" spans="1:8">
      <c r="A9881">
        <v>7</v>
      </c>
      <c r="B9881" t="s">
        <v>42</v>
      </c>
      <c r="C9881" t="s">
        <v>33</v>
      </c>
      <c r="D9881">
        <v>0</v>
      </c>
      <c r="E9881">
        <v>1</v>
      </c>
      <c r="F9881" s="7">
        <v>1742.81</v>
      </c>
      <c r="G9881">
        <v>0</v>
      </c>
      <c r="H9881" s="7">
        <v>0</v>
      </c>
    </row>
    <row r="9882" spans="1:8">
      <c r="A9882">
        <v>7</v>
      </c>
      <c r="B9882" t="s">
        <v>42</v>
      </c>
      <c r="C9882" t="s">
        <v>33</v>
      </c>
      <c r="D9882">
        <v>0</v>
      </c>
      <c r="E9882">
        <v>1</v>
      </c>
      <c r="F9882" s="7">
        <v>1255.85</v>
      </c>
      <c r="G9882">
        <v>0</v>
      </c>
      <c r="H9882" s="7">
        <v>0</v>
      </c>
    </row>
    <row r="9883" spans="1:8">
      <c r="A9883">
        <v>7</v>
      </c>
      <c r="B9883" t="s">
        <v>42</v>
      </c>
      <c r="C9883" t="s">
        <v>33</v>
      </c>
      <c r="D9883">
        <v>0</v>
      </c>
      <c r="E9883">
        <v>1</v>
      </c>
      <c r="F9883" s="7">
        <v>8611.73</v>
      </c>
      <c r="G9883">
        <v>0</v>
      </c>
      <c r="H9883" s="7">
        <v>0</v>
      </c>
    </row>
    <row r="9884" spans="1:8">
      <c r="A9884">
        <v>7</v>
      </c>
      <c r="B9884" t="s">
        <v>42</v>
      </c>
      <c r="C9884" t="s">
        <v>34</v>
      </c>
      <c r="D9884">
        <v>0</v>
      </c>
      <c r="E9884">
        <v>1</v>
      </c>
      <c r="F9884" s="7">
        <v>10475.29</v>
      </c>
      <c r="G9884">
        <v>0</v>
      </c>
      <c r="H9884" s="7">
        <v>0</v>
      </c>
    </row>
    <row r="9885" spans="1:8">
      <c r="A9885">
        <v>7</v>
      </c>
      <c r="B9885" t="s">
        <v>44</v>
      </c>
      <c r="C9885" t="s">
        <v>34</v>
      </c>
      <c r="D9885">
        <v>0</v>
      </c>
      <c r="E9885">
        <v>1</v>
      </c>
      <c r="F9885" s="7">
        <v>92924.64</v>
      </c>
      <c r="G9885">
        <v>0</v>
      </c>
      <c r="H9885" s="7">
        <v>0</v>
      </c>
    </row>
    <row r="9886" spans="1:8">
      <c r="A9886">
        <v>7</v>
      </c>
      <c r="B9886" t="s">
        <v>42</v>
      </c>
      <c r="C9886" t="s">
        <v>33</v>
      </c>
      <c r="D9886">
        <v>0</v>
      </c>
      <c r="E9886">
        <v>1</v>
      </c>
      <c r="F9886" s="7">
        <v>7567.92</v>
      </c>
      <c r="G9886">
        <v>0</v>
      </c>
      <c r="H9886" s="7">
        <v>0</v>
      </c>
    </row>
    <row r="9887" spans="1:8">
      <c r="A9887">
        <v>7</v>
      </c>
      <c r="B9887" t="s">
        <v>42</v>
      </c>
      <c r="C9887" t="s">
        <v>33</v>
      </c>
      <c r="D9887">
        <v>0</v>
      </c>
      <c r="E9887">
        <v>1</v>
      </c>
      <c r="F9887" s="7">
        <v>3465.66</v>
      </c>
      <c r="G9887">
        <v>0</v>
      </c>
      <c r="H9887" s="7">
        <v>0</v>
      </c>
    </row>
    <row r="9888" spans="1:8">
      <c r="A9888">
        <v>7</v>
      </c>
      <c r="B9888" t="s">
        <v>42</v>
      </c>
      <c r="C9888" t="s">
        <v>32</v>
      </c>
      <c r="D9888">
        <v>0</v>
      </c>
      <c r="E9888">
        <v>1</v>
      </c>
      <c r="F9888" s="7">
        <v>590.23</v>
      </c>
      <c r="G9888">
        <v>0</v>
      </c>
      <c r="H9888" s="7">
        <v>0</v>
      </c>
    </row>
    <row r="9889" spans="1:8">
      <c r="A9889">
        <v>7</v>
      </c>
      <c r="B9889" t="s">
        <v>44</v>
      </c>
      <c r="C9889" t="s">
        <v>35</v>
      </c>
      <c r="D9889">
        <v>0</v>
      </c>
      <c r="E9889">
        <v>1</v>
      </c>
      <c r="F9889" s="7">
        <v>107360.06</v>
      </c>
      <c r="G9889">
        <v>0</v>
      </c>
      <c r="H9889" s="7">
        <v>0</v>
      </c>
    </row>
    <row r="9890" spans="1:8">
      <c r="A9890">
        <v>7</v>
      </c>
      <c r="B9890" t="s">
        <v>43</v>
      </c>
      <c r="C9890" t="s">
        <v>34</v>
      </c>
      <c r="D9890">
        <v>0</v>
      </c>
      <c r="E9890">
        <v>1</v>
      </c>
      <c r="F9890" s="7">
        <v>49395.17</v>
      </c>
      <c r="G9890">
        <v>0</v>
      </c>
      <c r="H9890" s="7">
        <v>0</v>
      </c>
    </row>
    <row r="9891" spans="1:8">
      <c r="A9891">
        <v>7</v>
      </c>
      <c r="B9891" t="s">
        <v>42</v>
      </c>
      <c r="C9891" t="s">
        <v>33</v>
      </c>
      <c r="D9891">
        <v>0</v>
      </c>
      <c r="E9891">
        <v>1</v>
      </c>
      <c r="F9891" s="7">
        <v>8594.62</v>
      </c>
      <c r="G9891">
        <v>0</v>
      </c>
      <c r="H9891" s="7">
        <v>0</v>
      </c>
    </row>
    <row r="9892" spans="1:8">
      <c r="A9892">
        <v>7</v>
      </c>
      <c r="B9892" t="s">
        <v>42</v>
      </c>
      <c r="C9892" t="s">
        <v>33</v>
      </c>
      <c r="D9892">
        <v>0</v>
      </c>
      <c r="E9892">
        <v>1</v>
      </c>
      <c r="F9892" s="7">
        <v>2264.93</v>
      </c>
      <c r="G9892">
        <v>0</v>
      </c>
      <c r="H9892" s="7">
        <v>0</v>
      </c>
    </row>
    <row r="9893" spans="1:8">
      <c r="A9893">
        <v>7</v>
      </c>
      <c r="B9893" t="s">
        <v>43</v>
      </c>
      <c r="C9893" t="s">
        <v>35</v>
      </c>
      <c r="D9893">
        <v>0</v>
      </c>
      <c r="E9893">
        <v>1</v>
      </c>
      <c r="F9893" s="7">
        <v>636710.53</v>
      </c>
      <c r="G9893">
        <v>0</v>
      </c>
      <c r="H9893" s="7">
        <v>0</v>
      </c>
    </row>
    <row r="9894" spans="1:8">
      <c r="A9894">
        <v>7</v>
      </c>
      <c r="B9894" t="s">
        <v>42</v>
      </c>
      <c r="C9894" t="s">
        <v>33</v>
      </c>
      <c r="D9894">
        <v>0</v>
      </c>
      <c r="E9894">
        <v>1</v>
      </c>
      <c r="F9894" s="7">
        <v>1848.19</v>
      </c>
      <c r="G9894">
        <v>0</v>
      </c>
      <c r="H9894" s="7">
        <v>0</v>
      </c>
    </row>
    <row r="9895" spans="1:8">
      <c r="A9895">
        <v>7</v>
      </c>
      <c r="B9895" t="s">
        <v>42</v>
      </c>
      <c r="C9895" t="s">
        <v>34</v>
      </c>
      <c r="D9895">
        <v>0</v>
      </c>
      <c r="E9895">
        <v>1</v>
      </c>
      <c r="F9895" s="7">
        <v>10346.92</v>
      </c>
      <c r="G9895">
        <v>0</v>
      </c>
      <c r="H9895" s="7">
        <v>0</v>
      </c>
    </row>
    <row r="9896" spans="1:8">
      <c r="A9896">
        <v>7</v>
      </c>
      <c r="B9896" t="s">
        <v>42</v>
      </c>
      <c r="C9896" t="s">
        <v>34</v>
      </c>
      <c r="D9896">
        <v>0</v>
      </c>
      <c r="E9896">
        <v>1</v>
      </c>
      <c r="F9896" s="7">
        <v>12322.3</v>
      </c>
      <c r="G9896">
        <v>0</v>
      </c>
      <c r="H9896" s="7">
        <v>0</v>
      </c>
    </row>
    <row r="9897" spans="1:8">
      <c r="A9897">
        <v>7</v>
      </c>
      <c r="B9897" t="s">
        <v>42</v>
      </c>
      <c r="C9897" t="s">
        <v>34</v>
      </c>
      <c r="D9897">
        <v>0</v>
      </c>
      <c r="E9897">
        <v>1</v>
      </c>
      <c r="F9897" s="7">
        <v>13383.94</v>
      </c>
      <c r="G9897">
        <v>0</v>
      </c>
      <c r="H9897" s="7">
        <v>0</v>
      </c>
    </row>
    <row r="9898" spans="1:8">
      <c r="A9898">
        <v>7</v>
      </c>
      <c r="B9898" t="s">
        <v>43</v>
      </c>
      <c r="C9898" t="s">
        <v>34</v>
      </c>
      <c r="D9898">
        <v>0</v>
      </c>
      <c r="E9898">
        <v>1</v>
      </c>
      <c r="F9898" s="7">
        <v>45656.63</v>
      </c>
      <c r="G9898">
        <v>0</v>
      </c>
      <c r="H9898" s="7">
        <v>0</v>
      </c>
    </row>
    <row r="9899" spans="1:8">
      <c r="A9899">
        <v>7</v>
      </c>
      <c r="B9899" t="s">
        <v>42</v>
      </c>
      <c r="C9899" t="s">
        <v>33</v>
      </c>
      <c r="D9899">
        <v>0</v>
      </c>
      <c r="E9899">
        <v>1</v>
      </c>
      <c r="F9899" s="7">
        <v>1380.11</v>
      </c>
      <c r="G9899">
        <v>0</v>
      </c>
      <c r="H9899" s="7">
        <v>0</v>
      </c>
    </row>
    <row r="9900" spans="1:8">
      <c r="A9900">
        <v>7</v>
      </c>
      <c r="B9900" t="s">
        <v>42</v>
      </c>
      <c r="C9900" t="s">
        <v>33</v>
      </c>
      <c r="D9900">
        <v>0</v>
      </c>
      <c r="E9900">
        <v>1</v>
      </c>
      <c r="F9900" s="7">
        <v>3768.03</v>
      </c>
      <c r="G9900">
        <v>0</v>
      </c>
      <c r="H9900" s="7">
        <v>0</v>
      </c>
    </row>
    <row r="9901" spans="1:8">
      <c r="A9901">
        <v>7</v>
      </c>
      <c r="B9901" t="s">
        <v>42</v>
      </c>
      <c r="C9901" t="s">
        <v>32</v>
      </c>
      <c r="D9901">
        <v>0</v>
      </c>
      <c r="E9901">
        <v>1</v>
      </c>
      <c r="F9901" s="7">
        <v>703.78</v>
      </c>
      <c r="G9901">
        <v>0</v>
      </c>
      <c r="H9901" s="7">
        <v>0</v>
      </c>
    </row>
    <row r="9902" spans="1:8">
      <c r="A9902">
        <v>7</v>
      </c>
      <c r="B9902" t="s">
        <v>42</v>
      </c>
      <c r="C9902" t="s">
        <v>33</v>
      </c>
      <c r="D9902">
        <v>0</v>
      </c>
      <c r="E9902">
        <v>1</v>
      </c>
      <c r="F9902" s="7">
        <v>6689.88</v>
      </c>
      <c r="G9902">
        <v>0</v>
      </c>
      <c r="H9902" s="7">
        <v>0</v>
      </c>
    </row>
    <row r="9903" spans="1:8">
      <c r="A9903">
        <v>7</v>
      </c>
      <c r="B9903" t="s">
        <v>42</v>
      </c>
      <c r="C9903" t="s">
        <v>33</v>
      </c>
      <c r="D9903">
        <v>0</v>
      </c>
      <c r="E9903">
        <v>1</v>
      </c>
      <c r="F9903" s="7">
        <v>3347.26</v>
      </c>
      <c r="G9903">
        <v>0</v>
      </c>
      <c r="H9903" s="7">
        <v>0</v>
      </c>
    </row>
    <row r="9904" spans="1:8">
      <c r="A9904">
        <v>7</v>
      </c>
      <c r="B9904" t="s">
        <v>42</v>
      </c>
      <c r="C9904" t="s">
        <v>33</v>
      </c>
      <c r="D9904">
        <v>0</v>
      </c>
      <c r="E9904">
        <v>1</v>
      </c>
      <c r="F9904" s="7">
        <v>7180.44</v>
      </c>
      <c r="G9904">
        <v>0</v>
      </c>
      <c r="H9904" s="7">
        <v>0</v>
      </c>
    </row>
    <row r="9905" spans="1:8">
      <c r="A9905">
        <v>7</v>
      </c>
      <c r="B9905" t="s">
        <v>43</v>
      </c>
      <c r="C9905" t="s">
        <v>35</v>
      </c>
      <c r="D9905">
        <v>0</v>
      </c>
      <c r="E9905">
        <v>1</v>
      </c>
      <c r="F9905" s="7">
        <v>273930.25</v>
      </c>
      <c r="G9905">
        <v>0</v>
      </c>
      <c r="H9905" s="7">
        <v>0</v>
      </c>
    </row>
    <row r="9906" spans="1:8">
      <c r="A9906">
        <v>7</v>
      </c>
      <c r="B9906" t="s">
        <v>42</v>
      </c>
      <c r="C9906" t="s">
        <v>32</v>
      </c>
      <c r="D9906">
        <v>0</v>
      </c>
      <c r="E9906">
        <v>1</v>
      </c>
      <c r="F9906" s="7">
        <v>77.62</v>
      </c>
      <c r="G9906">
        <v>0</v>
      </c>
      <c r="H9906" s="7">
        <v>0</v>
      </c>
    </row>
    <row r="9907" spans="1:8">
      <c r="A9907">
        <v>7</v>
      </c>
      <c r="B9907" t="s">
        <v>42</v>
      </c>
      <c r="C9907" t="s">
        <v>32</v>
      </c>
      <c r="D9907">
        <v>0</v>
      </c>
      <c r="E9907">
        <v>1</v>
      </c>
      <c r="F9907" s="7">
        <v>720.37</v>
      </c>
      <c r="G9907">
        <v>0</v>
      </c>
      <c r="H9907" s="7">
        <v>0</v>
      </c>
    </row>
    <row r="9908" spans="1:8">
      <c r="A9908">
        <v>7</v>
      </c>
      <c r="B9908" t="s">
        <v>42</v>
      </c>
      <c r="C9908" t="s">
        <v>34</v>
      </c>
      <c r="D9908">
        <v>0</v>
      </c>
      <c r="E9908">
        <v>1</v>
      </c>
      <c r="F9908" s="7">
        <v>11152.32</v>
      </c>
      <c r="G9908">
        <v>0</v>
      </c>
      <c r="H9908" s="7">
        <v>0</v>
      </c>
    </row>
    <row r="9909" spans="1:8">
      <c r="A9909">
        <v>7</v>
      </c>
      <c r="B9909" t="s">
        <v>43</v>
      </c>
      <c r="C9909" t="s">
        <v>35</v>
      </c>
      <c r="D9909">
        <v>0</v>
      </c>
      <c r="E9909">
        <v>1</v>
      </c>
      <c r="F9909" s="7">
        <v>702031.37</v>
      </c>
      <c r="G9909">
        <v>0</v>
      </c>
      <c r="H9909" s="7">
        <v>0</v>
      </c>
    </row>
    <row r="9910" spans="1:8">
      <c r="A9910">
        <v>7</v>
      </c>
      <c r="B9910" t="s">
        <v>43</v>
      </c>
      <c r="C9910" t="s">
        <v>35</v>
      </c>
      <c r="D9910">
        <v>0</v>
      </c>
      <c r="E9910">
        <v>1</v>
      </c>
      <c r="F9910" s="7">
        <v>618122.62</v>
      </c>
      <c r="G9910">
        <v>0</v>
      </c>
      <c r="H9910" s="7">
        <v>0</v>
      </c>
    </row>
    <row r="9911" spans="1:8">
      <c r="A9911">
        <v>7</v>
      </c>
      <c r="B9911" t="s">
        <v>42</v>
      </c>
      <c r="C9911" t="s">
        <v>33</v>
      </c>
      <c r="D9911">
        <v>0</v>
      </c>
      <c r="E9911">
        <v>1</v>
      </c>
      <c r="F9911" s="7">
        <v>1926.14</v>
      </c>
      <c r="G9911">
        <v>0</v>
      </c>
      <c r="H9911" s="7">
        <v>0</v>
      </c>
    </row>
    <row r="9912" spans="1:8">
      <c r="A9912">
        <v>7</v>
      </c>
      <c r="B9912" t="s">
        <v>42</v>
      </c>
      <c r="C9912" t="s">
        <v>33</v>
      </c>
      <c r="D9912">
        <v>0</v>
      </c>
      <c r="E9912">
        <v>1</v>
      </c>
      <c r="F9912" s="7">
        <v>4733.37</v>
      </c>
      <c r="G9912">
        <v>0</v>
      </c>
      <c r="H9912" s="7">
        <v>0</v>
      </c>
    </row>
    <row r="9913" spans="1:8">
      <c r="A9913">
        <v>7</v>
      </c>
      <c r="B9913" t="s">
        <v>45</v>
      </c>
      <c r="C9913" t="s">
        <v>33</v>
      </c>
      <c r="D9913">
        <v>0</v>
      </c>
      <c r="E9913">
        <v>1</v>
      </c>
      <c r="F9913" s="7">
        <v>1608.89</v>
      </c>
      <c r="G9913">
        <v>0</v>
      </c>
      <c r="H9913" s="7">
        <v>0</v>
      </c>
    </row>
    <row r="9914" spans="1:8">
      <c r="A9914">
        <v>7</v>
      </c>
      <c r="B9914" t="s">
        <v>42</v>
      </c>
      <c r="C9914" t="s">
        <v>32</v>
      </c>
      <c r="D9914">
        <v>0</v>
      </c>
      <c r="E9914">
        <v>1</v>
      </c>
      <c r="F9914" s="7">
        <v>769.84</v>
      </c>
      <c r="G9914">
        <v>0</v>
      </c>
      <c r="H9914" s="7">
        <v>0</v>
      </c>
    </row>
    <row r="9915" spans="1:8">
      <c r="A9915">
        <v>7</v>
      </c>
      <c r="B9915" t="s">
        <v>43</v>
      </c>
      <c r="C9915" t="s">
        <v>35</v>
      </c>
      <c r="D9915">
        <v>0</v>
      </c>
      <c r="E9915">
        <v>1</v>
      </c>
      <c r="F9915" s="7">
        <v>603999.01</v>
      </c>
      <c r="G9915">
        <v>0</v>
      </c>
      <c r="H9915" s="7">
        <v>0</v>
      </c>
    </row>
    <row r="9916" spans="1:8">
      <c r="A9916">
        <v>7</v>
      </c>
      <c r="B9916" t="s">
        <v>42</v>
      </c>
      <c r="C9916" t="s">
        <v>33</v>
      </c>
      <c r="D9916">
        <v>0</v>
      </c>
      <c r="E9916">
        <v>1</v>
      </c>
      <c r="F9916" s="7">
        <v>5972.77</v>
      </c>
      <c r="G9916">
        <v>0</v>
      </c>
      <c r="H9916" s="7">
        <v>0</v>
      </c>
    </row>
    <row r="9917" spans="1:8">
      <c r="A9917">
        <v>7</v>
      </c>
      <c r="B9917" t="s">
        <v>43</v>
      </c>
      <c r="C9917" t="s">
        <v>35</v>
      </c>
      <c r="D9917">
        <v>0</v>
      </c>
      <c r="E9917">
        <v>1</v>
      </c>
      <c r="F9917" s="7">
        <v>247066.24</v>
      </c>
      <c r="G9917">
        <v>0</v>
      </c>
      <c r="H9917" s="7">
        <v>0</v>
      </c>
    </row>
    <row r="9918" spans="1:8">
      <c r="A9918">
        <v>7</v>
      </c>
      <c r="B9918" t="s">
        <v>42</v>
      </c>
      <c r="C9918" t="s">
        <v>34</v>
      </c>
      <c r="D9918">
        <v>0</v>
      </c>
      <c r="E9918">
        <v>1</v>
      </c>
      <c r="F9918" s="7">
        <v>24070.53</v>
      </c>
      <c r="G9918">
        <v>0</v>
      </c>
      <c r="H9918" s="7">
        <v>0</v>
      </c>
    </row>
    <row r="9919" spans="1:8">
      <c r="A9919">
        <v>7</v>
      </c>
      <c r="B9919" t="s">
        <v>42</v>
      </c>
      <c r="C9919" t="s">
        <v>33</v>
      </c>
      <c r="D9919">
        <v>0</v>
      </c>
      <c r="E9919">
        <v>1</v>
      </c>
      <c r="F9919" s="7">
        <v>2475.82</v>
      </c>
      <c r="G9919">
        <v>0</v>
      </c>
      <c r="H9919" s="7">
        <v>0</v>
      </c>
    </row>
    <row r="9920" spans="1:8">
      <c r="A9920">
        <v>7</v>
      </c>
      <c r="B9920" t="s">
        <v>42</v>
      </c>
      <c r="C9920" t="s">
        <v>33</v>
      </c>
      <c r="D9920">
        <v>0</v>
      </c>
      <c r="E9920">
        <v>1</v>
      </c>
      <c r="F9920" s="7">
        <v>8015.47</v>
      </c>
      <c r="G9920">
        <v>0</v>
      </c>
      <c r="H9920" s="7">
        <v>0</v>
      </c>
    </row>
    <row r="9921" spans="1:8">
      <c r="A9921">
        <v>7</v>
      </c>
      <c r="B9921" t="s">
        <v>44</v>
      </c>
      <c r="C9921" t="s">
        <v>35</v>
      </c>
      <c r="D9921">
        <v>0</v>
      </c>
      <c r="E9921">
        <v>1</v>
      </c>
      <c r="F9921" s="7">
        <v>127433.52</v>
      </c>
      <c r="G9921">
        <v>0</v>
      </c>
      <c r="H9921" s="7">
        <v>0</v>
      </c>
    </row>
    <row r="9922" spans="1:8">
      <c r="A9922">
        <v>7</v>
      </c>
      <c r="B9922" t="s">
        <v>42</v>
      </c>
      <c r="C9922" t="s">
        <v>34</v>
      </c>
      <c r="D9922">
        <v>0</v>
      </c>
      <c r="E9922">
        <v>1</v>
      </c>
      <c r="F9922" s="7">
        <v>17189.18</v>
      </c>
      <c r="G9922">
        <v>0</v>
      </c>
      <c r="H9922" s="7">
        <v>0</v>
      </c>
    </row>
    <row r="9923" spans="1:8">
      <c r="A9923">
        <v>7</v>
      </c>
      <c r="B9923" t="s">
        <v>42</v>
      </c>
      <c r="C9923" t="s">
        <v>33</v>
      </c>
      <c r="D9923">
        <v>0</v>
      </c>
      <c r="E9923">
        <v>1</v>
      </c>
      <c r="F9923" s="7">
        <v>1419.98</v>
      </c>
      <c r="G9923">
        <v>0</v>
      </c>
      <c r="H9923" s="7">
        <v>0</v>
      </c>
    </row>
    <row r="9924" spans="1:8">
      <c r="A9924">
        <v>7</v>
      </c>
      <c r="B9924" t="s">
        <v>43</v>
      </c>
      <c r="C9924" t="s">
        <v>34</v>
      </c>
      <c r="D9924">
        <v>0</v>
      </c>
      <c r="E9924">
        <v>1</v>
      </c>
      <c r="F9924" s="7">
        <v>80218.06</v>
      </c>
      <c r="G9924">
        <v>0</v>
      </c>
      <c r="H9924" s="7">
        <v>0</v>
      </c>
    </row>
    <row r="9925" spans="1:8">
      <c r="A9925">
        <v>7</v>
      </c>
      <c r="B9925" t="s">
        <v>42</v>
      </c>
      <c r="C9925" t="s">
        <v>33</v>
      </c>
      <c r="D9925">
        <v>0</v>
      </c>
      <c r="E9925">
        <v>1</v>
      </c>
      <c r="F9925" s="7">
        <v>4322.53</v>
      </c>
      <c r="G9925">
        <v>0</v>
      </c>
      <c r="H9925" s="7">
        <v>0</v>
      </c>
    </row>
    <row r="9926" spans="1:8">
      <c r="A9926">
        <v>7</v>
      </c>
      <c r="B9926" t="s">
        <v>44</v>
      </c>
      <c r="C9926" t="s">
        <v>35</v>
      </c>
      <c r="D9926">
        <v>0</v>
      </c>
      <c r="E9926">
        <v>1</v>
      </c>
      <c r="F9926" s="7">
        <v>198823.6</v>
      </c>
      <c r="G9926">
        <v>0</v>
      </c>
      <c r="H9926" s="7">
        <v>0</v>
      </c>
    </row>
    <row r="9927" spans="1:8">
      <c r="A9927">
        <v>7</v>
      </c>
      <c r="B9927" t="s">
        <v>42</v>
      </c>
      <c r="C9927" t="s">
        <v>33</v>
      </c>
      <c r="D9927">
        <v>0</v>
      </c>
      <c r="E9927">
        <v>1</v>
      </c>
      <c r="F9927" s="7">
        <v>3539.89</v>
      </c>
      <c r="G9927">
        <v>0</v>
      </c>
      <c r="H9927" s="7">
        <v>0</v>
      </c>
    </row>
    <row r="9928" spans="1:8">
      <c r="A9928">
        <v>7</v>
      </c>
      <c r="B9928" t="s">
        <v>42</v>
      </c>
      <c r="C9928" t="s">
        <v>32</v>
      </c>
      <c r="D9928">
        <v>0</v>
      </c>
      <c r="E9928">
        <v>1</v>
      </c>
      <c r="F9928" s="7">
        <v>839.71</v>
      </c>
      <c r="G9928">
        <v>0</v>
      </c>
      <c r="H9928" s="7">
        <v>0</v>
      </c>
    </row>
    <row r="9929" spans="1:8">
      <c r="A9929">
        <v>7</v>
      </c>
      <c r="B9929" t="s">
        <v>42</v>
      </c>
      <c r="C9929" t="s">
        <v>33</v>
      </c>
      <c r="D9929">
        <v>0</v>
      </c>
      <c r="E9929">
        <v>1</v>
      </c>
      <c r="F9929" s="7">
        <v>5449.92</v>
      </c>
      <c r="G9929">
        <v>0</v>
      </c>
      <c r="H9929" s="7">
        <v>0</v>
      </c>
    </row>
    <row r="9930" spans="1:8">
      <c r="A9930">
        <v>7</v>
      </c>
      <c r="B9930" t="s">
        <v>42</v>
      </c>
      <c r="C9930" t="s">
        <v>33</v>
      </c>
      <c r="D9930">
        <v>0</v>
      </c>
      <c r="E9930">
        <v>1</v>
      </c>
      <c r="F9930" s="7">
        <v>5247.92</v>
      </c>
      <c r="G9930">
        <v>0</v>
      </c>
      <c r="H9930" s="7">
        <v>0</v>
      </c>
    </row>
    <row r="9931" spans="1:8">
      <c r="A9931">
        <v>7</v>
      </c>
      <c r="B9931" t="s">
        <v>43</v>
      </c>
      <c r="C9931" t="s">
        <v>36</v>
      </c>
      <c r="D9931">
        <v>0</v>
      </c>
      <c r="E9931">
        <v>1</v>
      </c>
      <c r="F9931" s="7">
        <v>1130828.97</v>
      </c>
      <c r="G9931">
        <v>0</v>
      </c>
      <c r="H9931" s="7">
        <v>0</v>
      </c>
    </row>
    <row r="9932" spans="1:8">
      <c r="A9932">
        <v>7</v>
      </c>
      <c r="B9932" t="s">
        <v>42</v>
      </c>
      <c r="C9932" t="s">
        <v>33</v>
      </c>
      <c r="D9932">
        <v>0</v>
      </c>
      <c r="E9932">
        <v>1</v>
      </c>
      <c r="F9932" s="7">
        <v>2675.43</v>
      </c>
      <c r="G9932">
        <v>0</v>
      </c>
      <c r="H9932" s="7">
        <v>0</v>
      </c>
    </row>
    <row r="9933" spans="1:8">
      <c r="A9933">
        <v>7</v>
      </c>
      <c r="B9933" t="s">
        <v>44</v>
      </c>
      <c r="C9933" t="s">
        <v>35</v>
      </c>
      <c r="D9933">
        <v>0</v>
      </c>
      <c r="E9933">
        <v>1</v>
      </c>
      <c r="F9933" s="7">
        <v>285656.95</v>
      </c>
      <c r="G9933">
        <v>0</v>
      </c>
      <c r="H9933" s="7">
        <v>0</v>
      </c>
    </row>
    <row r="9934" spans="1:8">
      <c r="A9934">
        <v>7</v>
      </c>
      <c r="B9934" t="s">
        <v>44</v>
      </c>
      <c r="C9934" t="s">
        <v>34</v>
      </c>
      <c r="D9934">
        <v>0</v>
      </c>
      <c r="E9934">
        <v>1</v>
      </c>
      <c r="F9934" s="7">
        <v>53459.12</v>
      </c>
      <c r="G9934">
        <v>0</v>
      </c>
      <c r="H9934" s="7">
        <v>0</v>
      </c>
    </row>
    <row r="9935" spans="1:8">
      <c r="A9935">
        <v>7</v>
      </c>
      <c r="B9935" t="s">
        <v>44</v>
      </c>
      <c r="C9935" t="s">
        <v>35</v>
      </c>
      <c r="D9935">
        <v>0</v>
      </c>
      <c r="E9935">
        <v>1</v>
      </c>
      <c r="F9935" s="7">
        <v>461511.97</v>
      </c>
      <c r="G9935">
        <v>0</v>
      </c>
      <c r="H9935" s="7">
        <v>0</v>
      </c>
    </row>
    <row r="9936" spans="1:8">
      <c r="A9936">
        <v>7</v>
      </c>
      <c r="B9936" t="s">
        <v>44</v>
      </c>
      <c r="C9936" t="s">
        <v>35</v>
      </c>
      <c r="D9936">
        <v>0</v>
      </c>
      <c r="E9936">
        <v>1</v>
      </c>
      <c r="F9936" s="7">
        <v>541556.34</v>
      </c>
      <c r="G9936">
        <v>0</v>
      </c>
      <c r="H9936" s="7">
        <v>0</v>
      </c>
    </row>
    <row r="9937" spans="1:8">
      <c r="A9937">
        <v>7</v>
      </c>
      <c r="B9937" t="s">
        <v>44</v>
      </c>
      <c r="C9937" t="s">
        <v>35</v>
      </c>
      <c r="D9937">
        <v>0</v>
      </c>
      <c r="E9937">
        <v>1</v>
      </c>
      <c r="F9937" s="7">
        <v>118750.48</v>
      </c>
      <c r="G9937">
        <v>0</v>
      </c>
      <c r="H9937" s="7">
        <v>0</v>
      </c>
    </row>
    <row r="9938" spans="1:8">
      <c r="A9938">
        <v>7</v>
      </c>
      <c r="B9938" t="s">
        <v>44</v>
      </c>
      <c r="C9938" t="s">
        <v>34</v>
      </c>
      <c r="D9938">
        <v>0</v>
      </c>
      <c r="E9938">
        <v>1</v>
      </c>
      <c r="F9938" s="7">
        <v>93943.96</v>
      </c>
      <c r="G9938">
        <v>0</v>
      </c>
      <c r="H9938" s="7">
        <v>0</v>
      </c>
    </row>
    <row r="9939" spans="1:8">
      <c r="A9939">
        <v>7</v>
      </c>
      <c r="B9939" t="s">
        <v>44</v>
      </c>
      <c r="C9939" t="s">
        <v>35</v>
      </c>
      <c r="D9939">
        <v>0</v>
      </c>
      <c r="E9939">
        <v>1</v>
      </c>
      <c r="F9939" s="7">
        <v>251863.34</v>
      </c>
      <c r="G9939">
        <v>0</v>
      </c>
      <c r="H9939" s="7">
        <v>0</v>
      </c>
    </row>
    <row r="9940" spans="1:8">
      <c r="A9940">
        <v>7</v>
      </c>
      <c r="B9940" t="s">
        <v>44</v>
      </c>
      <c r="C9940" t="s">
        <v>35</v>
      </c>
      <c r="D9940">
        <v>0</v>
      </c>
      <c r="E9940">
        <v>1</v>
      </c>
      <c r="F9940" s="7">
        <v>102211.82</v>
      </c>
      <c r="G9940">
        <v>0</v>
      </c>
      <c r="H9940" s="7">
        <v>0</v>
      </c>
    </row>
    <row r="9941" spans="1:8">
      <c r="A9941">
        <v>7</v>
      </c>
      <c r="B9941" t="s">
        <v>44</v>
      </c>
      <c r="C9941" t="s">
        <v>33</v>
      </c>
      <c r="D9941">
        <v>0</v>
      </c>
      <c r="E9941">
        <v>1</v>
      </c>
      <c r="F9941" s="7">
        <v>6448.86</v>
      </c>
      <c r="G9941">
        <v>0</v>
      </c>
      <c r="H9941" s="7">
        <v>0</v>
      </c>
    </row>
    <row r="9942" spans="1:8">
      <c r="A9942">
        <v>7</v>
      </c>
      <c r="B9942" t="s">
        <v>44</v>
      </c>
      <c r="C9942" t="s">
        <v>35</v>
      </c>
      <c r="D9942">
        <v>0</v>
      </c>
      <c r="E9942">
        <v>1</v>
      </c>
      <c r="F9942" s="7">
        <v>135720.15</v>
      </c>
      <c r="G9942">
        <v>0</v>
      </c>
      <c r="H9942" s="7">
        <v>0</v>
      </c>
    </row>
    <row r="9943" spans="1:8">
      <c r="A9943">
        <v>7</v>
      </c>
      <c r="B9943" t="s">
        <v>42</v>
      </c>
      <c r="C9943" t="s">
        <v>33</v>
      </c>
      <c r="D9943">
        <v>0</v>
      </c>
      <c r="E9943">
        <v>1</v>
      </c>
      <c r="F9943" s="7">
        <v>5105.27</v>
      </c>
      <c r="G9943">
        <v>0</v>
      </c>
      <c r="H9943" s="7">
        <v>0</v>
      </c>
    </row>
    <row r="9944" spans="1:8">
      <c r="A9944">
        <v>7</v>
      </c>
      <c r="B9944" t="s">
        <v>44</v>
      </c>
      <c r="C9944" t="s">
        <v>35</v>
      </c>
      <c r="D9944">
        <v>0</v>
      </c>
      <c r="E9944">
        <v>1</v>
      </c>
      <c r="F9944" s="7">
        <v>413692.19</v>
      </c>
      <c r="G9944">
        <v>0</v>
      </c>
      <c r="H9944" s="7">
        <v>0</v>
      </c>
    </row>
    <row r="9945" spans="1:8">
      <c r="A9945">
        <v>7</v>
      </c>
      <c r="B9945" t="s">
        <v>44</v>
      </c>
      <c r="C9945" t="s">
        <v>35</v>
      </c>
      <c r="D9945">
        <v>0</v>
      </c>
      <c r="E9945">
        <v>1</v>
      </c>
      <c r="F9945" s="7">
        <v>303693.11</v>
      </c>
      <c r="G9945">
        <v>0</v>
      </c>
      <c r="H9945" s="7">
        <v>0</v>
      </c>
    </row>
    <row r="9946" spans="1:8">
      <c r="A9946">
        <v>7</v>
      </c>
      <c r="B9946" t="s">
        <v>45</v>
      </c>
      <c r="C9946" t="s">
        <v>33</v>
      </c>
      <c r="D9946">
        <v>0</v>
      </c>
      <c r="E9946">
        <v>1</v>
      </c>
      <c r="F9946" s="7">
        <v>5596.59</v>
      </c>
      <c r="G9946">
        <v>0</v>
      </c>
      <c r="H9946" s="7">
        <v>0</v>
      </c>
    </row>
    <row r="9947" spans="1:8">
      <c r="A9947">
        <v>7</v>
      </c>
      <c r="B9947" t="s">
        <v>43</v>
      </c>
      <c r="C9947" t="s">
        <v>34</v>
      </c>
      <c r="D9947">
        <v>0</v>
      </c>
      <c r="E9947">
        <v>1</v>
      </c>
      <c r="F9947" s="7">
        <v>69635.1</v>
      </c>
      <c r="G9947">
        <v>0</v>
      </c>
      <c r="H9947" s="7">
        <v>0</v>
      </c>
    </row>
    <row r="9948" spans="1:8">
      <c r="A9948">
        <v>7</v>
      </c>
      <c r="B9948" t="s">
        <v>42</v>
      </c>
      <c r="C9948" t="s">
        <v>33</v>
      </c>
      <c r="D9948">
        <v>0</v>
      </c>
      <c r="E9948">
        <v>1</v>
      </c>
      <c r="F9948" s="7">
        <v>5471.45</v>
      </c>
      <c r="G9948">
        <v>0</v>
      </c>
      <c r="H9948" s="7">
        <v>0</v>
      </c>
    </row>
    <row r="9949" spans="1:8">
      <c r="A9949">
        <v>7</v>
      </c>
      <c r="B9949" t="s">
        <v>42</v>
      </c>
      <c r="C9949" t="s">
        <v>32</v>
      </c>
      <c r="D9949">
        <v>0</v>
      </c>
      <c r="E9949">
        <v>1</v>
      </c>
      <c r="F9949" s="7">
        <v>670.96</v>
      </c>
      <c r="G9949">
        <v>0</v>
      </c>
      <c r="H9949" s="7">
        <v>0</v>
      </c>
    </row>
    <row r="9950" spans="1:8">
      <c r="A9950">
        <v>7</v>
      </c>
      <c r="B9950" t="s">
        <v>42</v>
      </c>
      <c r="C9950" t="s">
        <v>34</v>
      </c>
      <c r="D9950">
        <v>0</v>
      </c>
      <c r="E9950">
        <v>1</v>
      </c>
      <c r="F9950" s="7">
        <v>30221.72</v>
      </c>
      <c r="G9950">
        <v>0</v>
      </c>
      <c r="H9950" s="7">
        <v>0</v>
      </c>
    </row>
    <row r="9951" spans="1:8">
      <c r="A9951">
        <v>7</v>
      </c>
      <c r="B9951" t="s">
        <v>42</v>
      </c>
      <c r="C9951" t="s">
        <v>34</v>
      </c>
      <c r="D9951">
        <v>0</v>
      </c>
      <c r="E9951">
        <v>1</v>
      </c>
      <c r="F9951" s="7">
        <v>22122.28</v>
      </c>
      <c r="G9951">
        <v>0</v>
      </c>
      <c r="H9951" s="7">
        <v>0</v>
      </c>
    </row>
    <row r="9952" spans="1:8">
      <c r="A9952">
        <v>7</v>
      </c>
      <c r="B9952" t="s">
        <v>42</v>
      </c>
      <c r="C9952" t="s">
        <v>34</v>
      </c>
      <c r="D9952">
        <v>0</v>
      </c>
      <c r="E9952">
        <v>1</v>
      </c>
      <c r="F9952" s="7">
        <v>29488.1</v>
      </c>
      <c r="G9952">
        <v>0</v>
      </c>
      <c r="H9952" s="7">
        <v>0</v>
      </c>
    </row>
    <row r="9953" spans="1:8">
      <c r="A9953">
        <v>7</v>
      </c>
      <c r="B9953" t="s">
        <v>42</v>
      </c>
      <c r="C9953" t="s">
        <v>33</v>
      </c>
      <c r="D9953">
        <v>0</v>
      </c>
      <c r="E9953">
        <v>1</v>
      </c>
      <c r="F9953" s="7">
        <v>8276.17</v>
      </c>
      <c r="G9953">
        <v>0</v>
      </c>
      <c r="H9953" s="7">
        <v>0</v>
      </c>
    </row>
    <row r="9954" spans="1:8">
      <c r="A9954">
        <v>7</v>
      </c>
      <c r="B9954" t="s">
        <v>42</v>
      </c>
      <c r="C9954" t="s">
        <v>33</v>
      </c>
      <c r="D9954">
        <v>0</v>
      </c>
      <c r="E9954">
        <v>1</v>
      </c>
      <c r="F9954" s="7">
        <v>7113.65</v>
      </c>
      <c r="G9954">
        <v>0</v>
      </c>
      <c r="H9954" s="7">
        <v>0</v>
      </c>
    </row>
    <row r="9955" spans="1:8">
      <c r="A9955">
        <v>7</v>
      </c>
      <c r="B9955" t="s">
        <v>42</v>
      </c>
      <c r="C9955" t="s">
        <v>32</v>
      </c>
      <c r="D9955">
        <v>0</v>
      </c>
      <c r="E9955">
        <v>1</v>
      </c>
      <c r="F9955" s="7">
        <v>243.96</v>
      </c>
      <c r="G9955">
        <v>0</v>
      </c>
      <c r="H9955" s="7">
        <v>0</v>
      </c>
    </row>
    <row r="9956" spans="1:8">
      <c r="A9956">
        <v>7</v>
      </c>
      <c r="B9956" t="s">
        <v>42</v>
      </c>
      <c r="C9956" t="s">
        <v>34</v>
      </c>
      <c r="D9956">
        <v>0</v>
      </c>
      <c r="E9956">
        <v>1</v>
      </c>
      <c r="F9956" s="7">
        <v>10680.86</v>
      </c>
      <c r="G9956">
        <v>0</v>
      </c>
      <c r="H9956" s="7">
        <v>0</v>
      </c>
    </row>
    <row r="9957" spans="1:8">
      <c r="A9957">
        <v>7</v>
      </c>
      <c r="B9957" t="s">
        <v>42</v>
      </c>
      <c r="C9957" t="s">
        <v>33</v>
      </c>
      <c r="D9957">
        <v>0</v>
      </c>
      <c r="E9957">
        <v>1</v>
      </c>
      <c r="F9957" s="7">
        <v>5093.86</v>
      </c>
      <c r="G9957">
        <v>0</v>
      </c>
      <c r="H9957" s="7">
        <v>0</v>
      </c>
    </row>
    <row r="9958" spans="1:8">
      <c r="A9958">
        <v>7</v>
      </c>
      <c r="B9958" t="s">
        <v>42</v>
      </c>
      <c r="C9958" t="s">
        <v>34</v>
      </c>
      <c r="D9958">
        <v>0</v>
      </c>
      <c r="E9958">
        <v>1</v>
      </c>
      <c r="F9958" s="7">
        <v>13988.94</v>
      </c>
      <c r="G9958">
        <v>0</v>
      </c>
      <c r="H9958" s="7">
        <v>0</v>
      </c>
    </row>
    <row r="9959" spans="1:8">
      <c r="A9959">
        <v>7</v>
      </c>
      <c r="B9959" t="s">
        <v>42</v>
      </c>
      <c r="C9959" t="s">
        <v>33</v>
      </c>
      <c r="D9959">
        <v>0</v>
      </c>
      <c r="E9959">
        <v>1</v>
      </c>
      <c r="F9959" s="7">
        <v>6863.99</v>
      </c>
      <c r="G9959">
        <v>0</v>
      </c>
      <c r="H9959" s="7">
        <v>0</v>
      </c>
    </row>
    <row r="9960" spans="1:8">
      <c r="A9960">
        <v>7</v>
      </c>
      <c r="B9960" t="s">
        <v>42</v>
      </c>
      <c r="C9960" t="s">
        <v>34</v>
      </c>
      <c r="D9960">
        <v>0</v>
      </c>
      <c r="E9960">
        <v>1</v>
      </c>
      <c r="F9960" s="7">
        <v>10456.77</v>
      </c>
      <c r="G9960">
        <v>0</v>
      </c>
      <c r="H9960" s="7">
        <v>0</v>
      </c>
    </row>
    <row r="9961" spans="1:8">
      <c r="A9961">
        <v>7</v>
      </c>
      <c r="B9961" t="s">
        <v>42</v>
      </c>
      <c r="C9961" t="s">
        <v>34</v>
      </c>
      <c r="D9961">
        <v>0</v>
      </c>
      <c r="E9961">
        <v>1</v>
      </c>
      <c r="F9961" s="7">
        <v>11001.9</v>
      </c>
      <c r="G9961">
        <v>0</v>
      </c>
      <c r="H9961" s="7">
        <v>0</v>
      </c>
    </row>
    <row r="9962" spans="1:8">
      <c r="A9962">
        <v>7</v>
      </c>
      <c r="B9962" t="s">
        <v>42</v>
      </c>
      <c r="C9962" t="s">
        <v>33</v>
      </c>
      <c r="D9962">
        <v>0</v>
      </c>
      <c r="E9962">
        <v>1</v>
      </c>
      <c r="F9962" s="7">
        <v>5962.29</v>
      </c>
      <c r="G9962">
        <v>0</v>
      </c>
      <c r="H9962" s="7">
        <v>0</v>
      </c>
    </row>
    <row r="9963" spans="1:8">
      <c r="A9963">
        <v>7</v>
      </c>
      <c r="B9963" t="s">
        <v>42</v>
      </c>
      <c r="C9963" t="s">
        <v>33</v>
      </c>
      <c r="D9963">
        <v>0</v>
      </c>
      <c r="E9963">
        <v>1</v>
      </c>
      <c r="F9963" s="7">
        <v>7606.59</v>
      </c>
      <c r="G9963">
        <v>0</v>
      </c>
      <c r="H9963" s="7">
        <v>0</v>
      </c>
    </row>
    <row r="9964" spans="1:8">
      <c r="A9964">
        <v>7</v>
      </c>
      <c r="B9964" t="s">
        <v>42</v>
      </c>
      <c r="C9964" t="s">
        <v>34</v>
      </c>
      <c r="D9964">
        <v>0</v>
      </c>
      <c r="E9964">
        <v>1</v>
      </c>
      <c r="F9964" s="7">
        <v>14093.9</v>
      </c>
      <c r="G9964">
        <v>0</v>
      </c>
      <c r="H9964" s="7">
        <v>0</v>
      </c>
    </row>
    <row r="9965" spans="1:8">
      <c r="A9965">
        <v>7</v>
      </c>
      <c r="B9965" t="s">
        <v>42</v>
      </c>
      <c r="C9965" t="s">
        <v>33</v>
      </c>
      <c r="D9965">
        <v>0</v>
      </c>
      <c r="E9965">
        <v>1</v>
      </c>
      <c r="F9965" s="7">
        <v>5738.02</v>
      </c>
      <c r="G9965">
        <v>0</v>
      </c>
      <c r="H9965" s="7">
        <v>0</v>
      </c>
    </row>
    <row r="9966" spans="1:8">
      <c r="A9966">
        <v>7</v>
      </c>
      <c r="B9966" t="s">
        <v>42</v>
      </c>
      <c r="C9966" t="s">
        <v>33</v>
      </c>
      <c r="D9966">
        <v>0</v>
      </c>
      <c r="E9966">
        <v>1</v>
      </c>
      <c r="F9966" s="7">
        <v>3250.37</v>
      </c>
      <c r="G9966">
        <v>0</v>
      </c>
      <c r="H9966" s="7">
        <v>0</v>
      </c>
    </row>
    <row r="9967" spans="1:8">
      <c r="A9967">
        <v>7</v>
      </c>
      <c r="B9967" t="s">
        <v>42</v>
      </c>
      <c r="C9967" t="s">
        <v>33</v>
      </c>
      <c r="D9967">
        <v>0</v>
      </c>
      <c r="E9967">
        <v>1</v>
      </c>
      <c r="F9967" s="7">
        <v>2799.85</v>
      </c>
      <c r="G9967">
        <v>0</v>
      </c>
      <c r="H9967" s="7">
        <v>0</v>
      </c>
    </row>
    <row r="9968" spans="1:8">
      <c r="A9968">
        <v>7</v>
      </c>
      <c r="B9968" t="s">
        <v>42</v>
      </c>
      <c r="C9968" t="s">
        <v>33</v>
      </c>
      <c r="D9968">
        <v>0</v>
      </c>
      <c r="E9968">
        <v>1</v>
      </c>
      <c r="F9968" s="7">
        <v>2025.97</v>
      </c>
      <c r="G9968">
        <v>0</v>
      </c>
      <c r="H9968" s="7">
        <v>0</v>
      </c>
    </row>
    <row r="9969" spans="1:8">
      <c r="A9969">
        <v>7</v>
      </c>
      <c r="B9969" t="s">
        <v>42</v>
      </c>
      <c r="C9969" t="s">
        <v>33</v>
      </c>
      <c r="D9969">
        <v>0</v>
      </c>
      <c r="E9969">
        <v>1</v>
      </c>
      <c r="F9969" s="7">
        <v>9239.74</v>
      </c>
      <c r="G9969">
        <v>0</v>
      </c>
      <c r="H9969" s="7">
        <v>0</v>
      </c>
    </row>
    <row r="9970" spans="1:8">
      <c r="A9970">
        <v>7</v>
      </c>
      <c r="B9970" t="s">
        <v>42</v>
      </c>
      <c r="C9970" t="s">
        <v>33</v>
      </c>
      <c r="D9970">
        <v>0</v>
      </c>
      <c r="E9970">
        <v>1</v>
      </c>
      <c r="F9970" s="7">
        <v>2977.78</v>
      </c>
      <c r="G9970">
        <v>0</v>
      </c>
      <c r="H9970" s="7">
        <v>0</v>
      </c>
    </row>
    <row r="9971" spans="1:8">
      <c r="A9971">
        <v>7</v>
      </c>
      <c r="B9971" t="s">
        <v>42</v>
      </c>
      <c r="C9971" t="s">
        <v>33</v>
      </c>
      <c r="D9971">
        <v>0</v>
      </c>
      <c r="E9971">
        <v>1</v>
      </c>
      <c r="F9971" s="7">
        <v>3478.79</v>
      </c>
      <c r="G9971">
        <v>0</v>
      </c>
      <c r="H9971" s="7">
        <v>0</v>
      </c>
    </row>
    <row r="9972" spans="1:8">
      <c r="A9972">
        <v>7</v>
      </c>
      <c r="B9972" t="s">
        <v>42</v>
      </c>
      <c r="C9972" t="s">
        <v>33</v>
      </c>
      <c r="D9972">
        <v>0</v>
      </c>
      <c r="E9972">
        <v>1</v>
      </c>
      <c r="F9972" s="7">
        <v>1228.91</v>
      </c>
      <c r="G9972">
        <v>0</v>
      </c>
      <c r="H9972" s="7">
        <v>0</v>
      </c>
    </row>
    <row r="9973" spans="1:8">
      <c r="A9973">
        <v>7</v>
      </c>
      <c r="B9973" t="s">
        <v>42</v>
      </c>
      <c r="C9973" t="s">
        <v>33</v>
      </c>
      <c r="D9973">
        <v>0</v>
      </c>
      <c r="E9973">
        <v>1</v>
      </c>
      <c r="F9973" s="7">
        <v>9021.68</v>
      </c>
      <c r="G9973">
        <v>0</v>
      </c>
      <c r="H9973" s="7">
        <v>0</v>
      </c>
    </row>
    <row r="9974" spans="1:8">
      <c r="A9974">
        <v>7</v>
      </c>
      <c r="B9974" t="s">
        <v>42</v>
      </c>
      <c r="C9974" t="s">
        <v>33</v>
      </c>
      <c r="D9974">
        <v>0</v>
      </c>
      <c r="E9974">
        <v>1</v>
      </c>
      <c r="F9974" s="7">
        <v>6666.61</v>
      </c>
      <c r="G9974">
        <v>0</v>
      </c>
      <c r="H9974" s="7">
        <v>0</v>
      </c>
    </row>
    <row r="9975" spans="1:8">
      <c r="A9975">
        <v>7</v>
      </c>
      <c r="B9975" t="s">
        <v>44</v>
      </c>
      <c r="C9975" t="s">
        <v>34</v>
      </c>
      <c r="D9975">
        <v>0</v>
      </c>
      <c r="E9975">
        <v>1</v>
      </c>
      <c r="F9975" s="7">
        <v>69299.64</v>
      </c>
      <c r="G9975">
        <v>0</v>
      </c>
      <c r="H9975" s="7">
        <v>0</v>
      </c>
    </row>
    <row r="9976" spans="1:8">
      <c r="A9976">
        <v>7</v>
      </c>
      <c r="B9976" t="s">
        <v>42</v>
      </c>
      <c r="C9976" t="s">
        <v>33</v>
      </c>
      <c r="D9976">
        <v>0</v>
      </c>
      <c r="E9976">
        <v>1</v>
      </c>
      <c r="F9976" s="7">
        <v>8894.27</v>
      </c>
      <c r="G9976">
        <v>0</v>
      </c>
      <c r="H9976" s="7">
        <v>0</v>
      </c>
    </row>
    <row r="9977" spans="1:8">
      <c r="A9977">
        <v>7</v>
      </c>
      <c r="B9977" t="s">
        <v>42</v>
      </c>
      <c r="C9977" t="s">
        <v>33</v>
      </c>
      <c r="D9977">
        <v>0</v>
      </c>
      <c r="E9977">
        <v>1</v>
      </c>
      <c r="F9977" s="7">
        <v>6292.71</v>
      </c>
      <c r="G9977">
        <v>0</v>
      </c>
      <c r="H9977" s="7">
        <v>0</v>
      </c>
    </row>
    <row r="9978" spans="1:8">
      <c r="A9978">
        <v>7</v>
      </c>
      <c r="B9978" t="s">
        <v>43</v>
      </c>
      <c r="C9978" t="s">
        <v>35</v>
      </c>
      <c r="D9978">
        <v>0</v>
      </c>
      <c r="E9978">
        <v>1</v>
      </c>
      <c r="F9978" s="7">
        <v>514750.17</v>
      </c>
      <c r="G9978">
        <v>0</v>
      </c>
      <c r="H9978" s="7">
        <v>0</v>
      </c>
    </row>
    <row r="9979" spans="1:8">
      <c r="A9979">
        <v>7</v>
      </c>
      <c r="B9979" t="s">
        <v>44</v>
      </c>
      <c r="C9979" t="s">
        <v>35</v>
      </c>
      <c r="D9979">
        <v>0</v>
      </c>
      <c r="E9979">
        <v>1</v>
      </c>
      <c r="F9979" s="7">
        <v>290528.69</v>
      </c>
      <c r="G9979">
        <v>0</v>
      </c>
      <c r="H9979" s="7">
        <v>0</v>
      </c>
    </row>
    <row r="9980" spans="1:8">
      <c r="A9980">
        <v>7</v>
      </c>
      <c r="B9980" t="s">
        <v>42</v>
      </c>
      <c r="C9980" t="s">
        <v>33</v>
      </c>
      <c r="D9980">
        <v>0</v>
      </c>
      <c r="E9980">
        <v>1</v>
      </c>
      <c r="F9980" s="7">
        <v>6224.41</v>
      </c>
      <c r="G9980">
        <v>0</v>
      </c>
      <c r="H9980" s="7">
        <v>0</v>
      </c>
    </row>
    <row r="9981" spans="1:8">
      <c r="A9981">
        <v>7</v>
      </c>
      <c r="B9981" t="s">
        <v>42</v>
      </c>
      <c r="C9981" t="s">
        <v>33</v>
      </c>
      <c r="D9981">
        <v>0</v>
      </c>
      <c r="E9981">
        <v>1</v>
      </c>
      <c r="F9981" s="7">
        <v>2061.86</v>
      </c>
      <c r="G9981">
        <v>0</v>
      </c>
      <c r="H9981" s="7">
        <v>0</v>
      </c>
    </row>
    <row r="9982" spans="1:8">
      <c r="A9982">
        <v>7</v>
      </c>
      <c r="B9982" t="s">
        <v>42</v>
      </c>
      <c r="C9982" t="s">
        <v>32</v>
      </c>
      <c r="D9982">
        <v>0</v>
      </c>
      <c r="E9982">
        <v>1</v>
      </c>
      <c r="F9982" s="7">
        <v>346.08</v>
      </c>
      <c r="G9982">
        <v>0</v>
      </c>
      <c r="H9982" s="7">
        <v>0</v>
      </c>
    </row>
    <row r="9983" spans="1:8">
      <c r="A9983">
        <v>7</v>
      </c>
      <c r="B9983" t="s">
        <v>42</v>
      </c>
      <c r="C9983" t="s">
        <v>33</v>
      </c>
      <c r="D9983">
        <v>0</v>
      </c>
      <c r="E9983">
        <v>1</v>
      </c>
      <c r="F9983" s="7">
        <v>4160.86</v>
      </c>
      <c r="G9983">
        <v>0</v>
      </c>
      <c r="H9983" s="7">
        <v>0</v>
      </c>
    </row>
    <row r="9984" spans="1:8">
      <c r="A9984">
        <v>7</v>
      </c>
      <c r="B9984" t="s">
        <v>42</v>
      </c>
      <c r="C9984" t="s">
        <v>34</v>
      </c>
      <c r="D9984">
        <v>0</v>
      </c>
      <c r="E9984">
        <v>1</v>
      </c>
      <c r="F9984" s="7">
        <v>17686.08</v>
      </c>
      <c r="G9984">
        <v>0</v>
      </c>
      <c r="H9984" s="7">
        <v>0</v>
      </c>
    </row>
    <row r="9985" spans="1:8">
      <c r="A9985">
        <v>7</v>
      </c>
      <c r="B9985" t="s">
        <v>43</v>
      </c>
      <c r="C9985" t="s">
        <v>36</v>
      </c>
      <c r="D9985">
        <v>0</v>
      </c>
      <c r="E9985">
        <v>1</v>
      </c>
      <c r="F9985" s="7">
        <v>1039778.19</v>
      </c>
      <c r="G9985">
        <v>0</v>
      </c>
      <c r="H9985" s="7">
        <v>0</v>
      </c>
    </row>
    <row r="9986" spans="1:8">
      <c r="A9986">
        <v>7</v>
      </c>
      <c r="B9986" t="s">
        <v>44</v>
      </c>
      <c r="C9986" t="s">
        <v>35</v>
      </c>
      <c r="D9986">
        <v>0</v>
      </c>
      <c r="E9986">
        <v>1</v>
      </c>
      <c r="F9986" s="7">
        <v>114837.89</v>
      </c>
      <c r="G9986">
        <v>0</v>
      </c>
      <c r="H9986" s="7">
        <v>0</v>
      </c>
    </row>
    <row r="9987" spans="1:8">
      <c r="A9987">
        <v>7</v>
      </c>
      <c r="B9987" t="s">
        <v>42</v>
      </c>
      <c r="C9987" t="s">
        <v>34</v>
      </c>
      <c r="D9987">
        <v>0</v>
      </c>
      <c r="E9987">
        <v>1</v>
      </c>
      <c r="F9987" s="7">
        <v>10167.71</v>
      </c>
      <c r="G9987">
        <v>0</v>
      </c>
      <c r="H9987" s="7">
        <v>0</v>
      </c>
    </row>
    <row r="9988" spans="1:8">
      <c r="A9988">
        <v>7</v>
      </c>
      <c r="B9988" t="s">
        <v>43</v>
      </c>
      <c r="C9988" t="s">
        <v>35</v>
      </c>
      <c r="D9988">
        <v>0</v>
      </c>
      <c r="E9988">
        <v>1</v>
      </c>
      <c r="F9988" s="7">
        <v>398355.54</v>
      </c>
      <c r="G9988">
        <v>0</v>
      </c>
      <c r="H9988" s="7">
        <v>0</v>
      </c>
    </row>
    <row r="9989" spans="1:8">
      <c r="A9989">
        <v>7</v>
      </c>
      <c r="B9989" t="s">
        <v>43</v>
      </c>
      <c r="C9989" t="s">
        <v>35</v>
      </c>
      <c r="D9989">
        <v>0</v>
      </c>
      <c r="E9989">
        <v>1</v>
      </c>
      <c r="F9989" s="7">
        <v>840886.94</v>
      </c>
      <c r="G9989">
        <v>0</v>
      </c>
      <c r="H9989" s="7">
        <v>0</v>
      </c>
    </row>
    <row r="9990" spans="1:8">
      <c r="A9990">
        <v>7</v>
      </c>
      <c r="B9990" t="s">
        <v>42</v>
      </c>
      <c r="C9990" t="s">
        <v>33</v>
      </c>
      <c r="D9990">
        <v>0</v>
      </c>
      <c r="E9990">
        <v>1</v>
      </c>
      <c r="F9990" s="7">
        <v>3732.36</v>
      </c>
      <c r="G9990">
        <v>0</v>
      </c>
      <c r="H9990" s="7">
        <v>0</v>
      </c>
    </row>
    <row r="9991" spans="1:8">
      <c r="A9991">
        <v>7</v>
      </c>
      <c r="B9991" t="s">
        <v>43</v>
      </c>
      <c r="C9991" t="s">
        <v>35</v>
      </c>
      <c r="D9991">
        <v>0</v>
      </c>
      <c r="E9991">
        <v>1</v>
      </c>
      <c r="F9991" s="7">
        <v>765639.59</v>
      </c>
      <c r="G9991">
        <v>0</v>
      </c>
      <c r="H9991" s="7">
        <v>0</v>
      </c>
    </row>
    <row r="9992" spans="1:8">
      <c r="A9992">
        <v>7</v>
      </c>
      <c r="B9992" t="s">
        <v>42</v>
      </c>
      <c r="C9992" t="s">
        <v>33</v>
      </c>
      <c r="D9992">
        <v>0</v>
      </c>
      <c r="E9992">
        <v>1</v>
      </c>
      <c r="F9992" s="7">
        <v>9970.16</v>
      </c>
      <c r="G9992">
        <v>0</v>
      </c>
      <c r="H9992" s="7">
        <v>0</v>
      </c>
    </row>
    <row r="9993" spans="1:8">
      <c r="A9993">
        <v>7</v>
      </c>
      <c r="B9993" t="s">
        <v>44</v>
      </c>
      <c r="C9993" t="s">
        <v>35</v>
      </c>
      <c r="D9993">
        <v>0</v>
      </c>
      <c r="E9993">
        <v>1</v>
      </c>
      <c r="F9993" s="7">
        <v>118577</v>
      </c>
      <c r="G9993">
        <v>0</v>
      </c>
      <c r="H9993" s="7">
        <v>0</v>
      </c>
    </row>
    <row r="9994" spans="1:8">
      <c r="A9994">
        <v>7</v>
      </c>
      <c r="B9994" t="s">
        <v>42</v>
      </c>
      <c r="C9994" t="s">
        <v>33</v>
      </c>
      <c r="D9994">
        <v>0</v>
      </c>
      <c r="E9994">
        <v>1</v>
      </c>
      <c r="F9994" s="7">
        <v>6691.69</v>
      </c>
      <c r="G9994">
        <v>0</v>
      </c>
      <c r="H9994" s="7">
        <v>0</v>
      </c>
    </row>
    <row r="9995" spans="1:8">
      <c r="A9995">
        <v>7</v>
      </c>
      <c r="B9995" t="s">
        <v>42</v>
      </c>
      <c r="C9995" t="s">
        <v>34</v>
      </c>
      <c r="D9995">
        <v>0</v>
      </c>
      <c r="E9995">
        <v>1</v>
      </c>
      <c r="F9995" s="7">
        <v>19080.06</v>
      </c>
      <c r="G9995">
        <v>0</v>
      </c>
      <c r="H9995" s="7">
        <v>0</v>
      </c>
    </row>
    <row r="9996" spans="1:8">
      <c r="A9996">
        <v>7</v>
      </c>
      <c r="B9996" t="s">
        <v>42</v>
      </c>
      <c r="C9996" t="s">
        <v>34</v>
      </c>
      <c r="D9996">
        <v>0</v>
      </c>
      <c r="E9996">
        <v>1</v>
      </c>
      <c r="F9996" s="7">
        <v>11510.47</v>
      </c>
      <c r="G9996">
        <v>0</v>
      </c>
      <c r="H9996" s="7">
        <v>0</v>
      </c>
    </row>
    <row r="9997" spans="1:8">
      <c r="A9997">
        <v>7</v>
      </c>
      <c r="B9997" t="s">
        <v>43</v>
      </c>
      <c r="C9997" t="s">
        <v>35</v>
      </c>
      <c r="D9997">
        <v>0</v>
      </c>
      <c r="E9997">
        <v>1</v>
      </c>
      <c r="F9997" s="7">
        <v>246846.74</v>
      </c>
      <c r="G9997">
        <v>0</v>
      </c>
      <c r="H9997" s="7">
        <v>0</v>
      </c>
    </row>
    <row r="9998" spans="1:8">
      <c r="A9998">
        <v>7</v>
      </c>
      <c r="B9998" t="s">
        <v>43</v>
      </c>
      <c r="C9998" t="s">
        <v>35</v>
      </c>
      <c r="D9998">
        <v>0</v>
      </c>
      <c r="E9998">
        <v>1</v>
      </c>
      <c r="F9998" s="7">
        <v>564581.34</v>
      </c>
      <c r="G9998">
        <v>0</v>
      </c>
      <c r="H9998" s="7">
        <v>0</v>
      </c>
    </row>
    <row r="9999" spans="1:8">
      <c r="A9999">
        <v>7</v>
      </c>
      <c r="B9999" t="s">
        <v>42</v>
      </c>
      <c r="C9999" t="s">
        <v>33</v>
      </c>
      <c r="D9999">
        <v>0</v>
      </c>
      <c r="E9999">
        <v>1</v>
      </c>
      <c r="F9999" s="7">
        <v>6895.23</v>
      </c>
      <c r="G9999">
        <v>0</v>
      </c>
      <c r="H9999" s="7">
        <v>0</v>
      </c>
    </row>
    <row r="10000" spans="1:8">
      <c r="A10000">
        <v>7</v>
      </c>
      <c r="B10000" t="s">
        <v>42</v>
      </c>
      <c r="C10000" t="s">
        <v>32</v>
      </c>
      <c r="D10000">
        <v>0</v>
      </c>
      <c r="E10000">
        <v>1</v>
      </c>
      <c r="F10000" s="7">
        <v>115.38</v>
      </c>
      <c r="G10000">
        <v>0</v>
      </c>
      <c r="H10000" s="7">
        <v>0</v>
      </c>
    </row>
    <row r="10001" spans="1:8">
      <c r="A10001">
        <v>7</v>
      </c>
      <c r="B10001" t="s">
        <v>42</v>
      </c>
      <c r="C10001" t="s">
        <v>32</v>
      </c>
      <c r="D10001">
        <v>0</v>
      </c>
      <c r="E10001">
        <v>1</v>
      </c>
      <c r="F10001" s="7">
        <v>466.73</v>
      </c>
      <c r="G10001">
        <v>0</v>
      </c>
      <c r="H10001" s="7">
        <v>0</v>
      </c>
    </row>
    <row r="10002" spans="1:8">
      <c r="A10002">
        <v>7</v>
      </c>
      <c r="B10002" t="s">
        <v>42</v>
      </c>
      <c r="C10002" t="s">
        <v>33</v>
      </c>
      <c r="D10002">
        <v>0</v>
      </c>
      <c r="E10002">
        <v>1</v>
      </c>
      <c r="F10002" s="7">
        <v>8239.66</v>
      </c>
      <c r="G10002">
        <v>0</v>
      </c>
      <c r="H10002" s="7">
        <v>0</v>
      </c>
    </row>
    <row r="10003" spans="1:8">
      <c r="A10003">
        <v>7</v>
      </c>
      <c r="B10003" t="s">
        <v>42</v>
      </c>
      <c r="C10003" t="s">
        <v>33</v>
      </c>
      <c r="D10003">
        <v>0</v>
      </c>
      <c r="E10003">
        <v>1</v>
      </c>
      <c r="F10003" s="7">
        <v>6063.34</v>
      </c>
      <c r="G10003">
        <v>0</v>
      </c>
      <c r="H10003" s="7">
        <v>0</v>
      </c>
    </row>
    <row r="10004" spans="1:8">
      <c r="A10004">
        <v>7</v>
      </c>
      <c r="B10004" t="s">
        <v>43</v>
      </c>
      <c r="C10004" t="s">
        <v>35</v>
      </c>
      <c r="D10004">
        <v>0</v>
      </c>
      <c r="E10004">
        <v>1</v>
      </c>
      <c r="F10004" s="7">
        <v>317806.64</v>
      </c>
      <c r="G10004">
        <v>0</v>
      </c>
      <c r="H10004" s="7">
        <v>0</v>
      </c>
    </row>
    <row r="10005" spans="1:8">
      <c r="A10005">
        <v>7</v>
      </c>
      <c r="B10005" t="s">
        <v>42</v>
      </c>
      <c r="C10005" t="s">
        <v>33</v>
      </c>
      <c r="D10005">
        <v>0</v>
      </c>
      <c r="E10005">
        <v>1</v>
      </c>
      <c r="F10005" s="7">
        <v>5096.16</v>
      </c>
      <c r="G10005">
        <v>0</v>
      </c>
      <c r="H10005" s="7">
        <v>0</v>
      </c>
    </row>
  </sheetData>
  <mergeCells count="3">
    <mergeCell ref="A3:H3"/>
    <mergeCell ref="A4:H4"/>
    <mergeCell ref="A1:H2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"/>
  <sheetViews>
    <sheetView zoomScale="50" zoomScaleNormal="50" workbookViewId="0">
      <selection activeCell="A54" sqref="A54:P54"/>
    </sheetView>
  </sheetViews>
  <sheetFormatPr defaultColWidth="9" defaultRowHeight="13.8"/>
  <cols>
    <col min="1" max="1" width="22" customWidth="1"/>
    <col min="2" max="5" width="16" customWidth="1"/>
    <col min="6" max="6" width="22" customWidth="1"/>
    <col min="7" max="16" width="16" customWidth="1"/>
  </cols>
  <sheetData>
    <row r="1" spans="1:10">
      <c r="A1" s="1" t="s">
        <v>86</v>
      </c>
    </row>
    <row r="3" spans="1:10">
      <c r="A3" s="2" t="s">
        <v>87</v>
      </c>
    </row>
    <row r="5" ht="39.6" spans="1:10">
      <c r="A5" s="3" t="s">
        <v>88</v>
      </c>
      <c r="D5" s="3" t="s">
        <v>89</v>
      </c>
      <c r="G5" s="3" t="s">
        <v>90</v>
      </c>
      <c r="J5" s="3" t="s">
        <v>91</v>
      </c>
    </row>
    <row r="6" spans="1:10">
      <c r="A6" s="4">
        <f>'QUALITY CHECKS'!C10</f>
        <v>10000</v>
      </c>
      <c r="D6" s="4">
        <f>'QUALITY CHECKS'!C11</f>
        <v>68</v>
      </c>
      <c r="G6" s="5">
        <f>IFERROR(D6/A6,0)</f>
        <v>0.0068</v>
      </c>
      <c r="J6" s="4">
        <f>SUM('SOURCE TRANSACTIONS'!F6:F10005)</f>
        <v>1035466899.49</v>
      </c>
    </row>
    <row r="8" spans="1:10">
      <c r="A8" s="3" t="s">
        <v>92</v>
      </c>
      <c r="I8" s="3" t="s">
        <v>93</v>
      </c>
    </row>
    <row r="24" spans="1:1">
      <c r="A24" s="3" t="s">
        <v>94</v>
      </c>
    </row>
    <row r="42" spans="1:14">
      <c r="A42" s="3" t="s">
        <v>95</v>
      </c>
      <c r="F42" s="3" t="s">
        <v>96</v>
      </c>
      <c r="K42" s="3" t="s">
        <v>97</v>
      </c>
    </row>
    <row r="43" spans="1:14">
      <c r="A43" s="3" t="s">
        <v>81</v>
      </c>
      <c r="B43" s="3" t="s">
        <v>5</v>
      </c>
      <c r="C43" s="3" t="s">
        <v>84</v>
      </c>
      <c r="D43" s="3" t="s">
        <v>98</v>
      </c>
      <c r="F43" s="3" t="s">
        <v>80</v>
      </c>
      <c r="G43" s="3" t="s">
        <v>5</v>
      </c>
      <c r="H43" s="3" t="s">
        <v>84</v>
      </c>
      <c r="I43" s="3" t="s">
        <v>98</v>
      </c>
      <c r="K43" s="3" t="s">
        <v>79</v>
      </c>
      <c r="L43" s="3" t="s">
        <v>5</v>
      </c>
      <c r="M43" s="3" t="s">
        <v>84</v>
      </c>
      <c r="N43" s="3" t="s">
        <v>98</v>
      </c>
    </row>
    <row r="44" spans="1:14">
      <c r="A44" t="s">
        <v>32</v>
      </c>
      <c r="B44">
        <f>SUMIF('PIVOT - AMOUNTS'!$A$8:$A$13,A44,'PIVOT - AMOUNTS'!$B$8:$B$13)</f>
        <v>606</v>
      </c>
      <c r="C44">
        <f>SUMIF('PIVOT - AMOUNTS'!$A$8:$A$13,A44,'PIVOT - AMOUNTS'!$C$8:$C$13)</f>
        <v>2</v>
      </c>
      <c r="D44" s="5">
        <f>IFERROR(C44/B44,0)</f>
        <v>0.0033003300330033</v>
      </c>
      <c r="F44" t="s">
        <v>42</v>
      </c>
      <c r="G44" s="4">
        <f>SUMIF('PIVOT - TYPES'!$A$8:$A$13,F44,'PIVOT - TYPES'!$B$8:$B$13)</f>
        <v>5465</v>
      </c>
      <c r="H44">
        <f>SUMIF('PIVOT - TYPES'!$A$8:$A$13,F44,'PIVOT - TYPES'!$C$8:$C$13)</f>
        <v>0</v>
      </c>
      <c r="I44" s="5">
        <f>IFERROR(H44/G44,0)</f>
        <v>0</v>
      </c>
      <c r="K44">
        <v>1</v>
      </c>
      <c r="L44" cm="1">
        <f t="array" ref="L44">SUMPRODUCT(--('PIVOT - STEPS'!$A$8:$A$14=K44),'PIVOT - STEPS'!$B$8:$B$14)</f>
        <v>2708</v>
      </c>
      <c r="M44" cm="1">
        <f t="array" ref="M44">SUMPRODUCT(--('PIVOT - STEPS'!$A$8:$A$14=K44),'PIVOT - STEPS'!$C$8:$C$14)</f>
        <v>16</v>
      </c>
      <c r="N44" s="5">
        <f>IFERROR(M44/L44,0)</f>
        <v>0.00590841949778434</v>
      </c>
    </row>
    <row r="45" spans="1:14">
      <c r="A45" t="s">
        <v>33</v>
      </c>
      <c r="B45">
        <f>SUMIF('PIVOT - AMOUNTS'!$A$8:$A$13,A45,'PIVOT - AMOUNTS'!$B$8:$B$13)</f>
        <v>3856</v>
      </c>
      <c r="C45">
        <f>SUMIF('PIVOT - AMOUNTS'!$A$8:$A$13,A45,'PIVOT - AMOUNTS'!$C$8:$C$13)</f>
        <v>2</v>
      </c>
      <c r="D45" s="5">
        <f>IFERROR(C45/B45,0)</f>
        <v>0.000518672199170124</v>
      </c>
      <c r="F45" t="s">
        <v>43</v>
      </c>
      <c r="G45" s="4">
        <f>'PIVOT - TYPES'!B9</f>
        <v>921</v>
      </c>
      <c r="H45">
        <f>'PIVOT - TYPES'!C9</f>
        <v>33</v>
      </c>
      <c r="I45" s="5">
        <f>IFERROR(H45/G45,0)</f>
        <v>0.0358306188925081</v>
      </c>
      <c r="K45">
        <v>2</v>
      </c>
      <c r="L45" cm="1">
        <f t="array" ref="L45">SUMPRODUCT(--('PIVOT - STEPS'!$A$8:$A$14=K45),'PIVOT - STEPS'!$B$8:$B$14)</f>
        <v>1014</v>
      </c>
      <c r="M45" cm="1">
        <f t="array" ref="M45">SUMPRODUCT(--('PIVOT - STEPS'!$A$8:$A$14=K45),'PIVOT - STEPS'!$C$8:$C$14)</f>
        <v>8</v>
      </c>
      <c r="N45" s="5">
        <f t="shared" ref="N44:N50" si="0">IFERROR(M45/L45,0)</f>
        <v>0.00788954635108481</v>
      </c>
    </row>
    <row r="46" spans="1:14">
      <c r="A46" t="s">
        <v>34</v>
      </c>
      <c r="B46">
        <f>SUMIF('PIVOT - AMOUNTS'!$A$8:$A$13,A46,'PIVOT - AMOUNTS'!$B$8:$B$13)</f>
        <v>2841</v>
      </c>
      <c r="C46">
        <f>SUMIF('PIVOT - AMOUNTS'!$A$8:$A$13,A46,'PIVOT - AMOUNTS'!$C$8:$C$13)</f>
        <v>42</v>
      </c>
      <c r="D46" s="5">
        <f>IFERROR(C46/B46,0)</f>
        <v>0.0147835269271383</v>
      </c>
      <c r="F46" t="s">
        <v>44</v>
      </c>
      <c r="G46" s="4">
        <f>'PIVOT - TYPES'!B10</f>
        <v>1321</v>
      </c>
      <c r="H46">
        <f>'PIVOT - TYPES'!C10</f>
        <v>35</v>
      </c>
      <c r="I46" s="5">
        <f>IFERROR(H46/G46,0)</f>
        <v>0.0264950794852385</v>
      </c>
      <c r="K46">
        <v>3</v>
      </c>
      <c r="L46" cm="1">
        <f t="array" ref="L46">SUMPRODUCT(--('PIVOT - STEPS'!$A$8:$A$14=K46),'PIVOT - STEPS'!$B$8:$B$14)</f>
        <v>552</v>
      </c>
      <c r="M46" cm="1">
        <f t="array" ref="M46">SUMPRODUCT(--('PIVOT - STEPS'!$A$8:$A$14=K46),'PIVOT - STEPS'!$C$8:$C$14)</f>
        <v>4</v>
      </c>
      <c r="N46" s="5">
        <f t="shared" si="0"/>
        <v>0.0072463768115942</v>
      </c>
    </row>
    <row r="47" spans="1:14">
      <c r="A47" t="s">
        <v>35</v>
      </c>
      <c r="B47">
        <f>SUMIF('PIVOT - AMOUNTS'!$A$8:$A$13,A47,'PIVOT - AMOUNTS'!$B$8:$B$13)</f>
        <v>2574</v>
      </c>
      <c r="C47">
        <f>SUMIF('PIVOT - AMOUNTS'!$A$8:$A$13,A47,'PIVOT - AMOUNTS'!$C$8:$C$13)</f>
        <v>14</v>
      </c>
      <c r="D47" s="5">
        <f>IFERROR(C47/B47,0)</f>
        <v>0.00543900543900544</v>
      </c>
      <c r="F47" t="s">
        <v>45</v>
      </c>
      <c r="G47" s="4">
        <f>'PIVOT - TYPES'!B11</f>
        <v>344</v>
      </c>
      <c r="H47">
        <f>'PIVOT - TYPES'!C11</f>
        <v>0</v>
      </c>
      <c r="I47" s="5">
        <f>IFERROR(H47/G47,0)</f>
        <v>0</v>
      </c>
      <c r="K47">
        <v>4</v>
      </c>
      <c r="L47" cm="1">
        <f t="array" ref="L47">SUMPRODUCT(--('PIVOT - STEPS'!$A$8:$A$14=K47),'PIVOT - STEPS'!$B$8:$B$14)</f>
        <v>565</v>
      </c>
      <c r="M47" cm="1">
        <f t="array" ref="M47">SUMPRODUCT(--('PIVOT - STEPS'!$A$8:$A$14=K47),'PIVOT - STEPS'!$C$8:$C$14)</f>
        <v>10</v>
      </c>
      <c r="N47" s="5">
        <f t="shared" si="0"/>
        <v>0.0176991150442478</v>
      </c>
    </row>
    <row r="48" spans="1:14">
      <c r="A48" t="s">
        <v>36</v>
      </c>
      <c r="B48">
        <f>SUMIF('PIVOT - AMOUNTS'!$A$8:$A$13,A48,'PIVOT - AMOUNTS'!$B$8:$B$13)</f>
        <v>123</v>
      </c>
      <c r="C48">
        <f>SUMIF('PIVOT - AMOUNTS'!$A$8:$A$13,A48,'PIVOT - AMOUNTS'!$C$8:$C$13)</f>
        <v>8</v>
      </c>
      <c r="D48" s="5">
        <f>IFERROR(C48/B48,0)</f>
        <v>0.0650406504065041</v>
      </c>
      <c r="F48" t="s">
        <v>46</v>
      </c>
      <c r="G48" s="4">
        <f>'PIVOT - TYPES'!B12</f>
        <v>1949</v>
      </c>
      <c r="H48">
        <f>'PIVOT - TYPES'!C12</f>
        <v>0</v>
      </c>
      <c r="I48" s="5">
        <f>IFERROR(H48/G48,0)</f>
        <v>0</v>
      </c>
      <c r="K48">
        <v>5</v>
      </c>
      <c r="L48">
        <f>'PIVOT - STEPS'!B12</f>
        <v>665</v>
      </c>
      <c r="M48" cm="1">
        <f t="array" ref="M48">SUMPRODUCT(--('PIVOT - STEPS'!$A$8:$A$14=K48),'PIVOT - STEPS'!$C$8:$C$14)</f>
        <v>6</v>
      </c>
      <c r="N48" s="5">
        <f t="shared" si="0"/>
        <v>0.00902255639097744</v>
      </c>
    </row>
    <row r="49" spans="1:14">
      <c r="K49">
        <v>6</v>
      </c>
      <c r="L49">
        <f>'PIVOT - STEPS'!B13</f>
        <v>1660</v>
      </c>
      <c r="M49" cm="1">
        <f t="array" ref="M49">SUMPRODUCT(--('PIVOT - STEPS'!$A$8:$A$14=K49),'PIVOT - STEPS'!$C$8:$C$14)</f>
        <v>22</v>
      </c>
      <c r="N49" s="5">
        <f t="shared" si="0"/>
        <v>0.0132530120481928</v>
      </c>
    </row>
    <row r="50" spans="1:14">
      <c r="K50">
        <v>7</v>
      </c>
      <c r="L50">
        <f>'PIVOT - STEPS'!B14</f>
        <v>2836</v>
      </c>
      <c r="M50" cm="1">
        <f t="array" ref="M50">SUMPRODUCT(--('PIVOT - STEPS'!$A$8:$A$14=K50),'PIVOT - STEPS'!$C$8:$C$14)</f>
        <v>2</v>
      </c>
      <c r="N50" s="5">
        <f t="shared" si="0"/>
        <v>0.000705218617771509</v>
      </c>
    </row>
    <row r="54" spans="1:14">
      <c r="A54" s="3" t="s">
        <v>99</v>
      </c>
    </row>
    <row r="55" spans="1:14">
      <c r="A55" t="s">
        <v>100</v>
      </c>
    </row>
    <row r="56" spans="1:14">
      <c r="A56" t="s">
        <v>101</v>
      </c>
    </row>
    <row r="57" spans="1:14">
      <c r="A57" t="s">
        <v>102</v>
      </c>
    </row>
    <row r="59" spans="1:14">
      <c r="A59" s="2" t="s">
        <v>103</v>
      </c>
    </row>
    <row r="60" spans="1:14">
      <c r="A60" s="2" t="s">
        <v>104</v>
      </c>
    </row>
  </sheetData>
  <mergeCells count="14">
    <mergeCell ref="A3:P3"/>
    <mergeCell ref="A8:H8"/>
    <mergeCell ref="I8:P8"/>
    <mergeCell ref="A24:P24"/>
    <mergeCell ref="A42:D42"/>
    <mergeCell ref="F42:I42"/>
    <mergeCell ref="K42:N42"/>
    <mergeCell ref="A54:P54"/>
    <mergeCell ref="A55:P55"/>
    <mergeCell ref="A56:P56"/>
    <mergeCell ref="A57:P57"/>
    <mergeCell ref="A59:P59"/>
    <mergeCell ref="A60:P60"/>
    <mergeCell ref="A1:P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START HERE</vt:lpstr>
      <vt:lpstr>PIVOT - AMOUNTS</vt:lpstr>
      <vt:lpstr>PIVOT - TYPES</vt:lpstr>
      <vt:lpstr>PIVOT - STEPS</vt:lpstr>
      <vt:lpstr>QUALITY CHECKS</vt:lpstr>
      <vt:lpstr>SOURCE TRANSACTIONS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</cp:lastModifiedBy>
  <dcterms:created xsi:type="dcterms:W3CDTF">2026-10-15T07:13:51Z</dcterms:created>
  <dcterms:modified xsi:type="dcterms:W3CDTF">2026-10-15T09:32:34Z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A05A90F685104FE1ADAC875A97065C98_13</vt:lpwstr>
  </property>
</Properties>
</file>